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E D\Desktop\"/>
    </mc:Choice>
  </mc:AlternateContent>
  <xr:revisionPtr revIDLastSave="0" documentId="13_ncr:1_{463E7872-9034-4366-825F-BA10A6A65B22}" xr6:coauthVersionLast="47" xr6:coauthVersionMax="47" xr10:uidLastSave="{00000000-0000-0000-0000-000000000000}"/>
  <bookViews>
    <workbookView xWindow="0" yWindow="225" windowWidth="29040" windowHeight="15990" firstSheet="3" activeTab="3" xr2:uid="{12A78BC2-EA08-4E38-818A-0025F37346DD}"/>
  </bookViews>
  <sheets>
    <sheet name="Digits" sheetId="30" r:id="rId1"/>
    <sheet name="wszystko i kroki sorted (3)" sheetId="22" r:id="rId2"/>
    <sheet name="Cancer" sheetId="29" r:id="rId3"/>
    <sheet name="Iris" sheetId="31" r:id="rId4"/>
    <sheet name="Wine" sheetId="32" r:id="rId5"/>
  </sheets>
  <definedNames>
    <definedName name="ExternalData_1" localSheetId="1" hidden="1">'wszystko i kroki sorted (3)'!$A$1:$T$2165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4" i="32" l="1"/>
  <c r="AC25" i="32"/>
  <c r="AC26" i="32"/>
  <c r="AC27" i="32"/>
  <c r="AC28" i="32"/>
  <c r="AC29" i="32"/>
  <c r="AC30" i="32"/>
  <c r="AC31" i="32"/>
  <c r="AC32" i="32"/>
  <c r="AC33" i="32"/>
  <c r="AC34" i="32"/>
  <c r="AC35" i="32"/>
  <c r="AC36" i="32"/>
  <c r="AC37" i="32"/>
  <c r="AC38" i="32"/>
  <c r="AC39" i="32"/>
  <c r="AC40" i="32"/>
  <c r="AC41" i="32"/>
  <c r="AC42" i="32"/>
  <c r="AC43" i="32"/>
  <c r="AC44" i="32"/>
  <c r="AC45" i="32"/>
  <c r="AC46" i="32"/>
  <c r="AC47" i="32"/>
  <c r="AC48" i="32"/>
  <c r="AC49" i="32"/>
  <c r="AC50" i="32"/>
  <c r="AC51" i="32"/>
  <c r="AC52" i="32"/>
  <c r="AC53" i="32"/>
  <c r="AC54" i="32"/>
  <c r="AC55" i="32"/>
  <c r="AC56" i="32"/>
  <c r="AC57" i="32"/>
  <c r="AC58" i="32"/>
  <c r="AC59" i="32"/>
  <c r="AC60" i="32"/>
  <c r="AC61" i="32"/>
  <c r="AC62" i="32"/>
  <c r="AC63" i="32"/>
  <c r="AC64" i="32"/>
  <c r="AC65" i="32"/>
  <c r="AC66" i="32"/>
  <c r="AC67" i="32"/>
  <c r="AC68" i="32"/>
  <c r="AC69" i="32"/>
  <c r="AC70" i="32"/>
  <c r="AC71" i="32"/>
  <c r="AC72" i="32"/>
  <c r="AC73" i="32"/>
  <c r="AC74" i="32"/>
  <c r="AC75" i="32"/>
  <c r="AC76" i="32"/>
  <c r="AC77" i="32"/>
  <c r="AC78" i="32"/>
  <c r="AC79" i="32"/>
  <c r="AC80" i="32"/>
  <c r="AC81" i="32"/>
  <c r="AC82" i="32"/>
  <c r="AC83" i="32"/>
  <c r="AC84" i="32"/>
  <c r="AC85" i="32"/>
  <c r="AC86" i="32"/>
  <c r="AC87" i="32"/>
  <c r="AC88" i="32"/>
  <c r="AC89" i="32"/>
  <c r="AC90" i="32"/>
  <c r="AC91" i="32"/>
  <c r="AC92" i="32"/>
  <c r="AC93" i="32"/>
  <c r="AC94" i="32"/>
  <c r="AC95" i="32"/>
  <c r="AC96" i="32"/>
  <c r="AC97" i="32"/>
  <c r="AC98" i="32"/>
  <c r="AC99" i="32"/>
  <c r="AC100" i="32"/>
  <c r="AC101" i="32"/>
  <c r="AC102" i="32"/>
  <c r="AC103" i="32"/>
  <c r="AC104" i="32"/>
  <c r="AC105" i="32"/>
  <c r="AC106" i="32"/>
  <c r="AC107" i="32"/>
  <c r="AC108" i="32"/>
  <c r="AC109" i="32"/>
  <c r="AC110" i="32"/>
  <c r="AC111" i="32"/>
  <c r="AC112" i="32"/>
  <c r="AC113" i="32"/>
  <c r="AC114" i="32"/>
  <c r="AC115" i="32"/>
  <c r="AC116" i="32"/>
  <c r="AC117" i="32"/>
  <c r="AC118" i="32"/>
  <c r="AC119" i="32"/>
  <c r="AC120" i="32"/>
  <c r="AC121" i="32"/>
  <c r="AC122" i="32"/>
  <c r="AC123" i="32"/>
  <c r="AC124" i="32"/>
  <c r="AC125" i="32"/>
  <c r="AC126" i="32"/>
  <c r="AC127" i="32"/>
  <c r="AC128" i="32"/>
  <c r="AC129" i="32"/>
  <c r="AC130" i="32"/>
  <c r="AC131" i="32"/>
  <c r="AC132" i="32"/>
  <c r="AC133" i="32"/>
  <c r="AC134" i="32"/>
  <c r="AC135" i="32"/>
  <c r="AC136" i="32"/>
  <c r="AC137" i="32"/>
  <c r="AC138" i="32"/>
  <c r="AC139" i="32"/>
  <c r="AC140" i="32"/>
  <c r="AC141" i="32"/>
  <c r="AC142" i="32"/>
  <c r="AC143" i="32"/>
  <c r="AC144" i="32"/>
  <c r="AC145" i="32"/>
  <c r="AC146" i="32"/>
  <c r="AC147" i="32"/>
  <c r="AC148" i="32"/>
  <c r="AC149" i="32"/>
  <c r="AC150" i="32"/>
  <c r="AC151" i="32"/>
  <c r="AC152" i="32"/>
  <c r="AC153" i="32"/>
  <c r="AC154" i="32"/>
  <c r="AC155" i="32"/>
  <c r="AC156" i="32"/>
  <c r="AC157" i="32"/>
  <c r="AC158" i="32"/>
  <c r="AC159" i="32"/>
  <c r="AC160" i="32"/>
  <c r="AC161" i="32"/>
  <c r="AC162" i="32"/>
  <c r="AC163" i="32"/>
  <c r="AC164" i="32"/>
  <c r="AC165" i="32"/>
  <c r="AC166" i="32"/>
  <c r="AC167" i="32"/>
  <c r="AC168" i="32"/>
  <c r="AC169" i="32"/>
  <c r="AC170" i="32"/>
  <c r="AC171" i="32"/>
  <c r="AC172" i="32"/>
  <c r="AC173" i="32"/>
  <c r="AC174" i="32"/>
  <c r="AC175" i="32"/>
  <c r="AC176" i="32"/>
  <c r="AC177" i="32"/>
  <c r="AC178" i="32"/>
  <c r="AC179" i="32"/>
  <c r="AC180" i="32"/>
  <c r="AC181" i="32"/>
  <c r="AC182" i="32"/>
  <c r="AC183" i="32"/>
  <c r="AC184" i="32"/>
  <c r="AC185" i="32"/>
  <c r="AC186" i="32"/>
  <c r="AC187" i="32"/>
  <c r="AC188" i="32"/>
  <c r="AC189" i="32"/>
  <c r="AC190" i="32"/>
  <c r="AC191" i="32"/>
  <c r="AC192" i="32"/>
  <c r="AC193" i="32"/>
  <c r="AC194" i="32"/>
  <c r="AC195" i="32"/>
  <c r="AC196" i="32"/>
  <c r="AC197" i="32"/>
  <c r="AC198" i="32"/>
  <c r="AC199" i="32"/>
  <c r="AC200" i="32"/>
  <c r="AC201" i="32"/>
  <c r="AC202" i="32"/>
  <c r="AC203" i="32"/>
  <c r="AC204" i="32"/>
  <c r="AC205" i="32"/>
  <c r="AC206" i="32"/>
  <c r="AC207" i="32"/>
  <c r="AC208" i="32"/>
  <c r="AC209" i="32"/>
  <c r="AC210" i="32"/>
  <c r="AC211" i="32"/>
  <c r="AC212" i="32"/>
  <c r="AC213" i="32"/>
  <c r="AC214" i="32"/>
  <c r="AC215" i="32"/>
  <c r="AC216" i="32"/>
  <c r="AC217" i="32"/>
  <c r="AC218" i="32"/>
  <c r="AC219" i="32"/>
  <c r="AC220" i="32"/>
  <c r="AC221" i="32"/>
  <c r="AC222" i="32"/>
  <c r="AC223" i="32"/>
  <c r="AC224" i="32"/>
  <c r="AC225" i="32"/>
  <c r="AC226" i="32"/>
  <c r="AC227" i="32"/>
  <c r="AC228" i="32"/>
  <c r="AC229" i="32"/>
  <c r="AC230" i="32"/>
  <c r="AC231" i="32"/>
  <c r="AC232" i="32"/>
  <c r="AC233" i="32"/>
  <c r="AC234" i="32"/>
  <c r="AC235" i="32"/>
  <c r="AC236" i="32"/>
  <c r="AC237" i="32"/>
  <c r="AC238" i="32"/>
  <c r="AC239" i="32"/>
  <c r="AC240" i="32"/>
  <c r="AC241" i="32"/>
  <c r="AC242" i="32"/>
  <c r="AC243" i="32"/>
  <c r="AC244" i="32"/>
  <c r="AC245" i="32"/>
  <c r="AC246" i="32"/>
  <c r="AC247" i="32"/>
  <c r="AC248" i="32"/>
  <c r="AC249" i="32"/>
  <c r="AC250" i="32"/>
  <c r="AC251" i="32"/>
  <c r="AC252" i="32"/>
  <c r="AC253" i="32"/>
  <c r="AC254" i="32"/>
  <c r="AC255" i="32"/>
  <c r="AC256" i="32"/>
  <c r="AC257" i="32"/>
  <c r="AC258" i="32"/>
  <c r="AC259" i="32"/>
  <c r="AC260" i="32"/>
  <c r="AC261" i="32"/>
  <c r="AC262" i="32"/>
  <c r="AC263" i="32"/>
  <c r="AC264" i="32"/>
  <c r="AC265" i="32"/>
  <c r="AC266" i="32"/>
  <c r="AC267" i="32"/>
  <c r="AC268" i="32"/>
  <c r="AC269" i="32"/>
  <c r="AC270" i="32"/>
  <c r="AC271" i="32"/>
  <c r="AC272" i="32"/>
  <c r="AC273" i="32"/>
  <c r="AC274" i="32"/>
  <c r="AC275" i="32"/>
  <c r="AC276" i="32"/>
  <c r="AC277" i="32"/>
  <c r="AC278" i="32"/>
  <c r="AC279" i="32"/>
  <c r="AC280" i="32"/>
  <c r="AC281" i="32"/>
  <c r="AC282" i="32"/>
  <c r="AC283" i="32"/>
  <c r="AC284" i="32"/>
  <c r="AC285" i="32"/>
  <c r="AC286" i="32"/>
  <c r="AC287" i="32"/>
  <c r="AC288" i="32"/>
  <c r="AC289" i="32"/>
  <c r="AC290" i="32"/>
  <c r="AC291" i="32"/>
  <c r="AC292" i="32"/>
  <c r="AC293" i="32"/>
  <c r="AC294" i="32"/>
  <c r="AC295" i="32"/>
  <c r="AC296" i="32"/>
  <c r="AC297" i="32"/>
  <c r="AC298" i="32"/>
  <c r="AC299" i="32"/>
  <c r="AC300" i="32"/>
  <c r="AC301" i="32"/>
  <c r="AC302" i="32"/>
  <c r="AC303" i="32"/>
  <c r="AC304" i="32"/>
  <c r="AC305" i="32"/>
  <c r="AC306" i="32"/>
  <c r="AC307" i="32"/>
  <c r="AC308" i="32"/>
  <c r="AC309" i="32"/>
  <c r="AC310" i="32"/>
  <c r="AC311" i="32"/>
  <c r="AC312" i="32"/>
  <c r="AC313" i="32"/>
  <c r="AC314" i="32"/>
  <c r="AC315" i="32"/>
  <c r="AC316" i="32"/>
  <c r="AC317" i="32"/>
  <c r="AC318" i="32"/>
  <c r="AC319" i="32"/>
  <c r="AC320" i="32"/>
  <c r="AC321" i="32"/>
  <c r="AC322" i="32"/>
  <c r="AC323" i="32"/>
  <c r="AC324" i="32"/>
  <c r="AC325" i="32"/>
  <c r="AC326" i="32"/>
  <c r="AC327" i="32"/>
  <c r="AC328" i="32"/>
  <c r="AC329" i="32"/>
  <c r="AC330" i="32"/>
  <c r="AC331" i="32"/>
  <c r="AC332" i="32"/>
  <c r="AC333" i="32"/>
  <c r="AC334" i="32"/>
  <c r="AC335" i="32"/>
  <c r="AC336" i="32"/>
  <c r="AC337" i="32"/>
  <c r="AC338" i="32"/>
  <c r="AC339" i="32"/>
  <c r="AC340" i="32"/>
  <c r="AC341" i="32"/>
  <c r="AC342" i="32"/>
  <c r="AC343" i="32"/>
  <c r="AC344" i="32"/>
  <c r="AC345" i="32"/>
  <c r="AC346" i="32"/>
  <c r="AC347" i="32"/>
  <c r="AC348" i="32"/>
  <c r="AC349" i="32"/>
  <c r="AC350" i="32"/>
  <c r="AC351" i="32"/>
  <c r="AC352" i="32"/>
  <c r="AC353" i="32"/>
  <c r="AC354" i="32"/>
  <c r="AC355" i="32"/>
  <c r="AC356" i="32"/>
  <c r="AC357" i="32"/>
  <c r="AC358" i="32"/>
  <c r="AC359" i="32"/>
  <c r="AC360" i="32"/>
  <c r="AC361" i="32"/>
  <c r="AC362" i="32"/>
  <c r="AC363" i="32"/>
  <c r="AC364" i="32"/>
  <c r="AC365" i="32"/>
  <c r="AC366" i="32"/>
  <c r="AC367" i="32"/>
  <c r="AC368" i="32"/>
  <c r="AC369" i="32"/>
  <c r="AC370" i="32"/>
  <c r="AC371" i="32"/>
  <c r="AC372" i="32"/>
  <c r="AC373" i="32"/>
  <c r="AC374" i="32"/>
  <c r="AC375" i="32"/>
  <c r="AC376" i="32"/>
  <c r="AC377" i="32"/>
  <c r="AC378" i="32"/>
  <c r="AC379" i="32"/>
  <c r="AC380" i="32"/>
  <c r="AC381" i="32"/>
  <c r="AC382" i="32"/>
  <c r="AC383" i="32"/>
  <c r="AC384" i="32"/>
  <c r="AC385" i="32"/>
  <c r="AC386" i="32"/>
  <c r="AC387" i="32"/>
  <c r="AC388" i="32"/>
  <c r="AC389" i="32"/>
  <c r="AC390" i="32"/>
  <c r="AC391" i="32"/>
  <c r="AC392" i="32"/>
  <c r="AC393" i="32"/>
  <c r="AC394" i="32"/>
  <c r="AC395" i="32"/>
  <c r="AC396" i="32"/>
  <c r="AC397" i="32"/>
  <c r="AC398" i="32"/>
  <c r="AC399" i="32"/>
  <c r="AC400" i="32"/>
  <c r="AC401" i="32"/>
  <c r="AC402" i="32"/>
  <c r="AC403" i="32"/>
  <c r="AC404" i="32"/>
  <c r="AC405" i="32"/>
  <c r="AC406" i="32"/>
  <c r="AC407" i="32"/>
  <c r="AC408" i="32"/>
  <c r="AC409" i="32"/>
  <c r="AC410" i="32"/>
  <c r="AC411" i="32"/>
  <c r="AC412" i="32"/>
  <c r="AC413" i="32"/>
  <c r="AC414" i="32"/>
  <c r="AC415" i="32"/>
  <c r="AC416" i="32"/>
  <c r="AC417" i="32"/>
  <c r="AC418" i="32"/>
  <c r="AC419" i="32"/>
  <c r="AC420" i="32"/>
  <c r="AC421" i="32"/>
  <c r="AC422" i="32"/>
  <c r="AC423" i="32"/>
  <c r="AC424" i="32"/>
  <c r="AC425" i="32"/>
  <c r="AC23" i="32"/>
  <c r="AB1" i="32"/>
  <c r="Y2" i="29"/>
  <c r="Y664" i="29"/>
  <c r="W3" i="30"/>
  <c r="X3" i="30"/>
  <c r="Y3" i="30"/>
  <c r="Z3" i="30"/>
  <c r="W4" i="30"/>
  <c r="X4" i="30"/>
  <c r="Y4" i="30"/>
  <c r="Z4" i="30"/>
  <c r="W5" i="30"/>
  <c r="X5" i="30"/>
  <c r="Y5" i="30"/>
  <c r="Z5" i="30"/>
  <c r="W6" i="30"/>
  <c r="X6" i="30"/>
  <c r="Y6" i="30"/>
  <c r="Z6" i="30"/>
  <c r="W7" i="30"/>
  <c r="X7" i="30"/>
  <c r="Y7" i="30"/>
  <c r="Z7" i="30"/>
  <c r="W8" i="30"/>
  <c r="X8" i="30"/>
  <c r="Y8" i="30"/>
  <c r="Z8" i="30"/>
  <c r="W9" i="30"/>
  <c r="X9" i="30"/>
  <c r="Y9" i="30"/>
  <c r="Z9" i="30"/>
  <c r="W10" i="30"/>
  <c r="X10" i="30"/>
  <c r="Y10" i="30"/>
  <c r="Z10" i="30"/>
  <c r="W11" i="30"/>
  <c r="X11" i="30"/>
  <c r="Y11" i="30"/>
  <c r="Z11" i="30"/>
  <c r="W12" i="30"/>
  <c r="X12" i="30"/>
  <c r="Y12" i="30"/>
  <c r="Z12" i="30"/>
  <c r="W13" i="30"/>
  <c r="X13" i="30"/>
  <c r="Y13" i="30"/>
  <c r="Z13" i="30"/>
  <c r="W14" i="30"/>
  <c r="X14" i="30"/>
  <c r="Y14" i="30"/>
  <c r="Z14" i="30"/>
  <c r="W15" i="30"/>
  <c r="X15" i="30"/>
  <c r="Y15" i="30"/>
  <c r="Z15" i="30"/>
  <c r="W16" i="30"/>
  <c r="X16" i="30"/>
  <c r="Y16" i="30"/>
  <c r="Z16" i="30"/>
  <c r="W17" i="30"/>
  <c r="X17" i="30"/>
  <c r="Y17" i="30"/>
  <c r="Z17" i="30"/>
  <c r="W18" i="30"/>
  <c r="X18" i="30"/>
  <c r="Y18" i="30"/>
  <c r="Z18" i="30"/>
  <c r="W19" i="30"/>
  <c r="X19" i="30"/>
  <c r="Y19" i="30"/>
  <c r="Z19" i="30"/>
  <c r="W20" i="30"/>
  <c r="X20" i="30"/>
  <c r="Y20" i="30"/>
  <c r="Z20" i="30"/>
  <c r="W21" i="30"/>
  <c r="X21" i="30"/>
  <c r="Y21" i="30"/>
  <c r="Z21" i="30"/>
  <c r="W22" i="30"/>
  <c r="X22" i="30"/>
  <c r="Y22" i="30"/>
  <c r="Z22" i="30"/>
  <c r="W23" i="30"/>
  <c r="X23" i="30"/>
  <c r="Y23" i="30"/>
  <c r="Z23" i="30"/>
  <c r="W24" i="30"/>
  <c r="X24" i="30"/>
  <c r="Y24" i="30"/>
  <c r="Z24" i="30"/>
  <c r="W25" i="30"/>
  <c r="X25" i="30"/>
  <c r="Y25" i="30"/>
  <c r="Z25" i="30"/>
  <c r="W26" i="30"/>
  <c r="X26" i="30"/>
  <c r="Y26" i="30"/>
  <c r="Z26" i="30"/>
  <c r="W27" i="30"/>
  <c r="X27" i="30"/>
  <c r="Y27" i="30"/>
  <c r="Z27" i="30"/>
  <c r="W28" i="30"/>
  <c r="X28" i="30"/>
  <c r="Y28" i="30"/>
  <c r="Z28" i="30"/>
  <c r="W29" i="30"/>
  <c r="X29" i="30"/>
  <c r="Y29" i="30"/>
  <c r="Z29" i="30"/>
  <c r="W30" i="30"/>
  <c r="X30" i="30"/>
  <c r="Y30" i="30"/>
  <c r="Z30" i="30"/>
  <c r="W31" i="30"/>
  <c r="X31" i="30"/>
  <c r="Y31" i="30"/>
  <c r="Z31" i="30"/>
  <c r="W32" i="30"/>
  <c r="X32" i="30"/>
  <c r="Y32" i="30"/>
  <c r="Z32" i="30"/>
  <c r="W33" i="30"/>
  <c r="X33" i="30"/>
  <c r="Y33" i="30"/>
  <c r="Z33" i="30"/>
  <c r="W34" i="30"/>
  <c r="X34" i="30"/>
  <c r="Y34" i="30"/>
  <c r="Z34" i="30"/>
  <c r="W35" i="30"/>
  <c r="X35" i="30"/>
  <c r="Y35" i="30"/>
  <c r="Z35" i="30"/>
  <c r="W36" i="30"/>
  <c r="X36" i="30"/>
  <c r="Y36" i="30"/>
  <c r="Z36" i="30"/>
  <c r="W37" i="30"/>
  <c r="X37" i="30"/>
  <c r="Y37" i="30"/>
  <c r="Z37" i="30"/>
  <c r="W38" i="30"/>
  <c r="X38" i="30"/>
  <c r="Y38" i="30"/>
  <c r="Z38" i="30"/>
  <c r="W39" i="30"/>
  <c r="X39" i="30"/>
  <c r="Y39" i="30"/>
  <c r="Z39" i="30"/>
  <c r="W40" i="30"/>
  <c r="X40" i="30"/>
  <c r="Y40" i="30"/>
  <c r="Z40" i="30"/>
  <c r="W41" i="30"/>
  <c r="X41" i="30"/>
  <c r="Y41" i="30"/>
  <c r="Z41" i="30"/>
  <c r="W42" i="30"/>
  <c r="X42" i="30"/>
  <c r="Y42" i="30"/>
  <c r="Z42" i="30"/>
  <c r="W43" i="30"/>
  <c r="X43" i="30"/>
  <c r="Y43" i="30"/>
  <c r="Z43" i="30"/>
  <c r="W44" i="30"/>
  <c r="X44" i="30"/>
  <c r="Y44" i="30"/>
  <c r="Z44" i="30"/>
  <c r="W45" i="30"/>
  <c r="X45" i="30"/>
  <c r="Y45" i="30"/>
  <c r="Z45" i="30"/>
  <c r="W46" i="30"/>
  <c r="X46" i="30"/>
  <c r="Y46" i="30"/>
  <c r="Z46" i="30"/>
  <c r="W47" i="30"/>
  <c r="X47" i="30"/>
  <c r="Y47" i="30"/>
  <c r="Z47" i="30"/>
  <c r="W48" i="30"/>
  <c r="X48" i="30"/>
  <c r="Y48" i="30"/>
  <c r="Z48" i="30"/>
  <c r="W49" i="30"/>
  <c r="X49" i="30"/>
  <c r="Y49" i="30"/>
  <c r="Z49" i="30"/>
  <c r="W50" i="30"/>
  <c r="X50" i="30"/>
  <c r="Y50" i="30"/>
  <c r="Z50" i="30"/>
  <c r="W51" i="30"/>
  <c r="X51" i="30"/>
  <c r="Y51" i="30"/>
  <c r="Z51" i="30"/>
  <c r="W52" i="30"/>
  <c r="X52" i="30"/>
  <c r="Y52" i="30"/>
  <c r="Z52" i="30"/>
  <c r="W53" i="30"/>
  <c r="X53" i="30"/>
  <c r="Y53" i="30"/>
  <c r="Z53" i="30"/>
  <c r="W54" i="30"/>
  <c r="X54" i="30"/>
  <c r="Y54" i="30"/>
  <c r="Z54" i="30"/>
  <c r="W55" i="30"/>
  <c r="X55" i="30"/>
  <c r="Y55" i="30"/>
  <c r="Z55" i="30"/>
  <c r="W56" i="30"/>
  <c r="X56" i="30"/>
  <c r="Y56" i="30"/>
  <c r="Z56" i="30"/>
  <c r="W57" i="30"/>
  <c r="X57" i="30"/>
  <c r="Y57" i="30"/>
  <c r="Z57" i="30"/>
  <c r="W58" i="30"/>
  <c r="X58" i="30"/>
  <c r="Y58" i="30"/>
  <c r="Z58" i="30"/>
  <c r="W59" i="30"/>
  <c r="X59" i="30"/>
  <c r="Y59" i="30"/>
  <c r="Z59" i="30"/>
  <c r="W60" i="30"/>
  <c r="X60" i="30"/>
  <c r="Y60" i="30"/>
  <c r="Z60" i="30"/>
  <c r="W61" i="30"/>
  <c r="X61" i="30"/>
  <c r="Y61" i="30"/>
  <c r="Z61" i="30"/>
  <c r="W62" i="30"/>
  <c r="X62" i="30"/>
  <c r="Y62" i="30"/>
  <c r="Z62" i="30"/>
  <c r="W63" i="30"/>
  <c r="X63" i="30"/>
  <c r="Y63" i="30"/>
  <c r="Z63" i="30"/>
  <c r="W64" i="30"/>
  <c r="X64" i="30"/>
  <c r="Y64" i="30"/>
  <c r="Z64" i="30"/>
  <c r="W65" i="30"/>
  <c r="X65" i="30"/>
  <c r="Y65" i="30"/>
  <c r="Z65" i="30"/>
  <c r="W66" i="30"/>
  <c r="X66" i="30"/>
  <c r="Y66" i="30"/>
  <c r="Z66" i="30"/>
  <c r="W67" i="30"/>
  <c r="X67" i="30"/>
  <c r="Y67" i="30"/>
  <c r="Z67" i="30"/>
  <c r="W68" i="30"/>
  <c r="X68" i="30"/>
  <c r="Y68" i="30"/>
  <c r="Z68" i="30"/>
  <c r="W69" i="30"/>
  <c r="X69" i="30"/>
  <c r="Y69" i="30"/>
  <c r="Z69" i="30"/>
  <c r="W70" i="30"/>
  <c r="X70" i="30"/>
  <c r="Y70" i="30"/>
  <c r="Z70" i="30"/>
  <c r="W71" i="30"/>
  <c r="X71" i="30"/>
  <c r="Y71" i="30"/>
  <c r="Z71" i="30"/>
  <c r="W72" i="30"/>
  <c r="X72" i="30"/>
  <c r="Y72" i="30"/>
  <c r="Z72" i="30"/>
  <c r="W73" i="30"/>
  <c r="X73" i="30"/>
  <c r="Y73" i="30"/>
  <c r="Z73" i="30"/>
  <c r="W74" i="30"/>
  <c r="X74" i="30"/>
  <c r="Y74" i="30"/>
  <c r="Z74" i="30"/>
  <c r="W75" i="30"/>
  <c r="X75" i="30"/>
  <c r="Y75" i="30"/>
  <c r="Z75" i="30"/>
  <c r="W76" i="30"/>
  <c r="X76" i="30"/>
  <c r="Y76" i="30"/>
  <c r="Z76" i="30"/>
  <c r="W77" i="30"/>
  <c r="X77" i="30"/>
  <c r="Y77" i="30"/>
  <c r="Z77" i="30"/>
  <c r="W78" i="30"/>
  <c r="X78" i="30"/>
  <c r="Y78" i="30"/>
  <c r="Z78" i="30"/>
  <c r="W79" i="30"/>
  <c r="X79" i="30"/>
  <c r="Y79" i="30"/>
  <c r="Z79" i="30"/>
  <c r="W80" i="30"/>
  <c r="X80" i="30"/>
  <c r="Y80" i="30"/>
  <c r="Z80" i="30"/>
  <c r="W81" i="30"/>
  <c r="X81" i="30"/>
  <c r="Y81" i="30"/>
  <c r="Z81" i="30"/>
  <c r="W82" i="30"/>
  <c r="X82" i="30"/>
  <c r="Y82" i="30"/>
  <c r="Z82" i="30"/>
  <c r="W83" i="30"/>
  <c r="X83" i="30"/>
  <c r="Y83" i="30"/>
  <c r="Z83" i="30"/>
  <c r="W84" i="30"/>
  <c r="X84" i="30"/>
  <c r="Y84" i="30"/>
  <c r="Z84" i="30"/>
  <c r="W85" i="30"/>
  <c r="X85" i="30"/>
  <c r="Y85" i="30"/>
  <c r="Z85" i="30"/>
  <c r="W86" i="30"/>
  <c r="X86" i="30"/>
  <c r="Y86" i="30"/>
  <c r="Z86" i="30"/>
  <c r="W87" i="30"/>
  <c r="X87" i="30"/>
  <c r="Y87" i="30"/>
  <c r="Z87" i="30"/>
  <c r="W88" i="30"/>
  <c r="X88" i="30"/>
  <c r="Y88" i="30"/>
  <c r="Z88" i="30"/>
  <c r="W89" i="30"/>
  <c r="X89" i="30"/>
  <c r="Y89" i="30"/>
  <c r="Z89" i="30"/>
  <c r="W90" i="30"/>
  <c r="X90" i="30"/>
  <c r="Y90" i="30"/>
  <c r="Z90" i="30"/>
  <c r="W91" i="30"/>
  <c r="X91" i="30"/>
  <c r="Y91" i="30"/>
  <c r="Z91" i="30"/>
  <c r="W92" i="30"/>
  <c r="X92" i="30"/>
  <c r="Y92" i="30"/>
  <c r="Z92" i="30"/>
  <c r="W93" i="30"/>
  <c r="X93" i="30"/>
  <c r="Y93" i="30"/>
  <c r="Z93" i="30"/>
  <c r="W94" i="30"/>
  <c r="X94" i="30"/>
  <c r="Y94" i="30"/>
  <c r="Z94" i="30"/>
  <c r="W95" i="30"/>
  <c r="X95" i="30"/>
  <c r="Y95" i="30"/>
  <c r="Z95" i="30"/>
  <c r="W96" i="30"/>
  <c r="X96" i="30"/>
  <c r="Y96" i="30"/>
  <c r="Z96" i="30"/>
  <c r="W97" i="30"/>
  <c r="X97" i="30"/>
  <c r="Y97" i="30"/>
  <c r="Z97" i="30"/>
  <c r="W98" i="30"/>
  <c r="X98" i="30"/>
  <c r="Y98" i="30"/>
  <c r="Z98" i="30"/>
  <c r="W99" i="30"/>
  <c r="X99" i="30"/>
  <c r="Y99" i="30"/>
  <c r="Z99" i="30"/>
  <c r="W100" i="30"/>
  <c r="X100" i="30"/>
  <c r="Y100" i="30"/>
  <c r="Z100" i="30"/>
  <c r="W101" i="30"/>
  <c r="X101" i="30"/>
  <c r="Y101" i="30"/>
  <c r="Z101" i="30"/>
  <c r="W102" i="30"/>
  <c r="X102" i="30"/>
  <c r="Y102" i="30"/>
  <c r="Z102" i="30"/>
  <c r="W103" i="30"/>
  <c r="X103" i="30"/>
  <c r="Y103" i="30"/>
  <c r="Z103" i="30"/>
  <c r="W104" i="30"/>
  <c r="X104" i="30"/>
  <c r="Y104" i="30"/>
  <c r="Z104" i="30"/>
  <c r="W105" i="30"/>
  <c r="X105" i="30"/>
  <c r="Y105" i="30"/>
  <c r="Z105" i="30"/>
  <c r="W106" i="30"/>
  <c r="X106" i="30"/>
  <c r="Y106" i="30"/>
  <c r="Z106" i="30"/>
  <c r="W107" i="30"/>
  <c r="X107" i="30"/>
  <c r="Y107" i="30"/>
  <c r="Z107" i="30"/>
  <c r="W108" i="30"/>
  <c r="X108" i="30"/>
  <c r="Y108" i="30"/>
  <c r="Z108" i="30"/>
  <c r="W109" i="30"/>
  <c r="X109" i="30"/>
  <c r="Y109" i="30"/>
  <c r="Z109" i="30"/>
  <c r="W110" i="30"/>
  <c r="X110" i="30"/>
  <c r="Y110" i="30"/>
  <c r="Z110" i="30"/>
  <c r="W111" i="30"/>
  <c r="X111" i="30"/>
  <c r="Y111" i="30"/>
  <c r="Z111" i="30"/>
  <c r="W112" i="30"/>
  <c r="X112" i="30"/>
  <c r="Y112" i="30"/>
  <c r="Z112" i="30"/>
  <c r="W113" i="30"/>
  <c r="X113" i="30"/>
  <c r="Y113" i="30"/>
  <c r="Z113" i="30"/>
  <c r="W114" i="30"/>
  <c r="X114" i="30"/>
  <c r="Y114" i="30"/>
  <c r="Z114" i="30"/>
  <c r="W115" i="30"/>
  <c r="X115" i="30"/>
  <c r="Y115" i="30"/>
  <c r="Z115" i="30"/>
  <c r="W116" i="30"/>
  <c r="X116" i="30"/>
  <c r="Y116" i="30"/>
  <c r="Z116" i="30"/>
  <c r="W117" i="30"/>
  <c r="X117" i="30"/>
  <c r="Y117" i="30"/>
  <c r="Z117" i="30"/>
  <c r="W118" i="30"/>
  <c r="X118" i="30"/>
  <c r="Y118" i="30"/>
  <c r="Z118" i="30"/>
  <c r="W119" i="30"/>
  <c r="X119" i="30"/>
  <c r="Y119" i="30"/>
  <c r="Z119" i="30"/>
  <c r="W120" i="30"/>
  <c r="X120" i="30"/>
  <c r="Y120" i="30"/>
  <c r="Z120" i="30"/>
  <c r="W121" i="30"/>
  <c r="X121" i="30"/>
  <c r="Y121" i="30"/>
  <c r="Z121" i="30"/>
  <c r="W122" i="30"/>
  <c r="X122" i="30"/>
  <c r="Y122" i="30"/>
  <c r="Z122" i="30"/>
  <c r="W123" i="30"/>
  <c r="X123" i="30"/>
  <c r="Y123" i="30"/>
  <c r="Z123" i="30"/>
  <c r="W124" i="30"/>
  <c r="X124" i="30"/>
  <c r="Y124" i="30"/>
  <c r="Z124" i="30"/>
  <c r="W125" i="30"/>
  <c r="X125" i="30"/>
  <c r="Y125" i="30"/>
  <c r="Z125" i="30"/>
  <c r="W126" i="30"/>
  <c r="X126" i="30"/>
  <c r="Y126" i="30"/>
  <c r="Z126" i="30"/>
  <c r="W127" i="30"/>
  <c r="X127" i="30"/>
  <c r="Y127" i="30"/>
  <c r="Z127" i="30"/>
  <c r="W128" i="30"/>
  <c r="X128" i="30"/>
  <c r="Y128" i="30"/>
  <c r="Z128" i="30"/>
  <c r="W129" i="30"/>
  <c r="X129" i="30"/>
  <c r="Y129" i="30"/>
  <c r="Z129" i="30"/>
  <c r="W130" i="30"/>
  <c r="X130" i="30"/>
  <c r="Y130" i="30"/>
  <c r="Z130" i="30"/>
  <c r="W131" i="30"/>
  <c r="X131" i="30"/>
  <c r="Y131" i="30"/>
  <c r="Z131" i="30"/>
  <c r="W132" i="30"/>
  <c r="X132" i="30"/>
  <c r="Y132" i="30"/>
  <c r="Z132" i="30"/>
  <c r="W133" i="30"/>
  <c r="X133" i="30"/>
  <c r="Y133" i="30"/>
  <c r="Z133" i="30"/>
  <c r="W134" i="30"/>
  <c r="X134" i="30"/>
  <c r="Y134" i="30"/>
  <c r="Z134" i="30"/>
  <c r="W135" i="30"/>
  <c r="X135" i="30"/>
  <c r="Y135" i="30"/>
  <c r="Z135" i="30"/>
  <c r="W136" i="30"/>
  <c r="X136" i="30"/>
  <c r="Y136" i="30"/>
  <c r="Z136" i="30"/>
  <c r="W137" i="30"/>
  <c r="X137" i="30"/>
  <c r="Y137" i="30"/>
  <c r="Z137" i="30"/>
  <c r="W138" i="30"/>
  <c r="X138" i="30"/>
  <c r="Y138" i="30"/>
  <c r="Z138" i="30"/>
  <c r="W139" i="30"/>
  <c r="X139" i="30"/>
  <c r="Y139" i="30"/>
  <c r="Z139" i="30"/>
  <c r="W140" i="30"/>
  <c r="X140" i="30"/>
  <c r="Y140" i="30"/>
  <c r="Z140" i="30"/>
  <c r="W141" i="30"/>
  <c r="X141" i="30"/>
  <c r="Y141" i="30"/>
  <c r="Z141" i="30"/>
  <c r="W142" i="30"/>
  <c r="X142" i="30"/>
  <c r="Y142" i="30"/>
  <c r="Z142" i="30"/>
  <c r="W143" i="30"/>
  <c r="X143" i="30"/>
  <c r="Y143" i="30"/>
  <c r="Z143" i="30"/>
  <c r="W144" i="30"/>
  <c r="X144" i="30"/>
  <c r="Y144" i="30"/>
  <c r="Z144" i="30"/>
  <c r="W145" i="30"/>
  <c r="X145" i="30"/>
  <c r="Y145" i="30"/>
  <c r="Z145" i="30"/>
  <c r="W146" i="30"/>
  <c r="X146" i="30"/>
  <c r="Y146" i="30"/>
  <c r="Z146" i="30"/>
  <c r="W147" i="30"/>
  <c r="X147" i="30"/>
  <c r="Y147" i="30"/>
  <c r="Z147" i="30"/>
  <c r="W148" i="30"/>
  <c r="X148" i="30"/>
  <c r="Y148" i="30"/>
  <c r="Z148" i="30"/>
  <c r="W149" i="30"/>
  <c r="X149" i="30"/>
  <c r="Y149" i="30"/>
  <c r="Z149" i="30"/>
  <c r="W150" i="30"/>
  <c r="X150" i="30"/>
  <c r="Y150" i="30"/>
  <c r="Z150" i="30"/>
  <c r="W151" i="30"/>
  <c r="X151" i="30"/>
  <c r="Y151" i="30"/>
  <c r="Z151" i="30"/>
  <c r="W152" i="30"/>
  <c r="X152" i="30"/>
  <c r="Y152" i="30"/>
  <c r="Z152" i="30"/>
  <c r="W153" i="30"/>
  <c r="X153" i="30"/>
  <c r="Y153" i="30"/>
  <c r="Z153" i="30"/>
  <c r="W154" i="30"/>
  <c r="X154" i="30"/>
  <c r="Y154" i="30"/>
  <c r="Z154" i="30"/>
  <c r="W155" i="30"/>
  <c r="X155" i="30"/>
  <c r="Y155" i="30"/>
  <c r="Z155" i="30"/>
  <c r="W156" i="30"/>
  <c r="X156" i="30"/>
  <c r="Y156" i="30"/>
  <c r="Z156" i="30"/>
  <c r="W157" i="30"/>
  <c r="X157" i="30"/>
  <c r="Y157" i="30"/>
  <c r="Z157" i="30"/>
  <c r="W158" i="30"/>
  <c r="X158" i="30"/>
  <c r="Y158" i="30"/>
  <c r="Z158" i="30"/>
  <c r="W159" i="30"/>
  <c r="X159" i="30"/>
  <c r="Y159" i="30"/>
  <c r="Z159" i="30"/>
  <c r="W160" i="30"/>
  <c r="X160" i="30"/>
  <c r="Y160" i="30"/>
  <c r="Z160" i="30"/>
  <c r="W161" i="30"/>
  <c r="X161" i="30"/>
  <c r="Y161" i="30"/>
  <c r="Z161" i="30"/>
  <c r="W162" i="30"/>
  <c r="X162" i="30"/>
  <c r="Y162" i="30"/>
  <c r="Z162" i="30"/>
  <c r="W163" i="30"/>
  <c r="X163" i="30"/>
  <c r="Y163" i="30"/>
  <c r="Z163" i="30"/>
  <c r="W164" i="30"/>
  <c r="X164" i="30"/>
  <c r="Y164" i="30"/>
  <c r="Z164" i="30"/>
  <c r="W165" i="30"/>
  <c r="X165" i="30"/>
  <c r="Y165" i="30"/>
  <c r="Z165" i="30"/>
  <c r="W166" i="30"/>
  <c r="X166" i="30"/>
  <c r="Y166" i="30"/>
  <c r="Z166" i="30"/>
  <c r="W167" i="30"/>
  <c r="X167" i="30"/>
  <c r="Y167" i="30"/>
  <c r="Z167" i="30"/>
  <c r="W168" i="30"/>
  <c r="X168" i="30"/>
  <c r="Y168" i="30"/>
  <c r="Z168" i="30"/>
  <c r="W169" i="30"/>
  <c r="X169" i="30"/>
  <c r="Y169" i="30"/>
  <c r="Z169" i="30"/>
  <c r="W170" i="30"/>
  <c r="X170" i="30"/>
  <c r="Y170" i="30"/>
  <c r="Z170" i="30"/>
  <c r="W171" i="30"/>
  <c r="X171" i="30"/>
  <c r="Y171" i="30"/>
  <c r="Z171" i="30"/>
  <c r="W172" i="30"/>
  <c r="X172" i="30"/>
  <c r="Y172" i="30"/>
  <c r="Z172" i="30"/>
  <c r="W173" i="30"/>
  <c r="X173" i="30"/>
  <c r="Y173" i="30"/>
  <c r="Z173" i="30"/>
  <c r="W174" i="30"/>
  <c r="X174" i="30"/>
  <c r="Y174" i="30"/>
  <c r="Z174" i="30"/>
  <c r="W175" i="30"/>
  <c r="X175" i="30"/>
  <c r="Y175" i="30"/>
  <c r="Z175" i="30"/>
  <c r="W176" i="30"/>
  <c r="X176" i="30"/>
  <c r="Y176" i="30"/>
  <c r="Z176" i="30"/>
  <c r="W177" i="30"/>
  <c r="X177" i="30"/>
  <c r="Y177" i="30"/>
  <c r="Z177" i="30"/>
  <c r="W178" i="30"/>
  <c r="X178" i="30"/>
  <c r="Y178" i="30"/>
  <c r="Z178" i="30"/>
  <c r="W179" i="30"/>
  <c r="X179" i="30"/>
  <c r="Y179" i="30"/>
  <c r="Z179" i="30"/>
  <c r="W180" i="30"/>
  <c r="X180" i="30"/>
  <c r="Y180" i="30"/>
  <c r="Z180" i="30"/>
  <c r="W181" i="30"/>
  <c r="X181" i="30"/>
  <c r="Y181" i="30"/>
  <c r="Z181" i="30"/>
  <c r="W182" i="30"/>
  <c r="X182" i="30"/>
  <c r="Y182" i="30"/>
  <c r="Z182" i="30"/>
  <c r="W183" i="30"/>
  <c r="X183" i="30"/>
  <c r="Y183" i="30"/>
  <c r="Z183" i="30"/>
  <c r="W184" i="30"/>
  <c r="X184" i="30"/>
  <c r="Y184" i="30"/>
  <c r="Z184" i="30"/>
  <c r="W185" i="30"/>
  <c r="X185" i="30"/>
  <c r="Y185" i="30"/>
  <c r="Z185" i="30"/>
  <c r="W186" i="30"/>
  <c r="X186" i="30"/>
  <c r="Y186" i="30"/>
  <c r="Z186" i="30"/>
  <c r="W187" i="30"/>
  <c r="X187" i="30"/>
  <c r="Y187" i="30"/>
  <c r="Z187" i="30"/>
  <c r="W188" i="30"/>
  <c r="X188" i="30"/>
  <c r="Y188" i="30"/>
  <c r="Z188" i="30"/>
  <c r="W189" i="30"/>
  <c r="X189" i="30"/>
  <c r="Y189" i="30"/>
  <c r="Z189" i="30"/>
  <c r="W190" i="30"/>
  <c r="X190" i="30"/>
  <c r="Y190" i="30"/>
  <c r="Z190" i="30"/>
  <c r="W191" i="30"/>
  <c r="X191" i="30"/>
  <c r="Y191" i="30"/>
  <c r="Z191" i="30"/>
  <c r="W192" i="30"/>
  <c r="X192" i="30"/>
  <c r="Y192" i="30"/>
  <c r="Z192" i="30"/>
  <c r="W193" i="30"/>
  <c r="X193" i="30"/>
  <c r="Y193" i="30"/>
  <c r="Z193" i="30"/>
  <c r="W194" i="30"/>
  <c r="X194" i="30"/>
  <c r="Y194" i="30"/>
  <c r="Z194" i="30"/>
  <c r="W195" i="30"/>
  <c r="X195" i="30"/>
  <c r="Y195" i="30"/>
  <c r="Z195" i="30"/>
  <c r="W196" i="30"/>
  <c r="X196" i="30"/>
  <c r="Y196" i="30"/>
  <c r="Z196" i="30"/>
  <c r="W197" i="30"/>
  <c r="X197" i="30"/>
  <c r="Y197" i="30"/>
  <c r="Z197" i="30"/>
  <c r="W198" i="30"/>
  <c r="X198" i="30"/>
  <c r="Y198" i="30"/>
  <c r="Z198" i="30"/>
  <c r="W199" i="30"/>
  <c r="X199" i="30"/>
  <c r="Y199" i="30"/>
  <c r="Z199" i="30"/>
  <c r="W200" i="30"/>
  <c r="X200" i="30"/>
  <c r="Y200" i="30"/>
  <c r="Z200" i="30"/>
  <c r="W201" i="30"/>
  <c r="X201" i="30"/>
  <c r="Y201" i="30"/>
  <c r="Z201" i="30"/>
  <c r="W202" i="30"/>
  <c r="X202" i="30"/>
  <c r="Y202" i="30"/>
  <c r="Z202" i="30"/>
  <c r="W203" i="30"/>
  <c r="X203" i="30"/>
  <c r="Y203" i="30"/>
  <c r="Z203" i="30"/>
  <c r="W204" i="30"/>
  <c r="X204" i="30"/>
  <c r="Y204" i="30"/>
  <c r="Z204" i="30"/>
  <c r="W205" i="30"/>
  <c r="X205" i="30"/>
  <c r="Y205" i="30"/>
  <c r="Z205" i="30"/>
  <c r="W206" i="30"/>
  <c r="X206" i="30"/>
  <c r="Y206" i="30"/>
  <c r="Z206" i="30"/>
  <c r="W207" i="30"/>
  <c r="X207" i="30"/>
  <c r="Y207" i="30"/>
  <c r="Z207" i="30"/>
  <c r="W208" i="30"/>
  <c r="X208" i="30"/>
  <c r="Y208" i="30"/>
  <c r="Z208" i="30"/>
  <c r="W209" i="30"/>
  <c r="X209" i="30"/>
  <c r="Y209" i="30"/>
  <c r="Z209" i="30"/>
  <c r="W210" i="30"/>
  <c r="X210" i="30"/>
  <c r="Y210" i="30"/>
  <c r="Z210" i="30"/>
  <c r="W211" i="30"/>
  <c r="X211" i="30"/>
  <c r="Y211" i="30"/>
  <c r="Z211" i="30"/>
  <c r="W212" i="30"/>
  <c r="X212" i="30"/>
  <c r="Y212" i="30"/>
  <c r="Z212" i="30"/>
  <c r="W213" i="30"/>
  <c r="X213" i="30"/>
  <c r="Y213" i="30"/>
  <c r="Z213" i="30"/>
  <c r="W214" i="30"/>
  <c r="X214" i="30"/>
  <c r="Y214" i="30"/>
  <c r="Z214" i="30"/>
  <c r="W215" i="30"/>
  <c r="X215" i="30"/>
  <c r="Y215" i="30"/>
  <c r="Z215" i="30"/>
  <c r="W216" i="30"/>
  <c r="X216" i="30"/>
  <c r="Y216" i="30"/>
  <c r="Z216" i="30"/>
  <c r="W217" i="30"/>
  <c r="X217" i="30"/>
  <c r="Y217" i="30"/>
  <c r="Z217" i="30"/>
  <c r="W218" i="30"/>
  <c r="X218" i="30"/>
  <c r="Y218" i="30"/>
  <c r="Z218" i="30"/>
  <c r="W219" i="30"/>
  <c r="X219" i="30"/>
  <c r="Y219" i="30"/>
  <c r="Z219" i="30"/>
  <c r="W220" i="30"/>
  <c r="X220" i="30"/>
  <c r="Y220" i="30"/>
  <c r="Z220" i="30"/>
  <c r="W221" i="30"/>
  <c r="X221" i="30"/>
  <c r="Y221" i="30"/>
  <c r="Z221" i="30"/>
  <c r="W222" i="30"/>
  <c r="X222" i="30"/>
  <c r="Y222" i="30"/>
  <c r="Z222" i="30"/>
  <c r="W223" i="30"/>
  <c r="X223" i="30"/>
  <c r="Y223" i="30"/>
  <c r="Z223" i="30"/>
  <c r="W224" i="30"/>
  <c r="X224" i="30"/>
  <c r="Y224" i="30"/>
  <c r="Z224" i="30"/>
  <c r="W225" i="30"/>
  <c r="X225" i="30"/>
  <c r="Y225" i="30"/>
  <c r="Z225" i="30"/>
  <c r="W226" i="30"/>
  <c r="X226" i="30"/>
  <c r="Y226" i="30"/>
  <c r="Z226" i="30"/>
  <c r="W227" i="30"/>
  <c r="X227" i="30"/>
  <c r="Y227" i="30"/>
  <c r="Z227" i="30"/>
  <c r="W228" i="30"/>
  <c r="X228" i="30"/>
  <c r="Y228" i="30"/>
  <c r="Z228" i="30"/>
  <c r="W229" i="30"/>
  <c r="X229" i="30"/>
  <c r="Y229" i="30"/>
  <c r="Z229" i="30"/>
  <c r="W230" i="30"/>
  <c r="X230" i="30"/>
  <c r="Y230" i="30"/>
  <c r="Z230" i="30"/>
  <c r="W231" i="30"/>
  <c r="X231" i="30"/>
  <c r="Y231" i="30"/>
  <c r="Z231" i="30"/>
  <c r="W232" i="30"/>
  <c r="X232" i="30"/>
  <c r="Y232" i="30"/>
  <c r="Z232" i="30"/>
  <c r="W233" i="30"/>
  <c r="X233" i="30"/>
  <c r="Y233" i="30"/>
  <c r="Z233" i="30"/>
  <c r="W234" i="30"/>
  <c r="X234" i="30"/>
  <c r="Y234" i="30"/>
  <c r="Z234" i="30"/>
  <c r="W235" i="30"/>
  <c r="X235" i="30"/>
  <c r="Y235" i="30"/>
  <c r="Z235" i="30"/>
  <c r="W236" i="30"/>
  <c r="X236" i="30"/>
  <c r="Y236" i="30"/>
  <c r="Z236" i="30"/>
  <c r="W237" i="30"/>
  <c r="X237" i="30"/>
  <c r="Y237" i="30"/>
  <c r="Z237" i="30"/>
  <c r="W238" i="30"/>
  <c r="X238" i="30"/>
  <c r="Y238" i="30"/>
  <c r="Z238" i="30"/>
  <c r="W239" i="30"/>
  <c r="X239" i="30"/>
  <c r="Y239" i="30"/>
  <c r="Z239" i="30"/>
  <c r="W240" i="30"/>
  <c r="X240" i="30"/>
  <c r="Y240" i="30"/>
  <c r="Z240" i="30"/>
  <c r="W241" i="30"/>
  <c r="X241" i="30"/>
  <c r="Y241" i="30"/>
  <c r="Z241" i="30"/>
  <c r="W242" i="30"/>
  <c r="X242" i="30"/>
  <c r="Y242" i="30"/>
  <c r="Z242" i="30"/>
  <c r="W243" i="30"/>
  <c r="X243" i="30"/>
  <c r="Y243" i="30"/>
  <c r="Z243" i="30"/>
  <c r="W244" i="30"/>
  <c r="X244" i="30"/>
  <c r="Y244" i="30"/>
  <c r="Z244" i="30"/>
  <c r="W245" i="30"/>
  <c r="X245" i="30"/>
  <c r="Y245" i="30"/>
  <c r="Z245" i="30"/>
  <c r="W246" i="30"/>
  <c r="X246" i="30"/>
  <c r="Y246" i="30"/>
  <c r="Z246" i="30"/>
  <c r="W247" i="30"/>
  <c r="X247" i="30"/>
  <c r="Y247" i="30"/>
  <c r="Z247" i="30"/>
  <c r="W248" i="30"/>
  <c r="X248" i="30"/>
  <c r="Y248" i="30"/>
  <c r="Z248" i="30"/>
  <c r="W249" i="30"/>
  <c r="X249" i="30"/>
  <c r="Y249" i="30"/>
  <c r="Z249" i="30"/>
  <c r="W250" i="30"/>
  <c r="X250" i="30"/>
  <c r="Y250" i="30"/>
  <c r="Z250" i="30"/>
  <c r="W251" i="30"/>
  <c r="X251" i="30"/>
  <c r="Y251" i="30"/>
  <c r="Z251" i="30"/>
  <c r="W252" i="30"/>
  <c r="X252" i="30"/>
  <c r="Y252" i="30"/>
  <c r="Z252" i="30"/>
  <c r="W253" i="30"/>
  <c r="X253" i="30"/>
  <c r="Y253" i="30"/>
  <c r="Z253" i="30"/>
  <c r="W254" i="30"/>
  <c r="X254" i="30"/>
  <c r="Y254" i="30"/>
  <c r="Z254" i="30"/>
  <c r="W255" i="30"/>
  <c r="X255" i="30"/>
  <c r="Y255" i="30"/>
  <c r="Z255" i="30"/>
  <c r="W256" i="30"/>
  <c r="X256" i="30"/>
  <c r="Y256" i="30"/>
  <c r="Z256" i="30"/>
  <c r="W257" i="30"/>
  <c r="X257" i="30"/>
  <c r="Y257" i="30"/>
  <c r="Z257" i="30"/>
  <c r="W258" i="30"/>
  <c r="X258" i="30"/>
  <c r="Y258" i="30"/>
  <c r="Z258" i="30"/>
  <c r="W259" i="30"/>
  <c r="X259" i="30"/>
  <c r="Y259" i="30"/>
  <c r="Z259" i="30"/>
  <c r="W260" i="30"/>
  <c r="X260" i="30"/>
  <c r="Y260" i="30"/>
  <c r="Z260" i="30"/>
  <c r="W261" i="30"/>
  <c r="X261" i="30"/>
  <c r="Y261" i="30"/>
  <c r="Z261" i="30"/>
  <c r="W262" i="30"/>
  <c r="X262" i="30"/>
  <c r="Y262" i="30"/>
  <c r="Z262" i="30"/>
  <c r="W263" i="30"/>
  <c r="X263" i="30"/>
  <c r="Y263" i="30"/>
  <c r="Z263" i="30"/>
  <c r="W264" i="30"/>
  <c r="X264" i="30"/>
  <c r="Y264" i="30"/>
  <c r="Z264" i="30"/>
  <c r="W265" i="30"/>
  <c r="X265" i="30"/>
  <c r="Y265" i="30"/>
  <c r="Z265" i="30"/>
  <c r="W266" i="30"/>
  <c r="X266" i="30"/>
  <c r="Y266" i="30"/>
  <c r="Z266" i="30"/>
  <c r="W267" i="30"/>
  <c r="X267" i="30"/>
  <c r="Y267" i="30"/>
  <c r="Z267" i="30"/>
  <c r="W268" i="30"/>
  <c r="X268" i="30"/>
  <c r="Y268" i="30"/>
  <c r="Z268" i="30"/>
  <c r="W269" i="30"/>
  <c r="X269" i="30"/>
  <c r="Y269" i="30"/>
  <c r="Z269" i="30"/>
  <c r="W270" i="30"/>
  <c r="X270" i="30"/>
  <c r="Y270" i="30"/>
  <c r="Z270" i="30"/>
  <c r="W271" i="30"/>
  <c r="X271" i="30"/>
  <c r="Y271" i="30"/>
  <c r="Z271" i="30"/>
  <c r="W272" i="30"/>
  <c r="X272" i="30"/>
  <c r="Y272" i="30"/>
  <c r="Z272" i="30"/>
  <c r="W273" i="30"/>
  <c r="X273" i="30"/>
  <c r="Y273" i="30"/>
  <c r="Z273" i="30"/>
  <c r="W274" i="30"/>
  <c r="X274" i="30"/>
  <c r="Y274" i="30"/>
  <c r="Z274" i="30"/>
  <c r="W275" i="30"/>
  <c r="X275" i="30"/>
  <c r="Y275" i="30"/>
  <c r="Z275" i="30"/>
  <c r="W276" i="30"/>
  <c r="X276" i="30"/>
  <c r="Y276" i="30"/>
  <c r="Z276" i="30"/>
  <c r="W277" i="30"/>
  <c r="X277" i="30"/>
  <c r="Y277" i="30"/>
  <c r="Z277" i="30"/>
  <c r="W278" i="30"/>
  <c r="X278" i="30"/>
  <c r="Y278" i="30"/>
  <c r="Z278" i="30"/>
  <c r="W279" i="30"/>
  <c r="X279" i="30"/>
  <c r="Y279" i="30"/>
  <c r="Z279" i="30"/>
  <c r="W280" i="30"/>
  <c r="X280" i="30"/>
  <c r="Y280" i="30"/>
  <c r="Z280" i="30"/>
  <c r="W281" i="30"/>
  <c r="X281" i="30"/>
  <c r="Y281" i="30"/>
  <c r="Z281" i="30"/>
  <c r="W282" i="30"/>
  <c r="X282" i="30"/>
  <c r="Y282" i="30"/>
  <c r="Z282" i="30"/>
  <c r="W283" i="30"/>
  <c r="X283" i="30"/>
  <c r="Y283" i="30"/>
  <c r="Z283" i="30"/>
  <c r="W284" i="30"/>
  <c r="X284" i="30"/>
  <c r="Y284" i="30"/>
  <c r="Z284" i="30"/>
  <c r="W285" i="30"/>
  <c r="X285" i="30"/>
  <c r="Y285" i="30"/>
  <c r="Z285" i="30"/>
  <c r="W286" i="30"/>
  <c r="X286" i="30"/>
  <c r="Y286" i="30"/>
  <c r="Z286" i="30"/>
  <c r="W287" i="30"/>
  <c r="X287" i="30"/>
  <c r="Y287" i="30"/>
  <c r="Z287" i="30"/>
  <c r="W288" i="30"/>
  <c r="X288" i="30"/>
  <c r="Y288" i="30"/>
  <c r="Z288" i="30"/>
  <c r="W289" i="30"/>
  <c r="X289" i="30"/>
  <c r="Y289" i="30"/>
  <c r="Z289" i="30"/>
  <c r="W290" i="30"/>
  <c r="X290" i="30"/>
  <c r="Y290" i="30"/>
  <c r="Z290" i="30"/>
  <c r="W291" i="30"/>
  <c r="X291" i="30"/>
  <c r="Y291" i="30"/>
  <c r="Z291" i="30"/>
  <c r="W292" i="30"/>
  <c r="X292" i="30"/>
  <c r="Y292" i="30"/>
  <c r="Z292" i="30"/>
  <c r="W293" i="30"/>
  <c r="X293" i="30"/>
  <c r="Y293" i="30"/>
  <c r="Z293" i="30"/>
  <c r="W294" i="30"/>
  <c r="X294" i="30"/>
  <c r="Y294" i="30"/>
  <c r="Z294" i="30"/>
  <c r="W295" i="30"/>
  <c r="X295" i="30"/>
  <c r="Y295" i="30"/>
  <c r="Z295" i="30"/>
  <c r="W296" i="30"/>
  <c r="X296" i="30"/>
  <c r="Y296" i="30"/>
  <c r="Z296" i="30"/>
  <c r="W297" i="30"/>
  <c r="X297" i="30"/>
  <c r="Y297" i="30"/>
  <c r="Z297" i="30"/>
  <c r="W298" i="30"/>
  <c r="X298" i="30"/>
  <c r="Y298" i="30"/>
  <c r="Z298" i="30"/>
  <c r="W299" i="30"/>
  <c r="X299" i="30"/>
  <c r="Y299" i="30"/>
  <c r="Z299" i="30"/>
  <c r="W300" i="30"/>
  <c r="X300" i="30"/>
  <c r="Y300" i="30"/>
  <c r="Z300" i="30"/>
  <c r="W301" i="30"/>
  <c r="X301" i="30"/>
  <c r="Y301" i="30"/>
  <c r="Z301" i="30"/>
  <c r="W302" i="30"/>
  <c r="X302" i="30"/>
  <c r="Y302" i="30"/>
  <c r="Z302" i="30"/>
  <c r="W303" i="30"/>
  <c r="X303" i="30"/>
  <c r="Y303" i="30"/>
  <c r="Z303" i="30"/>
  <c r="W304" i="30"/>
  <c r="X304" i="30"/>
  <c r="Y304" i="30"/>
  <c r="Z304" i="30"/>
  <c r="W305" i="30"/>
  <c r="X305" i="30"/>
  <c r="Y305" i="30"/>
  <c r="Z305" i="30"/>
  <c r="W306" i="30"/>
  <c r="X306" i="30"/>
  <c r="Y306" i="30"/>
  <c r="Z306" i="30"/>
  <c r="W307" i="30"/>
  <c r="X307" i="30"/>
  <c r="Y307" i="30"/>
  <c r="Z307" i="30"/>
  <c r="W308" i="30"/>
  <c r="X308" i="30"/>
  <c r="Y308" i="30"/>
  <c r="Z308" i="30"/>
  <c r="W309" i="30"/>
  <c r="X309" i="30"/>
  <c r="Y309" i="30"/>
  <c r="Z309" i="30"/>
  <c r="W310" i="30"/>
  <c r="X310" i="30"/>
  <c r="Y310" i="30"/>
  <c r="Z310" i="30"/>
  <c r="W311" i="30"/>
  <c r="X311" i="30"/>
  <c r="Y311" i="30"/>
  <c r="Z311" i="30"/>
  <c r="W312" i="30"/>
  <c r="X312" i="30"/>
  <c r="Y312" i="30"/>
  <c r="Z312" i="30"/>
  <c r="W313" i="30"/>
  <c r="X313" i="30"/>
  <c r="Y313" i="30"/>
  <c r="Z313" i="30"/>
  <c r="W314" i="30"/>
  <c r="X314" i="30"/>
  <c r="Y314" i="30"/>
  <c r="Z314" i="30"/>
  <c r="W315" i="30"/>
  <c r="X315" i="30"/>
  <c r="Y315" i="30"/>
  <c r="Z315" i="30"/>
  <c r="W316" i="30"/>
  <c r="X316" i="30"/>
  <c r="Y316" i="30"/>
  <c r="Z316" i="30"/>
  <c r="W317" i="30"/>
  <c r="X317" i="30"/>
  <c r="Y317" i="30"/>
  <c r="Z317" i="30"/>
  <c r="W318" i="30"/>
  <c r="X318" i="30"/>
  <c r="Y318" i="30"/>
  <c r="Z318" i="30"/>
  <c r="W319" i="30"/>
  <c r="X319" i="30"/>
  <c r="Y319" i="30"/>
  <c r="Z319" i="30"/>
  <c r="W320" i="30"/>
  <c r="X320" i="30"/>
  <c r="Y320" i="30"/>
  <c r="Z320" i="30"/>
  <c r="W321" i="30"/>
  <c r="X321" i="30"/>
  <c r="Y321" i="30"/>
  <c r="Z321" i="30"/>
  <c r="W322" i="30"/>
  <c r="X322" i="30"/>
  <c r="Y322" i="30"/>
  <c r="Z322" i="30"/>
  <c r="W323" i="30"/>
  <c r="X323" i="30"/>
  <c r="Y323" i="30"/>
  <c r="Z323" i="30"/>
  <c r="W324" i="30"/>
  <c r="X324" i="30"/>
  <c r="Y324" i="30"/>
  <c r="Z324" i="30"/>
  <c r="W325" i="30"/>
  <c r="X325" i="30"/>
  <c r="Y325" i="30"/>
  <c r="Z325" i="30"/>
  <c r="W326" i="30"/>
  <c r="X326" i="30"/>
  <c r="Y326" i="30"/>
  <c r="Z326" i="30"/>
  <c r="W327" i="30"/>
  <c r="X327" i="30"/>
  <c r="Y327" i="30"/>
  <c r="Z327" i="30"/>
  <c r="W328" i="30"/>
  <c r="X328" i="30"/>
  <c r="Y328" i="30"/>
  <c r="Z328" i="30"/>
  <c r="W329" i="30"/>
  <c r="X329" i="30"/>
  <c r="Y329" i="30"/>
  <c r="Z329" i="30"/>
  <c r="W330" i="30"/>
  <c r="X330" i="30"/>
  <c r="Y330" i="30"/>
  <c r="Z330" i="30"/>
  <c r="W331" i="30"/>
  <c r="X331" i="30"/>
  <c r="Y331" i="30"/>
  <c r="Z331" i="30"/>
  <c r="W332" i="30"/>
  <c r="X332" i="30"/>
  <c r="Y332" i="30"/>
  <c r="Z332" i="30"/>
  <c r="W333" i="30"/>
  <c r="X333" i="30"/>
  <c r="Y333" i="30"/>
  <c r="Z333" i="30"/>
  <c r="W334" i="30"/>
  <c r="X334" i="30"/>
  <c r="Y334" i="30"/>
  <c r="Z334" i="30"/>
  <c r="W335" i="30"/>
  <c r="X335" i="30"/>
  <c r="Y335" i="30"/>
  <c r="Z335" i="30"/>
  <c r="W336" i="30"/>
  <c r="X336" i="30"/>
  <c r="Y336" i="30"/>
  <c r="Z336" i="30"/>
  <c r="W337" i="30"/>
  <c r="X337" i="30"/>
  <c r="Y337" i="30"/>
  <c r="Z337" i="30"/>
  <c r="W338" i="30"/>
  <c r="X338" i="30"/>
  <c r="Y338" i="30"/>
  <c r="Z338" i="30"/>
  <c r="W339" i="30"/>
  <c r="X339" i="30"/>
  <c r="Y339" i="30"/>
  <c r="Z339" i="30"/>
  <c r="W340" i="30"/>
  <c r="X340" i="30"/>
  <c r="Y340" i="30"/>
  <c r="Z340" i="30"/>
  <c r="W341" i="30"/>
  <c r="X341" i="30"/>
  <c r="Y341" i="30"/>
  <c r="Z341" i="30"/>
  <c r="W342" i="30"/>
  <c r="X342" i="30"/>
  <c r="Y342" i="30"/>
  <c r="Z342" i="30"/>
  <c r="W343" i="30"/>
  <c r="X343" i="30"/>
  <c r="Y343" i="30"/>
  <c r="Z343" i="30"/>
  <c r="W344" i="30"/>
  <c r="X344" i="30"/>
  <c r="Y344" i="30"/>
  <c r="Z344" i="30"/>
  <c r="W345" i="30"/>
  <c r="X345" i="30"/>
  <c r="Y345" i="30"/>
  <c r="Z345" i="30"/>
  <c r="W346" i="30"/>
  <c r="X346" i="30"/>
  <c r="Y346" i="30"/>
  <c r="Z346" i="30"/>
  <c r="W347" i="30"/>
  <c r="X347" i="30"/>
  <c r="Y347" i="30"/>
  <c r="Z347" i="30"/>
  <c r="W348" i="30"/>
  <c r="X348" i="30"/>
  <c r="Y348" i="30"/>
  <c r="Z348" i="30"/>
  <c r="W349" i="30"/>
  <c r="X349" i="30"/>
  <c r="Y349" i="30"/>
  <c r="Z349" i="30"/>
  <c r="W350" i="30"/>
  <c r="X350" i="30"/>
  <c r="Y350" i="30"/>
  <c r="Z350" i="30"/>
  <c r="W351" i="30"/>
  <c r="X351" i="30"/>
  <c r="Y351" i="30"/>
  <c r="Z351" i="30"/>
  <c r="W352" i="30"/>
  <c r="X352" i="30"/>
  <c r="Y352" i="30"/>
  <c r="Z352" i="30"/>
  <c r="W353" i="30"/>
  <c r="X353" i="30"/>
  <c r="Y353" i="30"/>
  <c r="Z353" i="30"/>
  <c r="W354" i="30"/>
  <c r="X354" i="30"/>
  <c r="Y354" i="30"/>
  <c r="Z354" i="30"/>
  <c r="W355" i="30"/>
  <c r="X355" i="30"/>
  <c r="Y355" i="30"/>
  <c r="Z355" i="30"/>
  <c r="W356" i="30"/>
  <c r="X356" i="30"/>
  <c r="Y356" i="30"/>
  <c r="Z356" i="30"/>
  <c r="W357" i="30"/>
  <c r="X357" i="30"/>
  <c r="Y357" i="30"/>
  <c r="Z357" i="30"/>
  <c r="W358" i="30"/>
  <c r="X358" i="30"/>
  <c r="Y358" i="30"/>
  <c r="Z358" i="30"/>
  <c r="W359" i="30"/>
  <c r="X359" i="30"/>
  <c r="Y359" i="30"/>
  <c r="Z359" i="30"/>
  <c r="W360" i="30"/>
  <c r="X360" i="30"/>
  <c r="Y360" i="30"/>
  <c r="Z360" i="30"/>
  <c r="W361" i="30"/>
  <c r="X361" i="30"/>
  <c r="Y361" i="30"/>
  <c r="Z361" i="30"/>
  <c r="W362" i="30"/>
  <c r="X362" i="30"/>
  <c r="Y362" i="30"/>
  <c r="Z362" i="30"/>
  <c r="W363" i="30"/>
  <c r="X363" i="30"/>
  <c r="Y363" i="30"/>
  <c r="Z363" i="30"/>
  <c r="W364" i="30"/>
  <c r="X364" i="30"/>
  <c r="Y364" i="30"/>
  <c r="Z364" i="30"/>
  <c r="W365" i="30"/>
  <c r="X365" i="30"/>
  <c r="Y365" i="30"/>
  <c r="Z365" i="30"/>
  <c r="W366" i="30"/>
  <c r="X366" i="30"/>
  <c r="Y366" i="30"/>
  <c r="Z366" i="30"/>
  <c r="W367" i="30"/>
  <c r="X367" i="30"/>
  <c r="Y367" i="30"/>
  <c r="Z367" i="30"/>
  <c r="W368" i="30"/>
  <c r="X368" i="30"/>
  <c r="Y368" i="30"/>
  <c r="Z368" i="30"/>
  <c r="W369" i="30"/>
  <c r="X369" i="30"/>
  <c r="Y369" i="30"/>
  <c r="Z369" i="30"/>
  <c r="W370" i="30"/>
  <c r="X370" i="30"/>
  <c r="Y370" i="30"/>
  <c r="Z370" i="30"/>
  <c r="W371" i="30"/>
  <c r="X371" i="30"/>
  <c r="Y371" i="30"/>
  <c r="Z371" i="30"/>
  <c r="W372" i="30"/>
  <c r="X372" i="30"/>
  <c r="Y372" i="30"/>
  <c r="Z372" i="30"/>
  <c r="W373" i="30"/>
  <c r="X373" i="30"/>
  <c r="Y373" i="30"/>
  <c r="Z373" i="30"/>
  <c r="W374" i="30"/>
  <c r="X374" i="30"/>
  <c r="Y374" i="30"/>
  <c r="Z374" i="30"/>
  <c r="W375" i="30"/>
  <c r="X375" i="30"/>
  <c r="Y375" i="30"/>
  <c r="Z375" i="30"/>
  <c r="W376" i="30"/>
  <c r="X376" i="30"/>
  <c r="Y376" i="30"/>
  <c r="Z376" i="30"/>
  <c r="W377" i="30"/>
  <c r="X377" i="30"/>
  <c r="Y377" i="30"/>
  <c r="Z377" i="30"/>
  <c r="W378" i="30"/>
  <c r="X378" i="30"/>
  <c r="Y378" i="30"/>
  <c r="Z378" i="30"/>
  <c r="W379" i="30"/>
  <c r="X379" i="30"/>
  <c r="Y379" i="30"/>
  <c r="Z379" i="30"/>
  <c r="W380" i="30"/>
  <c r="X380" i="30"/>
  <c r="Y380" i="30"/>
  <c r="Z380" i="30"/>
  <c r="W381" i="30"/>
  <c r="X381" i="30"/>
  <c r="Y381" i="30"/>
  <c r="Z381" i="30"/>
  <c r="W382" i="30"/>
  <c r="X382" i="30"/>
  <c r="Y382" i="30"/>
  <c r="Z382" i="30"/>
  <c r="W383" i="30"/>
  <c r="X383" i="30"/>
  <c r="Y383" i="30"/>
  <c r="Z383" i="30"/>
  <c r="W384" i="30"/>
  <c r="X384" i="30"/>
  <c r="Y384" i="30"/>
  <c r="Z384" i="30"/>
  <c r="W385" i="30"/>
  <c r="X385" i="30"/>
  <c r="Y385" i="30"/>
  <c r="Z385" i="30"/>
  <c r="W386" i="30"/>
  <c r="X386" i="30"/>
  <c r="Y386" i="30"/>
  <c r="Z386" i="30"/>
  <c r="W387" i="30"/>
  <c r="X387" i="30"/>
  <c r="Y387" i="30"/>
  <c r="Z387" i="30"/>
  <c r="W388" i="30"/>
  <c r="X388" i="30"/>
  <c r="Y388" i="30"/>
  <c r="Z388" i="30"/>
  <c r="W389" i="30"/>
  <c r="X389" i="30"/>
  <c r="Y389" i="30"/>
  <c r="Z389" i="30"/>
  <c r="W390" i="30"/>
  <c r="X390" i="30"/>
  <c r="Y390" i="30"/>
  <c r="Z390" i="30"/>
  <c r="W391" i="30"/>
  <c r="X391" i="30"/>
  <c r="Y391" i="30"/>
  <c r="Z391" i="30"/>
  <c r="W392" i="30"/>
  <c r="X392" i="30"/>
  <c r="Y392" i="30"/>
  <c r="Z392" i="30"/>
  <c r="W393" i="30"/>
  <c r="X393" i="30"/>
  <c r="Y393" i="30"/>
  <c r="Z393" i="30"/>
  <c r="W394" i="30"/>
  <c r="X394" i="30"/>
  <c r="Y394" i="30"/>
  <c r="Z394" i="30"/>
  <c r="W395" i="30"/>
  <c r="X395" i="30"/>
  <c r="Y395" i="30"/>
  <c r="Z395" i="30"/>
  <c r="W396" i="30"/>
  <c r="X396" i="30"/>
  <c r="Y396" i="30"/>
  <c r="Z396" i="30"/>
  <c r="W397" i="30"/>
  <c r="X397" i="30"/>
  <c r="Y397" i="30"/>
  <c r="Z397" i="30"/>
  <c r="W398" i="30"/>
  <c r="X398" i="30"/>
  <c r="Y398" i="30"/>
  <c r="Z398" i="30"/>
  <c r="W399" i="30"/>
  <c r="X399" i="30"/>
  <c r="Y399" i="30"/>
  <c r="Z399" i="30"/>
  <c r="W400" i="30"/>
  <c r="X400" i="30"/>
  <c r="Y400" i="30"/>
  <c r="Z400" i="30"/>
  <c r="W401" i="30"/>
  <c r="X401" i="30"/>
  <c r="Y401" i="30"/>
  <c r="Z401" i="30"/>
  <c r="W402" i="30"/>
  <c r="X402" i="30"/>
  <c r="Y402" i="30"/>
  <c r="Z402" i="30"/>
  <c r="W403" i="30"/>
  <c r="X403" i="30"/>
  <c r="Y403" i="30"/>
  <c r="Z403" i="30"/>
  <c r="W404" i="30"/>
  <c r="X404" i="30"/>
  <c r="Y404" i="30"/>
  <c r="Z404" i="30"/>
  <c r="W405" i="30"/>
  <c r="X405" i="30"/>
  <c r="Y405" i="30"/>
  <c r="Z405" i="30"/>
  <c r="W406" i="30"/>
  <c r="X406" i="30"/>
  <c r="Y406" i="30"/>
  <c r="Z406" i="30"/>
  <c r="W407" i="30"/>
  <c r="X407" i="30"/>
  <c r="Y407" i="30"/>
  <c r="Z407" i="30"/>
  <c r="W408" i="30"/>
  <c r="X408" i="30"/>
  <c r="Y408" i="30"/>
  <c r="Z408" i="30"/>
  <c r="W409" i="30"/>
  <c r="X409" i="30"/>
  <c r="Y409" i="30"/>
  <c r="Z409" i="30"/>
  <c r="W410" i="30"/>
  <c r="X410" i="30"/>
  <c r="Y410" i="30"/>
  <c r="Z410" i="30"/>
  <c r="W411" i="30"/>
  <c r="X411" i="30"/>
  <c r="Y411" i="30"/>
  <c r="Z411" i="30"/>
  <c r="W412" i="30"/>
  <c r="X412" i="30"/>
  <c r="Y412" i="30"/>
  <c r="Z412" i="30"/>
  <c r="W413" i="30"/>
  <c r="X413" i="30"/>
  <c r="Y413" i="30"/>
  <c r="Z413" i="30"/>
  <c r="W414" i="30"/>
  <c r="X414" i="30"/>
  <c r="Y414" i="30"/>
  <c r="Z414" i="30"/>
  <c r="W415" i="30"/>
  <c r="X415" i="30"/>
  <c r="Y415" i="30"/>
  <c r="Z415" i="30"/>
  <c r="W416" i="30"/>
  <c r="X416" i="30"/>
  <c r="Y416" i="30"/>
  <c r="Z416" i="30"/>
  <c r="W417" i="30"/>
  <c r="X417" i="30"/>
  <c r="Y417" i="30"/>
  <c r="Z417" i="30"/>
  <c r="W418" i="30"/>
  <c r="X418" i="30"/>
  <c r="Y418" i="30"/>
  <c r="Z418" i="30"/>
  <c r="W419" i="30"/>
  <c r="X419" i="30"/>
  <c r="Y419" i="30"/>
  <c r="Z419" i="30"/>
  <c r="W420" i="30"/>
  <c r="X420" i="30"/>
  <c r="Y420" i="30"/>
  <c r="Z420" i="30"/>
  <c r="W421" i="30"/>
  <c r="X421" i="30"/>
  <c r="Y421" i="30"/>
  <c r="Z421" i="30"/>
  <c r="W422" i="30"/>
  <c r="X422" i="30"/>
  <c r="Y422" i="30"/>
  <c r="Z422" i="30"/>
  <c r="W423" i="30"/>
  <c r="X423" i="30"/>
  <c r="Y423" i="30"/>
  <c r="Z423" i="30"/>
  <c r="W424" i="30"/>
  <c r="X424" i="30"/>
  <c r="Y424" i="30"/>
  <c r="Z424" i="30"/>
  <c r="W425" i="30"/>
  <c r="X425" i="30"/>
  <c r="Y425" i="30"/>
  <c r="Z425" i="30"/>
  <c r="W426" i="30"/>
  <c r="X426" i="30"/>
  <c r="Y426" i="30"/>
  <c r="Z426" i="30"/>
  <c r="W427" i="30"/>
  <c r="X427" i="30"/>
  <c r="Y427" i="30"/>
  <c r="Z427" i="30"/>
  <c r="W428" i="30"/>
  <c r="X428" i="30"/>
  <c r="Y428" i="30"/>
  <c r="Z428" i="30"/>
  <c r="W429" i="30"/>
  <c r="X429" i="30"/>
  <c r="Y429" i="30"/>
  <c r="Z429" i="30"/>
  <c r="W430" i="30"/>
  <c r="X430" i="30"/>
  <c r="Y430" i="30"/>
  <c r="Z430" i="30"/>
  <c r="W431" i="30"/>
  <c r="X431" i="30"/>
  <c r="Y431" i="30"/>
  <c r="Z431" i="30"/>
  <c r="W432" i="30"/>
  <c r="X432" i="30"/>
  <c r="Y432" i="30"/>
  <c r="Z432" i="30"/>
  <c r="W433" i="30"/>
  <c r="X433" i="30"/>
  <c r="Y433" i="30"/>
  <c r="Z433" i="30"/>
  <c r="W434" i="30"/>
  <c r="X434" i="30"/>
  <c r="Y434" i="30"/>
  <c r="Z434" i="30"/>
  <c r="W435" i="30"/>
  <c r="X435" i="30"/>
  <c r="Y435" i="30"/>
  <c r="Z435" i="30"/>
  <c r="W436" i="30"/>
  <c r="X436" i="30"/>
  <c r="Y436" i="30"/>
  <c r="Z436" i="30"/>
  <c r="W437" i="30"/>
  <c r="X437" i="30"/>
  <c r="Y437" i="30"/>
  <c r="Z437" i="30"/>
  <c r="W438" i="30"/>
  <c r="X438" i="30"/>
  <c r="Y438" i="30"/>
  <c r="Z438" i="30"/>
  <c r="W439" i="30"/>
  <c r="X439" i="30"/>
  <c r="Y439" i="30"/>
  <c r="Z439" i="30"/>
  <c r="W440" i="30"/>
  <c r="X440" i="30"/>
  <c r="Y440" i="30"/>
  <c r="Z440" i="30"/>
  <c r="W441" i="30"/>
  <c r="X441" i="30"/>
  <c r="Y441" i="30"/>
  <c r="Z441" i="30"/>
  <c r="W442" i="30"/>
  <c r="X442" i="30"/>
  <c r="Y442" i="30"/>
  <c r="Z442" i="30"/>
  <c r="W443" i="30"/>
  <c r="X443" i="30"/>
  <c r="Y443" i="30"/>
  <c r="Z443" i="30"/>
  <c r="W444" i="30"/>
  <c r="X444" i="30"/>
  <c r="Y444" i="30"/>
  <c r="Z444" i="30"/>
  <c r="W445" i="30"/>
  <c r="X445" i="30"/>
  <c r="Y445" i="30"/>
  <c r="Z445" i="30"/>
  <c r="W446" i="30"/>
  <c r="X446" i="30"/>
  <c r="Y446" i="30"/>
  <c r="Z446" i="30"/>
  <c r="W447" i="30"/>
  <c r="X447" i="30"/>
  <c r="Y447" i="30"/>
  <c r="Z447" i="30"/>
  <c r="W448" i="30"/>
  <c r="X448" i="30"/>
  <c r="Y448" i="30"/>
  <c r="Z448" i="30"/>
  <c r="W449" i="30"/>
  <c r="X449" i="30"/>
  <c r="Y449" i="30"/>
  <c r="Z449" i="30"/>
  <c r="W450" i="30"/>
  <c r="X450" i="30"/>
  <c r="Y450" i="30"/>
  <c r="Z450" i="30"/>
  <c r="W451" i="30"/>
  <c r="X451" i="30"/>
  <c r="Y451" i="30"/>
  <c r="Z451" i="30"/>
  <c r="W452" i="30"/>
  <c r="X452" i="30"/>
  <c r="Y452" i="30"/>
  <c r="Z452" i="30"/>
  <c r="W453" i="30"/>
  <c r="X453" i="30"/>
  <c r="Y453" i="30"/>
  <c r="Z453" i="30"/>
  <c r="W454" i="30"/>
  <c r="X454" i="30"/>
  <c r="Y454" i="30"/>
  <c r="Z454" i="30"/>
  <c r="W455" i="30"/>
  <c r="X455" i="30"/>
  <c r="Y455" i="30"/>
  <c r="Z455" i="30"/>
  <c r="W456" i="30"/>
  <c r="X456" i="30"/>
  <c r="Y456" i="30"/>
  <c r="Z456" i="30"/>
  <c r="W457" i="30"/>
  <c r="X457" i="30"/>
  <c r="Y457" i="30"/>
  <c r="Z457" i="30"/>
  <c r="W458" i="30"/>
  <c r="X458" i="30"/>
  <c r="Y458" i="30"/>
  <c r="Z458" i="30"/>
  <c r="W459" i="30"/>
  <c r="X459" i="30"/>
  <c r="Y459" i="30"/>
  <c r="Z459" i="30"/>
  <c r="W460" i="30"/>
  <c r="X460" i="30"/>
  <c r="Y460" i="30"/>
  <c r="Z460" i="30"/>
  <c r="W461" i="30"/>
  <c r="X461" i="30"/>
  <c r="Y461" i="30"/>
  <c r="Z461" i="30"/>
  <c r="W462" i="30"/>
  <c r="X462" i="30"/>
  <c r="Y462" i="30"/>
  <c r="Z462" i="30"/>
  <c r="W463" i="30"/>
  <c r="X463" i="30"/>
  <c r="Y463" i="30"/>
  <c r="Z463" i="30"/>
  <c r="W464" i="30"/>
  <c r="X464" i="30"/>
  <c r="Y464" i="30"/>
  <c r="Z464" i="30"/>
  <c r="W465" i="30"/>
  <c r="X465" i="30"/>
  <c r="Y465" i="30"/>
  <c r="Z465" i="30"/>
  <c r="W466" i="30"/>
  <c r="X466" i="30"/>
  <c r="Y466" i="30"/>
  <c r="Z466" i="30"/>
  <c r="W467" i="30"/>
  <c r="X467" i="30"/>
  <c r="Y467" i="30"/>
  <c r="Z467" i="30"/>
  <c r="W468" i="30"/>
  <c r="X468" i="30"/>
  <c r="Y468" i="30"/>
  <c r="Z468" i="30"/>
  <c r="W469" i="30"/>
  <c r="X469" i="30"/>
  <c r="Y469" i="30"/>
  <c r="Z469" i="30"/>
  <c r="W470" i="30"/>
  <c r="X470" i="30"/>
  <c r="Y470" i="30"/>
  <c r="Z470" i="30"/>
  <c r="W471" i="30"/>
  <c r="X471" i="30"/>
  <c r="Y471" i="30"/>
  <c r="Z471" i="30"/>
  <c r="W472" i="30"/>
  <c r="X472" i="30"/>
  <c r="Y472" i="30"/>
  <c r="Z472" i="30"/>
  <c r="W473" i="30"/>
  <c r="X473" i="30"/>
  <c r="Y473" i="30"/>
  <c r="Z473" i="30"/>
  <c r="W474" i="30"/>
  <c r="X474" i="30"/>
  <c r="Y474" i="30"/>
  <c r="Z474" i="30"/>
  <c r="W475" i="30"/>
  <c r="X475" i="30"/>
  <c r="Y475" i="30"/>
  <c r="Z475" i="30"/>
  <c r="W476" i="30"/>
  <c r="X476" i="30"/>
  <c r="Y476" i="30"/>
  <c r="Z476" i="30"/>
  <c r="W477" i="30"/>
  <c r="X477" i="30"/>
  <c r="Y477" i="30"/>
  <c r="Z477" i="30"/>
  <c r="W478" i="30"/>
  <c r="X478" i="30"/>
  <c r="Y478" i="30"/>
  <c r="Z478" i="30"/>
  <c r="W479" i="30"/>
  <c r="X479" i="30"/>
  <c r="Y479" i="30"/>
  <c r="Z479" i="30"/>
  <c r="W480" i="30"/>
  <c r="X480" i="30"/>
  <c r="Y480" i="30"/>
  <c r="Z480" i="30"/>
  <c r="W481" i="30"/>
  <c r="X481" i="30"/>
  <c r="Y481" i="30"/>
  <c r="Z481" i="30"/>
  <c r="W482" i="30"/>
  <c r="X482" i="30"/>
  <c r="Y482" i="30"/>
  <c r="Z482" i="30"/>
  <c r="W483" i="30"/>
  <c r="X483" i="30"/>
  <c r="Y483" i="30"/>
  <c r="Z483" i="30"/>
  <c r="W484" i="30"/>
  <c r="X484" i="30"/>
  <c r="Y484" i="30"/>
  <c r="Z484" i="30"/>
  <c r="W485" i="30"/>
  <c r="X485" i="30"/>
  <c r="Y485" i="30"/>
  <c r="Z485" i="30"/>
  <c r="W486" i="30"/>
  <c r="X486" i="30"/>
  <c r="Y486" i="30"/>
  <c r="Z486" i="30"/>
  <c r="W487" i="30"/>
  <c r="X487" i="30"/>
  <c r="Y487" i="30"/>
  <c r="Z487" i="30"/>
  <c r="W488" i="30"/>
  <c r="X488" i="30"/>
  <c r="Y488" i="30"/>
  <c r="Z488" i="30"/>
  <c r="W489" i="30"/>
  <c r="X489" i="30"/>
  <c r="Y489" i="30"/>
  <c r="Z489" i="30"/>
  <c r="W490" i="30"/>
  <c r="X490" i="30"/>
  <c r="Y490" i="30"/>
  <c r="Z490" i="30"/>
  <c r="W491" i="30"/>
  <c r="X491" i="30"/>
  <c r="Y491" i="30"/>
  <c r="Z491" i="30"/>
  <c r="W492" i="30"/>
  <c r="X492" i="30"/>
  <c r="Y492" i="30"/>
  <c r="Z492" i="30"/>
  <c r="W493" i="30"/>
  <c r="X493" i="30"/>
  <c r="Y493" i="30"/>
  <c r="Z493" i="30"/>
  <c r="W494" i="30"/>
  <c r="X494" i="30"/>
  <c r="Y494" i="30"/>
  <c r="Z494" i="30"/>
  <c r="W495" i="30"/>
  <c r="X495" i="30"/>
  <c r="Y495" i="30"/>
  <c r="Z495" i="30"/>
  <c r="W496" i="30"/>
  <c r="X496" i="30"/>
  <c r="Y496" i="30"/>
  <c r="Z496" i="30"/>
  <c r="W497" i="30"/>
  <c r="X497" i="30"/>
  <c r="Y497" i="30"/>
  <c r="Z497" i="30"/>
  <c r="W498" i="30"/>
  <c r="X498" i="30"/>
  <c r="Y498" i="30"/>
  <c r="Z498" i="30"/>
  <c r="W499" i="30"/>
  <c r="X499" i="30"/>
  <c r="Y499" i="30"/>
  <c r="Z499" i="30"/>
  <c r="W500" i="30"/>
  <c r="X500" i="30"/>
  <c r="Y500" i="30"/>
  <c r="Z500" i="30"/>
  <c r="W501" i="30"/>
  <c r="X501" i="30"/>
  <c r="Y501" i="30"/>
  <c r="Z501" i="30"/>
  <c r="W502" i="30"/>
  <c r="X502" i="30"/>
  <c r="Y502" i="30"/>
  <c r="Z502" i="30"/>
  <c r="W503" i="30"/>
  <c r="X503" i="30"/>
  <c r="Y503" i="30"/>
  <c r="Z503" i="30"/>
  <c r="W504" i="30"/>
  <c r="X504" i="30"/>
  <c r="Y504" i="30"/>
  <c r="Z504" i="30"/>
  <c r="W505" i="30"/>
  <c r="X505" i="30"/>
  <c r="Y505" i="30"/>
  <c r="Z505" i="30"/>
  <c r="W506" i="30"/>
  <c r="X506" i="30"/>
  <c r="Y506" i="30"/>
  <c r="Z506" i="30"/>
  <c r="W507" i="30"/>
  <c r="X507" i="30"/>
  <c r="Y507" i="30"/>
  <c r="Z507" i="30"/>
  <c r="W508" i="30"/>
  <c r="X508" i="30"/>
  <c r="Y508" i="30"/>
  <c r="Z508" i="30"/>
  <c r="W509" i="30"/>
  <c r="X509" i="30"/>
  <c r="Y509" i="30"/>
  <c r="Z509" i="30"/>
  <c r="W510" i="30"/>
  <c r="X510" i="30"/>
  <c r="Y510" i="30"/>
  <c r="Z510" i="30"/>
  <c r="W511" i="30"/>
  <c r="X511" i="30"/>
  <c r="Y511" i="30"/>
  <c r="Z511" i="30"/>
  <c r="W512" i="30"/>
  <c r="X512" i="30"/>
  <c r="Y512" i="30"/>
  <c r="Z512" i="30"/>
  <c r="W513" i="30"/>
  <c r="X513" i="30"/>
  <c r="Y513" i="30"/>
  <c r="Z513" i="30"/>
  <c r="W514" i="30"/>
  <c r="X514" i="30"/>
  <c r="Y514" i="30"/>
  <c r="Z514" i="30"/>
  <c r="W515" i="30"/>
  <c r="X515" i="30"/>
  <c r="Y515" i="30"/>
  <c r="Z515" i="30"/>
  <c r="W516" i="30"/>
  <c r="X516" i="30"/>
  <c r="Y516" i="30"/>
  <c r="Z516" i="30"/>
  <c r="W517" i="30"/>
  <c r="X517" i="30"/>
  <c r="Y517" i="30"/>
  <c r="Z517" i="30"/>
  <c r="W518" i="30"/>
  <c r="X518" i="30"/>
  <c r="Y518" i="30"/>
  <c r="Z518" i="30"/>
  <c r="W519" i="30"/>
  <c r="X519" i="30"/>
  <c r="Y519" i="30"/>
  <c r="Z519" i="30"/>
  <c r="W520" i="30"/>
  <c r="X520" i="30"/>
  <c r="Y520" i="30"/>
  <c r="Z520" i="30"/>
  <c r="W521" i="30"/>
  <c r="X521" i="30"/>
  <c r="Y521" i="30"/>
  <c r="Z521" i="30"/>
  <c r="W522" i="30"/>
  <c r="X522" i="30"/>
  <c r="Y522" i="30"/>
  <c r="Z522" i="30"/>
  <c r="W523" i="30"/>
  <c r="X523" i="30"/>
  <c r="Y523" i="30"/>
  <c r="Z523" i="30"/>
  <c r="W524" i="30"/>
  <c r="X524" i="30"/>
  <c r="Y524" i="30"/>
  <c r="Z524" i="30"/>
  <c r="W525" i="30"/>
  <c r="X525" i="30"/>
  <c r="Y525" i="30"/>
  <c r="Z525" i="30"/>
  <c r="W526" i="30"/>
  <c r="X526" i="30"/>
  <c r="Y526" i="30"/>
  <c r="Z526" i="30"/>
  <c r="W527" i="30"/>
  <c r="X527" i="30"/>
  <c r="Y527" i="30"/>
  <c r="Z527" i="30"/>
  <c r="W528" i="30"/>
  <c r="X528" i="30"/>
  <c r="Y528" i="30"/>
  <c r="Z528" i="30"/>
  <c r="W529" i="30"/>
  <c r="X529" i="30"/>
  <c r="Y529" i="30"/>
  <c r="Z529" i="30"/>
  <c r="W530" i="30"/>
  <c r="X530" i="30"/>
  <c r="Y530" i="30"/>
  <c r="Z530" i="30"/>
  <c r="W531" i="30"/>
  <c r="X531" i="30"/>
  <c r="Y531" i="30"/>
  <c r="Z531" i="30"/>
  <c r="W532" i="30"/>
  <c r="X532" i="30"/>
  <c r="Y532" i="30"/>
  <c r="Z532" i="30"/>
  <c r="W533" i="30"/>
  <c r="X533" i="30"/>
  <c r="Y533" i="30"/>
  <c r="Z533" i="30"/>
  <c r="W534" i="30"/>
  <c r="X534" i="30"/>
  <c r="Y534" i="30"/>
  <c r="Z534" i="30"/>
  <c r="W535" i="30"/>
  <c r="X535" i="30"/>
  <c r="Y535" i="30"/>
  <c r="Z535" i="30"/>
  <c r="W536" i="30"/>
  <c r="X536" i="30"/>
  <c r="Y536" i="30"/>
  <c r="Z536" i="30"/>
  <c r="W537" i="30"/>
  <c r="X537" i="30"/>
  <c r="Y537" i="30"/>
  <c r="Z537" i="30"/>
  <c r="W538" i="30"/>
  <c r="X538" i="30"/>
  <c r="Y538" i="30"/>
  <c r="Z538" i="30"/>
  <c r="W539" i="30"/>
  <c r="X539" i="30"/>
  <c r="Y539" i="30"/>
  <c r="Z539" i="30"/>
  <c r="W540" i="30"/>
  <c r="X540" i="30"/>
  <c r="Y540" i="30"/>
  <c r="Z540" i="30"/>
  <c r="W541" i="30"/>
  <c r="X541" i="30"/>
  <c r="Y541" i="30"/>
  <c r="Z541" i="30"/>
  <c r="W542" i="30"/>
  <c r="X542" i="30"/>
  <c r="Y542" i="30"/>
  <c r="Z542" i="30"/>
  <c r="W543" i="30"/>
  <c r="X543" i="30"/>
  <c r="Y543" i="30"/>
  <c r="Z543" i="30"/>
  <c r="W544" i="30"/>
  <c r="X544" i="30"/>
  <c r="Y544" i="30"/>
  <c r="Z544" i="30"/>
  <c r="W545" i="30"/>
  <c r="X545" i="30"/>
  <c r="Y545" i="30"/>
  <c r="Z545" i="30"/>
  <c r="W546" i="30"/>
  <c r="X546" i="30"/>
  <c r="Y546" i="30"/>
  <c r="Z546" i="30"/>
  <c r="W547" i="30"/>
  <c r="X547" i="30"/>
  <c r="Y547" i="30"/>
  <c r="Z547" i="30"/>
  <c r="W548" i="30"/>
  <c r="X548" i="30"/>
  <c r="Y548" i="30"/>
  <c r="Z548" i="30"/>
  <c r="W549" i="30"/>
  <c r="X549" i="30"/>
  <c r="Y549" i="30"/>
  <c r="Z549" i="30"/>
  <c r="W550" i="30"/>
  <c r="X550" i="30"/>
  <c r="Y550" i="30"/>
  <c r="Z550" i="30"/>
  <c r="W551" i="30"/>
  <c r="X551" i="30"/>
  <c r="Y551" i="30"/>
  <c r="Z551" i="30"/>
  <c r="W552" i="30"/>
  <c r="X552" i="30"/>
  <c r="Y552" i="30"/>
  <c r="Z552" i="30"/>
  <c r="W553" i="30"/>
  <c r="X553" i="30"/>
  <c r="Y553" i="30"/>
  <c r="Z553" i="30"/>
  <c r="W554" i="30"/>
  <c r="X554" i="30"/>
  <c r="Y554" i="30"/>
  <c r="Z554" i="30"/>
  <c r="W555" i="30"/>
  <c r="X555" i="30"/>
  <c r="Y555" i="30"/>
  <c r="Z555" i="30"/>
  <c r="W556" i="30"/>
  <c r="X556" i="30"/>
  <c r="Y556" i="30"/>
  <c r="Z556" i="30"/>
  <c r="W557" i="30"/>
  <c r="X557" i="30"/>
  <c r="Y557" i="30"/>
  <c r="Z557" i="30"/>
  <c r="W558" i="30"/>
  <c r="X558" i="30"/>
  <c r="Y558" i="30"/>
  <c r="Z558" i="30"/>
  <c r="W559" i="30"/>
  <c r="X559" i="30"/>
  <c r="Y559" i="30"/>
  <c r="Z559" i="30"/>
  <c r="W560" i="30"/>
  <c r="X560" i="30"/>
  <c r="Y560" i="30"/>
  <c r="Z560" i="30"/>
  <c r="W561" i="30"/>
  <c r="X561" i="30"/>
  <c r="Y561" i="30"/>
  <c r="Z561" i="30"/>
  <c r="W562" i="30"/>
  <c r="X562" i="30"/>
  <c r="Y562" i="30"/>
  <c r="Z562" i="30"/>
  <c r="W563" i="30"/>
  <c r="X563" i="30"/>
  <c r="Y563" i="30"/>
  <c r="Z563" i="30"/>
  <c r="W564" i="30"/>
  <c r="X564" i="30"/>
  <c r="Y564" i="30"/>
  <c r="Z564" i="30"/>
  <c r="W565" i="30"/>
  <c r="X565" i="30"/>
  <c r="Y565" i="30"/>
  <c r="Z565" i="30"/>
  <c r="W566" i="30"/>
  <c r="X566" i="30"/>
  <c r="Y566" i="30"/>
  <c r="Z566" i="30"/>
  <c r="W567" i="30"/>
  <c r="X567" i="30"/>
  <c r="Y567" i="30"/>
  <c r="Z567" i="30"/>
  <c r="W568" i="30"/>
  <c r="X568" i="30"/>
  <c r="Y568" i="30"/>
  <c r="Z568" i="30"/>
  <c r="W569" i="30"/>
  <c r="X569" i="30"/>
  <c r="Y569" i="30"/>
  <c r="Z569" i="30"/>
  <c r="W570" i="30"/>
  <c r="X570" i="30"/>
  <c r="Y570" i="30"/>
  <c r="Z570" i="30"/>
  <c r="W571" i="30"/>
  <c r="X571" i="30"/>
  <c r="Y571" i="30"/>
  <c r="Z571" i="30"/>
  <c r="W572" i="30"/>
  <c r="X572" i="30"/>
  <c r="Y572" i="30"/>
  <c r="Z572" i="30"/>
  <c r="W573" i="30"/>
  <c r="X573" i="30"/>
  <c r="Y573" i="30"/>
  <c r="Z573" i="30"/>
  <c r="W574" i="30"/>
  <c r="X574" i="30"/>
  <c r="Y574" i="30"/>
  <c r="Z574" i="30"/>
  <c r="W575" i="30"/>
  <c r="X575" i="30"/>
  <c r="Y575" i="30"/>
  <c r="Z575" i="30"/>
  <c r="W576" i="30"/>
  <c r="X576" i="30"/>
  <c r="Y576" i="30"/>
  <c r="Z576" i="30"/>
  <c r="W577" i="30"/>
  <c r="X577" i="30"/>
  <c r="Y577" i="30"/>
  <c r="Z577" i="30"/>
  <c r="W578" i="30"/>
  <c r="X578" i="30"/>
  <c r="Y578" i="30"/>
  <c r="Z578" i="30"/>
  <c r="W579" i="30"/>
  <c r="X579" i="30"/>
  <c r="Y579" i="30"/>
  <c r="Z579" i="30"/>
  <c r="W580" i="30"/>
  <c r="X580" i="30"/>
  <c r="Y580" i="30"/>
  <c r="Z580" i="30"/>
  <c r="W581" i="30"/>
  <c r="X581" i="30"/>
  <c r="Y581" i="30"/>
  <c r="Z581" i="30"/>
  <c r="W582" i="30"/>
  <c r="X582" i="30"/>
  <c r="Y582" i="30"/>
  <c r="Z582" i="30"/>
  <c r="W583" i="30"/>
  <c r="X583" i="30"/>
  <c r="Y583" i="30"/>
  <c r="Z583" i="30"/>
  <c r="W584" i="30"/>
  <c r="X584" i="30"/>
  <c r="Y584" i="30"/>
  <c r="Z584" i="30"/>
  <c r="W585" i="30"/>
  <c r="X585" i="30"/>
  <c r="Y585" i="30"/>
  <c r="Z585" i="30"/>
  <c r="W586" i="30"/>
  <c r="X586" i="30"/>
  <c r="Y586" i="30"/>
  <c r="Z586" i="30"/>
  <c r="W587" i="30"/>
  <c r="X587" i="30"/>
  <c r="Y587" i="30"/>
  <c r="Z587" i="30"/>
  <c r="W588" i="30"/>
  <c r="X588" i="30"/>
  <c r="Y588" i="30"/>
  <c r="Z588" i="30"/>
  <c r="W589" i="30"/>
  <c r="X589" i="30"/>
  <c r="Y589" i="30"/>
  <c r="Z589" i="30"/>
  <c r="W590" i="30"/>
  <c r="X590" i="30"/>
  <c r="Y590" i="30"/>
  <c r="Z590" i="30"/>
  <c r="W591" i="30"/>
  <c r="X591" i="30"/>
  <c r="Y591" i="30"/>
  <c r="Z591" i="30"/>
  <c r="W592" i="30"/>
  <c r="X592" i="30"/>
  <c r="Y592" i="30"/>
  <c r="Z592" i="30"/>
  <c r="W593" i="30"/>
  <c r="X593" i="30"/>
  <c r="Y593" i="30"/>
  <c r="Z593" i="30"/>
  <c r="W594" i="30"/>
  <c r="X594" i="30"/>
  <c r="Y594" i="30"/>
  <c r="Z594" i="30"/>
  <c r="W595" i="30"/>
  <c r="X595" i="30"/>
  <c r="Y595" i="30"/>
  <c r="Z595" i="30"/>
  <c r="W596" i="30"/>
  <c r="X596" i="30"/>
  <c r="Y596" i="30"/>
  <c r="Z596" i="30"/>
  <c r="W597" i="30"/>
  <c r="X597" i="30"/>
  <c r="Y597" i="30"/>
  <c r="Z597" i="30"/>
  <c r="W598" i="30"/>
  <c r="X598" i="30"/>
  <c r="Y598" i="30"/>
  <c r="Z598" i="30"/>
  <c r="W599" i="30"/>
  <c r="X599" i="30"/>
  <c r="Y599" i="30"/>
  <c r="Z599" i="30"/>
  <c r="W600" i="30"/>
  <c r="X600" i="30"/>
  <c r="Y600" i="30"/>
  <c r="Z600" i="30"/>
  <c r="W601" i="30"/>
  <c r="X601" i="30"/>
  <c r="Y601" i="30"/>
  <c r="Z601" i="30"/>
  <c r="W602" i="30"/>
  <c r="X602" i="30"/>
  <c r="Y602" i="30"/>
  <c r="Z602" i="30"/>
  <c r="W603" i="30"/>
  <c r="X603" i="30"/>
  <c r="Y603" i="30"/>
  <c r="Z603" i="30"/>
  <c r="W604" i="30"/>
  <c r="X604" i="30"/>
  <c r="Y604" i="30"/>
  <c r="Z604" i="30"/>
  <c r="W605" i="30"/>
  <c r="X605" i="30"/>
  <c r="Y605" i="30"/>
  <c r="Z605" i="30"/>
  <c r="W606" i="30"/>
  <c r="X606" i="30"/>
  <c r="Y606" i="30"/>
  <c r="Z606" i="30"/>
  <c r="W607" i="30"/>
  <c r="X607" i="30"/>
  <c r="Y607" i="30"/>
  <c r="Z607" i="30"/>
  <c r="W608" i="30"/>
  <c r="X608" i="30"/>
  <c r="Y608" i="30"/>
  <c r="Z608" i="30"/>
  <c r="W609" i="30"/>
  <c r="X609" i="30"/>
  <c r="Y609" i="30"/>
  <c r="Z609" i="30"/>
  <c r="W610" i="30"/>
  <c r="X610" i="30"/>
  <c r="Y610" i="30"/>
  <c r="Z610" i="30"/>
  <c r="W611" i="30"/>
  <c r="X611" i="30"/>
  <c r="Y611" i="30"/>
  <c r="Z611" i="30"/>
  <c r="W612" i="30"/>
  <c r="X612" i="30"/>
  <c r="Y612" i="30"/>
  <c r="Z612" i="30"/>
  <c r="W613" i="30"/>
  <c r="X613" i="30"/>
  <c r="Y613" i="30"/>
  <c r="Z613" i="30"/>
  <c r="W614" i="30"/>
  <c r="X614" i="30"/>
  <c r="Y614" i="30"/>
  <c r="Z614" i="30"/>
  <c r="W615" i="30"/>
  <c r="X615" i="30"/>
  <c r="Y615" i="30"/>
  <c r="Z615" i="30"/>
  <c r="W616" i="30"/>
  <c r="X616" i="30"/>
  <c r="Y616" i="30"/>
  <c r="Z616" i="30"/>
  <c r="W617" i="30"/>
  <c r="X617" i="30"/>
  <c r="Y617" i="30"/>
  <c r="Z617" i="30"/>
  <c r="W618" i="30"/>
  <c r="X618" i="30"/>
  <c r="Y618" i="30"/>
  <c r="Z618" i="30"/>
  <c r="W619" i="30"/>
  <c r="X619" i="30"/>
  <c r="Y619" i="30"/>
  <c r="Z619" i="30"/>
  <c r="W620" i="30"/>
  <c r="X620" i="30"/>
  <c r="Y620" i="30"/>
  <c r="Z620" i="30"/>
  <c r="W621" i="30"/>
  <c r="X621" i="30"/>
  <c r="Y621" i="30"/>
  <c r="Z621" i="30"/>
  <c r="W622" i="30"/>
  <c r="X622" i="30"/>
  <c r="Y622" i="30"/>
  <c r="Z622" i="30"/>
  <c r="W623" i="30"/>
  <c r="X623" i="30"/>
  <c r="Y623" i="30"/>
  <c r="Z623" i="30"/>
  <c r="W624" i="30"/>
  <c r="X624" i="30"/>
  <c r="Y624" i="30"/>
  <c r="Z624" i="30"/>
  <c r="W625" i="30"/>
  <c r="X625" i="30"/>
  <c r="Y625" i="30"/>
  <c r="Z625" i="30"/>
  <c r="W626" i="30"/>
  <c r="X626" i="30"/>
  <c r="Y626" i="30"/>
  <c r="Z626" i="30"/>
  <c r="W627" i="30"/>
  <c r="X627" i="30"/>
  <c r="Y627" i="30"/>
  <c r="Z627" i="30"/>
  <c r="W628" i="30"/>
  <c r="X628" i="30"/>
  <c r="Y628" i="30"/>
  <c r="Z628" i="30"/>
  <c r="W629" i="30"/>
  <c r="X629" i="30"/>
  <c r="Y629" i="30"/>
  <c r="Z629" i="30"/>
  <c r="W630" i="30"/>
  <c r="X630" i="30"/>
  <c r="Y630" i="30"/>
  <c r="Z630" i="30"/>
  <c r="W631" i="30"/>
  <c r="X631" i="30"/>
  <c r="Y631" i="30"/>
  <c r="Z631" i="30"/>
  <c r="W632" i="30"/>
  <c r="X632" i="30"/>
  <c r="Y632" i="30"/>
  <c r="Z632" i="30"/>
  <c r="W633" i="30"/>
  <c r="X633" i="30"/>
  <c r="Y633" i="30"/>
  <c r="Z633" i="30"/>
  <c r="W634" i="30"/>
  <c r="X634" i="30"/>
  <c r="Y634" i="30"/>
  <c r="Z634" i="30"/>
  <c r="W635" i="30"/>
  <c r="X635" i="30"/>
  <c r="Y635" i="30"/>
  <c r="Z635" i="30"/>
  <c r="W636" i="30"/>
  <c r="X636" i="30"/>
  <c r="Y636" i="30"/>
  <c r="Z636" i="30"/>
  <c r="W637" i="30"/>
  <c r="X637" i="30"/>
  <c r="Y637" i="30"/>
  <c r="Z637" i="30"/>
  <c r="W638" i="30"/>
  <c r="X638" i="30"/>
  <c r="Y638" i="30"/>
  <c r="Z638" i="30"/>
  <c r="W639" i="30"/>
  <c r="X639" i="30"/>
  <c r="Y639" i="30"/>
  <c r="Z639" i="30"/>
  <c r="W640" i="30"/>
  <c r="X640" i="30"/>
  <c r="Y640" i="30"/>
  <c r="Z640" i="30"/>
  <c r="W641" i="30"/>
  <c r="X641" i="30"/>
  <c r="Y641" i="30"/>
  <c r="Z641" i="30"/>
  <c r="W642" i="30"/>
  <c r="X642" i="30"/>
  <c r="Y642" i="30"/>
  <c r="Z642" i="30"/>
  <c r="W643" i="30"/>
  <c r="X643" i="30"/>
  <c r="Y643" i="30"/>
  <c r="Z643" i="30"/>
  <c r="W644" i="30"/>
  <c r="X644" i="30"/>
  <c r="Y644" i="30"/>
  <c r="Z644" i="30"/>
  <c r="W645" i="30"/>
  <c r="X645" i="30"/>
  <c r="Y645" i="30"/>
  <c r="Z645" i="30"/>
  <c r="W646" i="30"/>
  <c r="X646" i="30"/>
  <c r="Y646" i="30"/>
  <c r="Z646" i="30"/>
  <c r="W647" i="30"/>
  <c r="X647" i="30"/>
  <c r="Y647" i="30"/>
  <c r="Z647" i="30"/>
  <c r="W648" i="30"/>
  <c r="X648" i="30"/>
  <c r="Y648" i="30"/>
  <c r="Z648" i="30"/>
  <c r="W649" i="30"/>
  <c r="X649" i="30"/>
  <c r="Y649" i="30"/>
  <c r="Z649" i="30"/>
  <c r="W650" i="30"/>
  <c r="X650" i="30"/>
  <c r="Y650" i="30"/>
  <c r="Z650" i="30"/>
  <c r="W651" i="30"/>
  <c r="X651" i="30"/>
  <c r="Y651" i="30"/>
  <c r="Z651" i="30"/>
  <c r="W652" i="30"/>
  <c r="X652" i="30"/>
  <c r="Y652" i="30"/>
  <c r="Z652" i="30"/>
  <c r="W653" i="30"/>
  <c r="X653" i="30"/>
  <c r="Y653" i="30"/>
  <c r="Z653" i="30"/>
  <c r="W654" i="30"/>
  <c r="X654" i="30"/>
  <c r="Y654" i="30"/>
  <c r="Z654" i="30"/>
  <c r="W655" i="30"/>
  <c r="X655" i="30"/>
  <c r="Y655" i="30"/>
  <c r="Z655" i="30"/>
  <c r="W656" i="30"/>
  <c r="X656" i="30"/>
  <c r="Y656" i="30"/>
  <c r="Z656" i="30"/>
  <c r="W657" i="30"/>
  <c r="X657" i="30"/>
  <c r="Y657" i="30"/>
  <c r="Z657" i="30"/>
  <c r="W658" i="30"/>
  <c r="X658" i="30"/>
  <c r="Y658" i="30"/>
  <c r="Z658" i="30"/>
  <c r="W659" i="30"/>
  <c r="X659" i="30"/>
  <c r="Y659" i="30"/>
  <c r="Z659" i="30"/>
  <c r="W660" i="30"/>
  <c r="X660" i="30"/>
  <c r="Y660" i="30"/>
  <c r="Z660" i="30"/>
  <c r="W661" i="30"/>
  <c r="X661" i="30"/>
  <c r="Y661" i="30"/>
  <c r="Z661" i="30"/>
  <c r="W662" i="30"/>
  <c r="X662" i="30"/>
  <c r="Y662" i="30"/>
  <c r="Z662" i="30"/>
  <c r="W663" i="30"/>
  <c r="X663" i="30"/>
  <c r="Y663" i="30"/>
  <c r="Z663" i="30"/>
  <c r="W664" i="30"/>
  <c r="X664" i="30"/>
  <c r="Y664" i="30"/>
  <c r="Z664" i="30"/>
  <c r="W665" i="30"/>
  <c r="X665" i="30"/>
  <c r="Y665" i="30"/>
  <c r="Z665" i="30"/>
  <c r="W666" i="30"/>
  <c r="X666" i="30"/>
  <c r="Y666" i="30"/>
  <c r="Z666" i="30"/>
  <c r="W667" i="30"/>
  <c r="X667" i="30"/>
  <c r="Y667" i="30"/>
  <c r="Z667" i="30"/>
  <c r="W668" i="30"/>
  <c r="X668" i="30"/>
  <c r="Y668" i="30"/>
  <c r="Z668" i="30"/>
  <c r="W669" i="30"/>
  <c r="X669" i="30"/>
  <c r="Y669" i="30"/>
  <c r="Z669" i="30"/>
  <c r="W670" i="30"/>
  <c r="X670" i="30"/>
  <c r="Y670" i="30"/>
  <c r="Z670" i="30"/>
  <c r="W671" i="30"/>
  <c r="X671" i="30"/>
  <c r="Y671" i="30"/>
  <c r="Z671" i="30"/>
  <c r="W672" i="30"/>
  <c r="X672" i="30"/>
  <c r="Y672" i="30"/>
  <c r="Z672" i="30"/>
  <c r="W673" i="30"/>
  <c r="X673" i="30"/>
  <c r="Y673" i="30"/>
  <c r="Z673" i="30"/>
  <c r="W674" i="30"/>
  <c r="X674" i="30"/>
  <c r="Y674" i="30"/>
  <c r="Z674" i="30"/>
  <c r="W675" i="30"/>
  <c r="X675" i="30"/>
  <c r="Y675" i="30"/>
  <c r="Z675" i="30"/>
  <c r="W676" i="30"/>
  <c r="X676" i="30"/>
  <c r="Y676" i="30"/>
  <c r="Z676" i="30"/>
  <c r="W677" i="30"/>
  <c r="X677" i="30"/>
  <c r="Y677" i="30"/>
  <c r="Z677" i="30"/>
  <c r="W678" i="30"/>
  <c r="X678" i="30"/>
  <c r="Y678" i="30"/>
  <c r="Z678" i="30"/>
  <c r="W679" i="30"/>
  <c r="X679" i="30"/>
  <c r="Y679" i="30"/>
  <c r="Z679" i="30"/>
  <c r="W680" i="30"/>
  <c r="X680" i="30"/>
  <c r="Y680" i="30"/>
  <c r="Z680" i="30"/>
  <c r="W681" i="30"/>
  <c r="X681" i="30"/>
  <c r="Y681" i="30"/>
  <c r="Z681" i="30"/>
  <c r="W682" i="30"/>
  <c r="X682" i="30"/>
  <c r="Y682" i="30"/>
  <c r="Z682" i="30"/>
  <c r="W683" i="30"/>
  <c r="X683" i="30"/>
  <c r="Y683" i="30"/>
  <c r="Z683" i="30"/>
  <c r="W684" i="30"/>
  <c r="X684" i="30"/>
  <c r="Y684" i="30"/>
  <c r="Z684" i="30"/>
  <c r="W685" i="30"/>
  <c r="X685" i="30"/>
  <c r="Y685" i="30"/>
  <c r="Z685" i="30"/>
  <c r="W686" i="30"/>
  <c r="X686" i="30"/>
  <c r="Y686" i="30"/>
  <c r="Z686" i="30"/>
  <c r="W687" i="30"/>
  <c r="X687" i="30"/>
  <c r="Y687" i="30"/>
  <c r="Z687" i="30"/>
  <c r="W688" i="30"/>
  <c r="X688" i="30"/>
  <c r="Y688" i="30"/>
  <c r="Z688" i="30"/>
  <c r="W689" i="30"/>
  <c r="X689" i="30"/>
  <c r="Y689" i="30"/>
  <c r="Z689" i="30"/>
  <c r="W690" i="30"/>
  <c r="X690" i="30"/>
  <c r="Y690" i="30"/>
  <c r="Z690" i="30"/>
  <c r="W691" i="30"/>
  <c r="X691" i="30"/>
  <c r="Y691" i="30"/>
  <c r="Z691" i="30"/>
  <c r="W692" i="30"/>
  <c r="X692" i="30"/>
  <c r="Y692" i="30"/>
  <c r="Z692" i="30"/>
  <c r="W693" i="30"/>
  <c r="X693" i="30"/>
  <c r="Y693" i="30"/>
  <c r="Z693" i="30"/>
  <c r="W694" i="30"/>
  <c r="X694" i="30"/>
  <c r="Y694" i="30"/>
  <c r="Z694" i="30"/>
  <c r="W695" i="30"/>
  <c r="X695" i="30"/>
  <c r="Y695" i="30"/>
  <c r="Z695" i="30"/>
  <c r="W696" i="30"/>
  <c r="X696" i="30"/>
  <c r="Y696" i="30"/>
  <c r="Z696" i="30"/>
  <c r="W697" i="30"/>
  <c r="X697" i="30"/>
  <c r="Y697" i="30"/>
  <c r="Z697" i="30"/>
  <c r="W698" i="30"/>
  <c r="X698" i="30"/>
  <c r="Y698" i="30"/>
  <c r="Z698" i="30"/>
  <c r="W699" i="30"/>
  <c r="X699" i="30"/>
  <c r="Y699" i="30"/>
  <c r="Z699" i="30"/>
  <c r="W700" i="30"/>
  <c r="X700" i="30"/>
  <c r="Y700" i="30"/>
  <c r="Z700" i="30"/>
  <c r="W701" i="30"/>
  <c r="X701" i="30"/>
  <c r="Y701" i="30"/>
  <c r="Z701" i="30"/>
  <c r="W702" i="30"/>
  <c r="X702" i="30"/>
  <c r="Y702" i="30"/>
  <c r="Z702" i="30"/>
  <c r="W703" i="30"/>
  <c r="X703" i="30"/>
  <c r="Y703" i="30"/>
  <c r="Z703" i="30"/>
  <c r="W704" i="30"/>
  <c r="X704" i="30"/>
  <c r="Y704" i="30"/>
  <c r="Z704" i="30"/>
  <c r="W705" i="30"/>
  <c r="X705" i="30"/>
  <c r="Y705" i="30"/>
  <c r="Z705" i="30"/>
  <c r="W706" i="30"/>
  <c r="X706" i="30"/>
  <c r="Y706" i="30"/>
  <c r="Z706" i="30"/>
  <c r="W707" i="30"/>
  <c r="X707" i="30"/>
  <c r="Y707" i="30"/>
  <c r="Z707" i="30"/>
  <c r="W708" i="30"/>
  <c r="X708" i="30"/>
  <c r="Y708" i="30"/>
  <c r="Z708" i="30"/>
  <c r="W709" i="30"/>
  <c r="X709" i="30"/>
  <c r="Y709" i="30"/>
  <c r="Z709" i="30"/>
  <c r="W710" i="30"/>
  <c r="X710" i="30"/>
  <c r="Y710" i="30"/>
  <c r="Z710" i="30"/>
  <c r="W711" i="30"/>
  <c r="X711" i="30"/>
  <c r="Y711" i="30"/>
  <c r="Z711" i="30"/>
  <c r="W712" i="30"/>
  <c r="X712" i="30"/>
  <c r="Y712" i="30"/>
  <c r="Z712" i="30"/>
  <c r="W713" i="30"/>
  <c r="X713" i="30"/>
  <c r="Y713" i="30"/>
  <c r="Z713" i="30"/>
  <c r="W714" i="30"/>
  <c r="X714" i="30"/>
  <c r="Y714" i="30"/>
  <c r="Z714" i="30"/>
  <c r="W715" i="30"/>
  <c r="X715" i="30"/>
  <c r="Y715" i="30"/>
  <c r="Z715" i="30"/>
  <c r="W716" i="30"/>
  <c r="X716" i="30"/>
  <c r="Y716" i="30"/>
  <c r="Z716" i="30"/>
  <c r="W717" i="30"/>
  <c r="X717" i="30"/>
  <c r="Y717" i="30"/>
  <c r="Z717" i="30"/>
  <c r="W718" i="30"/>
  <c r="X718" i="30"/>
  <c r="Y718" i="30"/>
  <c r="Z718" i="30"/>
  <c r="W719" i="30"/>
  <c r="X719" i="30"/>
  <c r="Y719" i="30"/>
  <c r="Z719" i="30"/>
  <c r="W720" i="30"/>
  <c r="X720" i="30"/>
  <c r="Y720" i="30"/>
  <c r="Z720" i="30"/>
  <c r="W721" i="30"/>
  <c r="X721" i="30"/>
  <c r="Y721" i="30"/>
  <c r="Z721" i="30"/>
  <c r="W722" i="30"/>
  <c r="X722" i="30"/>
  <c r="Y722" i="30"/>
  <c r="Z722" i="30"/>
  <c r="W723" i="30"/>
  <c r="X723" i="30"/>
  <c r="Y723" i="30"/>
  <c r="Z723" i="30"/>
  <c r="W724" i="30"/>
  <c r="X724" i="30"/>
  <c r="Y724" i="30"/>
  <c r="Z724" i="30"/>
  <c r="W725" i="30"/>
  <c r="X725" i="30"/>
  <c r="Y725" i="30"/>
  <c r="Z725" i="30"/>
  <c r="W726" i="30"/>
  <c r="X726" i="30"/>
  <c r="Y726" i="30"/>
  <c r="Z726" i="30"/>
  <c r="W727" i="30"/>
  <c r="X727" i="30"/>
  <c r="Y727" i="30"/>
  <c r="Z727" i="30"/>
  <c r="W728" i="30"/>
  <c r="X728" i="30"/>
  <c r="Y728" i="30"/>
  <c r="Z728" i="30"/>
  <c r="W729" i="30"/>
  <c r="X729" i="30"/>
  <c r="Y729" i="30"/>
  <c r="Z729" i="30"/>
  <c r="W730" i="30"/>
  <c r="X730" i="30"/>
  <c r="Y730" i="30"/>
  <c r="Z730" i="30"/>
  <c r="W731" i="30"/>
  <c r="X731" i="30"/>
  <c r="Y731" i="30"/>
  <c r="Z731" i="30"/>
  <c r="W732" i="30"/>
  <c r="X732" i="30"/>
  <c r="Y732" i="30"/>
  <c r="Z732" i="30"/>
  <c r="W733" i="30"/>
  <c r="X733" i="30"/>
  <c r="Y733" i="30"/>
  <c r="Z733" i="30"/>
  <c r="W734" i="30"/>
  <c r="X734" i="30"/>
  <c r="Y734" i="30"/>
  <c r="Z734" i="30"/>
  <c r="W735" i="30"/>
  <c r="X735" i="30"/>
  <c r="Y735" i="30"/>
  <c r="Z735" i="30"/>
  <c r="W736" i="30"/>
  <c r="X736" i="30"/>
  <c r="Y736" i="30"/>
  <c r="Z736" i="30"/>
  <c r="W737" i="30"/>
  <c r="X737" i="30"/>
  <c r="Y737" i="30"/>
  <c r="Z737" i="30"/>
  <c r="W738" i="30"/>
  <c r="X738" i="30"/>
  <c r="Y738" i="30"/>
  <c r="Z738" i="30"/>
  <c r="W739" i="30"/>
  <c r="X739" i="30"/>
  <c r="Y739" i="30"/>
  <c r="Z739" i="30"/>
  <c r="W740" i="30"/>
  <c r="X740" i="30"/>
  <c r="Y740" i="30"/>
  <c r="Z740" i="30"/>
  <c r="W741" i="30"/>
  <c r="X741" i="30"/>
  <c r="Y741" i="30"/>
  <c r="Z741" i="30"/>
  <c r="W742" i="30"/>
  <c r="X742" i="30"/>
  <c r="Y742" i="30"/>
  <c r="Z742" i="30"/>
  <c r="W743" i="30"/>
  <c r="X743" i="30"/>
  <c r="Y743" i="30"/>
  <c r="Z743" i="30"/>
  <c r="W744" i="30"/>
  <c r="X744" i="30"/>
  <c r="Y744" i="30"/>
  <c r="Z744" i="30"/>
  <c r="W745" i="30"/>
  <c r="X745" i="30"/>
  <c r="Y745" i="30"/>
  <c r="Z745" i="30"/>
  <c r="W746" i="30"/>
  <c r="X746" i="30"/>
  <c r="Y746" i="30"/>
  <c r="Z746" i="30"/>
  <c r="W747" i="30"/>
  <c r="X747" i="30"/>
  <c r="Y747" i="30"/>
  <c r="Z747" i="30"/>
  <c r="W748" i="30"/>
  <c r="X748" i="30"/>
  <c r="Y748" i="30"/>
  <c r="Z748" i="30"/>
  <c r="W749" i="30"/>
  <c r="X749" i="30"/>
  <c r="Y749" i="30"/>
  <c r="Z749" i="30"/>
  <c r="W750" i="30"/>
  <c r="X750" i="30"/>
  <c r="Y750" i="30"/>
  <c r="Z750" i="30"/>
  <c r="W751" i="30"/>
  <c r="X751" i="30"/>
  <c r="Y751" i="30"/>
  <c r="Z751" i="30"/>
  <c r="W752" i="30"/>
  <c r="X752" i="30"/>
  <c r="Y752" i="30"/>
  <c r="Z752" i="30"/>
  <c r="W753" i="30"/>
  <c r="X753" i="30"/>
  <c r="Y753" i="30"/>
  <c r="Z753" i="30"/>
  <c r="W754" i="30"/>
  <c r="X754" i="30"/>
  <c r="Y754" i="30"/>
  <c r="Z754" i="30"/>
  <c r="W755" i="30"/>
  <c r="X755" i="30"/>
  <c r="Y755" i="30"/>
  <c r="Z755" i="30"/>
  <c r="W756" i="30"/>
  <c r="X756" i="30"/>
  <c r="Y756" i="30"/>
  <c r="Z756" i="30"/>
  <c r="W757" i="30"/>
  <c r="X757" i="30"/>
  <c r="Y757" i="30"/>
  <c r="Z757" i="30"/>
  <c r="W758" i="30"/>
  <c r="X758" i="30"/>
  <c r="Y758" i="30"/>
  <c r="Z758" i="30"/>
  <c r="W759" i="30"/>
  <c r="X759" i="30"/>
  <c r="Y759" i="30"/>
  <c r="Z759" i="30"/>
  <c r="W760" i="30"/>
  <c r="X760" i="30"/>
  <c r="Y760" i="30"/>
  <c r="Z760" i="30"/>
  <c r="W761" i="30"/>
  <c r="X761" i="30"/>
  <c r="Y761" i="30"/>
  <c r="Z761" i="30"/>
  <c r="W762" i="30"/>
  <c r="X762" i="30"/>
  <c r="Y762" i="30"/>
  <c r="Z762" i="30"/>
  <c r="W763" i="30"/>
  <c r="X763" i="30"/>
  <c r="Y763" i="30"/>
  <c r="Z763" i="30"/>
  <c r="W764" i="30"/>
  <c r="X764" i="30"/>
  <c r="Y764" i="30"/>
  <c r="Z764" i="30"/>
  <c r="W765" i="30"/>
  <c r="X765" i="30"/>
  <c r="Y765" i="30"/>
  <c r="Z765" i="30"/>
  <c r="W766" i="30"/>
  <c r="X766" i="30"/>
  <c r="Y766" i="30"/>
  <c r="Z766" i="30"/>
  <c r="W767" i="30"/>
  <c r="X767" i="30"/>
  <c r="Y767" i="30"/>
  <c r="Z767" i="30"/>
  <c r="W768" i="30"/>
  <c r="X768" i="30"/>
  <c r="Y768" i="30"/>
  <c r="Z768" i="30"/>
  <c r="W769" i="30"/>
  <c r="X769" i="30"/>
  <c r="Y769" i="30"/>
  <c r="Z769" i="30"/>
  <c r="W770" i="30"/>
  <c r="X770" i="30"/>
  <c r="Y770" i="30"/>
  <c r="Z770" i="30"/>
  <c r="W771" i="30"/>
  <c r="X771" i="30"/>
  <c r="Y771" i="30"/>
  <c r="Z771" i="30"/>
  <c r="W772" i="30"/>
  <c r="X772" i="30"/>
  <c r="Y772" i="30"/>
  <c r="Z772" i="30"/>
  <c r="W773" i="30"/>
  <c r="X773" i="30"/>
  <c r="Y773" i="30"/>
  <c r="Z773" i="30"/>
  <c r="W774" i="30"/>
  <c r="X774" i="30"/>
  <c r="Y774" i="30"/>
  <c r="Z774" i="30"/>
  <c r="W775" i="30"/>
  <c r="X775" i="30"/>
  <c r="Y775" i="30"/>
  <c r="Z775" i="30"/>
  <c r="W776" i="30"/>
  <c r="X776" i="30"/>
  <c r="Y776" i="30"/>
  <c r="Z776" i="30"/>
  <c r="W777" i="30"/>
  <c r="X777" i="30"/>
  <c r="Y777" i="30"/>
  <c r="Z777" i="30"/>
  <c r="W778" i="30"/>
  <c r="X778" i="30"/>
  <c r="Y778" i="30"/>
  <c r="Z778" i="30"/>
  <c r="W779" i="30"/>
  <c r="X779" i="30"/>
  <c r="Y779" i="30"/>
  <c r="Z779" i="30"/>
  <c r="W780" i="30"/>
  <c r="X780" i="30"/>
  <c r="Y780" i="30"/>
  <c r="Z780" i="30"/>
  <c r="W781" i="30"/>
  <c r="X781" i="30"/>
  <c r="Y781" i="30"/>
  <c r="Z781" i="30"/>
  <c r="W782" i="30"/>
  <c r="X782" i="30"/>
  <c r="Y782" i="30"/>
  <c r="Z782" i="30"/>
  <c r="W783" i="30"/>
  <c r="X783" i="30"/>
  <c r="Y783" i="30"/>
  <c r="Z783" i="30"/>
  <c r="W784" i="30"/>
  <c r="X784" i="30"/>
  <c r="Y784" i="30"/>
  <c r="Z784" i="30"/>
  <c r="W785" i="30"/>
  <c r="X785" i="30"/>
  <c r="Y785" i="30"/>
  <c r="Z785" i="30"/>
  <c r="W786" i="30"/>
  <c r="X786" i="30"/>
  <c r="Y786" i="30"/>
  <c r="Z786" i="30"/>
  <c r="W787" i="30"/>
  <c r="X787" i="30"/>
  <c r="Y787" i="30"/>
  <c r="Z787" i="30"/>
  <c r="W788" i="30"/>
  <c r="X788" i="30"/>
  <c r="Y788" i="30"/>
  <c r="Z788" i="30"/>
  <c r="W789" i="30"/>
  <c r="X789" i="30"/>
  <c r="Y789" i="30"/>
  <c r="Z789" i="30"/>
  <c r="W790" i="30"/>
  <c r="X790" i="30"/>
  <c r="Y790" i="30"/>
  <c r="Z790" i="30"/>
  <c r="W791" i="30"/>
  <c r="X791" i="30"/>
  <c r="Y791" i="30"/>
  <c r="Z791" i="30"/>
  <c r="W792" i="30"/>
  <c r="X792" i="30"/>
  <c r="Y792" i="30"/>
  <c r="Z792" i="30"/>
  <c r="W793" i="30"/>
  <c r="X793" i="30"/>
  <c r="Y793" i="30"/>
  <c r="Z793" i="30"/>
  <c r="W794" i="30"/>
  <c r="X794" i="30"/>
  <c r="Y794" i="30"/>
  <c r="Z794" i="30"/>
  <c r="W795" i="30"/>
  <c r="X795" i="30"/>
  <c r="Y795" i="30"/>
  <c r="Z795" i="30"/>
  <c r="W796" i="30"/>
  <c r="X796" i="30"/>
  <c r="Y796" i="30"/>
  <c r="Z796" i="30"/>
  <c r="W797" i="30"/>
  <c r="X797" i="30"/>
  <c r="Y797" i="30"/>
  <c r="Z797" i="30"/>
  <c r="W798" i="30"/>
  <c r="X798" i="30"/>
  <c r="Y798" i="30"/>
  <c r="Z798" i="30"/>
  <c r="W799" i="30"/>
  <c r="X799" i="30"/>
  <c r="Y799" i="30"/>
  <c r="Z799" i="30"/>
  <c r="W800" i="30"/>
  <c r="X800" i="30"/>
  <c r="Y800" i="30"/>
  <c r="Z800" i="30"/>
  <c r="W801" i="30"/>
  <c r="X801" i="30"/>
  <c r="Y801" i="30"/>
  <c r="Z801" i="30"/>
  <c r="W802" i="30"/>
  <c r="X802" i="30"/>
  <c r="Y802" i="30"/>
  <c r="Z802" i="30"/>
  <c r="W803" i="30"/>
  <c r="X803" i="30"/>
  <c r="Y803" i="30"/>
  <c r="Z803" i="30"/>
  <c r="W804" i="30"/>
  <c r="X804" i="30"/>
  <c r="Y804" i="30"/>
  <c r="Z804" i="30"/>
  <c r="W805" i="30"/>
  <c r="X805" i="30"/>
  <c r="Y805" i="30"/>
  <c r="Z805" i="30"/>
  <c r="W806" i="30"/>
  <c r="X806" i="30"/>
  <c r="Y806" i="30"/>
  <c r="Z806" i="30"/>
  <c r="W807" i="30"/>
  <c r="X807" i="30"/>
  <c r="Y807" i="30"/>
  <c r="Z807" i="30"/>
  <c r="W808" i="30"/>
  <c r="X808" i="30"/>
  <c r="Y808" i="30"/>
  <c r="Z808" i="30"/>
  <c r="W809" i="30"/>
  <c r="X809" i="30"/>
  <c r="Y809" i="30"/>
  <c r="Z809" i="30"/>
  <c r="W810" i="30"/>
  <c r="X810" i="30"/>
  <c r="Y810" i="30"/>
  <c r="Z810" i="30"/>
  <c r="W811" i="30"/>
  <c r="X811" i="30"/>
  <c r="Y811" i="30"/>
  <c r="Z811" i="30"/>
  <c r="W812" i="30"/>
  <c r="X812" i="30"/>
  <c r="Y812" i="30"/>
  <c r="Z812" i="30"/>
  <c r="W813" i="30"/>
  <c r="X813" i="30"/>
  <c r="Y813" i="30"/>
  <c r="Z813" i="30"/>
  <c r="W814" i="30"/>
  <c r="X814" i="30"/>
  <c r="Y814" i="30"/>
  <c r="Z814" i="30"/>
  <c r="W815" i="30"/>
  <c r="X815" i="30"/>
  <c r="Y815" i="30"/>
  <c r="Z815" i="30"/>
  <c r="W816" i="30"/>
  <c r="X816" i="30"/>
  <c r="Y816" i="30"/>
  <c r="Z816" i="30"/>
  <c r="W817" i="30"/>
  <c r="X817" i="30"/>
  <c r="Y817" i="30"/>
  <c r="Z817" i="30"/>
  <c r="W818" i="30"/>
  <c r="X818" i="30"/>
  <c r="Y818" i="30"/>
  <c r="Z818" i="30"/>
  <c r="W819" i="30"/>
  <c r="X819" i="30"/>
  <c r="Y819" i="30"/>
  <c r="Z819" i="30"/>
  <c r="W820" i="30"/>
  <c r="X820" i="30"/>
  <c r="Y820" i="30"/>
  <c r="Z820" i="30"/>
  <c r="W821" i="30"/>
  <c r="X821" i="30"/>
  <c r="Y821" i="30"/>
  <c r="Z821" i="30"/>
  <c r="W822" i="30"/>
  <c r="X822" i="30"/>
  <c r="Y822" i="30"/>
  <c r="Z822" i="30"/>
  <c r="W823" i="30"/>
  <c r="X823" i="30"/>
  <c r="Y823" i="30"/>
  <c r="Z823" i="30"/>
  <c r="W824" i="30"/>
  <c r="X824" i="30"/>
  <c r="Y824" i="30"/>
  <c r="Z824" i="30"/>
  <c r="W825" i="30"/>
  <c r="X825" i="30"/>
  <c r="Y825" i="30"/>
  <c r="Z825" i="30"/>
  <c r="W826" i="30"/>
  <c r="X826" i="30"/>
  <c r="Y826" i="30"/>
  <c r="Z826" i="30"/>
  <c r="W827" i="30"/>
  <c r="X827" i="30"/>
  <c r="Y827" i="30"/>
  <c r="Z827" i="30"/>
  <c r="W828" i="30"/>
  <c r="X828" i="30"/>
  <c r="Y828" i="30"/>
  <c r="Z828" i="30"/>
  <c r="W829" i="30"/>
  <c r="X829" i="30"/>
  <c r="Y829" i="30"/>
  <c r="Z829" i="30"/>
  <c r="W830" i="30"/>
  <c r="X830" i="30"/>
  <c r="Y830" i="30"/>
  <c r="Z830" i="30"/>
  <c r="W831" i="30"/>
  <c r="X831" i="30"/>
  <c r="Y831" i="30"/>
  <c r="Z831" i="30"/>
  <c r="Z2" i="30"/>
  <c r="Y2" i="30"/>
  <c r="X2" i="30"/>
  <c r="W2" i="30"/>
  <c r="W3" i="32"/>
  <c r="AB3" i="32" s="1"/>
  <c r="X3" i="32"/>
  <c r="Y3" i="32"/>
  <c r="Z3" i="32"/>
  <c r="W4" i="32"/>
  <c r="AB4" i="32" s="1"/>
  <c r="X4" i="32"/>
  <c r="Y4" i="32"/>
  <c r="Z4" i="32"/>
  <c r="W5" i="32"/>
  <c r="AB5" i="32" s="1"/>
  <c r="X5" i="32"/>
  <c r="Y5" i="32"/>
  <c r="Z5" i="32"/>
  <c r="W6" i="32"/>
  <c r="AB6" i="32" s="1"/>
  <c r="X6" i="32"/>
  <c r="Y6" i="32"/>
  <c r="Z6" i="32"/>
  <c r="W7" i="32"/>
  <c r="AB7" i="32" s="1"/>
  <c r="X7" i="32"/>
  <c r="Y7" i="32"/>
  <c r="Z7" i="32"/>
  <c r="W8" i="32"/>
  <c r="AB8" i="32" s="1"/>
  <c r="X8" i="32"/>
  <c r="Y8" i="32"/>
  <c r="Z8" i="32"/>
  <c r="W9" i="32"/>
  <c r="AB9" i="32" s="1"/>
  <c r="X9" i="32"/>
  <c r="Y9" i="32"/>
  <c r="Z9" i="32"/>
  <c r="W10" i="32"/>
  <c r="AB10" i="32" s="1"/>
  <c r="X10" i="32"/>
  <c r="Y10" i="32"/>
  <c r="Z10" i="32"/>
  <c r="W11" i="32"/>
  <c r="AB11" i="32" s="1"/>
  <c r="X11" i="32"/>
  <c r="Y11" i="32"/>
  <c r="Z11" i="32"/>
  <c r="W12" i="32"/>
  <c r="AB12" i="32" s="1"/>
  <c r="X12" i="32"/>
  <c r="Y12" i="32"/>
  <c r="Z12" i="32"/>
  <c r="W13" i="32"/>
  <c r="AB13" i="32" s="1"/>
  <c r="X13" i="32"/>
  <c r="Y13" i="32"/>
  <c r="Z13" i="32"/>
  <c r="W14" i="32"/>
  <c r="AB14" i="32" s="1"/>
  <c r="X14" i="32"/>
  <c r="Y14" i="32"/>
  <c r="Z14" i="32"/>
  <c r="W15" i="32"/>
  <c r="AB15" i="32" s="1"/>
  <c r="X15" i="32"/>
  <c r="Y15" i="32"/>
  <c r="Z15" i="32"/>
  <c r="W16" i="32"/>
  <c r="AB16" i="32" s="1"/>
  <c r="X16" i="32"/>
  <c r="Y16" i="32"/>
  <c r="Z16" i="32"/>
  <c r="W17" i="32"/>
  <c r="AB17" i="32" s="1"/>
  <c r="X17" i="32"/>
  <c r="Y17" i="32"/>
  <c r="Z17" i="32"/>
  <c r="W18" i="32"/>
  <c r="AB18" i="32" s="1"/>
  <c r="X18" i="32"/>
  <c r="Y18" i="32"/>
  <c r="Z18" i="32"/>
  <c r="W19" i="32"/>
  <c r="AB19" i="32" s="1"/>
  <c r="X19" i="32"/>
  <c r="Y19" i="32"/>
  <c r="Z19" i="32"/>
  <c r="W20" i="32"/>
  <c r="AB20" i="32" s="1"/>
  <c r="X20" i="32"/>
  <c r="Y20" i="32"/>
  <c r="Z20" i="32"/>
  <c r="W21" i="32"/>
  <c r="AB21" i="32" s="1"/>
  <c r="X21" i="32"/>
  <c r="Y21" i="32"/>
  <c r="Z21" i="32"/>
  <c r="W22" i="32"/>
  <c r="AB22" i="32" s="1"/>
  <c r="X22" i="32"/>
  <c r="Y22" i="32"/>
  <c r="Z22" i="32"/>
  <c r="W23" i="32"/>
  <c r="AB23" i="32" s="1"/>
  <c r="X23" i="32"/>
  <c r="Y23" i="32"/>
  <c r="Z23" i="32"/>
  <c r="W24" i="32"/>
  <c r="AB24" i="32" s="1"/>
  <c r="X24" i="32"/>
  <c r="Y24" i="32"/>
  <c r="Z24" i="32"/>
  <c r="W25" i="32"/>
  <c r="AB25" i="32" s="1"/>
  <c r="X25" i="32"/>
  <c r="Y25" i="32"/>
  <c r="Z25" i="32"/>
  <c r="W26" i="32"/>
  <c r="AB26" i="32" s="1"/>
  <c r="X26" i="32"/>
  <c r="Y26" i="32"/>
  <c r="Z26" i="32"/>
  <c r="W27" i="32"/>
  <c r="AB27" i="32" s="1"/>
  <c r="X27" i="32"/>
  <c r="Y27" i="32"/>
  <c r="Z27" i="32"/>
  <c r="W28" i="32"/>
  <c r="AB28" i="32" s="1"/>
  <c r="X28" i="32"/>
  <c r="Y28" i="32"/>
  <c r="Z28" i="32"/>
  <c r="W29" i="32"/>
  <c r="AB29" i="32" s="1"/>
  <c r="X29" i="32"/>
  <c r="Y29" i="32"/>
  <c r="Z29" i="32"/>
  <c r="W30" i="32"/>
  <c r="AB30" i="32" s="1"/>
  <c r="X30" i="32"/>
  <c r="Y30" i="32"/>
  <c r="Z30" i="32"/>
  <c r="W31" i="32"/>
  <c r="AB31" i="32" s="1"/>
  <c r="X31" i="32"/>
  <c r="Y31" i="32"/>
  <c r="Z31" i="32"/>
  <c r="W32" i="32"/>
  <c r="AB32" i="32" s="1"/>
  <c r="X32" i="32"/>
  <c r="Y32" i="32"/>
  <c r="Z32" i="32"/>
  <c r="W33" i="32"/>
  <c r="AB33" i="32" s="1"/>
  <c r="X33" i="32"/>
  <c r="Y33" i="32"/>
  <c r="Z33" i="32"/>
  <c r="W34" i="32"/>
  <c r="AB34" i="32" s="1"/>
  <c r="X34" i="32"/>
  <c r="Y34" i="32"/>
  <c r="Z34" i="32"/>
  <c r="W35" i="32"/>
  <c r="AB35" i="32" s="1"/>
  <c r="X35" i="32"/>
  <c r="Y35" i="32"/>
  <c r="Z35" i="32"/>
  <c r="W36" i="32"/>
  <c r="AB36" i="32" s="1"/>
  <c r="X36" i="32"/>
  <c r="Y36" i="32"/>
  <c r="Z36" i="32"/>
  <c r="W37" i="32"/>
  <c r="AB37" i="32" s="1"/>
  <c r="X37" i="32"/>
  <c r="Y37" i="32"/>
  <c r="Z37" i="32"/>
  <c r="W38" i="32"/>
  <c r="AB38" i="32" s="1"/>
  <c r="X38" i="32"/>
  <c r="Y38" i="32"/>
  <c r="Z38" i="32"/>
  <c r="W39" i="32"/>
  <c r="AB39" i="32" s="1"/>
  <c r="X39" i="32"/>
  <c r="Y39" i="32"/>
  <c r="Z39" i="32"/>
  <c r="W40" i="32"/>
  <c r="AB40" i="32" s="1"/>
  <c r="X40" i="32"/>
  <c r="Y40" i="32"/>
  <c r="Z40" i="32"/>
  <c r="W41" i="32"/>
  <c r="AB41" i="32" s="1"/>
  <c r="X41" i="32"/>
  <c r="Y41" i="32"/>
  <c r="Z41" i="32"/>
  <c r="W42" i="32"/>
  <c r="AB42" i="32" s="1"/>
  <c r="X42" i="32"/>
  <c r="Y42" i="32"/>
  <c r="Z42" i="32"/>
  <c r="W43" i="32"/>
  <c r="AB43" i="32" s="1"/>
  <c r="X43" i="32"/>
  <c r="Y43" i="32"/>
  <c r="Z43" i="32"/>
  <c r="W44" i="32"/>
  <c r="AB44" i="32" s="1"/>
  <c r="X44" i="32"/>
  <c r="Y44" i="32"/>
  <c r="Z44" i="32"/>
  <c r="W45" i="32"/>
  <c r="AB45" i="32" s="1"/>
  <c r="X45" i="32"/>
  <c r="Y45" i="32"/>
  <c r="Z45" i="32"/>
  <c r="W46" i="32"/>
  <c r="AB46" i="32" s="1"/>
  <c r="X46" i="32"/>
  <c r="Y46" i="32"/>
  <c r="Z46" i="32"/>
  <c r="W47" i="32"/>
  <c r="AB47" i="32" s="1"/>
  <c r="X47" i="32"/>
  <c r="Y47" i="32"/>
  <c r="Z47" i="32"/>
  <c r="W48" i="32"/>
  <c r="AB48" i="32" s="1"/>
  <c r="X48" i="32"/>
  <c r="Y48" i="32"/>
  <c r="Z48" i="32"/>
  <c r="W49" i="32"/>
  <c r="AB49" i="32" s="1"/>
  <c r="X49" i="32"/>
  <c r="Y49" i="32"/>
  <c r="Z49" i="32"/>
  <c r="W50" i="32"/>
  <c r="AB50" i="32" s="1"/>
  <c r="X50" i="32"/>
  <c r="Y50" i="32"/>
  <c r="Z50" i="32"/>
  <c r="W51" i="32"/>
  <c r="AB51" i="32" s="1"/>
  <c r="X51" i="32"/>
  <c r="Y51" i="32"/>
  <c r="Z51" i="32"/>
  <c r="W52" i="32"/>
  <c r="AB52" i="32" s="1"/>
  <c r="X52" i="32"/>
  <c r="Y52" i="32"/>
  <c r="Z52" i="32"/>
  <c r="W53" i="32"/>
  <c r="AB53" i="32" s="1"/>
  <c r="X53" i="32"/>
  <c r="Y53" i="32"/>
  <c r="Z53" i="32"/>
  <c r="W54" i="32"/>
  <c r="AB54" i="32" s="1"/>
  <c r="X54" i="32"/>
  <c r="Y54" i="32"/>
  <c r="Z54" i="32"/>
  <c r="W55" i="32"/>
  <c r="AB55" i="32" s="1"/>
  <c r="X55" i="32"/>
  <c r="Y55" i="32"/>
  <c r="Z55" i="32"/>
  <c r="W56" i="32"/>
  <c r="AB56" i="32" s="1"/>
  <c r="X56" i="32"/>
  <c r="Y56" i="32"/>
  <c r="Z56" i="32"/>
  <c r="W57" i="32"/>
  <c r="AB57" i="32" s="1"/>
  <c r="X57" i="32"/>
  <c r="Y57" i="32"/>
  <c r="Z57" i="32"/>
  <c r="W58" i="32"/>
  <c r="AB58" i="32" s="1"/>
  <c r="X58" i="32"/>
  <c r="Y58" i="32"/>
  <c r="Z58" i="32"/>
  <c r="W59" i="32"/>
  <c r="AB59" i="32" s="1"/>
  <c r="X59" i="32"/>
  <c r="Y59" i="32"/>
  <c r="Z59" i="32"/>
  <c r="W60" i="32"/>
  <c r="AB60" i="32" s="1"/>
  <c r="X60" i="32"/>
  <c r="Y60" i="32"/>
  <c r="Z60" i="32"/>
  <c r="W61" i="32"/>
  <c r="AB61" i="32" s="1"/>
  <c r="X61" i="32"/>
  <c r="Y61" i="32"/>
  <c r="Z61" i="32"/>
  <c r="W62" i="32"/>
  <c r="AB62" i="32" s="1"/>
  <c r="X62" i="32"/>
  <c r="Y62" i="32"/>
  <c r="Z62" i="32"/>
  <c r="W63" i="32"/>
  <c r="AB63" i="32" s="1"/>
  <c r="X63" i="32"/>
  <c r="Y63" i="32"/>
  <c r="Z63" i="32"/>
  <c r="W64" i="32"/>
  <c r="AB64" i="32" s="1"/>
  <c r="X64" i="32"/>
  <c r="Y64" i="32"/>
  <c r="Z64" i="32"/>
  <c r="W65" i="32"/>
  <c r="AB65" i="32" s="1"/>
  <c r="X65" i="32"/>
  <c r="Y65" i="32"/>
  <c r="Z65" i="32"/>
  <c r="W66" i="32"/>
  <c r="AB66" i="32" s="1"/>
  <c r="X66" i="32"/>
  <c r="Y66" i="32"/>
  <c r="Z66" i="32"/>
  <c r="W67" i="32"/>
  <c r="AB67" i="32" s="1"/>
  <c r="X67" i="32"/>
  <c r="Y67" i="32"/>
  <c r="Z67" i="32"/>
  <c r="W68" i="32"/>
  <c r="AB68" i="32" s="1"/>
  <c r="X68" i="32"/>
  <c r="Y68" i="32"/>
  <c r="Z68" i="32"/>
  <c r="W69" i="32"/>
  <c r="AB69" i="32" s="1"/>
  <c r="X69" i="32"/>
  <c r="Y69" i="32"/>
  <c r="Z69" i="32"/>
  <c r="W70" i="32"/>
  <c r="AB70" i="32" s="1"/>
  <c r="X70" i="32"/>
  <c r="Y70" i="32"/>
  <c r="Z70" i="32"/>
  <c r="W71" i="32"/>
  <c r="AB71" i="32" s="1"/>
  <c r="X71" i="32"/>
  <c r="Y71" i="32"/>
  <c r="Z71" i="32"/>
  <c r="W72" i="32"/>
  <c r="AB72" i="32" s="1"/>
  <c r="X72" i="32"/>
  <c r="Y72" i="32"/>
  <c r="Z72" i="32"/>
  <c r="W73" i="32"/>
  <c r="AB73" i="32" s="1"/>
  <c r="X73" i="32"/>
  <c r="Y73" i="32"/>
  <c r="Z73" i="32"/>
  <c r="W74" i="32"/>
  <c r="AB74" i="32" s="1"/>
  <c r="X74" i="32"/>
  <c r="Y74" i="32"/>
  <c r="Z74" i="32"/>
  <c r="W75" i="32"/>
  <c r="AB75" i="32" s="1"/>
  <c r="X75" i="32"/>
  <c r="Y75" i="32"/>
  <c r="Z75" i="32"/>
  <c r="W76" i="32"/>
  <c r="AB76" i="32" s="1"/>
  <c r="X76" i="32"/>
  <c r="Y76" i="32"/>
  <c r="Z76" i="32"/>
  <c r="W77" i="32"/>
  <c r="AB77" i="32" s="1"/>
  <c r="X77" i="32"/>
  <c r="Y77" i="32"/>
  <c r="Z77" i="32"/>
  <c r="W78" i="32"/>
  <c r="AB78" i="32" s="1"/>
  <c r="X78" i="32"/>
  <c r="Y78" i="32"/>
  <c r="Z78" i="32"/>
  <c r="W79" i="32"/>
  <c r="AB79" i="32" s="1"/>
  <c r="X79" i="32"/>
  <c r="Y79" i="32"/>
  <c r="Z79" i="32"/>
  <c r="W80" i="32"/>
  <c r="AB80" i="32" s="1"/>
  <c r="X80" i="32"/>
  <c r="Y80" i="32"/>
  <c r="Z80" i="32"/>
  <c r="W81" i="32"/>
  <c r="AB81" i="32" s="1"/>
  <c r="X81" i="32"/>
  <c r="Y81" i="32"/>
  <c r="Z81" i="32"/>
  <c r="W82" i="32"/>
  <c r="AB82" i="32" s="1"/>
  <c r="X82" i="32"/>
  <c r="Y82" i="32"/>
  <c r="Z82" i="32"/>
  <c r="W83" i="32"/>
  <c r="AB83" i="32" s="1"/>
  <c r="X83" i="32"/>
  <c r="Y83" i="32"/>
  <c r="Z83" i="32"/>
  <c r="W84" i="32"/>
  <c r="AB84" i="32" s="1"/>
  <c r="X84" i="32"/>
  <c r="Y84" i="32"/>
  <c r="Z84" i="32"/>
  <c r="W85" i="32"/>
  <c r="AB85" i="32" s="1"/>
  <c r="X85" i="32"/>
  <c r="Y85" i="32"/>
  <c r="Z85" i="32"/>
  <c r="W86" i="32"/>
  <c r="AB86" i="32" s="1"/>
  <c r="X86" i="32"/>
  <c r="Y86" i="32"/>
  <c r="Z86" i="32"/>
  <c r="W87" i="32"/>
  <c r="AB87" i="32" s="1"/>
  <c r="X87" i="32"/>
  <c r="Y87" i="32"/>
  <c r="Z87" i="32"/>
  <c r="W88" i="32"/>
  <c r="AB88" i="32" s="1"/>
  <c r="X88" i="32"/>
  <c r="Y88" i="32"/>
  <c r="Z88" i="32"/>
  <c r="W89" i="32"/>
  <c r="AB89" i="32" s="1"/>
  <c r="X89" i="32"/>
  <c r="Y89" i="32"/>
  <c r="Z89" i="32"/>
  <c r="W90" i="32"/>
  <c r="AB90" i="32" s="1"/>
  <c r="X90" i="32"/>
  <c r="Y90" i="32"/>
  <c r="Z90" i="32"/>
  <c r="W91" i="32"/>
  <c r="AB91" i="32" s="1"/>
  <c r="X91" i="32"/>
  <c r="Y91" i="32"/>
  <c r="Z91" i="32"/>
  <c r="W92" i="32"/>
  <c r="AB92" i="32" s="1"/>
  <c r="X92" i="32"/>
  <c r="Y92" i="32"/>
  <c r="Z92" i="32"/>
  <c r="W93" i="32"/>
  <c r="AB93" i="32" s="1"/>
  <c r="X93" i="32"/>
  <c r="Y93" i="32"/>
  <c r="Z93" i="32"/>
  <c r="W94" i="32"/>
  <c r="AB94" i="32" s="1"/>
  <c r="X94" i="32"/>
  <c r="Y94" i="32"/>
  <c r="Z94" i="32"/>
  <c r="W95" i="32"/>
  <c r="AB95" i="32" s="1"/>
  <c r="X95" i="32"/>
  <c r="Y95" i="32"/>
  <c r="Z95" i="32"/>
  <c r="W96" i="32"/>
  <c r="AB96" i="32" s="1"/>
  <c r="X96" i="32"/>
  <c r="Y96" i="32"/>
  <c r="Z96" i="32"/>
  <c r="W97" i="32"/>
  <c r="AB97" i="32" s="1"/>
  <c r="X97" i="32"/>
  <c r="Y97" i="32"/>
  <c r="Z97" i="32"/>
  <c r="W98" i="32"/>
  <c r="AB98" i="32" s="1"/>
  <c r="X98" i="32"/>
  <c r="Y98" i="32"/>
  <c r="Z98" i="32"/>
  <c r="W99" i="32"/>
  <c r="AB99" i="32" s="1"/>
  <c r="X99" i="32"/>
  <c r="Y99" i="32"/>
  <c r="Z99" i="32"/>
  <c r="W100" i="32"/>
  <c r="AB100" i="32" s="1"/>
  <c r="X100" i="32"/>
  <c r="Y100" i="32"/>
  <c r="Z100" i="32"/>
  <c r="W101" i="32"/>
  <c r="AB101" i="32" s="1"/>
  <c r="X101" i="32"/>
  <c r="Y101" i="32"/>
  <c r="Z101" i="32"/>
  <c r="W102" i="32"/>
  <c r="AB102" i="32" s="1"/>
  <c r="X102" i="32"/>
  <c r="Y102" i="32"/>
  <c r="Z102" i="32"/>
  <c r="W103" i="32"/>
  <c r="AB103" i="32" s="1"/>
  <c r="X103" i="32"/>
  <c r="Y103" i="32"/>
  <c r="Z103" i="32"/>
  <c r="W104" i="32"/>
  <c r="AB104" i="32" s="1"/>
  <c r="X104" i="32"/>
  <c r="Y104" i="32"/>
  <c r="Z104" i="32"/>
  <c r="W105" i="32"/>
  <c r="AB105" i="32" s="1"/>
  <c r="X105" i="32"/>
  <c r="Y105" i="32"/>
  <c r="Z105" i="32"/>
  <c r="W106" i="32"/>
  <c r="AB106" i="32" s="1"/>
  <c r="X106" i="32"/>
  <c r="Y106" i="32"/>
  <c r="Z106" i="32"/>
  <c r="W107" i="32"/>
  <c r="AB107" i="32" s="1"/>
  <c r="X107" i="32"/>
  <c r="Y107" i="32"/>
  <c r="Z107" i="32"/>
  <c r="W108" i="32"/>
  <c r="AB108" i="32" s="1"/>
  <c r="X108" i="32"/>
  <c r="Y108" i="32"/>
  <c r="Z108" i="32"/>
  <c r="W109" i="32"/>
  <c r="AB109" i="32" s="1"/>
  <c r="X109" i="32"/>
  <c r="Y109" i="32"/>
  <c r="Z109" i="32"/>
  <c r="W110" i="32"/>
  <c r="AB110" i="32" s="1"/>
  <c r="X110" i="32"/>
  <c r="Y110" i="32"/>
  <c r="Z110" i="32"/>
  <c r="W111" i="32"/>
  <c r="AB111" i="32" s="1"/>
  <c r="X111" i="32"/>
  <c r="Y111" i="32"/>
  <c r="Z111" i="32"/>
  <c r="W112" i="32"/>
  <c r="AB112" i="32" s="1"/>
  <c r="X112" i="32"/>
  <c r="Y112" i="32"/>
  <c r="Z112" i="32"/>
  <c r="W113" i="32"/>
  <c r="AB113" i="32" s="1"/>
  <c r="X113" i="32"/>
  <c r="Y113" i="32"/>
  <c r="Z113" i="32"/>
  <c r="W114" i="32"/>
  <c r="AB114" i="32" s="1"/>
  <c r="X114" i="32"/>
  <c r="Y114" i="32"/>
  <c r="Z114" i="32"/>
  <c r="W115" i="32"/>
  <c r="AB115" i="32" s="1"/>
  <c r="X115" i="32"/>
  <c r="Y115" i="32"/>
  <c r="Z115" i="32"/>
  <c r="W116" i="32"/>
  <c r="AB116" i="32" s="1"/>
  <c r="X116" i="32"/>
  <c r="Y116" i="32"/>
  <c r="Z116" i="32"/>
  <c r="W117" i="32"/>
  <c r="AB117" i="32" s="1"/>
  <c r="X117" i="32"/>
  <c r="Y117" i="32"/>
  <c r="Z117" i="32"/>
  <c r="W118" i="32"/>
  <c r="AB118" i="32" s="1"/>
  <c r="X118" i="32"/>
  <c r="Y118" i="32"/>
  <c r="Z118" i="32"/>
  <c r="W119" i="32"/>
  <c r="AB119" i="32" s="1"/>
  <c r="X119" i="32"/>
  <c r="Y119" i="32"/>
  <c r="Z119" i="32"/>
  <c r="W120" i="32"/>
  <c r="AB120" i="32" s="1"/>
  <c r="X120" i="32"/>
  <c r="Y120" i="32"/>
  <c r="Z120" i="32"/>
  <c r="W121" i="32"/>
  <c r="AB121" i="32" s="1"/>
  <c r="X121" i="32"/>
  <c r="Y121" i="32"/>
  <c r="Z121" i="32"/>
  <c r="W122" i="32"/>
  <c r="AB122" i="32" s="1"/>
  <c r="X122" i="32"/>
  <c r="Y122" i="32"/>
  <c r="Z122" i="32"/>
  <c r="W123" i="32"/>
  <c r="AB123" i="32" s="1"/>
  <c r="X123" i="32"/>
  <c r="Y123" i="32"/>
  <c r="Z123" i="32"/>
  <c r="W124" i="32"/>
  <c r="AB124" i="32" s="1"/>
  <c r="X124" i="32"/>
  <c r="Y124" i="32"/>
  <c r="Z124" i="32"/>
  <c r="W125" i="32"/>
  <c r="AB125" i="32" s="1"/>
  <c r="X125" i="32"/>
  <c r="Y125" i="32"/>
  <c r="Z125" i="32"/>
  <c r="W126" i="32"/>
  <c r="AB126" i="32" s="1"/>
  <c r="X126" i="32"/>
  <c r="Y126" i="32"/>
  <c r="Z126" i="32"/>
  <c r="W127" i="32"/>
  <c r="AB127" i="32" s="1"/>
  <c r="X127" i="32"/>
  <c r="Y127" i="32"/>
  <c r="Z127" i="32"/>
  <c r="W128" i="32"/>
  <c r="AB128" i="32" s="1"/>
  <c r="X128" i="32"/>
  <c r="Y128" i="32"/>
  <c r="Z128" i="32"/>
  <c r="W129" i="32"/>
  <c r="AB129" i="32" s="1"/>
  <c r="X129" i="32"/>
  <c r="Y129" i="32"/>
  <c r="Z129" i="32"/>
  <c r="W130" i="32"/>
  <c r="AB130" i="32" s="1"/>
  <c r="X130" i="32"/>
  <c r="Y130" i="32"/>
  <c r="Z130" i="32"/>
  <c r="W131" i="32"/>
  <c r="AB131" i="32" s="1"/>
  <c r="X131" i="32"/>
  <c r="Y131" i="32"/>
  <c r="Z131" i="32"/>
  <c r="W132" i="32"/>
  <c r="AB132" i="32" s="1"/>
  <c r="X132" i="32"/>
  <c r="Y132" i="32"/>
  <c r="Z132" i="32"/>
  <c r="W133" i="32"/>
  <c r="AB133" i="32" s="1"/>
  <c r="X133" i="32"/>
  <c r="Y133" i="32"/>
  <c r="Z133" i="32"/>
  <c r="W134" i="32"/>
  <c r="AB134" i="32" s="1"/>
  <c r="X134" i="32"/>
  <c r="Y134" i="32"/>
  <c r="Z134" i="32"/>
  <c r="W135" i="32"/>
  <c r="AB135" i="32" s="1"/>
  <c r="X135" i="32"/>
  <c r="Y135" i="32"/>
  <c r="Z135" i="32"/>
  <c r="W136" i="32"/>
  <c r="AB136" i="32" s="1"/>
  <c r="X136" i="32"/>
  <c r="Y136" i="32"/>
  <c r="Z136" i="32"/>
  <c r="W137" i="32"/>
  <c r="AB137" i="32" s="1"/>
  <c r="X137" i="32"/>
  <c r="Y137" i="32"/>
  <c r="Z137" i="32"/>
  <c r="W138" i="32"/>
  <c r="AB138" i="32" s="1"/>
  <c r="X138" i="32"/>
  <c r="Y138" i="32"/>
  <c r="Z138" i="32"/>
  <c r="W139" i="32"/>
  <c r="AB139" i="32" s="1"/>
  <c r="X139" i="32"/>
  <c r="Y139" i="32"/>
  <c r="Z139" i="32"/>
  <c r="W140" i="32"/>
  <c r="AB140" i="32" s="1"/>
  <c r="X140" i="32"/>
  <c r="Y140" i="32"/>
  <c r="Z140" i="32"/>
  <c r="W141" i="32"/>
  <c r="AB141" i="32" s="1"/>
  <c r="X141" i="32"/>
  <c r="Y141" i="32"/>
  <c r="Z141" i="32"/>
  <c r="W142" i="32"/>
  <c r="AB142" i="32" s="1"/>
  <c r="X142" i="32"/>
  <c r="Y142" i="32"/>
  <c r="Z142" i="32"/>
  <c r="W143" i="32"/>
  <c r="AB143" i="32" s="1"/>
  <c r="X143" i="32"/>
  <c r="Y143" i="32"/>
  <c r="Z143" i="32"/>
  <c r="W144" i="32"/>
  <c r="AB144" i="32" s="1"/>
  <c r="X144" i="32"/>
  <c r="Y144" i="32"/>
  <c r="Z144" i="32"/>
  <c r="W145" i="32"/>
  <c r="AB145" i="32" s="1"/>
  <c r="X145" i="32"/>
  <c r="Y145" i="32"/>
  <c r="Z145" i="32"/>
  <c r="W146" i="32"/>
  <c r="AB146" i="32" s="1"/>
  <c r="X146" i="32"/>
  <c r="Y146" i="32"/>
  <c r="Z146" i="32"/>
  <c r="W147" i="32"/>
  <c r="AB147" i="32" s="1"/>
  <c r="X147" i="32"/>
  <c r="Y147" i="32"/>
  <c r="Z147" i="32"/>
  <c r="W148" i="32"/>
  <c r="AB148" i="32" s="1"/>
  <c r="X148" i="32"/>
  <c r="Y148" i="32"/>
  <c r="Z148" i="32"/>
  <c r="W149" i="32"/>
  <c r="AB149" i="32" s="1"/>
  <c r="X149" i="32"/>
  <c r="Y149" i="32"/>
  <c r="Z149" i="32"/>
  <c r="W150" i="32"/>
  <c r="AB150" i="32" s="1"/>
  <c r="X150" i="32"/>
  <c r="Y150" i="32"/>
  <c r="Z150" i="32"/>
  <c r="W151" i="32"/>
  <c r="AB151" i="32" s="1"/>
  <c r="X151" i="32"/>
  <c r="Y151" i="32"/>
  <c r="Z151" i="32"/>
  <c r="W152" i="32"/>
  <c r="AB152" i="32" s="1"/>
  <c r="X152" i="32"/>
  <c r="Y152" i="32"/>
  <c r="Z152" i="32"/>
  <c r="W153" i="32"/>
  <c r="AB153" i="32" s="1"/>
  <c r="X153" i="32"/>
  <c r="Y153" i="32"/>
  <c r="Z153" i="32"/>
  <c r="W154" i="32"/>
  <c r="AB154" i="32" s="1"/>
  <c r="X154" i="32"/>
  <c r="Y154" i="32"/>
  <c r="Z154" i="32"/>
  <c r="W155" i="32"/>
  <c r="AB155" i="32" s="1"/>
  <c r="X155" i="32"/>
  <c r="Y155" i="32"/>
  <c r="Z155" i="32"/>
  <c r="W156" i="32"/>
  <c r="AB156" i="32" s="1"/>
  <c r="X156" i="32"/>
  <c r="Y156" i="32"/>
  <c r="Z156" i="32"/>
  <c r="W157" i="32"/>
  <c r="AB157" i="32" s="1"/>
  <c r="X157" i="32"/>
  <c r="Y157" i="32"/>
  <c r="Z157" i="32"/>
  <c r="W158" i="32"/>
  <c r="AB158" i="32" s="1"/>
  <c r="X158" i="32"/>
  <c r="Y158" i="32"/>
  <c r="Z158" i="32"/>
  <c r="W159" i="32"/>
  <c r="AB159" i="32" s="1"/>
  <c r="X159" i="32"/>
  <c r="Y159" i="32"/>
  <c r="Z159" i="32"/>
  <c r="W160" i="32"/>
  <c r="AB160" i="32" s="1"/>
  <c r="X160" i="32"/>
  <c r="Y160" i="32"/>
  <c r="Z160" i="32"/>
  <c r="W161" i="32"/>
  <c r="AB161" i="32" s="1"/>
  <c r="X161" i="32"/>
  <c r="Y161" i="32"/>
  <c r="Z161" i="32"/>
  <c r="W162" i="32"/>
  <c r="AB162" i="32" s="1"/>
  <c r="X162" i="32"/>
  <c r="Y162" i="32"/>
  <c r="Z162" i="32"/>
  <c r="W163" i="32"/>
  <c r="AB163" i="32" s="1"/>
  <c r="X163" i="32"/>
  <c r="Y163" i="32"/>
  <c r="Z163" i="32"/>
  <c r="W164" i="32"/>
  <c r="AB164" i="32" s="1"/>
  <c r="X164" i="32"/>
  <c r="Y164" i="32"/>
  <c r="Z164" i="32"/>
  <c r="W165" i="32"/>
  <c r="AB165" i="32" s="1"/>
  <c r="X165" i="32"/>
  <c r="Y165" i="32"/>
  <c r="Z165" i="32"/>
  <c r="W166" i="32"/>
  <c r="AB166" i="32" s="1"/>
  <c r="X166" i="32"/>
  <c r="Y166" i="32"/>
  <c r="Z166" i="32"/>
  <c r="W167" i="32"/>
  <c r="AB167" i="32" s="1"/>
  <c r="X167" i="32"/>
  <c r="Y167" i="32"/>
  <c r="Z167" i="32"/>
  <c r="W168" i="32"/>
  <c r="AB168" i="32" s="1"/>
  <c r="X168" i="32"/>
  <c r="Y168" i="32"/>
  <c r="Z168" i="32"/>
  <c r="W169" i="32"/>
  <c r="AB169" i="32" s="1"/>
  <c r="X169" i="32"/>
  <c r="Y169" i="32"/>
  <c r="Z169" i="32"/>
  <c r="W170" i="32"/>
  <c r="AB170" i="32" s="1"/>
  <c r="X170" i="32"/>
  <c r="Y170" i="32"/>
  <c r="Z170" i="32"/>
  <c r="W171" i="32"/>
  <c r="AB171" i="32" s="1"/>
  <c r="X171" i="32"/>
  <c r="Y171" i="32"/>
  <c r="Z171" i="32"/>
  <c r="W172" i="32"/>
  <c r="AB172" i="32" s="1"/>
  <c r="X172" i="32"/>
  <c r="Y172" i="32"/>
  <c r="Z172" i="32"/>
  <c r="W173" i="32"/>
  <c r="AB173" i="32" s="1"/>
  <c r="X173" i="32"/>
  <c r="Y173" i="32"/>
  <c r="Z173" i="32"/>
  <c r="W174" i="32"/>
  <c r="AB174" i="32" s="1"/>
  <c r="X174" i="32"/>
  <c r="Y174" i="32"/>
  <c r="Z174" i="32"/>
  <c r="W175" i="32"/>
  <c r="AB175" i="32" s="1"/>
  <c r="X175" i="32"/>
  <c r="Y175" i="32"/>
  <c r="Z175" i="32"/>
  <c r="W176" i="32"/>
  <c r="AB176" i="32" s="1"/>
  <c r="X176" i="32"/>
  <c r="Y176" i="32"/>
  <c r="Z176" i="32"/>
  <c r="W177" i="32"/>
  <c r="AB177" i="32" s="1"/>
  <c r="X177" i="32"/>
  <c r="Y177" i="32"/>
  <c r="Z177" i="32"/>
  <c r="W178" i="32"/>
  <c r="AB178" i="32" s="1"/>
  <c r="X178" i="32"/>
  <c r="Y178" i="32"/>
  <c r="Z178" i="32"/>
  <c r="W179" i="32"/>
  <c r="AB179" i="32" s="1"/>
  <c r="X179" i="32"/>
  <c r="Y179" i="32"/>
  <c r="Z179" i="32"/>
  <c r="W180" i="32"/>
  <c r="AB180" i="32" s="1"/>
  <c r="X180" i="32"/>
  <c r="Y180" i="32"/>
  <c r="Z180" i="32"/>
  <c r="W181" i="32"/>
  <c r="AB181" i="32" s="1"/>
  <c r="X181" i="32"/>
  <c r="Y181" i="32"/>
  <c r="Z181" i="32"/>
  <c r="W182" i="32"/>
  <c r="AB182" i="32" s="1"/>
  <c r="X182" i="32"/>
  <c r="Y182" i="32"/>
  <c r="Z182" i="32"/>
  <c r="W183" i="32"/>
  <c r="AB183" i="32" s="1"/>
  <c r="X183" i="32"/>
  <c r="Y183" i="32"/>
  <c r="Z183" i="32"/>
  <c r="W184" i="32"/>
  <c r="AB184" i="32" s="1"/>
  <c r="X184" i="32"/>
  <c r="Y184" i="32"/>
  <c r="Z184" i="32"/>
  <c r="W185" i="32"/>
  <c r="AB185" i="32" s="1"/>
  <c r="X185" i="32"/>
  <c r="Y185" i="32"/>
  <c r="Z185" i="32"/>
  <c r="W186" i="32"/>
  <c r="AB186" i="32" s="1"/>
  <c r="X186" i="32"/>
  <c r="Y186" i="32"/>
  <c r="Z186" i="32"/>
  <c r="W187" i="32"/>
  <c r="AB187" i="32" s="1"/>
  <c r="X187" i="32"/>
  <c r="Y187" i="32"/>
  <c r="Z187" i="32"/>
  <c r="W188" i="32"/>
  <c r="AB188" i="32" s="1"/>
  <c r="X188" i="32"/>
  <c r="Y188" i="32"/>
  <c r="Z188" i="32"/>
  <c r="W189" i="32"/>
  <c r="AB189" i="32" s="1"/>
  <c r="X189" i="32"/>
  <c r="Y189" i="32"/>
  <c r="Z189" i="32"/>
  <c r="W190" i="32"/>
  <c r="AB190" i="32" s="1"/>
  <c r="X190" i="32"/>
  <c r="Y190" i="32"/>
  <c r="Z190" i="32"/>
  <c r="W191" i="32"/>
  <c r="AB191" i="32" s="1"/>
  <c r="X191" i="32"/>
  <c r="Y191" i="32"/>
  <c r="Z191" i="32"/>
  <c r="W192" i="32"/>
  <c r="AB192" i="32" s="1"/>
  <c r="X192" i="32"/>
  <c r="Y192" i="32"/>
  <c r="Z192" i="32"/>
  <c r="W193" i="32"/>
  <c r="AB193" i="32" s="1"/>
  <c r="X193" i="32"/>
  <c r="Y193" i="32"/>
  <c r="Z193" i="32"/>
  <c r="W194" i="32"/>
  <c r="AB194" i="32" s="1"/>
  <c r="X194" i="32"/>
  <c r="Y194" i="32"/>
  <c r="Z194" i="32"/>
  <c r="W195" i="32"/>
  <c r="AB195" i="32" s="1"/>
  <c r="X195" i="32"/>
  <c r="Y195" i="32"/>
  <c r="Z195" i="32"/>
  <c r="W196" i="32"/>
  <c r="AB196" i="32" s="1"/>
  <c r="X196" i="32"/>
  <c r="Y196" i="32"/>
  <c r="Z196" i="32"/>
  <c r="W197" i="32"/>
  <c r="AB197" i="32" s="1"/>
  <c r="X197" i="32"/>
  <c r="Y197" i="32"/>
  <c r="Z197" i="32"/>
  <c r="W198" i="32"/>
  <c r="AB198" i="32" s="1"/>
  <c r="X198" i="32"/>
  <c r="Y198" i="32"/>
  <c r="Z198" i="32"/>
  <c r="W199" i="32"/>
  <c r="AB199" i="32" s="1"/>
  <c r="X199" i="32"/>
  <c r="Y199" i="32"/>
  <c r="Z199" i="32"/>
  <c r="W200" i="32"/>
  <c r="AB200" i="32" s="1"/>
  <c r="X200" i="32"/>
  <c r="Y200" i="32"/>
  <c r="Z200" i="32"/>
  <c r="W201" i="32"/>
  <c r="AB201" i="32" s="1"/>
  <c r="X201" i="32"/>
  <c r="Y201" i="32"/>
  <c r="Z201" i="32"/>
  <c r="W202" i="32"/>
  <c r="AB202" i="32" s="1"/>
  <c r="X202" i="32"/>
  <c r="Y202" i="32"/>
  <c r="Z202" i="32"/>
  <c r="W203" i="32"/>
  <c r="AB203" i="32" s="1"/>
  <c r="X203" i="32"/>
  <c r="Y203" i="32"/>
  <c r="Z203" i="32"/>
  <c r="W204" i="32"/>
  <c r="AB204" i="32" s="1"/>
  <c r="X204" i="32"/>
  <c r="Y204" i="32"/>
  <c r="Z204" i="32"/>
  <c r="W205" i="32"/>
  <c r="AB205" i="32" s="1"/>
  <c r="X205" i="32"/>
  <c r="Y205" i="32"/>
  <c r="Z205" i="32"/>
  <c r="W206" i="32"/>
  <c r="AB206" i="32" s="1"/>
  <c r="X206" i="32"/>
  <c r="Y206" i="32"/>
  <c r="Z206" i="32"/>
  <c r="W207" i="32"/>
  <c r="AB207" i="32" s="1"/>
  <c r="X207" i="32"/>
  <c r="Y207" i="32"/>
  <c r="Z207" i="32"/>
  <c r="W208" i="32"/>
  <c r="AB208" i="32" s="1"/>
  <c r="X208" i="32"/>
  <c r="Y208" i="32"/>
  <c r="Z208" i="32"/>
  <c r="W209" i="32"/>
  <c r="AB209" i="32" s="1"/>
  <c r="X209" i="32"/>
  <c r="Y209" i="32"/>
  <c r="Z209" i="32"/>
  <c r="W210" i="32"/>
  <c r="AB210" i="32" s="1"/>
  <c r="X210" i="32"/>
  <c r="Y210" i="32"/>
  <c r="Z210" i="32"/>
  <c r="W211" i="32"/>
  <c r="AB211" i="32" s="1"/>
  <c r="X211" i="32"/>
  <c r="Y211" i="32"/>
  <c r="Z211" i="32"/>
  <c r="W212" i="32"/>
  <c r="AB212" i="32" s="1"/>
  <c r="X212" i="32"/>
  <c r="Y212" i="32"/>
  <c r="Z212" i="32"/>
  <c r="W213" i="32"/>
  <c r="AB213" i="32" s="1"/>
  <c r="X213" i="32"/>
  <c r="Y213" i="32"/>
  <c r="Z213" i="32"/>
  <c r="W214" i="32"/>
  <c r="AB214" i="32" s="1"/>
  <c r="X214" i="32"/>
  <c r="Y214" i="32"/>
  <c r="Z214" i="32"/>
  <c r="W215" i="32"/>
  <c r="AB215" i="32" s="1"/>
  <c r="X215" i="32"/>
  <c r="Y215" i="32"/>
  <c r="Z215" i="32"/>
  <c r="W216" i="32"/>
  <c r="AB216" i="32" s="1"/>
  <c r="X216" i="32"/>
  <c r="Y216" i="32"/>
  <c r="Z216" i="32"/>
  <c r="W217" i="32"/>
  <c r="AB217" i="32" s="1"/>
  <c r="X217" i="32"/>
  <c r="Y217" i="32"/>
  <c r="Z217" i="32"/>
  <c r="W218" i="32"/>
  <c r="AB218" i="32" s="1"/>
  <c r="X218" i="32"/>
  <c r="Y218" i="32"/>
  <c r="Z218" i="32"/>
  <c r="W219" i="32"/>
  <c r="AB219" i="32" s="1"/>
  <c r="X219" i="32"/>
  <c r="Y219" i="32"/>
  <c r="Z219" i="32"/>
  <c r="W220" i="32"/>
  <c r="AB220" i="32" s="1"/>
  <c r="X220" i="32"/>
  <c r="Y220" i="32"/>
  <c r="Z220" i="32"/>
  <c r="W221" i="32"/>
  <c r="AB221" i="32" s="1"/>
  <c r="X221" i="32"/>
  <c r="Y221" i="32"/>
  <c r="Z221" i="32"/>
  <c r="W222" i="32"/>
  <c r="AB222" i="32" s="1"/>
  <c r="X222" i="32"/>
  <c r="Y222" i="32"/>
  <c r="Z222" i="32"/>
  <c r="W223" i="32"/>
  <c r="AB223" i="32" s="1"/>
  <c r="X223" i="32"/>
  <c r="Y223" i="32"/>
  <c r="Z223" i="32"/>
  <c r="W224" i="32"/>
  <c r="AB224" i="32" s="1"/>
  <c r="X224" i="32"/>
  <c r="Y224" i="32"/>
  <c r="Z224" i="32"/>
  <c r="W225" i="32"/>
  <c r="AB225" i="32" s="1"/>
  <c r="X225" i="32"/>
  <c r="Y225" i="32"/>
  <c r="Z225" i="32"/>
  <c r="W226" i="32"/>
  <c r="AB226" i="32" s="1"/>
  <c r="X226" i="32"/>
  <c r="Y226" i="32"/>
  <c r="Z226" i="32"/>
  <c r="W227" i="32"/>
  <c r="AB227" i="32" s="1"/>
  <c r="X227" i="32"/>
  <c r="Y227" i="32"/>
  <c r="Z227" i="32"/>
  <c r="W228" i="32"/>
  <c r="AB228" i="32" s="1"/>
  <c r="X228" i="32"/>
  <c r="Y228" i="32"/>
  <c r="Z228" i="32"/>
  <c r="W229" i="32"/>
  <c r="AB229" i="32" s="1"/>
  <c r="X229" i="32"/>
  <c r="Y229" i="32"/>
  <c r="Z229" i="32"/>
  <c r="W230" i="32"/>
  <c r="AB230" i="32" s="1"/>
  <c r="X230" i="32"/>
  <c r="Y230" i="32"/>
  <c r="Z230" i="32"/>
  <c r="W231" i="32"/>
  <c r="AB231" i="32" s="1"/>
  <c r="X231" i="32"/>
  <c r="Y231" i="32"/>
  <c r="Z231" i="32"/>
  <c r="W232" i="32"/>
  <c r="AB232" i="32" s="1"/>
  <c r="X232" i="32"/>
  <c r="Y232" i="32"/>
  <c r="Z232" i="32"/>
  <c r="W233" i="32"/>
  <c r="AB233" i="32" s="1"/>
  <c r="X233" i="32"/>
  <c r="Y233" i="32"/>
  <c r="Z233" i="32"/>
  <c r="W234" i="32"/>
  <c r="AB234" i="32" s="1"/>
  <c r="X234" i="32"/>
  <c r="Y234" i="32"/>
  <c r="Z234" i="32"/>
  <c r="W235" i="32"/>
  <c r="AB235" i="32" s="1"/>
  <c r="X235" i="32"/>
  <c r="Y235" i="32"/>
  <c r="Z235" i="32"/>
  <c r="W236" i="32"/>
  <c r="AB236" i="32" s="1"/>
  <c r="X236" i="32"/>
  <c r="Y236" i="32"/>
  <c r="Z236" i="32"/>
  <c r="W237" i="32"/>
  <c r="AB237" i="32" s="1"/>
  <c r="X237" i="32"/>
  <c r="Y237" i="32"/>
  <c r="Z237" i="32"/>
  <c r="W238" i="32"/>
  <c r="AB238" i="32" s="1"/>
  <c r="X238" i="32"/>
  <c r="Y238" i="32"/>
  <c r="Z238" i="32"/>
  <c r="W239" i="32"/>
  <c r="AB239" i="32" s="1"/>
  <c r="X239" i="32"/>
  <c r="Y239" i="32"/>
  <c r="Z239" i="32"/>
  <c r="W240" i="32"/>
  <c r="AB240" i="32" s="1"/>
  <c r="X240" i="32"/>
  <c r="Y240" i="32"/>
  <c r="Z240" i="32"/>
  <c r="W241" i="32"/>
  <c r="AB241" i="32" s="1"/>
  <c r="X241" i="32"/>
  <c r="Y241" i="32"/>
  <c r="Z241" i="32"/>
  <c r="W242" i="32"/>
  <c r="AB242" i="32" s="1"/>
  <c r="X242" i="32"/>
  <c r="Y242" i="32"/>
  <c r="Z242" i="32"/>
  <c r="W243" i="32"/>
  <c r="AB243" i="32" s="1"/>
  <c r="X243" i="32"/>
  <c r="Y243" i="32"/>
  <c r="Z243" i="32"/>
  <c r="W244" i="32"/>
  <c r="AB244" i="32" s="1"/>
  <c r="X244" i="32"/>
  <c r="Y244" i="32"/>
  <c r="Z244" i="32"/>
  <c r="W245" i="32"/>
  <c r="AB245" i="32" s="1"/>
  <c r="X245" i="32"/>
  <c r="Y245" i="32"/>
  <c r="Z245" i="32"/>
  <c r="W246" i="32"/>
  <c r="AB246" i="32" s="1"/>
  <c r="X246" i="32"/>
  <c r="Y246" i="32"/>
  <c r="Z246" i="32"/>
  <c r="W247" i="32"/>
  <c r="AB247" i="32" s="1"/>
  <c r="X247" i="32"/>
  <c r="Y247" i="32"/>
  <c r="Z247" i="32"/>
  <c r="W248" i="32"/>
  <c r="AB248" i="32" s="1"/>
  <c r="X248" i="32"/>
  <c r="Y248" i="32"/>
  <c r="Z248" i="32"/>
  <c r="W249" i="32"/>
  <c r="AB249" i="32" s="1"/>
  <c r="X249" i="32"/>
  <c r="Y249" i="32"/>
  <c r="Z249" i="32"/>
  <c r="W250" i="32"/>
  <c r="AB250" i="32" s="1"/>
  <c r="X250" i="32"/>
  <c r="Y250" i="32"/>
  <c r="Z250" i="32"/>
  <c r="W251" i="32"/>
  <c r="AB251" i="32" s="1"/>
  <c r="X251" i="32"/>
  <c r="Y251" i="32"/>
  <c r="Z251" i="32"/>
  <c r="W252" i="32"/>
  <c r="AB252" i="32" s="1"/>
  <c r="X252" i="32"/>
  <c r="Y252" i="32"/>
  <c r="Z252" i="32"/>
  <c r="W253" i="32"/>
  <c r="AB253" i="32" s="1"/>
  <c r="X253" i="32"/>
  <c r="Y253" i="32"/>
  <c r="Z253" i="32"/>
  <c r="W254" i="32"/>
  <c r="AB254" i="32" s="1"/>
  <c r="X254" i="32"/>
  <c r="Y254" i="32"/>
  <c r="Z254" i="32"/>
  <c r="W255" i="32"/>
  <c r="AB255" i="32" s="1"/>
  <c r="X255" i="32"/>
  <c r="Y255" i="32"/>
  <c r="Z255" i="32"/>
  <c r="W256" i="32"/>
  <c r="AB256" i="32" s="1"/>
  <c r="X256" i="32"/>
  <c r="Y256" i="32"/>
  <c r="Z256" i="32"/>
  <c r="W257" i="32"/>
  <c r="AB257" i="32" s="1"/>
  <c r="X257" i="32"/>
  <c r="Y257" i="32"/>
  <c r="Z257" i="32"/>
  <c r="W258" i="32"/>
  <c r="AB258" i="32" s="1"/>
  <c r="X258" i="32"/>
  <c r="Y258" i="32"/>
  <c r="Z258" i="32"/>
  <c r="W259" i="32"/>
  <c r="AB259" i="32" s="1"/>
  <c r="X259" i="32"/>
  <c r="Y259" i="32"/>
  <c r="Z259" i="32"/>
  <c r="W260" i="32"/>
  <c r="AB260" i="32" s="1"/>
  <c r="X260" i="32"/>
  <c r="Y260" i="32"/>
  <c r="Z260" i="32"/>
  <c r="W261" i="32"/>
  <c r="AB261" i="32" s="1"/>
  <c r="X261" i="32"/>
  <c r="Y261" i="32"/>
  <c r="Z261" i="32"/>
  <c r="W262" i="32"/>
  <c r="AB262" i="32" s="1"/>
  <c r="X262" i="32"/>
  <c r="Y262" i="32"/>
  <c r="Z262" i="32"/>
  <c r="W263" i="32"/>
  <c r="AB263" i="32" s="1"/>
  <c r="X263" i="32"/>
  <c r="Y263" i="32"/>
  <c r="Z263" i="32"/>
  <c r="W264" i="32"/>
  <c r="AB264" i="32" s="1"/>
  <c r="X264" i="32"/>
  <c r="Y264" i="32"/>
  <c r="Z264" i="32"/>
  <c r="W265" i="32"/>
  <c r="AB265" i="32" s="1"/>
  <c r="X265" i="32"/>
  <c r="Y265" i="32"/>
  <c r="Z265" i="32"/>
  <c r="W266" i="32"/>
  <c r="AB266" i="32" s="1"/>
  <c r="X266" i="32"/>
  <c r="Y266" i="32"/>
  <c r="Z266" i="32"/>
  <c r="W267" i="32"/>
  <c r="AB267" i="32" s="1"/>
  <c r="X267" i="32"/>
  <c r="Y267" i="32"/>
  <c r="Z267" i="32"/>
  <c r="W268" i="32"/>
  <c r="AB268" i="32" s="1"/>
  <c r="X268" i="32"/>
  <c r="Y268" i="32"/>
  <c r="Z268" i="32"/>
  <c r="W269" i="32"/>
  <c r="AB269" i="32" s="1"/>
  <c r="X269" i="32"/>
  <c r="Y269" i="32"/>
  <c r="Z269" i="32"/>
  <c r="W270" i="32"/>
  <c r="AB270" i="32" s="1"/>
  <c r="X270" i="32"/>
  <c r="Y270" i="32"/>
  <c r="Z270" i="32"/>
  <c r="W271" i="32"/>
  <c r="AB271" i="32" s="1"/>
  <c r="X271" i="32"/>
  <c r="Y271" i="32"/>
  <c r="Z271" i="32"/>
  <c r="W272" i="32"/>
  <c r="AB272" i="32" s="1"/>
  <c r="X272" i="32"/>
  <c r="Y272" i="32"/>
  <c r="Z272" i="32"/>
  <c r="W273" i="32"/>
  <c r="AB273" i="32" s="1"/>
  <c r="X273" i="32"/>
  <c r="Y273" i="32"/>
  <c r="Z273" i="32"/>
  <c r="W274" i="32"/>
  <c r="AB274" i="32" s="1"/>
  <c r="X274" i="32"/>
  <c r="Y274" i="32"/>
  <c r="Z274" i="32"/>
  <c r="W275" i="32"/>
  <c r="AB275" i="32" s="1"/>
  <c r="X275" i="32"/>
  <c r="Y275" i="32"/>
  <c r="Z275" i="32"/>
  <c r="W276" i="32"/>
  <c r="AB276" i="32" s="1"/>
  <c r="X276" i="32"/>
  <c r="Y276" i="32"/>
  <c r="Z276" i="32"/>
  <c r="W277" i="32"/>
  <c r="AB277" i="32" s="1"/>
  <c r="X277" i="32"/>
  <c r="Y277" i="32"/>
  <c r="Z277" i="32"/>
  <c r="W278" i="32"/>
  <c r="AB278" i="32" s="1"/>
  <c r="X278" i="32"/>
  <c r="Y278" i="32"/>
  <c r="Z278" i="32"/>
  <c r="W279" i="32"/>
  <c r="AB279" i="32" s="1"/>
  <c r="X279" i="32"/>
  <c r="Y279" i="32"/>
  <c r="Z279" i="32"/>
  <c r="W280" i="32"/>
  <c r="AB280" i="32" s="1"/>
  <c r="X280" i="32"/>
  <c r="Y280" i="32"/>
  <c r="Z280" i="32"/>
  <c r="W281" i="32"/>
  <c r="AB281" i="32" s="1"/>
  <c r="X281" i="32"/>
  <c r="Y281" i="32"/>
  <c r="Z281" i="32"/>
  <c r="W282" i="32"/>
  <c r="AB282" i="32" s="1"/>
  <c r="X282" i="32"/>
  <c r="Y282" i="32"/>
  <c r="Z282" i="32"/>
  <c r="W283" i="32"/>
  <c r="AB283" i="32" s="1"/>
  <c r="X283" i="32"/>
  <c r="Y283" i="32"/>
  <c r="Z283" i="32"/>
  <c r="W284" i="32"/>
  <c r="AB284" i="32" s="1"/>
  <c r="X284" i="32"/>
  <c r="Y284" i="32"/>
  <c r="Z284" i="32"/>
  <c r="W285" i="32"/>
  <c r="AB285" i="32" s="1"/>
  <c r="X285" i="32"/>
  <c r="Y285" i="32"/>
  <c r="Z285" i="32"/>
  <c r="W286" i="32"/>
  <c r="AB286" i="32" s="1"/>
  <c r="X286" i="32"/>
  <c r="Y286" i="32"/>
  <c r="Z286" i="32"/>
  <c r="W287" i="32"/>
  <c r="AB287" i="32" s="1"/>
  <c r="X287" i="32"/>
  <c r="Y287" i="32"/>
  <c r="Z287" i="32"/>
  <c r="W288" i="32"/>
  <c r="AB288" i="32" s="1"/>
  <c r="X288" i="32"/>
  <c r="Y288" i="32"/>
  <c r="Z288" i="32"/>
  <c r="W289" i="32"/>
  <c r="AB289" i="32" s="1"/>
  <c r="X289" i="32"/>
  <c r="Y289" i="32"/>
  <c r="Z289" i="32"/>
  <c r="W290" i="32"/>
  <c r="AB290" i="32" s="1"/>
  <c r="X290" i="32"/>
  <c r="Y290" i="32"/>
  <c r="Z290" i="32"/>
  <c r="W291" i="32"/>
  <c r="AB291" i="32" s="1"/>
  <c r="X291" i="32"/>
  <c r="Y291" i="32"/>
  <c r="Z291" i="32"/>
  <c r="W292" i="32"/>
  <c r="AB292" i="32" s="1"/>
  <c r="X292" i="32"/>
  <c r="Y292" i="32"/>
  <c r="Z292" i="32"/>
  <c r="W293" i="32"/>
  <c r="AB293" i="32" s="1"/>
  <c r="X293" i="32"/>
  <c r="Y293" i="32"/>
  <c r="Z293" i="32"/>
  <c r="W294" i="32"/>
  <c r="AB294" i="32" s="1"/>
  <c r="X294" i="32"/>
  <c r="Y294" i="32"/>
  <c r="Z294" i="32"/>
  <c r="W295" i="32"/>
  <c r="AB295" i="32" s="1"/>
  <c r="X295" i="32"/>
  <c r="Y295" i="32"/>
  <c r="Z295" i="32"/>
  <c r="W296" i="32"/>
  <c r="AB296" i="32" s="1"/>
  <c r="X296" i="32"/>
  <c r="Y296" i="32"/>
  <c r="Z296" i="32"/>
  <c r="W297" i="32"/>
  <c r="AB297" i="32" s="1"/>
  <c r="X297" i="32"/>
  <c r="Y297" i="32"/>
  <c r="Z297" i="32"/>
  <c r="W298" i="32"/>
  <c r="AB298" i="32" s="1"/>
  <c r="X298" i="32"/>
  <c r="Y298" i="32"/>
  <c r="Z298" i="32"/>
  <c r="W299" i="32"/>
  <c r="AB299" i="32" s="1"/>
  <c r="X299" i="32"/>
  <c r="Y299" i="32"/>
  <c r="Z299" i="32"/>
  <c r="W300" i="32"/>
  <c r="AB300" i="32" s="1"/>
  <c r="X300" i="32"/>
  <c r="Y300" i="32"/>
  <c r="Z300" i="32"/>
  <c r="W301" i="32"/>
  <c r="AB301" i="32" s="1"/>
  <c r="X301" i="32"/>
  <c r="Y301" i="32"/>
  <c r="Z301" i="32"/>
  <c r="W302" i="32"/>
  <c r="AB302" i="32" s="1"/>
  <c r="X302" i="32"/>
  <c r="Y302" i="32"/>
  <c r="Z302" i="32"/>
  <c r="W303" i="32"/>
  <c r="AB303" i="32" s="1"/>
  <c r="X303" i="32"/>
  <c r="Y303" i="32"/>
  <c r="Z303" i="32"/>
  <c r="W304" i="32"/>
  <c r="AB304" i="32" s="1"/>
  <c r="X304" i="32"/>
  <c r="Y304" i="32"/>
  <c r="Z304" i="32"/>
  <c r="W305" i="32"/>
  <c r="AB305" i="32" s="1"/>
  <c r="X305" i="32"/>
  <c r="Y305" i="32"/>
  <c r="Z305" i="32"/>
  <c r="W306" i="32"/>
  <c r="AB306" i="32" s="1"/>
  <c r="X306" i="32"/>
  <c r="Y306" i="32"/>
  <c r="Z306" i="32"/>
  <c r="W307" i="32"/>
  <c r="AB307" i="32" s="1"/>
  <c r="X307" i="32"/>
  <c r="Y307" i="32"/>
  <c r="Z307" i="32"/>
  <c r="W308" i="32"/>
  <c r="AB308" i="32" s="1"/>
  <c r="X308" i="32"/>
  <c r="Y308" i="32"/>
  <c r="Z308" i="32"/>
  <c r="W309" i="32"/>
  <c r="AB309" i="32" s="1"/>
  <c r="X309" i="32"/>
  <c r="Y309" i="32"/>
  <c r="Z309" i="32"/>
  <c r="W310" i="32"/>
  <c r="AB310" i="32" s="1"/>
  <c r="X310" i="32"/>
  <c r="Y310" i="32"/>
  <c r="Z310" i="32"/>
  <c r="W311" i="32"/>
  <c r="AB311" i="32" s="1"/>
  <c r="X311" i="32"/>
  <c r="Y311" i="32"/>
  <c r="Z311" i="32"/>
  <c r="W312" i="32"/>
  <c r="AB312" i="32" s="1"/>
  <c r="X312" i="32"/>
  <c r="Y312" i="32"/>
  <c r="Z312" i="32"/>
  <c r="W313" i="32"/>
  <c r="AB313" i="32" s="1"/>
  <c r="X313" i="32"/>
  <c r="Y313" i="32"/>
  <c r="Z313" i="32"/>
  <c r="W314" i="32"/>
  <c r="AB314" i="32" s="1"/>
  <c r="X314" i="32"/>
  <c r="Y314" i="32"/>
  <c r="Z314" i="32"/>
  <c r="W315" i="32"/>
  <c r="AB315" i="32" s="1"/>
  <c r="X315" i="32"/>
  <c r="Y315" i="32"/>
  <c r="Z315" i="32"/>
  <c r="W316" i="32"/>
  <c r="AB316" i="32" s="1"/>
  <c r="X316" i="32"/>
  <c r="Y316" i="32"/>
  <c r="Z316" i="32"/>
  <c r="W317" i="32"/>
  <c r="AB317" i="32" s="1"/>
  <c r="X317" i="32"/>
  <c r="Y317" i="32"/>
  <c r="Z317" i="32"/>
  <c r="W318" i="32"/>
  <c r="AB318" i="32" s="1"/>
  <c r="X318" i="32"/>
  <c r="Y318" i="32"/>
  <c r="Z318" i="32"/>
  <c r="W319" i="32"/>
  <c r="AB319" i="32" s="1"/>
  <c r="X319" i="32"/>
  <c r="Y319" i="32"/>
  <c r="Z319" i="32"/>
  <c r="W320" i="32"/>
  <c r="AB320" i="32" s="1"/>
  <c r="X320" i="32"/>
  <c r="Y320" i="32"/>
  <c r="Z320" i="32"/>
  <c r="W321" i="32"/>
  <c r="AB321" i="32" s="1"/>
  <c r="X321" i="32"/>
  <c r="Y321" i="32"/>
  <c r="Z321" i="32"/>
  <c r="W322" i="32"/>
  <c r="AB322" i="32" s="1"/>
  <c r="X322" i="32"/>
  <c r="Y322" i="32"/>
  <c r="Z322" i="32"/>
  <c r="W323" i="32"/>
  <c r="AB323" i="32" s="1"/>
  <c r="X323" i="32"/>
  <c r="Y323" i="32"/>
  <c r="Z323" i="32"/>
  <c r="W324" i="32"/>
  <c r="AB324" i="32" s="1"/>
  <c r="X324" i="32"/>
  <c r="Y324" i="32"/>
  <c r="Z324" i="32"/>
  <c r="W325" i="32"/>
  <c r="AB325" i="32" s="1"/>
  <c r="X325" i="32"/>
  <c r="Y325" i="32"/>
  <c r="Z325" i="32"/>
  <c r="W326" i="32"/>
  <c r="AB326" i="32" s="1"/>
  <c r="X326" i="32"/>
  <c r="Y326" i="32"/>
  <c r="Z326" i="32"/>
  <c r="W327" i="32"/>
  <c r="AB327" i="32" s="1"/>
  <c r="X327" i="32"/>
  <c r="Y327" i="32"/>
  <c r="Z327" i="32"/>
  <c r="W328" i="32"/>
  <c r="AB328" i="32" s="1"/>
  <c r="X328" i="32"/>
  <c r="Y328" i="32"/>
  <c r="Z328" i="32"/>
  <c r="W329" i="32"/>
  <c r="AB329" i="32" s="1"/>
  <c r="X329" i="32"/>
  <c r="Y329" i="32"/>
  <c r="Z329" i="32"/>
  <c r="W330" i="32"/>
  <c r="AB330" i="32" s="1"/>
  <c r="X330" i="32"/>
  <c r="Y330" i="32"/>
  <c r="Z330" i="32"/>
  <c r="W331" i="32"/>
  <c r="AB331" i="32" s="1"/>
  <c r="X331" i="32"/>
  <c r="Y331" i="32"/>
  <c r="Z331" i="32"/>
  <c r="W332" i="32"/>
  <c r="AB332" i="32" s="1"/>
  <c r="X332" i="32"/>
  <c r="Y332" i="32"/>
  <c r="Z332" i="32"/>
  <c r="W333" i="32"/>
  <c r="AB333" i="32" s="1"/>
  <c r="X333" i="32"/>
  <c r="Y333" i="32"/>
  <c r="Z333" i="32"/>
  <c r="W334" i="32"/>
  <c r="AB334" i="32" s="1"/>
  <c r="X334" i="32"/>
  <c r="Y334" i="32"/>
  <c r="Z334" i="32"/>
  <c r="W335" i="32"/>
  <c r="AB335" i="32" s="1"/>
  <c r="X335" i="32"/>
  <c r="Y335" i="32"/>
  <c r="Z335" i="32"/>
  <c r="W336" i="32"/>
  <c r="AB336" i="32" s="1"/>
  <c r="X336" i="32"/>
  <c r="Y336" i="32"/>
  <c r="Z336" i="32"/>
  <c r="W337" i="32"/>
  <c r="AB337" i="32" s="1"/>
  <c r="X337" i="32"/>
  <c r="Y337" i="32"/>
  <c r="Z337" i="32"/>
  <c r="W338" i="32"/>
  <c r="AB338" i="32" s="1"/>
  <c r="X338" i="32"/>
  <c r="Y338" i="32"/>
  <c r="Z338" i="32"/>
  <c r="W339" i="32"/>
  <c r="AB339" i="32" s="1"/>
  <c r="X339" i="32"/>
  <c r="Y339" i="32"/>
  <c r="Z339" i="32"/>
  <c r="W340" i="32"/>
  <c r="AB340" i="32" s="1"/>
  <c r="X340" i="32"/>
  <c r="Y340" i="32"/>
  <c r="Z340" i="32"/>
  <c r="W341" i="32"/>
  <c r="AB341" i="32" s="1"/>
  <c r="X341" i="32"/>
  <c r="Y341" i="32"/>
  <c r="Z341" i="32"/>
  <c r="W342" i="32"/>
  <c r="AB342" i="32" s="1"/>
  <c r="X342" i="32"/>
  <c r="Y342" i="32"/>
  <c r="Z342" i="32"/>
  <c r="W343" i="32"/>
  <c r="AB343" i="32" s="1"/>
  <c r="X343" i="32"/>
  <c r="Y343" i="32"/>
  <c r="Z343" i="32"/>
  <c r="W344" i="32"/>
  <c r="AB344" i="32" s="1"/>
  <c r="X344" i="32"/>
  <c r="Y344" i="32"/>
  <c r="Z344" i="32"/>
  <c r="W345" i="32"/>
  <c r="AB345" i="32" s="1"/>
  <c r="X345" i="32"/>
  <c r="Y345" i="32"/>
  <c r="Z345" i="32"/>
  <c r="W346" i="32"/>
  <c r="AB346" i="32" s="1"/>
  <c r="X346" i="32"/>
  <c r="Y346" i="32"/>
  <c r="Z346" i="32"/>
  <c r="W347" i="32"/>
  <c r="AB347" i="32" s="1"/>
  <c r="X347" i="32"/>
  <c r="Y347" i="32"/>
  <c r="Z347" i="32"/>
  <c r="W348" i="32"/>
  <c r="AB348" i="32" s="1"/>
  <c r="X348" i="32"/>
  <c r="Y348" i="32"/>
  <c r="Z348" i="32"/>
  <c r="W349" i="32"/>
  <c r="AB349" i="32" s="1"/>
  <c r="X349" i="32"/>
  <c r="Y349" i="32"/>
  <c r="Z349" i="32"/>
  <c r="W350" i="32"/>
  <c r="AB350" i="32" s="1"/>
  <c r="X350" i="32"/>
  <c r="Y350" i="32"/>
  <c r="Z350" i="32"/>
  <c r="W351" i="32"/>
  <c r="AB351" i="32" s="1"/>
  <c r="X351" i="32"/>
  <c r="Y351" i="32"/>
  <c r="Z351" i="32"/>
  <c r="W352" i="32"/>
  <c r="AB352" i="32" s="1"/>
  <c r="X352" i="32"/>
  <c r="Y352" i="32"/>
  <c r="Z352" i="32"/>
  <c r="W353" i="32"/>
  <c r="AB353" i="32" s="1"/>
  <c r="X353" i="32"/>
  <c r="Y353" i="32"/>
  <c r="Z353" i="32"/>
  <c r="W354" i="32"/>
  <c r="AB354" i="32" s="1"/>
  <c r="X354" i="32"/>
  <c r="Y354" i="32"/>
  <c r="Z354" i="32"/>
  <c r="W355" i="32"/>
  <c r="AB355" i="32" s="1"/>
  <c r="X355" i="32"/>
  <c r="Y355" i="32"/>
  <c r="Z355" i="32"/>
  <c r="W356" i="32"/>
  <c r="AB356" i="32" s="1"/>
  <c r="X356" i="32"/>
  <c r="Y356" i="32"/>
  <c r="Z356" i="32"/>
  <c r="W357" i="32"/>
  <c r="AB357" i="32" s="1"/>
  <c r="X357" i="32"/>
  <c r="Y357" i="32"/>
  <c r="Z357" i="32"/>
  <c r="W358" i="32"/>
  <c r="AB358" i="32" s="1"/>
  <c r="X358" i="32"/>
  <c r="Y358" i="32"/>
  <c r="Z358" i="32"/>
  <c r="W359" i="32"/>
  <c r="AB359" i="32" s="1"/>
  <c r="X359" i="32"/>
  <c r="Y359" i="32"/>
  <c r="Z359" i="32"/>
  <c r="W360" i="32"/>
  <c r="AB360" i="32" s="1"/>
  <c r="X360" i="32"/>
  <c r="Y360" i="32"/>
  <c r="Z360" i="32"/>
  <c r="W361" i="32"/>
  <c r="AB361" i="32" s="1"/>
  <c r="X361" i="32"/>
  <c r="Y361" i="32"/>
  <c r="Z361" i="32"/>
  <c r="W362" i="32"/>
  <c r="AB362" i="32" s="1"/>
  <c r="X362" i="32"/>
  <c r="Y362" i="32"/>
  <c r="Z362" i="32"/>
  <c r="W363" i="32"/>
  <c r="AB363" i="32" s="1"/>
  <c r="X363" i="32"/>
  <c r="Y363" i="32"/>
  <c r="Z363" i="32"/>
  <c r="W364" i="32"/>
  <c r="AB364" i="32" s="1"/>
  <c r="X364" i="32"/>
  <c r="Y364" i="32"/>
  <c r="Z364" i="32"/>
  <c r="W365" i="32"/>
  <c r="AB365" i="32" s="1"/>
  <c r="X365" i="32"/>
  <c r="Y365" i="32"/>
  <c r="Z365" i="32"/>
  <c r="W366" i="32"/>
  <c r="AB366" i="32" s="1"/>
  <c r="X366" i="32"/>
  <c r="Y366" i="32"/>
  <c r="Z366" i="32"/>
  <c r="W367" i="32"/>
  <c r="AB367" i="32" s="1"/>
  <c r="X367" i="32"/>
  <c r="Y367" i="32"/>
  <c r="Z367" i="32"/>
  <c r="W368" i="32"/>
  <c r="AB368" i="32" s="1"/>
  <c r="X368" i="32"/>
  <c r="Y368" i="32"/>
  <c r="Z368" i="32"/>
  <c r="W369" i="32"/>
  <c r="AB369" i="32" s="1"/>
  <c r="X369" i="32"/>
  <c r="Y369" i="32"/>
  <c r="Z369" i="32"/>
  <c r="W370" i="32"/>
  <c r="AB370" i="32" s="1"/>
  <c r="X370" i="32"/>
  <c r="Y370" i="32"/>
  <c r="Z370" i="32"/>
  <c r="W371" i="32"/>
  <c r="AB371" i="32" s="1"/>
  <c r="X371" i="32"/>
  <c r="Y371" i="32"/>
  <c r="Z371" i="32"/>
  <c r="W372" i="32"/>
  <c r="AB372" i="32" s="1"/>
  <c r="X372" i="32"/>
  <c r="Y372" i="32"/>
  <c r="Z372" i="32"/>
  <c r="W373" i="32"/>
  <c r="AB373" i="32" s="1"/>
  <c r="X373" i="32"/>
  <c r="Y373" i="32"/>
  <c r="Z373" i="32"/>
  <c r="W374" i="32"/>
  <c r="AB374" i="32" s="1"/>
  <c r="X374" i="32"/>
  <c r="Y374" i="32"/>
  <c r="Z374" i="32"/>
  <c r="W375" i="32"/>
  <c r="AB375" i="32" s="1"/>
  <c r="X375" i="32"/>
  <c r="Y375" i="32"/>
  <c r="Z375" i="32"/>
  <c r="W376" i="32"/>
  <c r="AB376" i="32" s="1"/>
  <c r="X376" i="32"/>
  <c r="Y376" i="32"/>
  <c r="Z376" i="32"/>
  <c r="W377" i="32"/>
  <c r="AB377" i="32" s="1"/>
  <c r="X377" i="32"/>
  <c r="Y377" i="32"/>
  <c r="Z377" i="32"/>
  <c r="W378" i="32"/>
  <c r="AB378" i="32" s="1"/>
  <c r="X378" i="32"/>
  <c r="Y378" i="32"/>
  <c r="Z378" i="32"/>
  <c r="W379" i="32"/>
  <c r="AB379" i="32" s="1"/>
  <c r="X379" i="32"/>
  <c r="Y379" i="32"/>
  <c r="Z379" i="32"/>
  <c r="W380" i="32"/>
  <c r="AB380" i="32" s="1"/>
  <c r="X380" i="32"/>
  <c r="Y380" i="32"/>
  <c r="Z380" i="32"/>
  <c r="W381" i="32"/>
  <c r="AB381" i="32" s="1"/>
  <c r="X381" i="32"/>
  <c r="Y381" i="32"/>
  <c r="Z381" i="32"/>
  <c r="W382" i="32"/>
  <c r="AB382" i="32" s="1"/>
  <c r="X382" i="32"/>
  <c r="Y382" i="32"/>
  <c r="Z382" i="32"/>
  <c r="W383" i="32"/>
  <c r="AB383" i="32" s="1"/>
  <c r="X383" i="32"/>
  <c r="Y383" i="32"/>
  <c r="Z383" i="32"/>
  <c r="W384" i="32"/>
  <c r="AB384" i="32" s="1"/>
  <c r="X384" i="32"/>
  <c r="Y384" i="32"/>
  <c r="Z384" i="32"/>
  <c r="W385" i="32"/>
  <c r="AB385" i="32" s="1"/>
  <c r="X385" i="32"/>
  <c r="Y385" i="32"/>
  <c r="Z385" i="32"/>
  <c r="W386" i="32"/>
  <c r="AB386" i="32" s="1"/>
  <c r="X386" i="32"/>
  <c r="Y386" i="32"/>
  <c r="Z386" i="32"/>
  <c r="W387" i="32"/>
  <c r="AB387" i="32" s="1"/>
  <c r="X387" i="32"/>
  <c r="Y387" i="32"/>
  <c r="Z387" i="32"/>
  <c r="W388" i="32"/>
  <c r="AB388" i="32" s="1"/>
  <c r="X388" i="32"/>
  <c r="Y388" i="32"/>
  <c r="Z388" i="32"/>
  <c r="W389" i="32"/>
  <c r="AB389" i="32" s="1"/>
  <c r="X389" i="32"/>
  <c r="Y389" i="32"/>
  <c r="Z389" i="32"/>
  <c r="W390" i="32"/>
  <c r="AB390" i="32" s="1"/>
  <c r="X390" i="32"/>
  <c r="Y390" i="32"/>
  <c r="Z390" i="32"/>
  <c r="W391" i="32"/>
  <c r="AB391" i="32" s="1"/>
  <c r="X391" i="32"/>
  <c r="Y391" i="32"/>
  <c r="Z391" i="32"/>
  <c r="W392" i="32"/>
  <c r="AB392" i="32" s="1"/>
  <c r="X392" i="32"/>
  <c r="Y392" i="32"/>
  <c r="Z392" i="32"/>
  <c r="W393" i="32"/>
  <c r="AB393" i="32" s="1"/>
  <c r="X393" i="32"/>
  <c r="Y393" i="32"/>
  <c r="Z393" i="32"/>
  <c r="W394" i="32"/>
  <c r="AB394" i="32" s="1"/>
  <c r="X394" i="32"/>
  <c r="Y394" i="32"/>
  <c r="Z394" i="32"/>
  <c r="W395" i="32"/>
  <c r="AB395" i="32" s="1"/>
  <c r="X395" i="32"/>
  <c r="Y395" i="32"/>
  <c r="Z395" i="32"/>
  <c r="W396" i="32"/>
  <c r="AB396" i="32" s="1"/>
  <c r="X396" i="32"/>
  <c r="Y396" i="32"/>
  <c r="Z396" i="32"/>
  <c r="W397" i="32"/>
  <c r="AB397" i="32" s="1"/>
  <c r="X397" i="32"/>
  <c r="Y397" i="32"/>
  <c r="Z397" i="32"/>
  <c r="W398" i="32"/>
  <c r="AB398" i="32" s="1"/>
  <c r="X398" i="32"/>
  <c r="Y398" i="32"/>
  <c r="Z398" i="32"/>
  <c r="W399" i="32"/>
  <c r="AB399" i="32" s="1"/>
  <c r="X399" i="32"/>
  <c r="Y399" i="32"/>
  <c r="Z399" i="32"/>
  <c r="W400" i="32"/>
  <c r="AB400" i="32" s="1"/>
  <c r="X400" i="32"/>
  <c r="Y400" i="32"/>
  <c r="Z400" i="32"/>
  <c r="W401" i="32"/>
  <c r="AB401" i="32" s="1"/>
  <c r="X401" i="32"/>
  <c r="Y401" i="32"/>
  <c r="Z401" i="32"/>
  <c r="W402" i="32"/>
  <c r="AB402" i="32" s="1"/>
  <c r="X402" i="32"/>
  <c r="Y402" i="32"/>
  <c r="Z402" i="32"/>
  <c r="W403" i="32"/>
  <c r="AB403" i="32" s="1"/>
  <c r="X403" i="32"/>
  <c r="Y403" i="32"/>
  <c r="Z403" i="32"/>
  <c r="W404" i="32"/>
  <c r="AB404" i="32" s="1"/>
  <c r="X404" i="32"/>
  <c r="Y404" i="32"/>
  <c r="Z404" i="32"/>
  <c r="W405" i="32"/>
  <c r="AB405" i="32" s="1"/>
  <c r="X405" i="32"/>
  <c r="Y405" i="32"/>
  <c r="Z405" i="32"/>
  <c r="W406" i="32"/>
  <c r="AB406" i="32" s="1"/>
  <c r="X406" i="32"/>
  <c r="Y406" i="32"/>
  <c r="Z406" i="32"/>
  <c r="W407" i="32"/>
  <c r="AB407" i="32" s="1"/>
  <c r="X407" i="32"/>
  <c r="Y407" i="32"/>
  <c r="Z407" i="32"/>
  <c r="W408" i="32"/>
  <c r="AB408" i="32" s="1"/>
  <c r="X408" i="32"/>
  <c r="Y408" i="32"/>
  <c r="Z408" i="32"/>
  <c r="W409" i="32"/>
  <c r="AB409" i="32" s="1"/>
  <c r="X409" i="32"/>
  <c r="Y409" i="32"/>
  <c r="Z409" i="32"/>
  <c r="W410" i="32"/>
  <c r="AB410" i="32" s="1"/>
  <c r="X410" i="32"/>
  <c r="Y410" i="32"/>
  <c r="Z410" i="32"/>
  <c r="W411" i="32"/>
  <c r="AB411" i="32" s="1"/>
  <c r="X411" i="32"/>
  <c r="Y411" i="32"/>
  <c r="Z411" i="32"/>
  <c r="W412" i="32"/>
  <c r="AB412" i="32" s="1"/>
  <c r="X412" i="32"/>
  <c r="Y412" i="32"/>
  <c r="Z412" i="32"/>
  <c r="W413" i="32"/>
  <c r="AB413" i="32" s="1"/>
  <c r="X413" i="32"/>
  <c r="Y413" i="32"/>
  <c r="Z413" i="32"/>
  <c r="W414" i="32"/>
  <c r="AB414" i="32" s="1"/>
  <c r="X414" i="32"/>
  <c r="Y414" i="32"/>
  <c r="Z414" i="32"/>
  <c r="W415" i="32"/>
  <c r="AB415" i="32" s="1"/>
  <c r="X415" i="32"/>
  <c r="Y415" i="32"/>
  <c r="Z415" i="32"/>
  <c r="W416" i="32"/>
  <c r="AB416" i="32" s="1"/>
  <c r="X416" i="32"/>
  <c r="Y416" i="32"/>
  <c r="Z416" i="32"/>
  <c r="W417" i="32"/>
  <c r="AB417" i="32" s="1"/>
  <c r="X417" i="32"/>
  <c r="Y417" i="32"/>
  <c r="Z417" i="32"/>
  <c r="W418" i="32"/>
  <c r="AB418" i="32" s="1"/>
  <c r="X418" i="32"/>
  <c r="Y418" i="32"/>
  <c r="Z418" i="32"/>
  <c r="W419" i="32"/>
  <c r="AB419" i="32" s="1"/>
  <c r="X419" i="32"/>
  <c r="Y419" i="32"/>
  <c r="Z419" i="32"/>
  <c r="W420" i="32"/>
  <c r="AB420" i="32" s="1"/>
  <c r="X420" i="32"/>
  <c r="Y420" i="32"/>
  <c r="Z420" i="32"/>
  <c r="W421" i="32"/>
  <c r="AB421" i="32" s="1"/>
  <c r="X421" i="32"/>
  <c r="Y421" i="32"/>
  <c r="Z421" i="32"/>
  <c r="W422" i="32"/>
  <c r="AB422" i="32" s="1"/>
  <c r="X422" i="32"/>
  <c r="Y422" i="32"/>
  <c r="Z422" i="32"/>
  <c r="W423" i="32"/>
  <c r="AB423" i="32" s="1"/>
  <c r="X423" i="32"/>
  <c r="Y423" i="32"/>
  <c r="Z423" i="32"/>
  <c r="W424" i="32"/>
  <c r="AB424" i="32" s="1"/>
  <c r="X424" i="32"/>
  <c r="Y424" i="32"/>
  <c r="Z424" i="32"/>
  <c r="W425" i="32"/>
  <c r="AB425" i="32" s="1"/>
  <c r="X425" i="32"/>
  <c r="Y425" i="32"/>
  <c r="Z425" i="32"/>
  <c r="W2" i="32"/>
  <c r="AB2" i="32" s="1"/>
  <c r="X2" i="32"/>
  <c r="Y2" i="32"/>
  <c r="Z2" i="32"/>
  <c r="W3" i="31"/>
  <c r="X3" i="31"/>
  <c r="Y3" i="31"/>
  <c r="Z3" i="31"/>
  <c r="W4" i="31"/>
  <c r="X4" i="31"/>
  <c r="Y4" i="31"/>
  <c r="Z4" i="31"/>
  <c r="W5" i="31"/>
  <c r="X5" i="31"/>
  <c r="Y5" i="31"/>
  <c r="Z5" i="31"/>
  <c r="W6" i="31"/>
  <c r="X6" i="31"/>
  <c r="Y6" i="31"/>
  <c r="Z6" i="31"/>
  <c r="W7" i="31"/>
  <c r="X7" i="31"/>
  <c r="Y7" i="31"/>
  <c r="Z7" i="31"/>
  <c r="W8" i="31"/>
  <c r="X8" i="31"/>
  <c r="Y8" i="31"/>
  <c r="Z8" i="31"/>
  <c r="W9" i="31"/>
  <c r="X9" i="31"/>
  <c r="Y9" i="31"/>
  <c r="Z9" i="31"/>
  <c r="W10" i="31"/>
  <c r="X10" i="31"/>
  <c r="Y10" i="31"/>
  <c r="Z10" i="31"/>
  <c r="W11" i="31"/>
  <c r="X11" i="31"/>
  <c r="Y11" i="31"/>
  <c r="Z11" i="31"/>
  <c r="W12" i="31"/>
  <c r="X12" i="31"/>
  <c r="Y12" i="31"/>
  <c r="Z12" i="31"/>
  <c r="W13" i="31"/>
  <c r="X13" i="31"/>
  <c r="Y13" i="31"/>
  <c r="Z13" i="31"/>
  <c r="W14" i="31"/>
  <c r="X14" i="31"/>
  <c r="Y14" i="31"/>
  <c r="Z14" i="31"/>
  <c r="W15" i="31"/>
  <c r="X15" i="31"/>
  <c r="Y15" i="31"/>
  <c r="Z15" i="31"/>
  <c r="W16" i="31"/>
  <c r="X16" i="31"/>
  <c r="Y16" i="31"/>
  <c r="Z16" i="31"/>
  <c r="W17" i="31"/>
  <c r="X17" i="31"/>
  <c r="Y17" i="31"/>
  <c r="Z17" i="31"/>
  <c r="W18" i="31"/>
  <c r="X18" i="31"/>
  <c r="Y18" i="31"/>
  <c r="Z18" i="31"/>
  <c r="W19" i="31"/>
  <c r="X19" i="31"/>
  <c r="Y19" i="31"/>
  <c r="Z19" i="31"/>
  <c r="W20" i="31"/>
  <c r="X20" i="31"/>
  <c r="Y20" i="31"/>
  <c r="Z20" i="31"/>
  <c r="W21" i="31"/>
  <c r="X21" i="31"/>
  <c r="Y21" i="31"/>
  <c r="Z21" i="31"/>
  <c r="W22" i="31"/>
  <c r="X22" i="31"/>
  <c r="Y22" i="31"/>
  <c r="Z22" i="31"/>
  <c r="W23" i="31"/>
  <c r="X23" i="31"/>
  <c r="Y23" i="31"/>
  <c r="Z23" i="31"/>
  <c r="W24" i="31"/>
  <c r="X24" i="31"/>
  <c r="Y24" i="31"/>
  <c r="Z24" i="31"/>
  <c r="W25" i="31"/>
  <c r="X25" i="31"/>
  <c r="Y25" i="31"/>
  <c r="Z25" i="31"/>
  <c r="W26" i="31"/>
  <c r="X26" i="31"/>
  <c r="Y26" i="31"/>
  <c r="Z26" i="31"/>
  <c r="W27" i="31"/>
  <c r="X27" i="31"/>
  <c r="Y27" i="31"/>
  <c r="Z27" i="31"/>
  <c r="W28" i="31"/>
  <c r="X28" i="31"/>
  <c r="Y28" i="31"/>
  <c r="Z28" i="31"/>
  <c r="W29" i="31"/>
  <c r="X29" i="31"/>
  <c r="Y29" i="31"/>
  <c r="Z29" i="31"/>
  <c r="W30" i="31"/>
  <c r="X30" i="31"/>
  <c r="Y30" i="31"/>
  <c r="Z30" i="31"/>
  <c r="W31" i="31"/>
  <c r="X31" i="31"/>
  <c r="Y31" i="31"/>
  <c r="Z31" i="31"/>
  <c r="W32" i="31"/>
  <c r="X32" i="31"/>
  <c r="Y32" i="31"/>
  <c r="Z32" i="31"/>
  <c r="W33" i="31"/>
  <c r="X33" i="31"/>
  <c r="Y33" i="31"/>
  <c r="Z33" i="31"/>
  <c r="W34" i="31"/>
  <c r="X34" i="31"/>
  <c r="Y34" i="31"/>
  <c r="Z34" i="31"/>
  <c r="W35" i="31"/>
  <c r="X35" i="31"/>
  <c r="Y35" i="31"/>
  <c r="Z35" i="31"/>
  <c r="W36" i="31"/>
  <c r="X36" i="31"/>
  <c r="Y36" i="31"/>
  <c r="Z36" i="31"/>
  <c r="W37" i="31"/>
  <c r="X37" i="31"/>
  <c r="Y37" i="31"/>
  <c r="Z37" i="31"/>
  <c r="W38" i="31"/>
  <c r="X38" i="31"/>
  <c r="Y38" i="31"/>
  <c r="Z38" i="31"/>
  <c r="W39" i="31"/>
  <c r="X39" i="31"/>
  <c r="Y39" i="31"/>
  <c r="Z39" i="31"/>
  <c r="W40" i="31"/>
  <c r="X40" i="31"/>
  <c r="Y40" i="31"/>
  <c r="Z40" i="31"/>
  <c r="W41" i="31"/>
  <c r="X41" i="31"/>
  <c r="Y41" i="31"/>
  <c r="Z41" i="31"/>
  <c r="W42" i="31"/>
  <c r="X42" i="31"/>
  <c r="Y42" i="31"/>
  <c r="Z42" i="31"/>
  <c r="W43" i="31"/>
  <c r="X43" i="31"/>
  <c r="Y43" i="31"/>
  <c r="Z43" i="31"/>
  <c r="W44" i="31"/>
  <c r="X44" i="31"/>
  <c r="Y44" i="31"/>
  <c r="Z44" i="31"/>
  <c r="W45" i="31"/>
  <c r="X45" i="31"/>
  <c r="Y45" i="31"/>
  <c r="Z45" i="31"/>
  <c r="W46" i="31"/>
  <c r="X46" i="31"/>
  <c r="Y46" i="31"/>
  <c r="Z46" i="31"/>
  <c r="W47" i="31"/>
  <c r="X47" i="31"/>
  <c r="Y47" i="31"/>
  <c r="Z47" i="31"/>
  <c r="W48" i="31"/>
  <c r="X48" i="31"/>
  <c r="Y48" i="31"/>
  <c r="Z48" i="31"/>
  <c r="W49" i="31"/>
  <c r="X49" i="31"/>
  <c r="Y49" i="31"/>
  <c r="Z49" i="31"/>
  <c r="W50" i="31"/>
  <c r="X50" i="31"/>
  <c r="Y50" i="31"/>
  <c r="Z50" i="31"/>
  <c r="W51" i="31"/>
  <c r="X51" i="31"/>
  <c r="Y51" i="31"/>
  <c r="Z51" i="31"/>
  <c r="W52" i="31"/>
  <c r="X52" i="31"/>
  <c r="Y52" i="31"/>
  <c r="Z52" i="31"/>
  <c r="W53" i="31"/>
  <c r="X53" i="31"/>
  <c r="Y53" i="31"/>
  <c r="Z53" i="31"/>
  <c r="W54" i="31"/>
  <c r="X54" i="31"/>
  <c r="Y54" i="31"/>
  <c r="Z54" i="31"/>
  <c r="W55" i="31"/>
  <c r="X55" i="31"/>
  <c r="Y55" i="31"/>
  <c r="Z55" i="31"/>
  <c r="W56" i="31"/>
  <c r="X56" i="31"/>
  <c r="Y56" i="31"/>
  <c r="Z56" i="31"/>
  <c r="W57" i="31"/>
  <c r="X57" i="31"/>
  <c r="Y57" i="31"/>
  <c r="Z57" i="31"/>
  <c r="W58" i="31"/>
  <c r="X58" i="31"/>
  <c r="Y58" i="31"/>
  <c r="Z58" i="31"/>
  <c r="W59" i="31"/>
  <c r="X59" i="31"/>
  <c r="Y59" i="31"/>
  <c r="Z59" i="31"/>
  <c r="W60" i="31"/>
  <c r="X60" i="31"/>
  <c r="Y60" i="31"/>
  <c r="Z60" i="31"/>
  <c r="W61" i="31"/>
  <c r="X61" i="31"/>
  <c r="Y61" i="31"/>
  <c r="Z61" i="31"/>
  <c r="W62" i="31"/>
  <c r="X62" i="31"/>
  <c r="Y62" i="31"/>
  <c r="Z62" i="31"/>
  <c r="W63" i="31"/>
  <c r="X63" i="31"/>
  <c r="Y63" i="31"/>
  <c r="Z63" i="31"/>
  <c r="W64" i="31"/>
  <c r="X64" i="31"/>
  <c r="Y64" i="31"/>
  <c r="Z64" i="31"/>
  <c r="W65" i="31"/>
  <c r="X65" i="31"/>
  <c r="Y65" i="31"/>
  <c r="Z65" i="31"/>
  <c r="W66" i="31"/>
  <c r="X66" i="31"/>
  <c r="Y66" i="31"/>
  <c r="Z66" i="31"/>
  <c r="W67" i="31"/>
  <c r="X67" i="31"/>
  <c r="Y67" i="31"/>
  <c r="Z67" i="31"/>
  <c r="W68" i="31"/>
  <c r="X68" i="31"/>
  <c r="Y68" i="31"/>
  <c r="Z68" i="31"/>
  <c r="W69" i="31"/>
  <c r="X69" i="31"/>
  <c r="Y69" i="31"/>
  <c r="Z69" i="31"/>
  <c r="W70" i="31"/>
  <c r="X70" i="31"/>
  <c r="Y70" i="31"/>
  <c r="Z70" i="31"/>
  <c r="W71" i="31"/>
  <c r="X71" i="31"/>
  <c r="Y71" i="31"/>
  <c r="Z71" i="31"/>
  <c r="W72" i="31"/>
  <c r="X72" i="31"/>
  <c r="Y72" i="31"/>
  <c r="Z72" i="31"/>
  <c r="W73" i="31"/>
  <c r="X73" i="31"/>
  <c r="Y73" i="31"/>
  <c r="Z73" i="31"/>
  <c r="W74" i="31"/>
  <c r="X74" i="31"/>
  <c r="Y74" i="31"/>
  <c r="Z74" i="31"/>
  <c r="W75" i="31"/>
  <c r="X75" i="31"/>
  <c r="Y75" i="31"/>
  <c r="Z75" i="31"/>
  <c r="W76" i="31"/>
  <c r="X76" i="31"/>
  <c r="Y76" i="31"/>
  <c r="Z76" i="31"/>
  <c r="W77" i="31"/>
  <c r="X77" i="31"/>
  <c r="Y77" i="31"/>
  <c r="Z77" i="31"/>
  <c r="W78" i="31"/>
  <c r="X78" i="31"/>
  <c r="Y78" i="31"/>
  <c r="Z78" i="31"/>
  <c r="W79" i="31"/>
  <c r="X79" i="31"/>
  <c r="Y79" i="31"/>
  <c r="Z79" i="31"/>
  <c r="W80" i="31"/>
  <c r="X80" i="31"/>
  <c r="Y80" i="31"/>
  <c r="Z80" i="31"/>
  <c r="W81" i="31"/>
  <c r="X81" i="31"/>
  <c r="Y81" i="31"/>
  <c r="Z81" i="31"/>
  <c r="W82" i="31"/>
  <c r="X82" i="31"/>
  <c r="Y82" i="31"/>
  <c r="Z82" i="31"/>
  <c r="W83" i="31"/>
  <c r="X83" i="31"/>
  <c r="Y83" i="31"/>
  <c r="Z83" i="31"/>
  <c r="W84" i="31"/>
  <c r="X84" i="31"/>
  <c r="Y84" i="31"/>
  <c r="Z84" i="31"/>
  <c r="W85" i="31"/>
  <c r="X85" i="31"/>
  <c r="Y85" i="31"/>
  <c r="Z85" i="31"/>
  <c r="W86" i="31"/>
  <c r="X86" i="31"/>
  <c r="Y86" i="31"/>
  <c r="Z86" i="31"/>
  <c r="W87" i="31"/>
  <c r="X87" i="31"/>
  <c r="Y87" i="31"/>
  <c r="Z87" i="31"/>
  <c r="W88" i="31"/>
  <c r="X88" i="31"/>
  <c r="Y88" i="31"/>
  <c r="Z88" i="31"/>
  <c r="W89" i="31"/>
  <c r="X89" i="31"/>
  <c r="Y89" i="31"/>
  <c r="Z89" i="31"/>
  <c r="W90" i="31"/>
  <c r="X90" i="31"/>
  <c r="Y90" i="31"/>
  <c r="Z90" i="31"/>
  <c r="W91" i="31"/>
  <c r="X91" i="31"/>
  <c r="Y91" i="31"/>
  <c r="Z91" i="31"/>
  <c r="W92" i="31"/>
  <c r="X92" i="31"/>
  <c r="Y92" i="31"/>
  <c r="Z92" i="31"/>
  <c r="W93" i="31"/>
  <c r="X93" i="31"/>
  <c r="Y93" i="31"/>
  <c r="Z93" i="31"/>
  <c r="W94" i="31"/>
  <c r="X94" i="31"/>
  <c r="Y94" i="31"/>
  <c r="Z94" i="31"/>
  <c r="W95" i="31"/>
  <c r="X95" i="31"/>
  <c r="Y95" i="31"/>
  <c r="Z95" i="31"/>
  <c r="W96" i="31"/>
  <c r="X96" i="31"/>
  <c r="Y96" i="31"/>
  <c r="Z96" i="31"/>
  <c r="W97" i="31"/>
  <c r="X97" i="31"/>
  <c r="Y97" i="31"/>
  <c r="Z97" i="31"/>
  <c r="W98" i="31"/>
  <c r="X98" i="31"/>
  <c r="Y98" i="31"/>
  <c r="Z98" i="31"/>
  <c r="W99" i="31"/>
  <c r="X99" i="31"/>
  <c r="Y99" i="31"/>
  <c r="Z99" i="31"/>
  <c r="W100" i="31"/>
  <c r="X100" i="31"/>
  <c r="Y100" i="31"/>
  <c r="Z100" i="31"/>
  <c r="W101" i="31"/>
  <c r="X101" i="31"/>
  <c r="Y101" i="31"/>
  <c r="Z101" i="31"/>
  <c r="W102" i="31"/>
  <c r="X102" i="31"/>
  <c r="Y102" i="31"/>
  <c r="Z102" i="31"/>
  <c r="W103" i="31"/>
  <c r="X103" i="31"/>
  <c r="Y103" i="31"/>
  <c r="Z103" i="31"/>
  <c r="W104" i="31"/>
  <c r="X104" i="31"/>
  <c r="Y104" i="31"/>
  <c r="Z104" i="31"/>
  <c r="W105" i="31"/>
  <c r="X105" i="31"/>
  <c r="Y105" i="31"/>
  <c r="Z105" i="31"/>
  <c r="W106" i="31"/>
  <c r="X106" i="31"/>
  <c r="Y106" i="31"/>
  <c r="Z106" i="31"/>
  <c r="W107" i="31"/>
  <c r="X107" i="31"/>
  <c r="Y107" i="31"/>
  <c r="Z107" i="31"/>
  <c r="W108" i="31"/>
  <c r="X108" i="31"/>
  <c r="Y108" i="31"/>
  <c r="Z108" i="31"/>
  <c r="W109" i="31"/>
  <c r="X109" i="31"/>
  <c r="Y109" i="31"/>
  <c r="Z109" i="31"/>
  <c r="W110" i="31"/>
  <c r="X110" i="31"/>
  <c r="Y110" i="31"/>
  <c r="Z110" i="31"/>
  <c r="W111" i="31"/>
  <c r="X111" i="31"/>
  <c r="Y111" i="31"/>
  <c r="Z111" i="31"/>
  <c r="W112" i="31"/>
  <c r="X112" i="31"/>
  <c r="Y112" i="31"/>
  <c r="Z112" i="31"/>
  <c r="W113" i="31"/>
  <c r="X113" i="31"/>
  <c r="Y113" i="31"/>
  <c r="Z113" i="31"/>
  <c r="W114" i="31"/>
  <c r="X114" i="31"/>
  <c r="Y114" i="31"/>
  <c r="Z114" i="31"/>
  <c r="W115" i="31"/>
  <c r="X115" i="31"/>
  <c r="Y115" i="31"/>
  <c r="Z115" i="31"/>
  <c r="W116" i="31"/>
  <c r="X116" i="31"/>
  <c r="Y116" i="31"/>
  <c r="Z116" i="31"/>
  <c r="W117" i="31"/>
  <c r="X117" i="31"/>
  <c r="Y117" i="31"/>
  <c r="Z117" i="31"/>
  <c r="W118" i="31"/>
  <c r="X118" i="31"/>
  <c r="Y118" i="31"/>
  <c r="Z118" i="31"/>
  <c r="W119" i="31"/>
  <c r="X119" i="31"/>
  <c r="Y119" i="31"/>
  <c r="Z119" i="31"/>
  <c r="W120" i="31"/>
  <c r="X120" i="31"/>
  <c r="Y120" i="31"/>
  <c r="Z120" i="31"/>
  <c r="W121" i="31"/>
  <c r="X121" i="31"/>
  <c r="Y121" i="31"/>
  <c r="Z121" i="31"/>
  <c r="W122" i="31"/>
  <c r="X122" i="31"/>
  <c r="Y122" i="31"/>
  <c r="Z122" i="31"/>
  <c r="W123" i="31"/>
  <c r="X123" i="31"/>
  <c r="Y123" i="31"/>
  <c r="Z123" i="31"/>
  <c r="W124" i="31"/>
  <c r="X124" i="31"/>
  <c r="Y124" i="31"/>
  <c r="Z124" i="31"/>
  <c r="W125" i="31"/>
  <c r="X125" i="31"/>
  <c r="Y125" i="31"/>
  <c r="Z125" i="31"/>
  <c r="W126" i="31"/>
  <c r="X126" i="31"/>
  <c r="Y126" i="31"/>
  <c r="Z126" i="31"/>
  <c r="W127" i="31"/>
  <c r="X127" i="31"/>
  <c r="Y127" i="31"/>
  <c r="Z127" i="31"/>
  <c r="W128" i="31"/>
  <c r="X128" i="31"/>
  <c r="Y128" i="31"/>
  <c r="Z128" i="31"/>
  <c r="W129" i="31"/>
  <c r="X129" i="31"/>
  <c r="Y129" i="31"/>
  <c r="Z129" i="31"/>
  <c r="W130" i="31"/>
  <c r="X130" i="31"/>
  <c r="Y130" i="31"/>
  <c r="Z130" i="31"/>
  <c r="W131" i="31"/>
  <c r="X131" i="31"/>
  <c r="Y131" i="31"/>
  <c r="Z131" i="31"/>
  <c r="W132" i="31"/>
  <c r="X132" i="31"/>
  <c r="Y132" i="31"/>
  <c r="Z132" i="31"/>
  <c r="W133" i="31"/>
  <c r="X133" i="31"/>
  <c r="Y133" i="31"/>
  <c r="Z133" i="31"/>
  <c r="W134" i="31"/>
  <c r="X134" i="31"/>
  <c r="Y134" i="31"/>
  <c r="Z134" i="31"/>
  <c r="W135" i="31"/>
  <c r="X135" i="31"/>
  <c r="Y135" i="31"/>
  <c r="Z135" i="31"/>
  <c r="W136" i="31"/>
  <c r="X136" i="31"/>
  <c r="Y136" i="31"/>
  <c r="Z136" i="31"/>
  <c r="W137" i="31"/>
  <c r="X137" i="31"/>
  <c r="Y137" i="31"/>
  <c r="Z137" i="31"/>
  <c r="W138" i="31"/>
  <c r="X138" i="31"/>
  <c r="Y138" i="31"/>
  <c r="Z138" i="31"/>
  <c r="W139" i="31"/>
  <c r="X139" i="31"/>
  <c r="Y139" i="31"/>
  <c r="Z139" i="31"/>
  <c r="W140" i="31"/>
  <c r="X140" i="31"/>
  <c r="Y140" i="31"/>
  <c r="Z140" i="31"/>
  <c r="W141" i="31"/>
  <c r="X141" i="31"/>
  <c r="Y141" i="31"/>
  <c r="Z141" i="31"/>
  <c r="W142" i="31"/>
  <c r="X142" i="31"/>
  <c r="Y142" i="31"/>
  <c r="Z142" i="31"/>
  <c r="W143" i="31"/>
  <c r="X143" i="31"/>
  <c r="Y143" i="31"/>
  <c r="Z143" i="31"/>
  <c r="W144" i="31"/>
  <c r="X144" i="31"/>
  <c r="Y144" i="31"/>
  <c r="Z144" i="31"/>
  <c r="W145" i="31"/>
  <c r="X145" i="31"/>
  <c r="Y145" i="31"/>
  <c r="Z145" i="31"/>
  <c r="W146" i="31"/>
  <c r="X146" i="31"/>
  <c r="Y146" i="31"/>
  <c r="Z146" i="31"/>
  <c r="W147" i="31"/>
  <c r="X147" i="31"/>
  <c r="Y147" i="31"/>
  <c r="Z147" i="31"/>
  <c r="W148" i="31"/>
  <c r="X148" i="31"/>
  <c r="Y148" i="31"/>
  <c r="Z148" i="31"/>
  <c r="W149" i="31"/>
  <c r="X149" i="31"/>
  <c r="Y149" i="31"/>
  <c r="Z149" i="31"/>
  <c r="W150" i="31"/>
  <c r="X150" i="31"/>
  <c r="Y150" i="31"/>
  <c r="Z150" i="31"/>
  <c r="W151" i="31"/>
  <c r="X151" i="31"/>
  <c r="Y151" i="31"/>
  <c r="Z151" i="31"/>
  <c r="W152" i="31"/>
  <c r="X152" i="31"/>
  <c r="Y152" i="31"/>
  <c r="Z152" i="31"/>
  <c r="W153" i="31"/>
  <c r="X153" i="31"/>
  <c r="Y153" i="31"/>
  <c r="Z153" i="31"/>
  <c r="W154" i="31"/>
  <c r="X154" i="31"/>
  <c r="Y154" i="31"/>
  <c r="Z154" i="31"/>
  <c r="W155" i="31"/>
  <c r="X155" i="31"/>
  <c r="Y155" i="31"/>
  <c r="Z155" i="31"/>
  <c r="W156" i="31"/>
  <c r="X156" i="31"/>
  <c r="Y156" i="31"/>
  <c r="Z156" i="31"/>
  <c r="W157" i="31"/>
  <c r="X157" i="31"/>
  <c r="Y157" i="31"/>
  <c r="Z157" i="31"/>
  <c r="W158" i="31"/>
  <c r="X158" i="31"/>
  <c r="Y158" i="31"/>
  <c r="Z158" i="31"/>
  <c r="W159" i="31"/>
  <c r="X159" i="31"/>
  <c r="Y159" i="31"/>
  <c r="Z159" i="31"/>
  <c r="W160" i="31"/>
  <c r="X160" i="31"/>
  <c r="Y160" i="31"/>
  <c r="Z160" i="31"/>
  <c r="W161" i="31"/>
  <c r="X161" i="31"/>
  <c r="Y161" i="31"/>
  <c r="Z161" i="31"/>
  <c r="W162" i="31"/>
  <c r="X162" i="31"/>
  <c r="Y162" i="31"/>
  <c r="Z162" i="31"/>
  <c r="W163" i="31"/>
  <c r="X163" i="31"/>
  <c r="Y163" i="31"/>
  <c r="Z163" i="31"/>
  <c r="W164" i="31"/>
  <c r="X164" i="31"/>
  <c r="Y164" i="31"/>
  <c r="Z164" i="31"/>
  <c r="W165" i="31"/>
  <c r="X165" i="31"/>
  <c r="Y165" i="31"/>
  <c r="Z165" i="31"/>
  <c r="W166" i="31"/>
  <c r="X166" i="31"/>
  <c r="Y166" i="31"/>
  <c r="Z166" i="31"/>
  <c r="W167" i="31"/>
  <c r="X167" i="31"/>
  <c r="Y167" i="31"/>
  <c r="Z167" i="31"/>
  <c r="W168" i="31"/>
  <c r="X168" i="31"/>
  <c r="Y168" i="31"/>
  <c r="Z168" i="31"/>
  <c r="W169" i="31"/>
  <c r="X169" i="31"/>
  <c r="Y169" i="31"/>
  <c r="Z169" i="31"/>
  <c r="W170" i="31"/>
  <c r="X170" i="31"/>
  <c r="Y170" i="31"/>
  <c r="Z170" i="31"/>
  <c r="W171" i="31"/>
  <c r="X171" i="31"/>
  <c r="Y171" i="31"/>
  <c r="Z171" i="31"/>
  <c r="W172" i="31"/>
  <c r="X172" i="31"/>
  <c r="Y172" i="31"/>
  <c r="Z172" i="31"/>
  <c r="W173" i="31"/>
  <c r="X173" i="31"/>
  <c r="Y173" i="31"/>
  <c r="Z173" i="31"/>
  <c r="W174" i="31"/>
  <c r="X174" i="31"/>
  <c r="Y174" i="31"/>
  <c r="Z174" i="31"/>
  <c r="W175" i="31"/>
  <c r="X175" i="31"/>
  <c r="Y175" i="31"/>
  <c r="Z175" i="31"/>
  <c r="W176" i="31"/>
  <c r="X176" i="31"/>
  <c r="Y176" i="31"/>
  <c r="Z176" i="31"/>
  <c r="W177" i="31"/>
  <c r="X177" i="31"/>
  <c r="Y177" i="31"/>
  <c r="Z177" i="31"/>
  <c r="W178" i="31"/>
  <c r="X178" i="31"/>
  <c r="Y178" i="31"/>
  <c r="Z178" i="31"/>
  <c r="W179" i="31"/>
  <c r="X179" i="31"/>
  <c r="Y179" i="31"/>
  <c r="Z179" i="31"/>
  <c r="W180" i="31"/>
  <c r="X180" i="31"/>
  <c r="Y180" i="31"/>
  <c r="Z180" i="31"/>
  <c r="W181" i="31"/>
  <c r="X181" i="31"/>
  <c r="Y181" i="31"/>
  <c r="Z181" i="31"/>
  <c r="W182" i="31"/>
  <c r="X182" i="31"/>
  <c r="Y182" i="31"/>
  <c r="Z182" i="31"/>
  <c r="W183" i="31"/>
  <c r="X183" i="31"/>
  <c r="Y183" i="31"/>
  <c r="Z183" i="31"/>
  <c r="W2" i="31"/>
  <c r="X2" i="31"/>
  <c r="Y2" i="31"/>
  <c r="Z2" i="31"/>
  <c r="W3" i="29"/>
  <c r="X3" i="29"/>
  <c r="Y3" i="29"/>
  <c r="Z3" i="29"/>
  <c r="W4" i="29"/>
  <c r="X4" i="29"/>
  <c r="Y4" i="29"/>
  <c r="Z4" i="29"/>
  <c r="W5" i="29"/>
  <c r="X5" i="29"/>
  <c r="Y5" i="29"/>
  <c r="Z5" i="29"/>
  <c r="W6" i="29"/>
  <c r="X6" i="29"/>
  <c r="Y6" i="29"/>
  <c r="Z6" i="29"/>
  <c r="W7" i="29"/>
  <c r="X7" i="29"/>
  <c r="Y7" i="29"/>
  <c r="Z7" i="29"/>
  <c r="W8" i="29"/>
  <c r="X8" i="29"/>
  <c r="Y8" i="29"/>
  <c r="Z8" i="29"/>
  <c r="W9" i="29"/>
  <c r="X9" i="29"/>
  <c r="Y9" i="29"/>
  <c r="Z9" i="29"/>
  <c r="W10" i="29"/>
  <c r="X10" i="29"/>
  <c r="Y10" i="29"/>
  <c r="Z10" i="29"/>
  <c r="W11" i="29"/>
  <c r="X11" i="29"/>
  <c r="Y11" i="29"/>
  <c r="Z11" i="29"/>
  <c r="W12" i="29"/>
  <c r="X12" i="29"/>
  <c r="Y12" i="29"/>
  <c r="Z12" i="29"/>
  <c r="W13" i="29"/>
  <c r="X13" i="29"/>
  <c r="Y13" i="29"/>
  <c r="Z13" i="29"/>
  <c r="W14" i="29"/>
  <c r="X14" i="29"/>
  <c r="Y14" i="29"/>
  <c r="Z14" i="29"/>
  <c r="W15" i="29"/>
  <c r="X15" i="29"/>
  <c r="Y15" i="29"/>
  <c r="Z15" i="29"/>
  <c r="W16" i="29"/>
  <c r="X16" i="29"/>
  <c r="Y16" i="29"/>
  <c r="Z16" i="29"/>
  <c r="W17" i="29"/>
  <c r="X17" i="29"/>
  <c r="Y17" i="29"/>
  <c r="Z17" i="29"/>
  <c r="W18" i="29"/>
  <c r="X18" i="29"/>
  <c r="Y18" i="29"/>
  <c r="Z18" i="29"/>
  <c r="W19" i="29"/>
  <c r="X19" i="29"/>
  <c r="Y19" i="29"/>
  <c r="Z19" i="29"/>
  <c r="W20" i="29"/>
  <c r="X20" i="29"/>
  <c r="Y20" i="29"/>
  <c r="Z20" i="29"/>
  <c r="W21" i="29"/>
  <c r="X21" i="29"/>
  <c r="Y21" i="29"/>
  <c r="Z21" i="29"/>
  <c r="W22" i="29"/>
  <c r="X22" i="29"/>
  <c r="Y22" i="29"/>
  <c r="Z22" i="29"/>
  <c r="W23" i="29"/>
  <c r="X23" i="29"/>
  <c r="Y23" i="29"/>
  <c r="Z23" i="29"/>
  <c r="W24" i="29"/>
  <c r="X24" i="29"/>
  <c r="Y24" i="29"/>
  <c r="Z24" i="29"/>
  <c r="W25" i="29"/>
  <c r="X25" i="29"/>
  <c r="Y25" i="29"/>
  <c r="Z25" i="29"/>
  <c r="W26" i="29"/>
  <c r="X26" i="29"/>
  <c r="Y26" i="29"/>
  <c r="Z26" i="29"/>
  <c r="W27" i="29"/>
  <c r="X27" i="29"/>
  <c r="Y27" i="29"/>
  <c r="Z27" i="29"/>
  <c r="W28" i="29"/>
  <c r="X28" i="29"/>
  <c r="Y28" i="29"/>
  <c r="Z28" i="29"/>
  <c r="W29" i="29"/>
  <c r="X29" i="29"/>
  <c r="Y29" i="29"/>
  <c r="Z29" i="29"/>
  <c r="W30" i="29"/>
  <c r="X30" i="29"/>
  <c r="Y30" i="29"/>
  <c r="Z30" i="29"/>
  <c r="W31" i="29"/>
  <c r="X31" i="29"/>
  <c r="Y31" i="29"/>
  <c r="Z31" i="29"/>
  <c r="W32" i="29"/>
  <c r="X32" i="29"/>
  <c r="Y32" i="29"/>
  <c r="Z32" i="29"/>
  <c r="W33" i="29"/>
  <c r="X33" i="29"/>
  <c r="Y33" i="29"/>
  <c r="Z33" i="29"/>
  <c r="W34" i="29"/>
  <c r="X34" i="29"/>
  <c r="Y34" i="29"/>
  <c r="Z34" i="29"/>
  <c r="W35" i="29"/>
  <c r="X35" i="29"/>
  <c r="Y35" i="29"/>
  <c r="Z35" i="29"/>
  <c r="W36" i="29"/>
  <c r="X36" i="29"/>
  <c r="Y36" i="29"/>
  <c r="Z36" i="29"/>
  <c r="W37" i="29"/>
  <c r="X37" i="29"/>
  <c r="Y37" i="29"/>
  <c r="Z37" i="29"/>
  <c r="W38" i="29"/>
  <c r="X38" i="29"/>
  <c r="Y38" i="29"/>
  <c r="Z38" i="29"/>
  <c r="W39" i="29"/>
  <c r="X39" i="29"/>
  <c r="Y39" i="29"/>
  <c r="Z39" i="29"/>
  <c r="W40" i="29"/>
  <c r="X40" i="29"/>
  <c r="Y40" i="29"/>
  <c r="Z40" i="29"/>
  <c r="W41" i="29"/>
  <c r="X41" i="29"/>
  <c r="Y41" i="29"/>
  <c r="Z41" i="29"/>
  <c r="W42" i="29"/>
  <c r="X42" i="29"/>
  <c r="Y42" i="29"/>
  <c r="Z42" i="29"/>
  <c r="W43" i="29"/>
  <c r="X43" i="29"/>
  <c r="Y43" i="29"/>
  <c r="Z43" i="29"/>
  <c r="W44" i="29"/>
  <c r="X44" i="29"/>
  <c r="Y44" i="29"/>
  <c r="Z44" i="29"/>
  <c r="W45" i="29"/>
  <c r="X45" i="29"/>
  <c r="Y45" i="29"/>
  <c r="Z45" i="29"/>
  <c r="W46" i="29"/>
  <c r="X46" i="29"/>
  <c r="Y46" i="29"/>
  <c r="Z46" i="29"/>
  <c r="W47" i="29"/>
  <c r="X47" i="29"/>
  <c r="Y47" i="29"/>
  <c r="Z47" i="29"/>
  <c r="W48" i="29"/>
  <c r="X48" i="29"/>
  <c r="Y48" i="29"/>
  <c r="Z48" i="29"/>
  <c r="W49" i="29"/>
  <c r="X49" i="29"/>
  <c r="Y49" i="29"/>
  <c r="Z49" i="29"/>
  <c r="W50" i="29"/>
  <c r="X50" i="29"/>
  <c r="Y50" i="29"/>
  <c r="Z50" i="29"/>
  <c r="W51" i="29"/>
  <c r="X51" i="29"/>
  <c r="Y51" i="29"/>
  <c r="Z51" i="29"/>
  <c r="W52" i="29"/>
  <c r="X52" i="29"/>
  <c r="Y52" i="29"/>
  <c r="Z52" i="29"/>
  <c r="W53" i="29"/>
  <c r="X53" i="29"/>
  <c r="Y53" i="29"/>
  <c r="Z53" i="29"/>
  <c r="W54" i="29"/>
  <c r="X54" i="29"/>
  <c r="Y54" i="29"/>
  <c r="Z54" i="29"/>
  <c r="W55" i="29"/>
  <c r="X55" i="29"/>
  <c r="Y55" i="29"/>
  <c r="Z55" i="29"/>
  <c r="W56" i="29"/>
  <c r="X56" i="29"/>
  <c r="Y56" i="29"/>
  <c r="Z56" i="29"/>
  <c r="W57" i="29"/>
  <c r="X57" i="29"/>
  <c r="Y57" i="29"/>
  <c r="Z57" i="29"/>
  <c r="W58" i="29"/>
  <c r="X58" i="29"/>
  <c r="Y58" i="29"/>
  <c r="Z58" i="29"/>
  <c r="W59" i="29"/>
  <c r="X59" i="29"/>
  <c r="Y59" i="29"/>
  <c r="Z59" i="29"/>
  <c r="W60" i="29"/>
  <c r="X60" i="29"/>
  <c r="Y60" i="29"/>
  <c r="Z60" i="29"/>
  <c r="W61" i="29"/>
  <c r="X61" i="29"/>
  <c r="Y61" i="29"/>
  <c r="Z61" i="29"/>
  <c r="W62" i="29"/>
  <c r="X62" i="29"/>
  <c r="Y62" i="29"/>
  <c r="Z62" i="29"/>
  <c r="W63" i="29"/>
  <c r="X63" i="29"/>
  <c r="Y63" i="29"/>
  <c r="Z63" i="29"/>
  <c r="W64" i="29"/>
  <c r="X64" i="29"/>
  <c r="Y64" i="29"/>
  <c r="Z64" i="29"/>
  <c r="W65" i="29"/>
  <c r="X65" i="29"/>
  <c r="Y65" i="29"/>
  <c r="Z65" i="29"/>
  <c r="W66" i="29"/>
  <c r="X66" i="29"/>
  <c r="Y66" i="29"/>
  <c r="Z66" i="29"/>
  <c r="W67" i="29"/>
  <c r="X67" i="29"/>
  <c r="Y67" i="29"/>
  <c r="Z67" i="29"/>
  <c r="W68" i="29"/>
  <c r="X68" i="29"/>
  <c r="Y68" i="29"/>
  <c r="Z68" i="29"/>
  <c r="W69" i="29"/>
  <c r="X69" i="29"/>
  <c r="Y69" i="29"/>
  <c r="Z69" i="29"/>
  <c r="W70" i="29"/>
  <c r="X70" i="29"/>
  <c r="Y70" i="29"/>
  <c r="Z70" i="29"/>
  <c r="W71" i="29"/>
  <c r="X71" i="29"/>
  <c r="Y71" i="29"/>
  <c r="Z71" i="29"/>
  <c r="W72" i="29"/>
  <c r="X72" i="29"/>
  <c r="Y72" i="29"/>
  <c r="Z72" i="29"/>
  <c r="W73" i="29"/>
  <c r="X73" i="29"/>
  <c r="Y73" i="29"/>
  <c r="Z73" i="29"/>
  <c r="W74" i="29"/>
  <c r="X74" i="29"/>
  <c r="Y74" i="29"/>
  <c r="Z74" i="29"/>
  <c r="W75" i="29"/>
  <c r="X75" i="29"/>
  <c r="Y75" i="29"/>
  <c r="Z75" i="29"/>
  <c r="W76" i="29"/>
  <c r="X76" i="29"/>
  <c r="Y76" i="29"/>
  <c r="Z76" i="29"/>
  <c r="W77" i="29"/>
  <c r="X77" i="29"/>
  <c r="Y77" i="29"/>
  <c r="Z77" i="29"/>
  <c r="W78" i="29"/>
  <c r="X78" i="29"/>
  <c r="Y78" i="29"/>
  <c r="Z78" i="29"/>
  <c r="W79" i="29"/>
  <c r="X79" i="29"/>
  <c r="Y79" i="29"/>
  <c r="Z79" i="29"/>
  <c r="W80" i="29"/>
  <c r="X80" i="29"/>
  <c r="Y80" i="29"/>
  <c r="Z80" i="29"/>
  <c r="W81" i="29"/>
  <c r="X81" i="29"/>
  <c r="Y81" i="29"/>
  <c r="Z81" i="29"/>
  <c r="W82" i="29"/>
  <c r="X82" i="29"/>
  <c r="Y82" i="29"/>
  <c r="Z82" i="29"/>
  <c r="W83" i="29"/>
  <c r="X83" i="29"/>
  <c r="Y83" i="29"/>
  <c r="Z83" i="29"/>
  <c r="W84" i="29"/>
  <c r="X84" i="29"/>
  <c r="Y84" i="29"/>
  <c r="Z84" i="29"/>
  <c r="W85" i="29"/>
  <c r="X85" i="29"/>
  <c r="Y85" i="29"/>
  <c r="Z85" i="29"/>
  <c r="W86" i="29"/>
  <c r="X86" i="29"/>
  <c r="Y86" i="29"/>
  <c r="Z86" i="29"/>
  <c r="W87" i="29"/>
  <c r="X87" i="29"/>
  <c r="Y87" i="29"/>
  <c r="Z87" i="29"/>
  <c r="W88" i="29"/>
  <c r="X88" i="29"/>
  <c r="Y88" i="29"/>
  <c r="Z88" i="29"/>
  <c r="W89" i="29"/>
  <c r="X89" i="29"/>
  <c r="Y89" i="29"/>
  <c r="Z89" i="29"/>
  <c r="W90" i="29"/>
  <c r="X90" i="29"/>
  <c r="Y90" i="29"/>
  <c r="Z90" i="29"/>
  <c r="W91" i="29"/>
  <c r="X91" i="29"/>
  <c r="Y91" i="29"/>
  <c r="Z91" i="29"/>
  <c r="W92" i="29"/>
  <c r="X92" i="29"/>
  <c r="Y92" i="29"/>
  <c r="Z92" i="29"/>
  <c r="W93" i="29"/>
  <c r="X93" i="29"/>
  <c r="Y93" i="29"/>
  <c r="Z93" i="29"/>
  <c r="W94" i="29"/>
  <c r="X94" i="29"/>
  <c r="Y94" i="29"/>
  <c r="Z94" i="29"/>
  <c r="W95" i="29"/>
  <c r="X95" i="29"/>
  <c r="Y95" i="29"/>
  <c r="Z95" i="29"/>
  <c r="W96" i="29"/>
  <c r="X96" i="29"/>
  <c r="Y96" i="29"/>
  <c r="Z96" i="29"/>
  <c r="W97" i="29"/>
  <c r="X97" i="29"/>
  <c r="Y97" i="29"/>
  <c r="Z97" i="29"/>
  <c r="W98" i="29"/>
  <c r="X98" i="29"/>
  <c r="Y98" i="29"/>
  <c r="Z98" i="29"/>
  <c r="W99" i="29"/>
  <c r="X99" i="29"/>
  <c r="Y99" i="29"/>
  <c r="Z99" i="29"/>
  <c r="W100" i="29"/>
  <c r="X100" i="29"/>
  <c r="Y100" i="29"/>
  <c r="Z100" i="29"/>
  <c r="W101" i="29"/>
  <c r="X101" i="29"/>
  <c r="Y101" i="29"/>
  <c r="Z101" i="29"/>
  <c r="W102" i="29"/>
  <c r="X102" i="29"/>
  <c r="Y102" i="29"/>
  <c r="Z102" i="29"/>
  <c r="W103" i="29"/>
  <c r="X103" i="29"/>
  <c r="Y103" i="29"/>
  <c r="Z103" i="29"/>
  <c r="W104" i="29"/>
  <c r="X104" i="29"/>
  <c r="Y104" i="29"/>
  <c r="Z104" i="29"/>
  <c r="W105" i="29"/>
  <c r="X105" i="29"/>
  <c r="Y105" i="29"/>
  <c r="Z105" i="29"/>
  <c r="W106" i="29"/>
  <c r="X106" i="29"/>
  <c r="Y106" i="29"/>
  <c r="Z106" i="29"/>
  <c r="W107" i="29"/>
  <c r="X107" i="29"/>
  <c r="Y107" i="29"/>
  <c r="Z107" i="29"/>
  <c r="W108" i="29"/>
  <c r="X108" i="29"/>
  <c r="Y108" i="29"/>
  <c r="Z108" i="29"/>
  <c r="W109" i="29"/>
  <c r="X109" i="29"/>
  <c r="Y109" i="29"/>
  <c r="Z109" i="29"/>
  <c r="W110" i="29"/>
  <c r="X110" i="29"/>
  <c r="Y110" i="29"/>
  <c r="Z110" i="29"/>
  <c r="W111" i="29"/>
  <c r="X111" i="29"/>
  <c r="Y111" i="29"/>
  <c r="Z111" i="29"/>
  <c r="W112" i="29"/>
  <c r="X112" i="29"/>
  <c r="Y112" i="29"/>
  <c r="Z112" i="29"/>
  <c r="W113" i="29"/>
  <c r="X113" i="29"/>
  <c r="Y113" i="29"/>
  <c r="Z113" i="29"/>
  <c r="W114" i="29"/>
  <c r="X114" i="29"/>
  <c r="Y114" i="29"/>
  <c r="Z114" i="29"/>
  <c r="W115" i="29"/>
  <c r="X115" i="29"/>
  <c r="Y115" i="29"/>
  <c r="Z115" i="29"/>
  <c r="W116" i="29"/>
  <c r="X116" i="29"/>
  <c r="Y116" i="29"/>
  <c r="Z116" i="29"/>
  <c r="W117" i="29"/>
  <c r="X117" i="29"/>
  <c r="Y117" i="29"/>
  <c r="Z117" i="29"/>
  <c r="W118" i="29"/>
  <c r="X118" i="29"/>
  <c r="Y118" i="29"/>
  <c r="Z118" i="29"/>
  <c r="W119" i="29"/>
  <c r="X119" i="29"/>
  <c r="Y119" i="29"/>
  <c r="Z119" i="29"/>
  <c r="W120" i="29"/>
  <c r="X120" i="29"/>
  <c r="Y120" i="29"/>
  <c r="Z120" i="29"/>
  <c r="W121" i="29"/>
  <c r="X121" i="29"/>
  <c r="Y121" i="29"/>
  <c r="Z121" i="29"/>
  <c r="W122" i="29"/>
  <c r="X122" i="29"/>
  <c r="Y122" i="29"/>
  <c r="Z122" i="29"/>
  <c r="W123" i="29"/>
  <c r="X123" i="29"/>
  <c r="Y123" i="29"/>
  <c r="Z123" i="29"/>
  <c r="W124" i="29"/>
  <c r="X124" i="29"/>
  <c r="Y124" i="29"/>
  <c r="Z124" i="29"/>
  <c r="W125" i="29"/>
  <c r="X125" i="29"/>
  <c r="Y125" i="29"/>
  <c r="Z125" i="29"/>
  <c r="W126" i="29"/>
  <c r="X126" i="29"/>
  <c r="Y126" i="29"/>
  <c r="Z126" i="29"/>
  <c r="W127" i="29"/>
  <c r="X127" i="29"/>
  <c r="Y127" i="29"/>
  <c r="Z127" i="29"/>
  <c r="W128" i="29"/>
  <c r="X128" i="29"/>
  <c r="Y128" i="29"/>
  <c r="Z128" i="29"/>
  <c r="W129" i="29"/>
  <c r="X129" i="29"/>
  <c r="Y129" i="29"/>
  <c r="Z129" i="29"/>
  <c r="W130" i="29"/>
  <c r="X130" i="29"/>
  <c r="Y130" i="29"/>
  <c r="Z130" i="29"/>
  <c r="W131" i="29"/>
  <c r="X131" i="29"/>
  <c r="Y131" i="29"/>
  <c r="Z131" i="29"/>
  <c r="W132" i="29"/>
  <c r="X132" i="29"/>
  <c r="Y132" i="29"/>
  <c r="Z132" i="29"/>
  <c r="W133" i="29"/>
  <c r="X133" i="29"/>
  <c r="Y133" i="29"/>
  <c r="Z133" i="29"/>
  <c r="W134" i="29"/>
  <c r="X134" i="29"/>
  <c r="Y134" i="29"/>
  <c r="Z134" i="29"/>
  <c r="W135" i="29"/>
  <c r="X135" i="29"/>
  <c r="Y135" i="29"/>
  <c r="Z135" i="29"/>
  <c r="W136" i="29"/>
  <c r="X136" i="29"/>
  <c r="Y136" i="29"/>
  <c r="Z136" i="29"/>
  <c r="W137" i="29"/>
  <c r="X137" i="29"/>
  <c r="Y137" i="29"/>
  <c r="Z137" i="29"/>
  <c r="W138" i="29"/>
  <c r="X138" i="29"/>
  <c r="Y138" i="29"/>
  <c r="Z138" i="29"/>
  <c r="W139" i="29"/>
  <c r="X139" i="29"/>
  <c r="Y139" i="29"/>
  <c r="Z139" i="29"/>
  <c r="W140" i="29"/>
  <c r="X140" i="29"/>
  <c r="Y140" i="29"/>
  <c r="Z140" i="29"/>
  <c r="W141" i="29"/>
  <c r="X141" i="29"/>
  <c r="Y141" i="29"/>
  <c r="Z141" i="29"/>
  <c r="W142" i="29"/>
  <c r="X142" i="29"/>
  <c r="Y142" i="29"/>
  <c r="Z142" i="29"/>
  <c r="W143" i="29"/>
  <c r="X143" i="29"/>
  <c r="Y143" i="29"/>
  <c r="Z143" i="29"/>
  <c r="W144" i="29"/>
  <c r="X144" i="29"/>
  <c r="Y144" i="29"/>
  <c r="Z144" i="29"/>
  <c r="W145" i="29"/>
  <c r="X145" i="29"/>
  <c r="Y145" i="29"/>
  <c r="Z145" i="29"/>
  <c r="W146" i="29"/>
  <c r="X146" i="29"/>
  <c r="Y146" i="29"/>
  <c r="Z146" i="29"/>
  <c r="W147" i="29"/>
  <c r="X147" i="29"/>
  <c r="Y147" i="29"/>
  <c r="Z147" i="29"/>
  <c r="W148" i="29"/>
  <c r="X148" i="29"/>
  <c r="Y148" i="29"/>
  <c r="Z148" i="29"/>
  <c r="W149" i="29"/>
  <c r="X149" i="29"/>
  <c r="Y149" i="29"/>
  <c r="Z149" i="29"/>
  <c r="W150" i="29"/>
  <c r="X150" i="29"/>
  <c r="Y150" i="29"/>
  <c r="Z150" i="29"/>
  <c r="W151" i="29"/>
  <c r="X151" i="29"/>
  <c r="Y151" i="29"/>
  <c r="Z151" i="29"/>
  <c r="W152" i="29"/>
  <c r="X152" i="29"/>
  <c r="Y152" i="29"/>
  <c r="Z152" i="29"/>
  <c r="W153" i="29"/>
  <c r="X153" i="29"/>
  <c r="Y153" i="29"/>
  <c r="Z153" i="29"/>
  <c r="W154" i="29"/>
  <c r="X154" i="29"/>
  <c r="Y154" i="29"/>
  <c r="Z154" i="29"/>
  <c r="W155" i="29"/>
  <c r="X155" i="29"/>
  <c r="Y155" i="29"/>
  <c r="Z155" i="29"/>
  <c r="W156" i="29"/>
  <c r="X156" i="29"/>
  <c r="Y156" i="29"/>
  <c r="Z156" i="29"/>
  <c r="W157" i="29"/>
  <c r="X157" i="29"/>
  <c r="Y157" i="29"/>
  <c r="Z157" i="29"/>
  <c r="W158" i="29"/>
  <c r="X158" i="29"/>
  <c r="Y158" i="29"/>
  <c r="Z158" i="29"/>
  <c r="W159" i="29"/>
  <c r="X159" i="29"/>
  <c r="Y159" i="29"/>
  <c r="Z159" i="29"/>
  <c r="W160" i="29"/>
  <c r="X160" i="29"/>
  <c r="Y160" i="29"/>
  <c r="Z160" i="29"/>
  <c r="W161" i="29"/>
  <c r="X161" i="29"/>
  <c r="Y161" i="29"/>
  <c r="Z161" i="29"/>
  <c r="W162" i="29"/>
  <c r="X162" i="29"/>
  <c r="Y162" i="29"/>
  <c r="Z162" i="29"/>
  <c r="W163" i="29"/>
  <c r="X163" i="29"/>
  <c r="Y163" i="29"/>
  <c r="Z163" i="29"/>
  <c r="W164" i="29"/>
  <c r="X164" i="29"/>
  <c r="Y164" i="29"/>
  <c r="Z164" i="29"/>
  <c r="W165" i="29"/>
  <c r="X165" i="29"/>
  <c r="Y165" i="29"/>
  <c r="Z165" i="29"/>
  <c r="W166" i="29"/>
  <c r="X166" i="29"/>
  <c r="Y166" i="29"/>
  <c r="Z166" i="29"/>
  <c r="W167" i="29"/>
  <c r="X167" i="29"/>
  <c r="Y167" i="29"/>
  <c r="Z167" i="29"/>
  <c r="W168" i="29"/>
  <c r="X168" i="29"/>
  <c r="Y168" i="29"/>
  <c r="Z168" i="29"/>
  <c r="W169" i="29"/>
  <c r="X169" i="29"/>
  <c r="Y169" i="29"/>
  <c r="Z169" i="29"/>
  <c r="W170" i="29"/>
  <c r="X170" i="29"/>
  <c r="Y170" i="29"/>
  <c r="Z170" i="29"/>
  <c r="W171" i="29"/>
  <c r="X171" i="29"/>
  <c r="Y171" i="29"/>
  <c r="Z171" i="29"/>
  <c r="W172" i="29"/>
  <c r="X172" i="29"/>
  <c r="Y172" i="29"/>
  <c r="Z172" i="29"/>
  <c r="W173" i="29"/>
  <c r="X173" i="29"/>
  <c r="Y173" i="29"/>
  <c r="Z173" i="29"/>
  <c r="W174" i="29"/>
  <c r="X174" i="29"/>
  <c r="Y174" i="29"/>
  <c r="Z174" i="29"/>
  <c r="W175" i="29"/>
  <c r="X175" i="29"/>
  <c r="Y175" i="29"/>
  <c r="Z175" i="29"/>
  <c r="W176" i="29"/>
  <c r="X176" i="29"/>
  <c r="Y176" i="29"/>
  <c r="Z176" i="29"/>
  <c r="W177" i="29"/>
  <c r="X177" i="29"/>
  <c r="Y177" i="29"/>
  <c r="Z177" i="29"/>
  <c r="W178" i="29"/>
  <c r="X178" i="29"/>
  <c r="Y178" i="29"/>
  <c r="Z178" i="29"/>
  <c r="W179" i="29"/>
  <c r="X179" i="29"/>
  <c r="Y179" i="29"/>
  <c r="Z179" i="29"/>
  <c r="W180" i="29"/>
  <c r="X180" i="29"/>
  <c r="Y180" i="29"/>
  <c r="Z180" i="29"/>
  <c r="W181" i="29"/>
  <c r="X181" i="29"/>
  <c r="Y181" i="29"/>
  <c r="Z181" i="29"/>
  <c r="W182" i="29"/>
  <c r="X182" i="29"/>
  <c r="Y182" i="29"/>
  <c r="Z182" i="29"/>
  <c r="W183" i="29"/>
  <c r="X183" i="29"/>
  <c r="Y183" i="29"/>
  <c r="Z183" i="29"/>
  <c r="W184" i="29"/>
  <c r="X184" i="29"/>
  <c r="Y184" i="29"/>
  <c r="Z184" i="29"/>
  <c r="W185" i="29"/>
  <c r="X185" i="29"/>
  <c r="Y185" i="29"/>
  <c r="Z185" i="29"/>
  <c r="W186" i="29"/>
  <c r="X186" i="29"/>
  <c r="Y186" i="29"/>
  <c r="Z186" i="29"/>
  <c r="W187" i="29"/>
  <c r="X187" i="29"/>
  <c r="Y187" i="29"/>
  <c r="Z187" i="29"/>
  <c r="W188" i="29"/>
  <c r="X188" i="29"/>
  <c r="Y188" i="29"/>
  <c r="Z188" i="29"/>
  <c r="W189" i="29"/>
  <c r="X189" i="29"/>
  <c r="Y189" i="29"/>
  <c r="Z189" i="29"/>
  <c r="W190" i="29"/>
  <c r="X190" i="29"/>
  <c r="Y190" i="29"/>
  <c r="Z190" i="29"/>
  <c r="W191" i="29"/>
  <c r="X191" i="29"/>
  <c r="Y191" i="29"/>
  <c r="Z191" i="29"/>
  <c r="W192" i="29"/>
  <c r="X192" i="29"/>
  <c r="Y192" i="29"/>
  <c r="Z192" i="29"/>
  <c r="W193" i="29"/>
  <c r="X193" i="29"/>
  <c r="Y193" i="29"/>
  <c r="Z193" i="29"/>
  <c r="W194" i="29"/>
  <c r="X194" i="29"/>
  <c r="Y194" i="29"/>
  <c r="Z194" i="29"/>
  <c r="W195" i="29"/>
  <c r="X195" i="29"/>
  <c r="Y195" i="29"/>
  <c r="Z195" i="29"/>
  <c r="W196" i="29"/>
  <c r="X196" i="29"/>
  <c r="Y196" i="29"/>
  <c r="Z196" i="29"/>
  <c r="W197" i="29"/>
  <c r="X197" i="29"/>
  <c r="Y197" i="29"/>
  <c r="Z197" i="29"/>
  <c r="W198" i="29"/>
  <c r="X198" i="29"/>
  <c r="Y198" i="29"/>
  <c r="Z198" i="29"/>
  <c r="W199" i="29"/>
  <c r="X199" i="29"/>
  <c r="Y199" i="29"/>
  <c r="Z199" i="29"/>
  <c r="W200" i="29"/>
  <c r="X200" i="29"/>
  <c r="Y200" i="29"/>
  <c r="Z200" i="29"/>
  <c r="W201" i="29"/>
  <c r="X201" i="29"/>
  <c r="Y201" i="29"/>
  <c r="Z201" i="29"/>
  <c r="W202" i="29"/>
  <c r="X202" i="29"/>
  <c r="Y202" i="29"/>
  <c r="Z202" i="29"/>
  <c r="W203" i="29"/>
  <c r="X203" i="29"/>
  <c r="Y203" i="29"/>
  <c r="Z203" i="29"/>
  <c r="W204" i="29"/>
  <c r="X204" i="29"/>
  <c r="Y204" i="29"/>
  <c r="Z204" i="29"/>
  <c r="W205" i="29"/>
  <c r="X205" i="29"/>
  <c r="Y205" i="29"/>
  <c r="Z205" i="29"/>
  <c r="W206" i="29"/>
  <c r="X206" i="29"/>
  <c r="Y206" i="29"/>
  <c r="Z206" i="29"/>
  <c r="W207" i="29"/>
  <c r="X207" i="29"/>
  <c r="Y207" i="29"/>
  <c r="Z207" i="29"/>
  <c r="W208" i="29"/>
  <c r="X208" i="29"/>
  <c r="Y208" i="29"/>
  <c r="Z208" i="29"/>
  <c r="W209" i="29"/>
  <c r="X209" i="29"/>
  <c r="Y209" i="29"/>
  <c r="Z209" i="29"/>
  <c r="W210" i="29"/>
  <c r="X210" i="29"/>
  <c r="Y210" i="29"/>
  <c r="Z210" i="29"/>
  <c r="W211" i="29"/>
  <c r="X211" i="29"/>
  <c r="Y211" i="29"/>
  <c r="Z211" i="29"/>
  <c r="W212" i="29"/>
  <c r="X212" i="29"/>
  <c r="Y212" i="29"/>
  <c r="Z212" i="29"/>
  <c r="W213" i="29"/>
  <c r="X213" i="29"/>
  <c r="Y213" i="29"/>
  <c r="Z213" i="29"/>
  <c r="W214" i="29"/>
  <c r="X214" i="29"/>
  <c r="Y214" i="29"/>
  <c r="Z214" i="29"/>
  <c r="W215" i="29"/>
  <c r="X215" i="29"/>
  <c r="Y215" i="29"/>
  <c r="Z215" i="29"/>
  <c r="W216" i="29"/>
  <c r="X216" i="29"/>
  <c r="Y216" i="29"/>
  <c r="Z216" i="29"/>
  <c r="W217" i="29"/>
  <c r="X217" i="29"/>
  <c r="Y217" i="29"/>
  <c r="Z217" i="29"/>
  <c r="W218" i="29"/>
  <c r="X218" i="29"/>
  <c r="Y218" i="29"/>
  <c r="Z218" i="29"/>
  <c r="W219" i="29"/>
  <c r="X219" i="29"/>
  <c r="Y219" i="29"/>
  <c r="Z219" i="29"/>
  <c r="W220" i="29"/>
  <c r="X220" i="29"/>
  <c r="Y220" i="29"/>
  <c r="Z220" i="29"/>
  <c r="W221" i="29"/>
  <c r="X221" i="29"/>
  <c r="Y221" i="29"/>
  <c r="Z221" i="29"/>
  <c r="W222" i="29"/>
  <c r="X222" i="29"/>
  <c r="Y222" i="29"/>
  <c r="Z222" i="29"/>
  <c r="W223" i="29"/>
  <c r="X223" i="29"/>
  <c r="Y223" i="29"/>
  <c r="Z223" i="29"/>
  <c r="W224" i="29"/>
  <c r="X224" i="29"/>
  <c r="Y224" i="29"/>
  <c r="Z224" i="29"/>
  <c r="W225" i="29"/>
  <c r="X225" i="29"/>
  <c r="Y225" i="29"/>
  <c r="Z225" i="29"/>
  <c r="W226" i="29"/>
  <c r="X226" i="29"/>
  <c r="Y226" i="29"/>
  <c r="Z226" i="29"/>
  <c r="W227" i="29"/>
  <c r="X227" i="29"/>
  <c r="Y227" i="29"/>
  <c r="Z227" i="29"/>
  <c r="W228" i="29"/>
  <c r="X228" i="29"/>
  <c r="Y228" i="29"/>
  <c r="Z228" i="29"/>
  <c r="W229" i="29"/>
  <c r="X229" i="29"/>
  <c r="Y229" i="29"/>
  <c r="Z229" i="29"/>
  <c r="W230" i="29"/>
  <c r="X230" i="29"/>
  <c r="Y230" i="29"/>
  <c r="Z230" i="29"/>
  <c r="W231" i="29"/>
  <c r="X231" i="29"/>
  <c r="Y231" i="29"/>
  <c r="Z231" i="29"/>
  <c r="W232" i="29"/>
  <c r="X232" i="29"/>
  <c r="Y232" i="29"/>
  <c r="Z232" i="29"/>
  <c r="W233" i="29"/>
  <c r="X233" i="29"/>
  <c r="Y233" i="29"/>
  <c r="Z233" i="29"/>
  <c r="W234" i="29"/>
  <c r="X234" i="29"/>
  <c r="Y234" i="29"/>
  <c r="Z234" i="29"/>
  <c r="W235" i="29"/>
  <c r="X235" i="29"/>
  <c r="Y235" i="29"/>
  <c r="Z235" i="29"/>
  <c r="W236" i="29"/>
  <c r="X236" i="29"/>
  <c r="Y236" i="29"/>
  <c r="Z236" i="29"/>
  <c r="W237" i="29"/>
  <c r="X237" i="29"/>
  <c r="Y237" i="29"/>
  <c r="Z237" i="29"/>
  <c r="W238" i="29"/>
  <c r="X238" i="29"/>
  <c r="Y238" i="29"/>
  <c r="Z238" i="29"/>
  <c r="W239" i="29"/>
  <c r="X239" i="29"/>
  <c r="Y239" i="29"/>
  <c r="Z239" i="29"/>
  <c r="W240" i="29"/>
  <c r="X240" i="29"/>
  <c r="Y240" i="29"/>
  <c r="Z240" i="29"/>
  <c r="W241" i="29"/>
  <c r="X241" i="29"/>
  <c r="Y241" i="29"/>
  <c r="Z241" i="29"/>
  <c r="W242" i="29"/>
  <c r="X242" i="29"/>
  <c r="Y242" i="29"/>
  <c r="Z242" i="29"/>
  <c r="W243" i="29"/>
  <c r="X243" i="29"/>
  <c r="Y243" i="29"/>
  <c r="Z243" i="29"/>
  <c r="W244" i="29"/>
  <c r="X244" i="29"/>
  <c r="Y244" i="29"/>
  <c r="Z244" i="29"/>
  <c r="W245" i="29"/>
  <c r="X245" i="29"/>
  <c r="Y245" i="29"/>
  <c r="Z245" i="29"/>
  <c r="W246" i="29"/>
  <c r="X246" i="29"/>
  <c r="Y246" i="29"/>
  <c r="Z246" i="29"/>
  <c r="W247" i="29"/>
  <c r="X247" i="29"/>
  <c r="Y247" i="29"/>
  <c r="Z247" i="29"/>
  <c r="W248" i="29"/>
  <c r="X248" i="29"/>
  <c r="Y248" i="29"/>
  <c r="Z248" i="29"/>
  <c r="W249" i="29"/>
  <c r="X249" i="29"/>
  <c r="Y249" i="29"/>
  <c r="Z249" i="29"/>
  <c r="W250" i="29"/>
  <c r="X250" i="29"/>
  <c r="Y250" i="29"/>
  <c r="Z250" i="29"/>
  <c r="W251" i="29"/>
  <c r="X251" i="29"/>
  <c r="Y251" i="29"/>
  <c r="Z251" i="29"/>
  <c r="W252" i="29"/>
  <c r="X252" i="29"/>
  <c r="Y252" i="29"/>
  <c r="Z252" i="29"/>
  <c r="W253" i="29"/>
  <c r="X253" i="29"/>
  <c r="Y253" i="29"/>
  <c r="Z253" i="29"/>
  <c r="W254" i="29"/>
  <c r="X254" i="29"/>
  <c r="Y254" i="29"/>
  <c r="Z254" i="29"/>
  <c r="W255" i="29"/>
  <c r="X255" i="29"/>
  <c r="Y255" i="29"/>
  <c r="Z255" i="29"/>
  <c r="W256" i="29"/>
  <c r="X256" i="29"/>
  <c r="Y256" i="29"/>
  <c r="Z256" i="29"/>
  <c r="W257" i="29"/>
  <c r="X257" i="29"/>
  <c r="Y257" i="29"/>
  <c r="Z257" i="29"/>
  <c r="W258" i="29"/>
  <c r="X258" i="29"/>
  <c r="Y258" i="29"/>
  <c r="Z258" i="29"/>
  <c r="W259" i="29"/>
  <c r="X259" i="29"/>
  <c r="Y259" i="29"/>
  <c r="Z259" i="29"/>
  <c r="W260" i="29"/>
  <c r="X260" i="29"/>
  <c r="Y260" i="29"/>
  <c r="Z260" i="29"/>
  <c r="W261" i="29"/>
  <c r="X261" i="29"/>
  <c r="Y261" i="29"/>
  <c r="Z261" i="29"/>
  <c r="W262" i="29"/>
  <c r="X262" i="29"/>
  <c r="Y262" i="29"/>
  <c r="Z262" i="29"/>
  <c r="W263" i="29"/>
  <c r="X263" i="29"/>
  <c r="Y263" i="29"/>
  <c r="Z263" i="29"/>
  <c r="W264" i="29"/>
  <c r="X264" i="29"/>
  <c r="Y264" i="29"/>
  <c r="Z264" i="29"/>
  <c r="W265" i="29"/>
  <c r="X265" i="29"/>
  <c r="Y265" i="29"/>
  <c r="Z265" i="29"/>
  <c r="W266" i="29"/>
  <c r="X266" i="29"/>
  <c r="Y266" i="29"/>
  <c r="Z266" i="29"/>
  <c r="W267" i="29"/>
  <c r="X267" i="29"/>
  <c r="Y267" i="29"/>
  <c r="Z267" i="29"/>
  <c r="W268" i="29"/>
  <c r="X268" i="29"/>
  <c r="Y268" i="29"/>
  <c r="Z268" i="29"/>
  <c r="W269" i="29"/>
  <c r="X269" i="29"/>
  <c r="Y269" i="29"/>
  <c r="Z269" i="29"/>
  <c r="W270" i="29"/>
  <c r="X270" i="29"/>
  <c r="Y270" i="29"/>
  <c r="Z270" i="29"/>
  <c r="W271" i="29"/>
  <c r="X271" i="29"/>
  <c r="Y271" i="29"/>
  <c r="Z271" i="29"/>
  <c r="W272" i="29"/>
  <c r="X272" i="29"/>
  <c r="Y272" i="29"/>
  <c r="Z272" i="29"/>
  <c r="W273" i="29"/>
  <c r="X273" i="29"/>
  <c r="Y273" i="29"/>
  <c r="Z273" i="29"/>
  <c r="W274" i="29"/>
  <c r="X274" i="29"/>
  <c r="Y274" i="29"/>
  <c r="Z274" i="29"/>
  <c r="W275" i="29"/>
  <c r="X275" i="29"/>
  <c r="Y275" i="29"/>
  <c r="Z275" i="29"/>
  <c r="W276" i="29"/>
  <c r="X276" i="29"/>
  <c r="Y276" i="29"/>
  <c r="Z276" i="29"/>
  <c r="W277" i="29"/>
  <c r="X277" i="29"/>
  <c r="Y277" i="29"/>
  <c r="Z277" i="29"/>
  <c r="W278" i="29"/>
  <c r="X278" i="29"/>
  <c r="Y278" i="29"/>
  <c r="Z278" i="29"/>
  <c r="W279" i="29"/>
  <c r="X279" i="29"/>
  <c r="Y279" i="29"/>
  <c r="Z279" i="29"/>
  <c r="W280" i="29"/>
  <c r="X280" i="29"/>
  <c r="Y280" i="29"/>
  <c r="Z280" i="29"/>
  <c r="W281" i="29"/>
  <c r="X281" i="29"/>
  <c r="Y281" i="29"/>
  <c r="Z281" i="29"/>
  <c r="W282" i="29"/>
  <c r="X282" i="29"/>
  <c r="Y282" i="29"/>
  <c r="Z282" i="29"/>
  <c r="W283" i="29"/>
  <c r="X283" i="29"/>
  <c r="Y283" i="29"/>
  <c r="Z283" i="29"/>
  <c r="W284" i="29"/>
  <c r="X284" i="29"/>
  <c r="Y284" i="29"/>
  <c r="Z284" i="29"/>
  <c r="W285" i="29"/>
  <c r="X285" i="29"/>
  <c r="Y285" i="29"/>
  <c r="Z285" i="29"/>
  <c r="W286" i="29"/>
  <c r="X286" i="29"/>
  <c r="Y286" i="29"/>
  <c r="Z286" i="29"/>
  <c r="W287" i="29"/>
  <c r="X287" i="29"/>
  <c r="Y287" i="29"/>
  <c r="Z287" i="29"/>
  <c r="W288" i="29"/>
  <c r="X288" i="29"/>
  <c r="Y288" i="29"/>
  <c r="Z288" i="29"/>
  <c r="W289" i="29"/>
  <c r="X289" i="29"/>
  <c r="Y289" i="29"/>
  <c r="Z289" i="29"/>
  <c r="W290" i="29"/>
  <c r="X290" i="29"/>
  <c r="Y290" i="29"/>
  <c r="Z290" i="29"/>
  <c r="W291" i="29"/>
  <c r="X291" i="29"/>
  <c r="Y291" i="29"/>
  <c r="Z291" i="29"/>
  <c r="W292" i="29"/>
  <c r="X292" i="29"/>
  <c r="Y292" i="29"/>
  <c r="Z292" i="29"/>
  <c r="W293" i="29"/>
  <c r="X293" i="29"/>
  <c r="Y293" i="29"/>
  <c r="Z293" i="29"/>
  <c r="W294" i="29"/>
  <c r="X294" i="29"/>
  <c r="Y294" i="29"/>
  <c r="Z294" i="29"/>
  <c r="W295" i="29"/>
  <c r="X295" i="29"/>
  <c r="Y295" i="29"/>
  <c r="Z295" i="29"/>
  <c r="W296" i="29"/>
  <c r="X296" i="29"/>
  <c r="Y296" i="29"/>
  <c r="Z296" i="29"/>
  <c r="W297" i="29"/>
  <c r="X297" i="29"/>
  <c r="Y297" i="29"/>
  <c r="Z297" i="29"/>
  <c r="W298" i="29"/>
  <c r="X298" i="29"/>
  <c r="Y298" i="29"/>
  <c r="Z298" i="29"/>
  <c r="W299" i="29"/>
  <c r="X299" i="29"/>
  <c r="Y299" i="29"/>
  <c r="Z299" i="29"/>
  <c r="W300" i="29"/>
  <c r="X300" i="29"/>
  <c r="Y300" i="29"/>
  <c r="Z300" i="29"/>
  <c r="W301" i="29"/>
  <c r="X301" i="29"/>
  <c r="Y301" i="29"/>
  <c r="Z301" i="29"/>
  <c r="W302" i="29"/>
  <c r="X302" i="29"/>
  <c r="Y302" i="29"/>
  <c r="Z302" i="29"/>
  <c r="W303" i="29"/>
  <c r="X303" i="29"/>
  <c r="Y303" i="29"/>
  <c r="Z303" i="29"/>
  <c r="W304" i="29"/>
  <c r="X304" i="29"/>
  <c r="Y304" i="29"/>
  <c r="Z304" i="29"/>
  <c r="W305" i="29"/>
  <c r="X305" i="29"/>
  <c r="Y305" i="29"/>
  <c r="Z305" i="29"/>
  <c r="W306" i="29"/>
  <c r="X306" i="29"/>
  <c r="Y306" i="29"/>
  <c r="Z306" i="29"/>
  <c r="W307" i="29"/>
  <c r="X307" i="29"/>
  <c r="Y307" i="29"/>
  <c r="Z307" i="29"/>
  <c r="W308" i="29"/>
  <c r="X308" i="29"/>
  <c r="Y308" i="29"/>
  <c r="Z308" i="29"/>
  <c r="W309" i="29"/>
  <c r="X309" i="29"/>
  <c r="Y309" i="29"/>
  <c r="Z309" i="29"/>
  <c r="W310" i="29"/>
  <c r="X310" i="29"/>
  <c r="Y310" i="29"/>
  <c r="Z310" i="29"/>
  <c r="W311" i="29"/>
  <c r="X311" i="29"/>
  <c r="Y311" i="29"/>
  <c r="Z311" i="29"/>
  <c r="W312" i="29"/>
  <c r="X312" i="29"/>
  <c r="Y312" i="29"/>
  <c r="Z312" i="29"/>
  <c r="W313" i="29"/>
  <c r="X313" i="29"/>
  <c r="Y313" i="29"/>
  <c r="Z313" i="29"/>
  <c r="W314" i="29"/>
  <c r="X314" i="29"/>
  <c r="Y314" i="29"/>
  <c r="Z314" i="29"/>
  <c r="W315" i="29"/>
  <c r="X315" i="29"/>
  <c r="Y315" i="29"/>
  <c r="Z315" i="29"/>
  <c r="W316" i="29"/>
  <c r="X316" i="29"/>
  <c r="Y316" i="29"/>
  <c r="Z316" i="29"/>
  <c r="W317" i="29"/>
  <c r="X317" i="29"/>
  <c r="Y317" i="29"/>
  <c r="Z317" i="29"/>
  <c r="W318" i="29"/>
  <c r="X318" i="29"/>
  <c r="Y318" i="29"/>
  <c r="Z318" i="29"/>
  <c r="W319" i="29"/>
  <c r="X319" i="29"/>
  <c r="Y319" i="29"/>
  <c r="Z319" i="29"/>
  <c r="W320" i="29"/>
  <c r="X320" i="29"/>
  <c r="Y320" i="29"/>
  <c r="Z320" i="29"/>
  <c r="W321" i="29"/>
  <c r="X321" i="29"/>
  <c r="Y321" i="29"/>
  <c r="Z321" i="29"/>
  <c r="W322" i="29"/>
  <c r="X322" i="29"/>
  <c r="Y322" i="29"/>
  <c r="Z322" i="29"/>
  <c r="W323" i="29"/>
  <c r="X323" i="29"/>
  <c r="Y323" i="29"/>
  <c r="Z323" i="29"/>
  <c r="W324" i="29"/>
  <c r="X324" i="29"/>
  <c r="Y324" i="29"/>
  <c r="Z324" i="29"/>
  <c r="W325" i="29"/>
  <c r="X325" i="29"/>
  <c r="Y325" i="29"/>
  <c r="Z325" i="29"/>
  <c r="W326" i="29"/>
  <c r="X326" i="29"/>
  <c r="Y326" i="29"/>
  <c r="Z326" i="29"/>
  <c r="W327" i="29"/>
  <c r="X327" i="29"/>
  <c r="Y327" i="29"/>
  <c r="Z327" i="29"/>
  <c r="W328" i="29"/>
  <c r="X328" i="29"/>
  <c r="Y328" i="29"/>
  <c r="Z328" i="29"/>
  <c r="W329" i="29"/>
  <c r="X329" i="29"/>
  <c r="Y329" i="29"/>
  <c r="Z329" i="29"/>
  <c r="W330" i="29"/>
  <c r="X330" i="29"/>
  <c r="Y330" i="29"/>
  <c r="Z330" i="29"/>
  <c r="W331" i="29"/>
  <c r="X331" i="29"/>
  <c r="Y331" i="29"/>
  <c r="Z331" i="29"/>
  <c r="W332" i="29"/>
  <c r="X332" i="29"/>
  <c r="Y332" i="29"/>
  <c r="Z332" i="29"/>
  <c r="W333" i="29"/>
  <c r="X333" i="29"/>
  <c r="Y333" i="29"/>
  <c r="Z333" i="29"/>
  <c r="W334" i="29"/>
  <c r="X334" i="29"/>
  <c r="Y334" i="29"/>
  <c r="Z334" i="29"/>
  <c r="W335" i="29"/>
  <c r="X335" i="29"/>
  <c r="Y335" i="29"/>
  <c r="Z335" i="29"/>
  <c r="W336" i="29"/>
  <c r="X336" i="29"/>
  <c r="Y336" i="29"/>
  <c r="Z336" i="29"/>
  <c r="W337" i="29"/>
  <c r="X337" i="29"/>
  <c r="Y337" i="29"/>
  <c r="Z337" i="29"/>
  <c r="W338" i="29"/>
  <c r="X338" i="29"/>
  <c r="Y338" i="29"/>
  <c r="Z338" i="29"/>
  <c r="W339" i="29"/>
  <c r="X339" i="29"/>
  <c r="Y339" i="29"/>
  <c r="Z339" i="29"/>
  <c r="W340" i="29"/>
  <c r="X340" i="29"/>
  <c r="Y340" i="29"/>
  <c r="Z340" i="29"/>
  <c r="W341" i="29"/>
  <c r="X341" i="29"/>
  <c r="Y341" i="29"/>
  <c r="Z341" i="29"/>
  <c r="W342" i="29"/>
  <c r="X342" i="29"/>
  <c r="Y342" i="29"/>
  <c r="Z342" i="29"/>
  <c r="W343" i="29"/>
  <c r="X343" i="29"/>
  <c r="Y343" i="29"/>
  <c r="Z343" i="29"/>
  <c r="W344" i="29"/>
  <c r="X344" i="29"/>
  <c r="Y344" i="29"/>
  <c r="Z344" i="29"/>
  <c r="W345" i="29"/>
  <c r="X345" i="29"/>
  <c r="Y345" i="29"/>
  <c r="Z345" i="29"/>
  <c r="W346" i="29"/>
  <c r="X346" i="29"/>
  <c r="Y346" i="29"/>
  <c r="Z346" i="29"/>
  <c r="W347" i="29"/>
  <c r="X347" i="29"/>
  <c r="Y347" i="29"/>
  <c r="Z347" i="29"/>
  <c r="W348" i="29"/>
  <c r="X348" i="29"/>
  <c r="Y348" i="29"/>
  <c r="Z348" i="29"/>
  <c r="W349" i="29"/>
  <c r="X349" i="29"/>
  <c r="Y349" i="29"/>
  <c r="Z349" i="29"/>
  <c r="W350" i="29"/>
  <c r="X350" i="29"/>
  <c r="Y350" i="29"/>
  <c r="Z350" i="29"/>
  <c r="W351" i="29"/>
  <c r="X351" i="29"/>
  <c r="Y351" i="29"/>
  <c r="Z351" i="29"/>
  <c r="W352" i="29"/>
  <c r="X352" i="29"/>
  <c r="Y352" i="29"/>
  <c r="Z352" i="29"/>
  <c r="W353" i="29"/>
  <c r="X353" i="29"/>
  <c r="Y353" i="29"/>
  <c r="Z353" i="29"/>
  <c r="W354" i="29"/>
  <c r="X354" i="29"/>
  <c r="Y354" i="29"/>
  <c r="Z354" i="29"/>
  <c r="W355" i="29"/>
  <c r="X355" i="29"/>
  <c r="Y355" i="29"/>
  <c r="Z355" i="29"/>
  <c r="W356" i="29"/>
  <c r="X356" i="29"/>
  <c r="Y356" i="29"/>
  <c r="Z356" i="29"/>
  <c r="W357" i="29"/>
  <c r="X357" i="29"/>
  <c r="Y357" i="29"/>
  <c r="Z357" i="29"/>
  <c r="W358" i="29"/>
  <c r="X358" i="29"/>
  <c r="Y358" i="29"/>
  <c r="Z358" i="29"/>
  <c r="W359" i="29"/>
  <c r="X359" i="29"/>
  <c r="Y359" i="29"/>
  <c r="Z359" i="29"/>
  <c r="W360" i="29"/>
  <c r="X360" i="29"/>
  <c r="Y360" i="29"/>
  <c r="Z360" i="29"/>
  <c r="W361" i="29"/>
  <c r="X361" i="29"/>
  <c r="Y361" i="29"/>
  <c r="Z361" i="29"/>
  <c r="W362" i="29"/>
  <c r="X362" i="29"/>
  <c r="Y362" i="29"/>
  <c r="Z362" i="29"/>
  <c r="W363" i="29"/>
  <c r="X363" i="29"/>
  <c r="Y363" i="29"/>
  <c r="Z363" i="29"/>
  <c r="W364" i="29"/>
  <c r="X364" i="29"/>
  <c r="Y364" i="29"/>
  <c r="Z364" i="29"/>
  <c r="W365" i="29"/>
  <c r="X365" i="29"/>
  <c r="Y365" i="29"/>
  <c r="Z365" i="29"/>
  <c r="W366" i="29"/>
  <c r="X366" i="29"/>
  <c r="Y366" i="29"/>
  <c r="Z366" i="29"/>
  <c r="W367" i="29"/>
  <c r="X367" i="29"/>
  <c r="Y367" i="29"/>
  <c r="Z367" i="29"/>
  <c r="W368" i="29"/>
  <c r="X368" i="29"/>
  <c r="Y368" i="29"/>
  <c r="Z368" i="29"/>
  <c r="W369" i="29"/>
  <c r="X369" i="29"/>
  <c r="Y369" i="29"/>
  <c r="Z369" i="29"/>
  <c r="W370" i="29"/>
  <c r="X370" i="29"/>
  <c r="Y370" i="29"/>
  <c r="Z370" i="29"/>
  <c r="W371" i="29"/>
  <c r="X371" i="29"/>
  <c r="Y371" i="29"/>
  <c r="Z371" i="29"/>
  <c r="W372" i="29"/>
  <c r="X372" i="29"/>
  <c r="Y372" i="29"/>
  <c r="Z372" i="29"/>
  <c r="W373" i="29"/>
  <c r="X373" i="29"/>
  <c r="Y373" i="29"/>
  <c r="Z373" i="29"/>
  <c r="W374" i="29"/>
  <c r="X374" i="29"/>
  <c r="Y374" i="29"/>
  <c r="Z374" i="29"/>
  <c r="W375" i="29"/>
  <c r="X375" i="29"/>
  <c r="Y375" i="29"/>
  <c r="Z375" i="29"/>
  <c r="W376" i="29"/>
  <c r="X376" i="29"/>
  <c r="Y376" i="29"/>
  <c r="Z376" i="29"/>
  <c r="W377" i="29"/>
  <c r="X377" i="29"/>
  <c r="Y377" i="29"/>
  <c r="Z377" i="29"/>
  <c r="W378" i="29"/>
  <c r="X378" i="29"/>
  <c r="Y378" i="29"/>
  <c r="Z378" i="29"/>
  <c r="W379" i="29"/>
  <c r="X379" i="29"/>
  <c r="Y379" i="29"/>
  <c r="Z379" i="29"/>
  <c r="W380" i="29"/>
  <c r="X380" i="29"/>
  <c r="Y380" i="29"/>
  <c r="Z380" i="29"/>
  <c r="W381" i="29"/>
  <c r="X381" i="29"/>
  <c r="Y381" i="29"/>
  <c r="Z381" i="29"/>
  <c r="W382" i="29"/>
  <c r="X382" i="29"/>
  <c r="Y382" i="29"/>
  <c r="Z382" i="29"/>
  <c r="W383" i="29"/>
  <c r="X383" i="29"/>
  <c r="Y383" i="29"/>
  <c r="Z383" i="29"/>
  <c r="W384" i="29"/>
  <c r="X384" i="29"/>
  <c r="Y384" i="29"/>
  <c r="Z384" i="29"/>
  <c r="W385" i="29"/>
  <c r="X385" i="29"/>
  <c r="Y385" i="29"/>
  <c r="Z385" i="29"/>
  <c r="W386" i="29"/>
  <c r="X386" i="29"/>
  <c r="Y386" i="29"/>
  <c r="Z386" i="29"/>
  <c r="W387" i="29"/>
  <c r="X387" i="29"/>
  <c r="Y387" i="29"/>
  <c r="Z387" i="29"/>
  <c r="W388" i="29"/>
  <c r="X388" i="29"/>
  <c r="Y388" i="29"/>
  <c r="Z388" i="29"/>
  <c r="W389" i="29"/>
  <c r="X389" i="29"/>
  <c r="Y389" i="29"/>
  <c r="Z389" i="29"/>
  <c r="W390" i="29"/>
  <c r="X390" i="29"/>
  <c r="Y390" i="29"/>
  <c r="Z390" i="29"/>
  <c r="W391" i="29"/>
  <c r="X391" i="29"/>
  <c r="Y391" i="29"/>
  <c r="Z391" i="29"/>
  <c r="W392" i="29"/>
  <c r="X392" i="29"/>
  <c r="Y392" i="29"/>
  <c r="Z392" i="29"/>
  <c r="W393" i="29"/>
  <c r="X393" i="29"/>
  <c r="Y393" i="29"/>
  <c r="Z393" i="29"/>
  <c r="W394" i="29"/>
  <c r="X394" i="29"/>
  <c r="Y394" i="29"/>
  <c r="Z394" i="29"/>
  <c r="W395" i="29"/>
  <c r="X395" i="29"/>
  <c r="Y395" i="29"/>
  <c r="Z395" i="29"/>
  <c r="W396" i="29"/>
  <c r="X396" i="29"/>
  <c r="Y396" i="29"/>
  <c r="Z396" i="29"/>
  <c r="W397" i="29"/>
  <c r="X397" i="29"/>
  <c r="Y397" i="29"/>
  <c r="Z397" i="29"/>
  <c r="W398" i="29"/>
  <c r="X398" i="29"/>
  <c r="Y398" i="29"/>
  <c r="Z398" i="29"/>
  <c r="W399" i="29"/>
  <c r="X399" i="29"/>
  <c r="Y399" i="29"/>
  <c r="Z399" i="29"/>
  <c r="W400" i="29"/>
  <c r="X400" i="29"/>
  <c r="Y400" i="29"/>
  <c r="Z400" i="29"/>
  <c r="W401" i="29"/>
  <c r="X401" i="29"/>
  <c r="Y401" i="29"/>
  <c r="Z401" i="29"/>
  <c r="W402" i="29"/>
  <c r="X402" i="29"/>
  <c r="Y402" i="29"/>
  <c r="Z402" i="29"/>
  <c r="W403" i="29"/>
  <c r="X403" i="29"/>
  <c r="Y403" i="29"/>
  <c r="Z403" i="29"/>
  <c r="W404" i="29"/>
  <c r="X404" i="29"/>
  <c r="Y404" i="29"/>
  <c r="Z404" i="29"/>
  <c r="W405" i="29"/>
  <c r="X405" i="29"/>
  <c r="Y405" i="29"/>
  <c r="Z405" i="29"/>
  <c r="W406" i="29"/>
  <c r="X406" i="29"/>
  <c r="Y406" i="29"/>
  <c r="Z406" i="29"/>
  <c r="W407" i="29"/>
  <c r="X407" i="29"/>
  <c r="Y407" i="29"/>
  <c r="Z407" i="29"/>
  <c r="W408" i="29"/>
  <c r="X408" i="29"/>
  <c r="Y408" i="29"/>
  <c r="Z408" i="29"/>
  <c r="W409" i="29"/>
  <c r="X409" i="29"/>
  <c r="Y409" i="29"/>
  <c r="Z409" i="29"/>
  <c r="W410" i="29"/>
  <c r="X410" i="29"/>
  <c r="Y410" i="29"/>
  <c r="Z410" i="29"/>
  <c r="W411" i="29"/>
  <c r="X411" i="29"/>
  <c r="Y411" i="29"/>
  <c r="Z411" i="29"/>
  <c r="W412" i="29"/>
  <c r="X412" i="29"/>
  <c r="Y412" i="29"/>
  <c r="Z412" i="29"/>
  <c r="W413" i="29"/>
  <c r="X413" i="29"/>
  <c r="Y413" i="29"/>
  <c r="Z413" i="29"/>
  <c r="W414" i="29"/>
  <c r="X414" i="29"/>
  <c r="Y414" i="29"/>
  <c r="Z414" i="29"/>
  <c r="W415" i="29"/>
  <c r="X415" i="29"/>
  <c r="Y415" i="29"/>
  <c r="Z415" i="29"/>
  <c r="W416" i="29"/>
  <c r="X416" i="29"/>
  <c r="Y416" i="29"/>
  <c r="Z416" i="29"/>
  <c r="W417" i="29"/>
  <c r="X417" i="29"/>
  <c r="Y417" i="29"/>
  <c r="Z417" i="29"/>
  <c r="W418" i="29"/>
  <c r="X418" i="29"/>
  <c r="Y418" i="29"/>
  <c r="Z418" i="29"/>
  <c r="W419" i="29"/>
  <c r="X419" i="29"/>
  <c r="Y419" i="29"/>
  <c r="Z419" i="29"/>
  <c r="W420" i="29"/>
  <c r="X420" i="29"/>
  <c r="Y420" i="29"/>
  <c r="Z420" i="29"/>
  <c r="W421" i="29"/>
  <c r="X421" i="29"/>
  <c r="Y421" i="29"/>
  <c r="Z421" i="29"/>
  <c r="W422" i="29"/>
  <c r="X422" i="29"/>
  <c r="Y422" i="29"/>
  <c r="Z422" i="29"/>
  <c r="W423" i="29"/>
  <c r="X423" i="29"/>
  <c r="Y423" i="29"/>
  <c r="Z423" i="29"/>
  <c r="W424" i="29"/>
  <c r="X424" i="29"/>
  <c r="Y424" i="29"/>
  <c r="Z424" i="29"/>
  <c r="W425" i="29"/>
  <c r="X425" i="29"/>
  <c r="Y425" i="29"/>
  <c r="Z425" i="29"/>
  <c r="W426" i="29"/>
  <c r="X426" i="29"/>
  <c r="Y426" i="29"/>
  <c r="Z426" i="29"/>
  <c r="W427" i="29"/>
  <c r="X427" i="29"/>
  <c r="Y427" i="29"/>
  <c r="Z427" i="29"/>
  <c r="W428" i="29"/>
  <c r="X428" i="29"/>
  <c r="Y428" i="29"/>
  <c r="Z428" i="29"/>
  <c r="W429" i="29"/>
  <c r="X429" i="29"/>
  <c r="Y429" i="29"/>
  <c r="Z429" i="29"/>
  <c r="W430" i="29"/>
  <c r="X430" i="29"/>
  <c r="Y430" i="29"/>
  <c r="Z430" i="29"/>
  <c r="W431" i="29"/>
  <c r="X431" i="29"/>
  <c r="Y431" i="29"/>
  <c r="Z431" i="29"/>
  <c r="W432" i="29"/>
  <c r="X432" i="29"/>
  <c r="Y432" i="29"/>
  <c r="Z432" i="29"/>
  <c r="W433" i="29"/>
  <c r="X433" i="29"/>
  <c r="Y433" i="29"/>
  <c r="Z433" i="29"/>
  <c r="W434" i="29"/>
  <c r="X434" i="29"/>
  <c r="Y434" i="29"/>
  <c r="Z434" i="29"/>
  <c r="W435" i="29"/>
  <c r="X435" i="29"/>
  <c r="Y435" i="29"/>
  <c r="Z435" i="29"/>
  <c r="W436" i="29"/>
  <c r="X436" i="29"/>
  <c r="Y436" i="29"/>
  <c r="Z436" i="29"/>
  <c r="W437" i="29"/>
  <c r="X437" i="29"/>
  <c r="Y437" i="29"/>
  <c r="Z437" i="29"/>
  <c r="W438" i="29"/>
  <c r="X438" i="29"/>
  <c r="Y438" i="29"/>
  <c r="Z438" i="29"/>
  <c r="W439" i="29"/>
  <c r="X439" i="29"/>
  <c r="Y439" i="29"/>
  <c r="Z439" i="29"/>
  <c r="W440" i="29"/>
  <c r="X440" i="29"/>
  <c r="Y440" i="29"/>
  <c r="Z440" i="29"/>
  <c r="W441" i="29"/>
  <c r="X441" i="29"/>
  <c r="Y441" i="29"/>
  <c r="Z441" i="29"/>
  <c r="W442" i="29"/>
  <c r="X442" i="29"/>
  <c r="Y442" i="29"/>
  <c r="Z442" i="29"/>
  <c r="W443" i="29"/>
  <c r="X443" i="29"/>
  <c r="Y443" i="29"/>
  <c r="Z443" i="29"/>
  <c r="W444" i="29"/>
  <c r="X444" i="29"/>
  <c r="Y444" i="29"/>
  <c r="Z444" i="29"/>
  <c r="W445" i="29"/>
  <c r="X445" i="29"/>
  <c r="Y445" i="29"/>
  <c r="Z445" i="29"/>
  <c r="W446" i="29"/>
  <c r="X446" i="29"/>
  <c r="Y446" i="29"/>
  <c r="Z446" i="29"/>
  <c r="W447" i="29"/>
  <c r="X447" i="29"/>
  <c r="Y447" i="29"/>
  <c r="Z447" i="29"/>
  <c r="W448" i="29"/>
  <c r="X448" i="29"/>
  <c r="Y448" i="29"/>
  <c r="Z448" i="29"/>
  <c r="W449" i="29"/>
  <c r="X449" i="29"/>
  <c r="Y449" i="29"/>
  <c r="Z449" i="29"/>
  <c r="W450" i="29"/>
  <c r="X450" i="29"/>
  <c r="Y450" i="29"/>
  <c r="Z450" i="29"/>
  <c r="W451" i="29"/>
  <c r="X451" i="29"/>
  <c r="Y451" i="29"/>
  <c r="Z451" i="29"/>
  <c r="W452" i="29"/>
  <c r="X452" i="29"/>
  <c r="Y452" i="29"/>
  <c r="Z452" i="29"/>
  <c r="W453" i="29"/>
  <c r="X453" i="29"/>
  <c r="Y453" i="29"/>
  <c r="Z453" i="29"/>
  <c r="W454" i="29"/>
  <c r="X454" i="29"/>
  <c r="Y454" i="29"/>
  <c r="Z454" i="29"/>
  <c r="W455" i="29"/>
  <c r="X455" i="29"/>
  <c r="Y455" i="29"/>
  <c r="Z455" i="29"/>
  <c r="W456" i="29"/>
  <c r="X456" i="29"/>
  <c r="Y456" i="29"/>
  <c r="Z456" i="29"/>
  <c r="W457" i="29"/>
  <c r="X457" i="29"/>
  <c r="Y457" i="29"/>
  <c r="Z457" i="29"/>
  <c r="W458" i="29"/>
  <c r="X458" i="29"/>
  <c r="Y458" i="29"/>
  <c r="Z458" i="29"/>
  <c r="W459" i="29"/>
  <c r="X459" i="29"/>
  <c r="Y459" i="29"/>
  <c r="Z459" i="29"/>
  <c r="W460" i="29"/>
  <c r="X460" i="29"/>
  <c r="Y460" i="29"/>
  <c r="Z460" i="29"/>
  <c r="W461" i="29"/>
  <c r="X461" i="29"/>
  <c r="Y461" i="29"/>
  <c r="Z461" i="29"/>
  <c r="W462" i="29"/>
  <c r="X462" i="29"/>
  <c r="Y462" i="29"/>
  <c r="Z462" i="29"/>
  <c r="W463" i="29"/>
  <c r="X463" i="29"/>
  <c r="Y463" i="29"/>
  <c r="Z463" i="29"/>
  <c r="W464" i="29"/>
  <c r="X464" i="29"/>
  <c r="Y464" i="29"/>
  <c r="Z464" i="29"/>
  <c r="W465" i="29"/>
  <c r="X465" i="29"/>
  <c r="Y465" i="29"/>
  <c r="Z465" i="29"/>
  <c r="W466" i="29"/>
  <c r="X466" i="29"/>
  <c r="Y466" i="29"/>
  <c r="Z466" i="29"/>
  <c r="W467" i="29"/>
  <c r="X467" i="29"/>
  <c r="Y467" i="29"/>
  <c r="Z467" i="29"/>
  <c r="W468" i="29"/>
  <c r="X468" i="29"/>
  <c r="Y468" i="29"/>
  <c r="Z468" i="29"/>
  <c r="W469" i="29"/>
  <c r="X469" i="29"/>
  <c r="Y469" i="29"/>
  <c r="Z469" i="29"/>
  <c r="W470" i="29"/>
  <c r="X470" i="29"/>
  <c r="Y470" i="29"/>
  <c r="Z470" i="29"/>
  <c r="W471" i="29"/>
  <c r="X471" i="29"/>
  <c r="Y471" i="29"/>
  <c r="Z471" i="29"/>
  <c r="W472" i="29"/>
  <c r="X472" i="29"/>
  <c r="Y472" i="29"/>
  <c r="Z472" i="29"/>
  <c r="W473" i="29"/>
  <c r="X473" i="29"/>
  <c r="Y473" i="29"/>
  <c r="Z473" i="29"/>
  <c r="W474" i="29"/>
  <c r="X474" i="29"/>
  <c r="Y474" i="29"/>
  <c r="Z474" i="29"/>
  <c r="W475" i="29"/>
  <c r="X475" i="29"/>
  <c r="Y475" i="29"/>
  <c r="Z475" i="29"/>
  <c r="W476" i="29"/>
  <c r="X476" i="29"/>
  <c r="Y476" i="29"/>
  <c r="Z476" i="29"/>
  <c r="W477" i="29"/>
  <c r="X477" i="29"/>
  <c r="Y477" i="29"/>
  <c r="Z477" i="29"/>
  <c r="W478" i="29"/>
  <c r="X478" i="29"/>
  <c r="Y478" i="29"/>
  <c r="Z478" i="29"/>
  <c r="W479" i="29"/>
  <c r="X479" i="29"/>
  <c r="Y479" i="29"/>
  <c r="Z479" i="29"/>
  <c r="W480" i="29"/>
  <c r="X480" i="29"/>
  <c r="Y480" i="29"/>
  <c r="Z480" i="29"/>
  <c r="W481" i="29"/>
  <c r="X481" i="29"/>
  <c r="Y481" i="29"/>
  <c r="Z481" i="29"/>
  <c r="W482" i="29"/>
  <c r="X482" i="29"/>
  <c r="Y482" i="29"/>
  <c r="Z482" i="29"/>
  <c r="W483" i="29"/>
  <c r="X483" i="29"/>
  <c r="Y483" i="29"/>
  <c r="Z483" i="29"/>
  <c r="W484" i="29"/>
  <c r="X484" i="29"/>
  <c r="Y484" i="29"/>
  <c r="Z484" i="29"/>
  <c r="W485" i="29"/>
  <c r="X485" i="29"/>
  <c r="Y485" i="29"/>
  <c r="Z485" i="29"/>
  <c r="W486" i="29"/>
  <c r="X486" i="29"/>
  <c r="Y486" i="29"/>
  <c r="Z486" i="29"/>
  <c r="W487" i="29"/>
  <c r="X487" i="29"/>
  <c r="Y487" i="29"/>
  <c r="Z487" i="29"/>
  <c r="W488" i="29"/>
  <c r="X488" i="29"/>
  <c r="Y488" i="29"/>
  <c r="Z488" i="29"/>
  <c r="W489" i="29"/>
  <c r="X489" i="29"/>
  <c r="Y489" i="29"/>
  <c r="Z489" i="29"/>
  <c r="W490" i="29"/>
  <c r="X490" i="29"/>
  <c r="Y490" i="29"/>
  <c r="Z490" i="29"/>
  <c r="W491" i="29"/>
  <c r="X491" i="29"/>
  <c r="Y491" i="29"/>
  <c r="Z491" i="29"/>
  <c r="W492" i="29"/>
  <c r="X492" i="29"/>
  <c r="Y492" i="29"/>
  <c r="Z492" i="29"/>
  <c r="W493" i="29"/>
  <c r="X493" i="29"/>
  <c r="Y493" i="29"/>
  <c r="Z493" i="29"/>
  <c r="W494" i="29"/>
  <c r="X494" i="29"/>
  <c r="Y494" i="29"/>
  <c r="Z494" i="29"/>
  <c r="W495" i="29"/>
  <c r="X495" i="29"/>
  <c r="Y495" i="29"/>
  <c r="Z495" i="29"/>
  <c r="W496" i="29"/>
  <c r="X496" i="29"/>
  <c r="Y496" i="29"/>
  <c r="Z496" i="29"/>
  <c r="W497" i="29"/>
  <c r="X497" i="29"/>
  <c r="Y497" i="29"/>
  <c r="Z497" i="29"/>
  <c r="W498" i="29"/>
  <c r="X498" i="29"/>
  <c r="Y498" i="29"/>
  <c r="Z498" i="29"/>
  <c r="W499" i="29"/>
  <c r="X499" i="29"/>
  <c r="Y499" i="29"/>
  <c r="Z499" i="29"/>
  <c r="W500" i="29"/>
  <c r="X500" i="29"/>
  <c r="Y500" i="29"/>
  <c r="Z500" i="29"/>
  <c r="W501" i="29"/>
  <c r="X501" i="29"/>
  <c r="Y501" i="29"/>
  <c r="Z501" i="29"/>
  <c r="W502" i="29"/>
  <c r="X502" i="29"/>
  <c r="Y502" i="29"/>
  <c r="Z502" i="29"/>
  <c r="W503" i="29"/>
  <c r="X503" i="29"/>
  <c r="Y503" i="29"/>
  <c r="Z503" i="29"/>
  <c r="W504" i="29"/>
  <c r="X504" i="29"/>
  <c r="Y504" i="29"/>
  <c r="Z504" i="29"/>
  <c r="W505" i="29"/>
  <c r="X505" i="29"/>
  <c r="Y505" i="29"/>
  <c r="Z505" i="29"/>
  <c r="W506" i="29"/>
  <c r="X506" i="29"/>
  <c r="Y506" i="29"/>
  <c r="Z506" i="29"/>
  <c r="W507" i="29"/>
  <c r="X507" i="29"/>
  <c r="Y507" i="29"/>
  <c r="Z507" i="29"/>
  <c r="W508" i="29"/>
  <c r="X508" i="29"/>
  <c r="Y508" i="29"/>
  <c r="Z508" i="29"/>
  <c r="W509" i="29"/>
  <c r="X509" i="29"/>
  <c r="Y509" i="29"/>
  <c r="Z509" i="29"/>
  <c r="W510" i="29"/>
  <c r="X510" i="29"/>
  <c r="Y510" i="29"/>
  <c r="Z510" i="29"/>
  <c r="W511" i="29"/>
  <c r="X511" i="29"/>
  <c r="Y511" i="29"/>
  <c r="Z511" i="29"/>
  <c r="W512" i="29"/>
  <c r="X512" i="29"/>
  <c r="Y512" i="29"/>
  <c r="Z512" i="29"/>
  <c r="W513" i="29"/>
  <c r="X513" i="29"/>
  <c r="Y513" i="29"/>
  <c r="Z513" i="29"/>
  <c r="W514" i="29"/>
  <c r="X514" i="29"/>
  <c r="Y514" i="29"/>
  <c r="Z514" i="29"/>
  <c r="W515" i="29"/>
  <c r="X515" i="29"/>
  <c r="Y515" i="29"/>
  <c r="Z515" i="29"/>
  <c r="W516" i="29"/>
  <c r="X516" i="29"/>
  <c r="Y516" i="29"/>
  <c r="Z516" i="29"/>
  <c r="W517" i="29"/>
  <c r="X517" i="29"/>
  <c r="Y517" i="29"/>
  <c r="Z517" i="29"/>
  <c r="W518" i="29"/>
  <c r="X518" i="29"/>
  <c r="Y518" i="29"/>
  <c r="Z518" i="29"/>
  <c r="W519" i="29"/>
  <c r="X519" i="29"/>
  <c r="Y519" i="29"/>
  <c r="Z519" i="29"/>
  <c r="W520" i="29"/>
  <c r="X520" i="29"/>
  <c r="Y520" i="29"/>
  <c r="Z520" i="29"/>
  <c r="W521" i="29"/>
  <c r="X521" i="29"/>
  <c r="Y521" i="29"/>
  <c r="Z521" i="29"/>
  <c r="W522" i="29"/>
  <c r="X522" i="29"/>
  <c r="Y522" i="29"/>
  <c r="Z522" i="29"/>
  <c r="W523" i="29"/>
  <c r="X523" i="29"/>
  <c r="Y523" i="29"/>
  <c r="Z523" i="29"/>
  <c r="W524" i="29"/>
  <c r="X524" i="29"/>
  <c r="Y524" i="29"/>
  <c r="Z524" i="29"/>
  <c r="W525" i="29"/>
  <c r="X525" i="29"/>
  <c r="Y525" i="29"/>
  <c r="Z525" i="29"/>
  <c r="W526" i="29"/>
  <c r="X526" i="29"/>
  <c r="Y526" i="29"/>
  <c r="Z526" i="29"/>
  <c r="W527" i="29"/>
  <c r="X527" i="29"/>
  <c r="Y527" i="29"/>
  <c r="Z527" i="29"/>
  <c r="W528" i="29"/>
  <c r="X528" i="29"/>
  <c r="Y528" i="29"/>
  <c r="Z528" i="29"/>
  <c r="W529" i="29"/>
  <c r="X529" i="29"/>
  <c r="Y529" i="29"/>
  <c r="Z529" i="29"/>
  <c r="W530" i="29"/>
  <c r="X530" i="29"/>
  <c r="Y530" i="29"/>
  <c r="Z530" i="29"/>
  <c r="W531" i="29"/>
  <c r="X531" i="29"/>
  <c r="Y531" i="29"/>
  <c r="Z531" i="29"/>
  <c r="W532" i="29"/>
  <c r="X532" i="29"/>
  <c r="Y532" i="29"/>
  <c r="Z532" i="29"/>
  <c r="W533" i="29"/>
  <c r="X533" i="29"/>
  <c r="Y533" i="29"/>
  <c r="Z533" i="29"/>
  <c r="W534" i="29"/>
  <c r="X534" i="29"/>
  <c r="Y534" i="29"/>
  <c r="Z534" i="29"/>
  <c r="W535" i="29"/>
  <c r="X535" i="29"/>
  <c r="Y535" i="29"/>
  <c r="Z535" i="29"/>
  <c r="W536" i="29"/>
  <c r="X536" i="29"/>
  <c r="Y536" i="29"/>
  <c r="Z536" i="29"/>
  <c r="W537" i="29"/>
  <c r="X537" i="29"/>
  <c r="Y537" i="29"/>
  <c r="Z537" i="29"/>
  <c r="W538" i="29"/>
  <c r="X538" i="29"/>
  <c r="Y538" i="29"/>
  <c r="Z538" i="29"/>
  <c r="W539" i="29"/>
  <c r="X539" i="29"/>
  <c r="Y539" i="29"/>
  <c r="Z539" i="29"/>
  <c r="W540" i="29"/>
  <c r="X540" i="29"/>
  <c r="Y540" i="29"/>
  <c r="Z540" i="29"/>
  <c r="W541" i="29"/>
  <c r="X541" i="29"/>
  <c r="Y541" i="29"/>
  <c r="Z541" i="29"/>
  <c r="W542" i="29"/>
  <c r="X542" i="29"/>
  <c r="Y542" i="29"/>
  <c r="Z542" i="29"/>
  <c r="W543" i="29"/>
  <c r="X543" i="29"/>
  <c r="Y543" i="29"/>
  <c r="Z543" i="29"/>
  <c r="W544" i="29"/>
  <c r="X544" i="29"/>
  <c r="Y544" i="29"/>
  <c r="Z544" i="29"/>
  <c r="W545" i="29"/>
  <c r="X545" i="29"/>
  <c r="Y545" i="29"/>
  <c r="Z545" i="29"/>
  <c r="W546" i="29"/>
  <c r="X546" i="29"/>
  <c r="Y546" i="29"/>
  <c r="Z546" i="29"/>
  <c r="W547" i="29"/>
  <c r="X547" i="29"/>
  <c r="Y547" i="29"/>
  <c r="Z547" i="29"/>
  <c r="W548" i="29"/>
  <c r="X548" i="29"/>
  <c r="Y548" i="29"/>
  <c r="Z548" i="29"/>
  <c r="W549" i="29"/>
  <c r="X549" i="29"/>
  <c r="Y549" i="29"/>
  <c r="Z549" i="29"/>
  <c r="W550" i="29"/>
  <c r="X550" i="29"/>
  <c r="Y550" i="29"/>
  <c r="Z550" i="29"/>
  <c r="W551" i="29"/>
  <c r="X551" i="29"/>
  <c r="Y551" i="29"/>
  <c r="Z551" i="29"/>
  <c r="W552" i="29"/>
  <c r="X552" i="29"/>
  <c r="Y552" i="29"/>
  <c r="Z552" i="29"/>
  <c r="W553" i="29"/>
  <c r="X553" i="29"/>
  <c r="Y553" i="29"/>
  <c r="Z553" i="29"/>
  <c r="W554" i="29"/>
  <c r="X554" i="29"/>
  <c r="Y554" i="29"/>
  <c r="Z554" i="29"/>
  <c r="W555" i="29"/>
  <c r="X555" i="29"/>
  <c r="Y555" i="29"/>
  <c r="Z555" i="29"/>
  <c r="W556" i="29"/>
  <c r="X556" i="29"/>
  <c r="Y556" i="29"/>
  <c r="Z556" i="29"/>
  <c r="W557" i="29"/>
  <c r="X557" i="29"/>
  <c r="Y557" i="29"/>
  <c r="Z557" i="29"/>
  <c r="W558" i="29"/>
  <c r="X558" i="29"/>
  <c r="Y558" i="29"/>
  <c r="Z558" i="29"/>
  <c r="W559" i="29"/>
  <c r="X559" i="29"/>
  <c r="Y559" i="29"/>
  <c r="Z559" i="29"/>
  <c r="W560" i="29"/>
  <c r="X560" i="29"/>
  <c r="Y560" i="29"/>
  <c r="Z560" i="29"/>
  <c r="W561" i="29"/>
  <c r="X561" i="29"/>
  <c r="Y561" i="29"/>
  <c r="Z561" i="29"/>
  <c r="W562" i="29"/>
  <c r="X562" i="29"/>
  <c r="Y562" i="29"/>
  <c r="Z562" i="29"/>
  <c r="W563" i="29"/>
  <c r="X563" i="29"/>
  <c r="Y563" i="29"/>
  <c r="Z563" i="29"/>
  <c r="W564" i="29"/>
  <c r="X564" i="29"/>
  <c r="Y564" i="29"/>
  <c r="Z564" i="29"/>
  <c r="W565" i="29"/>
  <c r="X565" i="29"/>
  <c r="Y565" i="29"/>
  <c r="Z565" i="29"/>
  <c r="W566" i="29"/>
  <c r="X566" i="29"/>
  <c r="Y566" i="29"/>
  <c r="Z566" i="29"/>
  <c r="W567" i="29"/>
  <c r="X567" i="29"/>
  <c r="Y567" i="29"/>
  <c r="Z567" i="29"/>
  <c r="W568" i="29"/>
  <c r="X568" i="29"/>
  <c r="Y568" i="29"/>
  <c r="Z568" i="29"/>
  <c r="W569" i="29"/>
  <c r="X569" i="29"/>
  <c r="Y569" i="29"/>
  <c r="Z569" i="29"/>
  <c r="W570" i="29"/>
  <c r="X570" i="29"/>
  <c r="Y570" i="29"/>
  <c r="Z570" i="29"/>
  <c r="W571" i="29"/>
  <c r="X571" i="29"/>
  <c r="Y571" i="29"/>
  <c r="Z571" i="29"/>
  <c r="W572" i="29"/>
  <c r="X572" i="29"/>
  <c r="Y572" i="29"/>
  <c r="Z572" i="29"/>
  <c r="W573" i="29"/>
  <c r="X573" i="29"/>
  <c r="Y573" i="29"/>
  <c r="Z573" i="29"/>
  <c r="W574" i="29"/>
  <c r="X574" i="29"/>
  <c r="Y574" i="29"/>
  <c r="Z574" i="29"/>
  <c r="W575" i="29"/>
  <c r="X575" i="29"/>
  <c r="Y575" i="29"/>
  <c r="Z575" i="29"/>
  <c r="W576" i="29"/>
  <c r="X576" i="29"/>
  <c r="Y576" i="29"/>
  <c r="Z576" i="29"/>
  <c r="W577" i="29"/>
  <c r="X577" i="29"/>
  <c r="Y577" i="29"/>
  <c r="Z577" i="29"/>
  <c r="W578" i="29"/>
  <c r="X578" i="29"/>
  <c r="Y578" i="29"/>
  <c r="Z578" i="29"/>
  <c r="W579" i="29"/>
  <c r="X579" i="29"/>
  <c r="Y579" i="29"/>
  <c r="Z579" i="29"/>
  <c r="W580" i="29"/>
  <c r="X580" i="29"/>
  <c r="Y580" i="29"/>
  <c r="Z580" i="29"/>
  <c r="W581" i="29"/>
  <c r="X581" i="29"/>
  <c r="Y581" i="29"/>
  <c r="Z581" i="29"/>
  <c r="W582" i="29"/>
  <c r="X582" i="29"/>
  <c r="Y582" i="29"/>
  <c r="Z582" i="29"/>
  <c r="W583" i="29"/>
  <c r="X583" i="29"/>
  <c r="Y583" i="29"/>
  <c r="Z583" i="29"/>
  <c r="W584" i="29"/>
  <c r="X584" i="29"/>
  <c r="Y584" i="29"/>
  <c r="Z584" i="29"/>
  <c r="W585" i="29"/>
  <c r="X585" i="29"/>
  <c r="Y585" i="29"/>
  <c r="Z585" i="29"/>
  <c r="W586" i="29"/>
  <c r="X586" i="29"/>
  <c r="Y586" i="29"/>
  <c r="Z586" i="29"/>
  <c r="W587" i="29"/>
  <c r="X587" i="29"/>
  <c r="Y587" i="29"/>
  <c r="Z587" i="29"/>
  <c r="W588" i="29"/>
  <c r="X588" i="29"/>
  <c r="Y588" i="29"/>
  <c r="Z588" i="29"/>
  <c r="W589" i="29"/>
  <c r="X589" i="29"/>
  <c r="Y589" i="29"/>
  <c r="Z589" i="29"/>
  <c r="W590" i="29"/>
  <c r="X590" i="29"/>
  <c r="Y590" i="29"/>
  <c r="Z590" i="29"/>
  <c r="W591" i="29"/>
  <c r="X591" i="29"/>
  <c r="Y591" i="29"/>
  <c r="Z591" i="29"/>
  <c r="W592" i="29"/>
  <c r="X592" i="29"/>
  <c r="Y592" i="29"/>
  <c r="Z592" i="29"/>
  <c r="W593" i="29"/>
  <c r="X593" i="29"/>
  <c r="Y593" i="29"/>
  <c r="Z593" i="29"/>
  <c r="W594" i="29"/>
  <c r="X594" i="29"/>
  <c r="Y594" i="29"/>
  <c r="Z594" i="29"/>
  <c r="W595" i="29"/>
  <c r="X595" i="29"/>
  <c r="Y595" i="29"/>
  <c r="Z595" i="29"/>
  <c r="W596" i="29"/>
  <c r="X596" i="29"/>
  <c r="Y596" i="29"/>
  <c r="Z596" i="29"/>
  <c r="W597" i="29"/>
  <c r="X597" i="29"/>
  <c r="Y597" i="29"/>
  <c r="Z597" i="29"/>
  <c r="W598" i="29"/>
  <c r="X598" i="29"/>
  <c r="Y598" i="29"/>
  <c r="Z598" i="29"/>
  <c r="W599" i="29"/>
  <c r="X599" i="29"/>
  <c r="Y599" i="29"/>
  <c r="Z599" i="29"/>
  <c r="W600" i="29"/>
  <c r="X600" i="29"/>
  <c r="Y600" i="29"/>
  <c r="Z600" i="29"/>
  <c r="W601" i="29"/>
  <c r="X601" i="29"/>
  <c r="Y601" i="29"/>
  <c r="Z601" i="29"/>
  <c r="W602" i="29"/>
  <c r="X602" i="29"/>
  <c r="Y602" i="29"/>
  <c r="Z602" i="29"/>
  <c r="W603" i="29"/>
  <c r="X603" i="29"/>
  <c r="Y603" i="29"/>
  <c r="Z603" i="29"/>
  <c r="W604" i="29"/>
  <c r="X604" i="29"/>
  <c r="Y604" i="29"/>
  <c r="Z604" i="29"/>
  <c r="W605" i="29"/>
  <c r="X605" i="29"/>
  <c r="Y605" i="29"/>
  <c r="Z605" i="29"/>
  <c r="W606" i="29"/>
  <c r="X606" i="29"/>
  <c r="Y606" i="29"/>
  <c r="Z606" i="29"/>
  <c r="W607" i="29"/>
  <c r="X607" i="29"/>
  <c r="Y607" i="29"/>
  <c r="Z607" i="29"/>
  <c r="W608" i="29"/>
  <c r="X608" i="29"/>
  <c r="Y608" i="29"/>
  <c r="Z608" i="29"/>
  <c r="W609" i="29"/>
  <c r="X609" i="29"/>
  <c r="Y609" i="29"/>
  <c r="Z609" i="29"/>
  <c r="W610" i="29"/>
  <c r="X610" i="29"/>
  <c r="Y610" i="29"/>
  <c r="Z610" i="29"/>
  <c r="W611" i="29"/>
  <c r="X611" i="29"/>
  <c r="Y611" i="29"/>
  <c r="Z611" i="29"/>
  <c r="W612" i="29"/>
  <c r="X612" i="29"/>
  <c r="Y612" i="29"/>
  <c r="Z612" i="29"/>
  <c r="W613" i="29"/>
  <c r="X613" i="29"/>
  <c r="Y613" i="29"/>
  <c r="Z613" i="29"/>
  <c r="W614" i="29"/>
  <c r="X614" i="29"/>
  <c r="Y614" i="29"/>
  <c r="Z614" i="29"/>
  <c r="W615" i="29"/>
  <c r="X615" i="29"/>
  <c r="Y615" i="29"/>
  <c r="Z615" i="29"/>
  <c r="W616" i="29"/>
  <c r="X616" i="29"/>
  <c r="Y616" i="29"/>
  <c r="Z616" i="29"/>
  <c r="W617" i="29"/>
  <c r="X617" i="29"/>
  <c r="Y617" i="29"/>
  <c r="Z617" i="29"/>
  <c r="W618" i="29"/>
  <c r="X618" i="29"/>
  <c r="Y618" i="29"/>
  <c r="Z618" i="29"/>
  <c r="W619" i="29"/>
  <c r="X619" i="29"/>
  <c r="Y619" i="29"/>
  <c r="Z619" i="29"/>
  <c r="W620" i="29"/>
  <c r="X620" i="29"/>
  <c r="Y620" i="29"/>
  <c r="Z620" i="29"/>
  <c r="W621" i="29"/>
  <c r="X621" i="29"/>
  <c r="Y621" i="29"/>
  <c r="Z621" i="29"/>
  <c r="W622" i="29"/>
  <c r="X622" i="29"/>
  <c r="Y622" i="29"/>
  <c r="Z622" i="29"/>
  <c r="W623" i="29"/>
  <c r="X623" i="29"/>
  <c r="Y623" i="29"/>
  <c r="Z623" i="29"/>
  <c r="W624" i="29"/>
  <c r="X624" i="29"/>
  <c r="Y624" i="29"/>
  <c r="Z624" i="29"/>
  <c r="W625" i="29"/>
  <c r="X625" i="29"/>
  <c r="Y625" i="29"/>
  <c r="Z625" i="29"/>
  <c r="W626" i="29"/>
  <c r="X626" i="29"/>
  <c r="Y626" i="29"/>
  <c r="Z626" i="29"/>
  <c r="W627" i="29"/>
  <c r="X627" i="29"/>
  <c r="Y627" i="29"/>
  <c r="Z627" i="29"/>
  <c r="W628" i="29"/>
  <c r="X628" i="29"/>
  <c r="Y628" i="29"/>
  <c r="Z628" i="29"/>
  <c r="W629" i="29"/>
  <c r="X629" i="29"/>
  <c r="Y629" i="29"/>
  <c r="Z629" i="29"/>
  <c r="W630" i="29"/>
  <c r="X630" i="29"/>
  <c r="Y630" i="29"/>
  <c r="Z630" i="29"/>
  <c r="W631" i="29"/>
  <c r="X631" i="29"/>
  <c r="Y631" i="29"/>
  <c r="Z631" i="29"/>
  <c r="W632" i="29"/>
  <c r="X632" i="29"/>
  <c r="Y632" i="29"/>
  <c r="Z632" i="29"/>
  <c r="W633" i="29"/>
  <c r="X633" i="29"/>
  <c r="Y633" i="29"/>
  <c r="Z633" i="29"/>
  <c r="W634" i="29"/>
  <c r="X634" i="29"/>
  <c r="Y634" i="29"/>
  <c r="Z634" i="29"/>
  <c r="W635" i="29"/>
  <c r="X635" i="29"/>
  <c r="Y635" i="29"/>
  <c r="Z635" i="29"/>
  <c r="W636" i="29"/>
  <c r="X636" i="29"/>
  <c r="Y636" i="29"/>
  <c r="Z636" i="29"/>
  <c r="W637" i="29"/>
  <c r="X637" i="29"/>
  <c r="Y637" i="29"/>
  <c r="Z637" i="29"/>
  <c r="W638" i="29"/>
  <c r="X638" i="29"/>
  <c r="Y638" i="29"/>
  <c r="Z638" i="29"/>
  <c r="W639" i="29"/>
  <c r="X639" i="29"/>
  <c r="Y639" i="29"/>
  <c r="Z639" i="29"/>
  <c r="W640" i="29"/>
  <c r="X640" i="29"/>
  <c r="Y640" i="29"/>
  <c r="Z640" i="29"/>
  <c r="W641" i="29"/>
  <c r="X641" i="29"/>
  <c r="Y641" i="29"/>
  <c r="Z641" i="29"/>
  <c r="W642" i="29"/>
  <c r="X642" i="29"/>
  <c r="Y642" i="29"/>
  <c r="Z642" i="29"/>
  <c r="W643" i="29"/>
  <c r="X643" i="29"/>
  <c r="Y643" i="29"/>
  <c r="Z643" i="29"/>
  <c r="W644" i="29"/>
  <c r="X644" i="29"/>
  <c r="Y644" i="29"/>
  <c r="Z644" i="29"/>
  <c r="W645" i="29"/>
  <c r="X645" i="29"/>
  <c r="Y645" i="29"/>
  <c r="Z645" i="29"/>
  <c r="W646" i="29"/>
  <c r="X646" i="29"/>
  <c r="Y646" i="29"/>
  <c r="Z646" i="29"/>
  <c r="W647" i="29"/>
  <c r="X647" i="29"/>
  <c r="Y647" i="29"/>
  <c r="Z647" i="29"/>
  <c r="W648" i="29"/>
  <c r="X648" i="29"/>
  <c r="Y648" i="29"/>
  <c r="Z648" i="29"/>
  <c r="W649" i="29"/>
  <c r="X649" i="29"/>
  <c r="Y649" i="29"/>
  <c r="Z649" i="29"/>
  <c r="W650" i="29"/>
  <c r="X650" i="29"/>
  <c r="Y650" i="29"/>
  <c r="Z650" i="29"/>
  <c r="W651" i="29"/>
  <c r="X651" i="29"/>
  <c r="Y651" i="29"/>
  <c r="Z651" i="29"/>
  <c r="W652" i="29"/>
  <c r="X652" i="29"/>
  <c r="Y652" i="29"/>
  <c r="Z652" i="29"/>
  <c r="W653" i="29"/>
  <c r="X653" i="29"/>
  <c r="Y653" i="29"/>
  <c r="Z653" i="29"/>
  <c r="W654" i="29"/>
  <c r="X654" i="29"/>
  <c r="Y654" i="29"/>
  <c r="Z654" i="29"/>
  <c r="W655" i="29"/>
  <c r="X655" i="29"/>
  <c r="Y655" i="29"/>
  <c r="Z655" i="29"/>
  <c r="W656" i="29"/>
  <c r="X656" i="29"/>
  <c r="Y656" i="29"/>
  <c r="Z656" i="29"/>
  <c r="W657" i="29"/>
  <c r="X657" i="29"/>
  <c r="Y657" i="29"/>
  <c r="Z657" i="29"/>
  <c r="W658" i="29"/>
  <c r="X658" i="29"/>
  <c r="Y658" i="29"/>
  <c r="Z658" i="29"/>
  <c r="W659" i="29"/>
  <c r="X659" i="29"/>
  <c r="Y659" i="29"/>
  <c r="Z659" i="29"/>
  <c r="W660" i="29"/>
  <c r="X660" i="29"/>
  <c r="Y660" i="29"/>
  <c r="Z660" i="29"/>
  <c r="W661" i="29"/>
  <c r="X661" i="29"/>
  <c r="Y661" i="29"/>
  <c r="Z661" i="29"/>
  <c r="W662" i="29"/>
  <c r="X662" i="29"/>
  <c r="Y662" i="29"/>
  <c r="Z662" i="29"/>
  <c r="W663" i="29"/>
  <c r="X663" i="29"/>
  <c r="Y663" i="29"/>
  <c r="Z663" i="29"/>
  <c r="W664" i="29"/>
  <c r="X664" i="29"/>
  <c r="Z664" i="29"/>
  <c r="W665" i="29"/>
  <c r="X665" i="29"/>
  <c r="Y665" i="29"/>
  <c r="Z665" i="29"/>
  <c r="W666" i="29"/>
  <c r="X666" i="29"/>
  <c r="Y666" i="29"/>
  <c r="Z666" i="29"/>
  <c r="W667" i="29"/>
  <c r="X667" i="29"/>
  <c r="Y667" i="29"/>
  <c r="Z667" i="29"/>
  <c r="W668" i="29"/>
  <c r="X668" i="29"/>
  <c r="Y668" i="29"/>
  <c r="Z668" i="29"/>
  <c r="W669" i="29"/>
  <c r="X669" i="29"/>
  <c r="Y669" i="29"/>
  <c r="Z669" i="29"/>
  <c r="W670" i="29"/>
  <c r="X670" i="29"/>
  <c r="Y670" i="29"/>
  <c r="Z670" i="29"/>
  <c r="W671" i="29"/>
  <c r="X671" i="29"/>
  <c r="Y671" i="29"/>
  <c r="Z671" i="29"/>
  <c r="W672" i="29"/>
  <c r="X672" i="29"/>
  <c r="Y672" i="29"/>
  <c r="Z672" i="29"/>
  <c r="W673" i="29"/>
  <c r="X673" i="29"/>
  <c r="Y673" i="29"/>
  <c r="Z673" i="29"/>
  <c r="W674" i="29"/>
  <c r="X674" i="29"/>
  <c r="Y674" i="29"/>
  <c r="Z674" i="29"/>
  <c r="W675" i="29"/>
  <c r="X675" i="29"/>
  <c r="Y675" i="29"/>
  <c r="Z675" i="29"/>
  <c r="W676" i="29"/>
  <c r="X676" i="29"/>
  <c r="Y676" i="29"/>
  <c r="Z676" i="29"/>
  <c r="W677" i="29"/>
  <c r="X677" i="29"/>
  <c r="Y677" i="29"/>
  <c r="Z677" i="29"/>
  <c r="W678" i="29"/>
  <c r="X678" i="29"/>
  <c r="Y678" i="29"/>
  <c r="Z678" i="29"/>
  <c r="W679" i="29"/>
  <c r="X679" i="29"/>
  <c r="Y679" i="29"/>
  <c r="Z679" i="29"/>
  <c r="W680" i="29"/>
  <c r="X680" i="29"/>
  <c r="Y680" i="29"/>
  <c r="Z680" i="29"/>
  <c r="W681" i="29"/>
  <c r="X681" i="29"/>
  <c r="Y681" i="29"/>
  <c r="Z681" i="29"/>
  <c r="W682" i="29"/>
  <c r="X682" i="29"/>
  <c r="Y682" i="29"/>
  <c r="Z682" i="29"/>
  <c r="W683" i="29"/>
  <c r="X683" i="29"/>
  <c r="Y683" i="29"/>
  <c r="Z683" i="29"/>
  <c r="W684" i="29"/>
  <c r="X684" i="29"/>
  <c r="Y684" i="29"/>
  <c r="Z684" i="29"/>
  <c r="W685" i="29"/>
  <c r="X685" i="29"/>
  <c r="Y685" i="29"/>
  <c r="Z685" i="29"/>
  <c r="W686" i="29"/>
  <c r="X686" i="29"/>
  <c r="Y686" i="29"/>
  <c r="Z686" i="29"/>
  <c r="W687" i="29"/>
  <c r="X687" i="29"/>
  <c r="Y687" i="29"/>
  <c r="Z687" i="29"/>
  <c r="W688" i="29"/>
  <c r="X688" i="29"/>
  <c r="Y688" i="29"/>
  <c r="Z688" i="29"/>
  <c r="W689" i="29"/>
  <c r="X689" i="29"/>
  <c r="Y689" i="29"/>
  <c r="Z689" i="29"/>
  <c r="W690" i="29"/>
  <c r="X690" i="29"/>
  <c r="Y690" i="29"/>
  <c r="Z690" i="29"/>
  <c r="W691" i="29"/>
  <c r="X691" i="29"/>
  <c r="Y691" i="29"/>
  <c r="Z691" i="29"/>
  <c r="W692" i="29"/>
  <c r="X692" i="29"/>
  <c r="Y692" i="29"/>
  <c r="Z692" i="29"/>
  <c r="W693" i="29"/>
  <c r="X693" i="29"/>
  <c r="Y693" i="29"/>
  <c r="Z693" i="29"/>
  <c r="W694" i="29"/>
  <c r="X694" i="29"/>
  <c r="Y694" i="29"/>
  <c r="Z694" i="29"/>
  <c r="W695" i="29"/>
  <c r="X695" i="29"/>
  <c r="Y695" i="29"/>
  <c r="Z695" i="29"/>
  <c r="W696" i="29"/>
  <c r="X696" i="29"/>
  <c r="Y696" i="29"/>
  <c r="Z696" i="29"/>
  <c r="W697" i="29"/>
  <c r="X697" i="29"/>
  <c r="Y697" i="29"/>
  <c r="Z697" i="29"/>
  <c r="W698" i="29"/>
  <c r="X698" i="29"/>
  <c r="Y698" i="29"/>
  <c r="Z698" i="29"/>
  <c r="W699" i="29"/>
  <c r="X699" i="29"/>
  <c r="Y699" i="29"/>
  <c r="Z699" i="29"/>
  <c r="W700" i="29"/>
  <c r="X700" i="29"/>
  <c r="Y700" i="29"/>
  <c r="Z700" i="29"/>
  <c r="W701" i="29"/>
  <c r="X701" i="29"/>
  <c r="Y701" i="29"/>
  <c r="Z701" i="29"/>
  <c r="W702" i="29"/>
  <c r="X702" i="29"/>
  <c r="Y702" i="29"/>
  <c r="Z702" i="29"/>
  <c r="W703" i="29"/>
  <c r="X703" i="29"/>
  <c r="Y703" i="29"/>
  <c r="Z703" i="29"/>
  <c r="W704" i="29"/>
  <c r="X704" i="29"/>
  <c r="Y704" i="29"/>
  <c r="Z704" i="29"/>
  <c r="W705" i="29"/>
  <c r="X705" i="29"/>
  <c r="Y705" i="29"/>
  <c r="Z705" i="29"/>
  <c r="W706" i="29"/>
  <c r="X706" i="29"/>
  <c r="Y706" i="29"/>
  <c r="Z706" i="29"/>
  <c r="W707" i="29"/>
  <c r="X707" i="29"/>
  <c r="Y707" i="29"/>
  <c r="Z707" i="29"/>
  <c r="W708" i="29"/>
  <c r="X708" i="29"/>
  <c r="Y708" i="29"/>
  <c r="Z708" i="29"/>
  <c r="W709" i="29"/>
  <c r="X709" i="29"/>
  <c r="Y709" i="29"/>
  <c r="Z709" i="29"/>
  <c r="W710" i="29"/>
  <c r="X710" i="29"/>
  <c r="Y710" i="29"/>
  <c r="Z710" i="29"/>
  <c r="W711" i="29"/>
  <c r="X711" i="29"/>
  <c r="Y711" i="29"/>
  <c r="Z711" i="29"/>
  <c r="W712" i="29"/>
  <c r="X712" i="29"/>
  <c r="Y712" i="29"/>
  <c r="Z712" i="29"/>
  <c r="W713" i="29"/>
  <c r="X713" i="29"/>
  <c r="Y713" i="29"/>
  <c r="Z713" i="29"/>
  <c r="W714" i="29"/>
  <c r="X714" i="29"/>
  <c r="Y714" i="29"/>
  <c r="Z714" i="29"/>
  <c r="W715" i="29"/>
  <c r="X715" i="29"/>
  <c r="Y715" i="29"/>
  <c r="Z715" i="29"/>
  <c r="W716" i="29"/>
  <c r="X716" i="29"/>
  <c r="Y716" i="29"/>
  <c r="Z716" i="29"/>
  <c r="W717" i="29"/>
  <c r="X717" i="29"/>
  <c r="Y717" i="29"/>
  <c r="Z717" i="29"/>
  <c r="W718" i="29"/>
  <c r="X718" i="29"/>
  <c r="Y718" i="29"/>
  <c r="Z718" i="29"/>
  <c r="W719" i="29"/>
  <c r="X719" i="29"/>
  <c r="Y719" i="29"/>
  <c r="Z719" i="29"/>
  <c r="W720" i="29"/>
  <c r="X720" i="29"/>
  <c r="Y720" i="29"/>
  <c r="Z720" i="29"/>
  <c r="W721" i="29"/>
  <c r="X721" i="29"/>
  <c r="Y721" i="29"/>
  <c r="Z721" i="29"/>
  <c r="W722" i="29"/>
  <c r="X722" i="29"/>
  <c r="Y722" i="29"/>
  <c r="Z722" i="29"/>
  <c r="W723" i="29"/>
  <c r="X723" i="29"/>
  <c r="Y723" i="29"/>
  <c r="Z723" i="29"/>
  <c r="W724" i="29"/>
  <c r="X724" i="29"/>
  <c r="Y724" i="29"/>
  <c r="Z724" i="29"/>
  <c r="W725" i="29"/>
  <c r="X725" i="29"/>
  <c r="Y725" i="29"/>
  <c r="Z725" i="29"/>
  <c r="W726" i="29"/>
  <c r="X726" i="29"/>
  <c r="Y726" i="29"/>
  <c r="Z726" i="29"/>
  <c r="W727" i="29"/>
  <c r="X727" i="29"/>
  <c r="Y727" i="29"/>
  <c r="Z727" i="29"/>
  <c r="W728" i="29"/>
  <c r="X728" i="29"/>
  <c r="Y728" i="29"/>
  <c r="Z728" i="29"/>
  <c r="W729" i="29"/>
  <c r="X729" i="29"/>
  <c r="Y729" i="29"/>
  <c r="Z729" i="29"/>
  <c r="W2" i="29"/>
  <c r="X2" i="29"/>
  <c r="Z2" i="2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21D21E-CC57-4028-9E1B-2AC0E2B1C57E}" keepAlive="1" name="Zapytanie — 17_text_logs_full_output" description="Połączenie z zapytaniem „17_text_logs_full_output” w skoroszycie." type="5" refreshedVersion="0" background="1">
    <dbPr connection="Provider=Microsoft.Mashup.OleDb.1;Data Source=$Workbook$;Location=17_text_logs_full_output;Extended Properties=&quot;&quot;" command="SELECT * FROM [17_text_logs_full_output]"/>
  </connection>
  <connection id="2" xr16:uid="{0D9FB842-16B8-47E8-91B5-97E4603CEC88}" keepAlive="1" name="Zapytanie — 18_text_logs_full_output" description="Połączenie z zapytaniem „18_text_logs_full_output” w skoroszycie." type="5" refreshedVersion="0" background="1">
    <dbPr connection="Provider=Microsoft.Mashup.OleDb.1;Data Source=$Workbook$;Location=18_text_logs_full_output;Extended Properties=&quot;&quot;" command="SELECT * FROM [18_text_logs_full_output]"/>
  </connection>
  <connection id="3" xr16:uid="{071AC2F1-3117-4E0E-B886-AAB95F9F5EA4}" keepAlive="1" name="Zapytanie — 19_text_logs_full_output" description="Połączenie z zapytaniem „19_text_logs_full_output” w skoroszycie." type="5" refreshedVersion="0" background="1">
    <dbPr connection="Provider=Microsoft.Mashup.OleDb.1;Data Source=$Workbook$;Location=19_text_logs_full_output;Extended Properties=&quot;&quot;" command="SELECT * FROM [19_text_logs_full_output]"/>
  </connection>
  <connection id="4" xr16:uid="{A249B112-30C4-470E-ACA3-0380A638F3CC}" keepAlive="1" name="Zapytanie — all data s final2" description="Połączenie z zapytaniem „all data s final2” w skoroszycie." type="5" refreshedVersion="0" background="1">
    <dbPr connection="Provider=Microsoft.Mashup.OleDb.1;Data Source=$Workbook$;Location=&quot;all data s final2&quot;;Extended Properties=&quot;&quot;" command="SELECT * FROM [all data s final2]"/>
  </connection>
  <connection id="5" xr16:uid="{B28E98E8-72C1-4041-8C04-630105402F72}" keepAlive="1" name="Zapytanie — all sorted with  final2" description="Połączenie z zapytaniem „all sorted with  final2” w skoroszycie." type="5" refreshedVersion="0" background="1">
    <dbPr connection="Provider=Microsoft.Mashup.OleDb.1;Data Source=$Workbook$;Location=&quot;all sorted with  final2&quot;;Extended Properties=&quot;&quot;" command="SELECT * FROM [all sorted with  final2]"/>
  </connection>
  <connection id="6" xr16:uid="{4DFC0177-FC47-46AC-8EFA-8DAD743C1177}" keepAlive="1" name="Zapytanie — all sorted with  final2 (2)" description="Połączenie z zapytaniem „all sorted with  final2 (2)” w skoroszycie." type="5" refreshedVersion="8" background="1" saveData="1">
    <dbPr connection="Provider=Microsoft.Mashup.OleDb.1;Data Source=$Workbook$;Location=&quot;all sorted with  final2 (2)&quot;;Extended Properties=&quot;&quot;" command="SELECT * FROM [all sorted with  final2 (2)]"/>
  </connection>
  <connection id="7" xr16:uid="{95A14B05-8F34-4A42-8A5B-8B7CB4BAC2EE}" keepAlive="1" name="Zapytanie — cancer 2 csv final2" description="Połączenie z zapytaniem „cancer 2 csv final2” w skoroszycie." type="5" refreshedVersion="8" background="1" saveData="1">
    <dbPr connection="Provider=Microsoft.Mashup.OleDb.1;Data Source=$Workbook$;Location=&quot;cancer 2 csv final2&quot;;Extended Properties=&quot;&quot;" command="SELECT * FROM [cancer 2 csv final2]"/>
  </connection>
  <connection id="8" xr16:uid="{9EBDCB91-58D1-4CEA-B197-48D533A47397}" keepAlive="1" name="Zapytanie — wszystko i kroki sorted" description="Połączenie z zapytaniem „wszystko i kroki sorted” w skoroszycie." type="5" refreshedVersion="0" background="1">
    <dbPr connection="Provider=Microsoft.Mashup.OleDb.1;Data Source=$Workbook$;Location=&quot;wszystko i kroki sorted&quot;;Extended Properties=&quot;&quot;" command="SELECT * FROM [wszystko i kroki sorted]"/>
  </connection>
  <connection id="9" xr16:uid="{E3E37508-0F28-4548-95BF-D5887D023021}" keepAlive="1" name="Zapytanie — wszystko i kroki sorted (2)" description="Połączenie z zapytaniem „wszystko i kroki sorted (2)” w skoroszycie." type="5" refreshedVersion="0" background="1">
    <dbPr connection="Provider=Microsoft.Mashup.OleDb.1;Data Source=$Workbook$;Location=&quot;wszystko i kroki sorted (2)&quot;;Extended Properties=&quot;&quot;" command="SELECT * FROM [wszystko i kroki sorted (2)]"/>
  </connection>
  <connection id="10" xr16:uid="{BCFC064C-697C-493F-ABCC-E24BAE96DA2D}" keepAlive="1" name="Zapytanie — wszystko i kroki sorted (3)" description="Połączenie z zapytaniem „wszystko i kroki sorted (3)” w skoroszycie." type="5" refreshedVersion="8" background="1" saveData="1">
    <dbPr connection="Provider=Microsoft.Mashup.OleDb.1;Data Source=$Workbook$;Location=&quot;wszystko i kroki sorted (3)&quot;;Extended Properties=&quot;&quot;" command="SELECT * FROM [wszystko i kroki sorted (3)]"/>
  </connection>
</connections>
</file>

<file path=xl/sharedStrings.xml><?xml version="1.0" encoding="utf-8"?>
<sst xmlns="http://schemas.openxmlformats.org/spreadsheetml/2006/main" count="8775" uniqueCount="371">
  <si>
    <t>dataset_name</t>
  </si>
  <si>
    <t>kan_grid_passed_parameter</t>
  </si>
  <si>
    <t>kan_degree</t>
  </si>
  <si>
    <t>kan_lam</t>
  </si>
  <si>
    <t>kan_width</t>
  </si>
  <si>
    <t>kan_params</t>
  </si>
  <si>
    <t>kan_time_difference</t>
  </si>
  <si>
    <t>kan_test_acc</t>
  </si>
  <si>
    <t>mlp_test_acc</t>
  </si>
  <si>
    <t>mlp_time_difference</t>
  </si>
  <si>
    <t>mlp_params</t>
  </si>
  <si>
    <t>mlp_no_layers</t>
  </si>
  <si>
    <t>mlp_width_layers</t>
  </si>
  <si>
    <t>mlp_test_acc2</t>
  </si>
  <si>
    <t>mlp2_time_difference</t>
  </si>
  <si>
    <t>mlp_params2</t>
  </si>
  <si>
    <t>no_layers2</t>
  </si>
  <si>
    <t>width_layers2</t>
  </si>
  <si>
    <t>Cancer</t>
  </si>
  <si>
    <t>[30, 24, 2]</t>
  </si>
  <si>
    <t>[30, 26, 2]</t>
  </si>
  <si>
    <t>[30, 28, 2]</t>
  </si>
  <si>
    <t>[30, 30, 2]</t>
  </si>
  <si>
    <t>[30, 30, 30, 2]</t>
  </si>
  <si>
    <t>[30, 30, 32, 2]</t>
  </si>
  <si>
    <t>[30, 30, 34, 2]</t>
  </si>
  <si>
    <t>[30, 30, 36, 2]</t>
  </si>
  <si>
    <t>[30, 30, 38, 2]</t>
  </si>
  <si>
    <t>[30, 30, 40, 2]</t>
  </si>
  <si>
    <t>[30, 30, 42, 2]</t>
  </si>
  <si>
    <t>[30, 30, 44, 2]</t>
  </si>
  <si>
    <t>[30, 30, 46, 2]</t>
  </si>
  <si>
    <t>[30, 30, 48, 2]</t>
  </si>
  <si>
    <t>[30, 30, 50, 2]</t>
  </si>
  <si>
    <t>[30, 30, 52, 2]</t>
  </si>
  <si>
    <t>[30, 30, 54, 2]</t>
  </si>
  <si>
    <t>[30, 30, 56, 2]</t>
  </si>
  <si>
    <t>[30, 30, 58, 2]</t>
  </si>
  <si>
    <t>[30, 30, 60, 2]</t>
  </si>
  <si>
    <t>[30, 32, 2]</t>
  </si>
  <si>
    <t>[30, 32, 30, 2]</t>
  </si>
  <si>
    <t>[30, 32, 32, 2]</t>
  </si>
  <si>
    <t>[30, 32, 36, 2]</t>
  </si>
  <si>
    <t>[30, 32, 38, 2]</t>
  </si>
  <si>
    <t>[30, 32, 40, 2]</t>
  </si>
  <si>
    <t>[30, 32, 42, 2]</t>
  </si>
  <si>
    <t>[30, 32, 44, 2]</t>
  </si>
  <si>
    <t>[30, 32, 46, 2]</t>
  </si>
  <si>
    <t>[30, 32, 48, 2]</t>
  </si>
  <si>
    <t>[30, 32, 50, 2]</t>
  </si>
  <si>
    <t>[30, 32, 52, 2]</t>
  </si>
  <si>
    <t>[30, 32, 54, 2]</t>
  </si>
  <si>
    <t>[30, 32, 56, 2]</t>
  </si>
  <si>
    <t>[30, 32, 58, 2]</t>
  </si>
  <si>
    <t>[30, 32, 60, 2]</t>
  </si>
  <si>
    <t>[30, 34, 2]</t>
  </si>
  <si>
    <t>[30, 34, 30, 2]</t>
  </si>
  <si>
    <t>[30, 34, 32, 2]</t>
  </si>
  <si>
    <t>[30, 34, 40, 2]</t>
  </si>
  <si>
    <t>[30, 34, 44, 2]</t>
  </si>
  <si>
    <t>[30, 34, 46, 2]</t>
  </si>
  <si>
    <t>[30, 34, 52, 2]</t>
  </si>
  <si>
    <t>[30, 34, 54, 2]</t>
  </si>
  <si>
    <t>[30, 34, 56, 2]</t>
  </si>
  <si>
    <t>[30, 34, 58, 2]</t>
  </si>
  <si>
    <t>[30, 34, 60, 2]</t>
  </si>
  <si>
    <t>[30, 36, 2]</t>
  </si>
  <si>
    <t>[30, 36, 30, 2]</t>
  </si>
  <si>
    <t>[30, 36, 32, 2]</t>
  </si>
  <si>
    <t>[30, 36, 46, 2]</t>
  </si>
  <si>
    <t>[30, 36, 48, 2]</t>
  </si>
  <si>
    <t>[30, 36, 52, 2]</t>
  </si>
  <si>
    <t>[30, 36, 54, 2]</t>
  </si>
  <si>
    <t>[30, 36, 56, 2]</t>
  </si>
  <si>
    <t>[30, 36, 58, 2]</t>
  </si>
  <si>
    <t>[30, 36, 60, 2]</t>
  </si>
  <si>
    <t>[30, 38, 2]</t>
  </si>
  <si>
    <t>[30, 38, 30, 2]</t>
  </si>
  <si>
    <t>[30, 38, 32, 2]</t>
  </si>
  <si>
    <t>[30, 38, 34, 2]</t>
  </si>
  <si>
    <t>[30, 38, 36, 2]</t>
  </si>
  <si>
    <t>[30, 38, 38, 2]</t>
  </si>
  <si>
    <t>[30, 38, 40, 2]</t>
  </si>
  <si>
    <t>[30, 38, 42, 2]</t>
  </si>
  <si>
    <t>[30, 38, 44, 2]</t>
  </si>
  <si>
    <t>[30, 38, 46, 2]</t>
  </si>
  <si>
    <t>[30, 38, 48, 2]</t>
  </si>
  <si>
    <t>[30, 38, 50, 2]</t>
  </si>
  <si>
    <t>[30, 38, 52, 2]</t>
  </si>
  <si>
    <t>[30, 38, 54, 2]</t>
  </si>
  <si>
    <t>[30, 38, 56, 2]</t>
  </si>
  <si>
    <t>[30, 38, 58, 2]</t>
  </si>
  <si>
    <t>[30, 38, 60, 2]</t>
  </si>
  <si>
    <t>[30, 40, 2]</t>
  </si>
  <si>
    <t>[30, 42, 2]</t>
  </si>
  <si>
    <t>[30, 44, 2]</t>
  </si>
  <si>
    <t>[30, 46, 2]</t>
  </si>
  <si>
    <t>[30, 48, 2]</t>
  </si>
  <si>
    <t>[30, 50, 2]</t>
  </si>
  <si>
    <t>[30, 52, 2]</t>
  </si>
  <si>
    <t>[30, 54, 2]</t>
  </si>
  <si>
    <t>[30, 56, 2]</t>
  </si>
  <si>
    <t>[30, 58, 2]</t>
  </si>
  <si>
    <t>[30, 60, 2]</t>
  </si>
  <si>
    <t>[30, 62, 2]</t>
  </si>
  <si>
    <t>[30, 22, 2]</t>
  </si>
  <si>
    <t>Digits</t>
  </si>
  <si>
    <t>[64, 100, 10]</t>
  </si>
  <si>
    <t>[64, 102, 10]</t>
  </si>
  <si>
    <t>[64, 104, 10]</t>
  </si>
  <si>
    <t>[64, 106, 10]</t>
  </si>
  <si>
    <t>[64, 108, 10]</t>
  </si>
  <si>
    <t>[64, 110, 10]</t>
  </si>
  <si>
    <t>[64, 112, 10]</t>
  </si>
  <si>
    <t>[64, 114, 10]</t>
  </si>
  <si>
    <t>[64, 116, 10]</t>
  </si>
  <si>
    <t>[64, 118, 10]</t>
  </si>
  <si>
    <t>[64, 120, 10]</t>
  </si>
  <si>
    <t>[64, 122, 10]</t>
  </si>
  <si>
    <t>[64, 124, 10]</t>
  </si>
  <si>
    <t>[64, 126, 10]</t>
  </si>
  <si>
    <t>[64, 128, 10]</t>
  </si>
  <si>
    <t>[64, 130, 10]</t>
  </si>
  <si>
    <t>[64, 48, 10]</t>
  </si>
  <si>
    <t>[64, 50, 10]</t>
  </si>
  <si>
    <t>[64, 52, 10]</t>
  </si>
  <si>
    <t>[64, 54, 10]</t>
  </si>
  <si>
    <t>[64, 56, 10]</t>
  </si>
  <si>
    <t>[64, 58, 10]</t>
  </si>
  <si>
    <t>[64, 60, 10]</t>
  </si>
  <si>
    <t>[64, 62, 10]</t>
  </si>
  <si>
    <t>[64, 64, 10]</t>
  </si>
  <si>
    <t>[64, 64, 100, 10]</t>
  </si>
  <si>
    <t>[64, 64, 102, 10]</t>
  </si>
  <si>
    <t>[64, 64, 104, 10]</t>
  </si>
  <si>
    <t>[64, 64, 106, 10]</t>
  </si>
  <si>
    <t>[64, 64, 108, 10]</t>
  </si>
  <si>
    <t>[64, 64, 110, 10]</t>
  </si>
  <si>
    <t>[64, 64, 112, 10]</t>
  </si>
  <si>
    <t>[64, 64, 114, 10]</t>
  </si>
  <si>
    <t>[64, 64, 116, 10]</t>
  </si>
  <si>
    <t>[64, 64, 118, 10]</t>
  </si>
  <si>
    <t>[64, 64, 120, 10]</t>
  </si>
  <si>
    <t>[64, 64, 122, 10]</t>
  </si>
  <si>
    <t>[64, 64, 124, 10]</t>
  </si>
  <si>
    <t>[64, 64, 126, 10]</t>
  </si>
  <si>
    <t>[64, 64, 128, 10]</t>
  </si>
  <si>
    <t>[64, 64, 64, 10]</t>
  </si>
  <si>
    <t>[64, 64, 66, 10]</t>
  </si>
  <si>
    <t>[64, 64, 68, 10]</t>
  </si>
  <si>
    <t>[64, 64, 70, 10]</t>
  </si>
  <si>
    <t>[64, 64, 72, 10]</t>
  </si>
  <si>
    <t>[64, 64, 74, 10]</t>
  </si>
  <si>
    <t>[64, 64, 76, 10]</t>
  </si>
  <si>
    <t>[64, 64, 78, 10]</t>
  </si>
  <si>
    <t>[64, 64, 80, 10]</t>
  </si>
  <si>
    <t>[64, 64, 82, 10]</t>
  </si>
  <si>
    <t>[64, 64, 84, 10]</t>
  </si>
  <si>
    <t>[64, 64, 86, 10]</t>
  </si>
  <si>
    <t>[64, 64, 88, 10]</t>
  </si>
  <si>
    <t>[64, 64, 90, 10]</t>
  </si>
  <si>
    <t>[64, 64, 92, 10]</t>
  </si>
  <si>
    <t>[64, 64, 94, 10]</t>
  </si>
  <si>
    <t>[64, 64, 96, 10]</t>
  </si>
  <si>
    <t>[64, 64, 98, 10]</t>
  </si>
  <si>
    <t>[64, 66, 10]</t>
  </si>
  <si>
    <t>[64, 66, 100, 10]</t>
  </si>
  <si>
    <t>[64, 66, 102, 10]</t>
  </si>
  <si>
    <t>[64, 66, 104, 10]</t>
  </si>
  <si>
    <t>[64, 66, 106, 10]</t>
  </si>
  <si>
    <t>[64, 66, 110, 10]</t>
  </si>
  <si>
    <t>[64, 66, 112, 10]</t>
  </si>
  <si>
    <t>[64, 66, 114, 10]</t>
  </si>
  <si>
    <t>[64, 66, 116, 10]</t>
  </si>
  <si>
    <t>[64, 66, 118, 10]</t>
  </si>
  <si>
    <t>[64, 66, 120, 10]</t>
  </si>
  <si>
    <t>[64, 66, 122, 10]</t>
  </si>
  <si>
    <t>[64, 66, 124, 10]</t>
  </si>
  <si>
    <t>[64, 66, 126, 10]</t>
  </si>
  <si>
    <t>[64, 66, 128, 10]</t>
  </si>
  <si>
    <t>[64, 66, 64, 10]</t>
  </si>
  <si>
    <t>[64, 66, 66, 10]</t>
  </si>
  <si>
    <t>[64, 66, 68, 10]</t>
  </si>
  <si>
    <t>[64, 66, 70, 10]</t>
  </si>
  <si>
    <t>[64, 66, 72, 10]</t>
  </si>
  <si>
    <t>[64, 66, 74, 10]</t>
  </si>
  <si>
    <t>[64, 66, 84, 10]</t>
  </si>
  <si>
    <t>[64, 66, 90, 10]</t>
  </si>
  <si>
    <t>[64, 66, 92, 10]</t>
  </si>
  <si>
    <t>[64, 66, 94, 10]</t>
  </si>
  <si>
    <t>[64, 66, 96, 10]</t>
  </si>
  <si>
    <t>[64, 66, 98, 10]</t>
  </si>
  <si>
    <t>[64, 68, 10]</t>
  </si>
  <si>
    <t>[64, 68, 100, 10]</t>
  </si>
  <si>
    <t>[64, 68, 102, 10]</t>
  </si>
  <si>
    <t>[64, 68, 104, 10]</t>
  </si>
  <si>
    <t>[64, 68, 120, 10]</t>
  </si>
  <si>
    <t>[64, 68, 122, 10]</t>
  </si>
  <si>
    <t>[64, 68, 124, 10]</t>
  </si>
  <si>
    <t>[64, 68, 126, 10]</t>
  </si>
  <si>
    <t>[64, 68, 128, 10]</t>
  </si>
  <si>
    <t>[64, 68, 64, 10]</t>
  </si>
  <si>
    <t>[64, 68, 68, 10]</t>
  </si>
  <si>
    <t>[64, 68, 70, 10]</t>
  </si>
  <si>
    <t>[64, 68, 72, 10]</t>
  </si>
  <si>
    <t>[64, 68, 74, 10]</t>
  </si>
  <si>
    <t>[64, 68, 80, 10]</t>
  </si>
  <si>
    <t>[64, 68, 82, 10]</t>
  </si>
  <si>
    <t>[64, 68, 84, 10]</t>
  </si>
  <si>
    <t>[64, 68, 94, 10]</t>
  </si>
  <si>
    <t>[64, 70, 10]</t>
  </si>
  <si>
    <t>[64, 70, 104, 10]</t>
  </si>
  <si>
    <t>[64, 70, 114, 10]</t>
  </si>
  <si>
    <t>[64, 70, 120, 10]</t>
  </si>
  <si>
    <t>[64, 70, 124, 10]</t>
  </si>
  <si>
    <t>[64, 70, 126, 10]</t>
  </si>
  <si>
    <t>[64, 70, 128, 10]</t>
  </si>
  <si>
    <t>[64, 70, 64, 10]</t>
  </si>
  <si>
    <t>[64, 70, 66, 10]</t>
  </si>
  <si>
    <t>[64, 70, 68, 10]</t>
  </si>
  <si>
    <t>[64, 70, 70, 10]</t>
  </si>
  <si>
    <t>[64, 70, 72, 10]</t>
  </si>
  <si>
    <t>[64, 70, 74, 10]</t>
  </si>
  <si>
    <t>[64, 70, 84, 10]</t>
  </si>
  <si>
    <t>[64, 70, 94, 10]</t>
  </si>
  <si>
    <t>[64, 72, 10]</t>
  </si>
  <si>
    <t>[64, 72, 104, 10]</t>
  </si>
  <si>
    <t>[64, 72, 114, 10]</t>
  </si>
  <si>
    <t>[64, 72, 118, 10]</t>
  </si>
  <si>
    <t>[64, 72, 120, 10]</t>
  </si>
  <si>
    <t>[64, 72, 122, 10]</t>
  </si>
  <si>
    <t>[64, 72, 124, 10]</t>
  </si>
  <si>
    <t>[64, 72, 126, 10]</t>
  </si>
  <si>
    <t>[64, 72, 128, 10]</t>
  </si>
  <si>
    <t>[64, 72, 64, 10]</t>
  </si>
  <si>
    <t>[64, 72, 72, 10]</t>
  </si>
  <si>
    <t>[64, 72, 74, 10]</t>
  </si>
  <si>
    <t>[64, 72, 76, 10]</t>
  </si>
  <si>
    <t>[64, 72, 82, 10]</t>
  </si>
  <si>
    <t>[64, 72, 84, 10]</t>
  </si>
  <si>
    <t>[64, 72, 94, 10]</t>
  </si>
  <si>
    <t>[64, 74, 10]</t>
  </si>
  <si>
    <t>[64, 76, 10]</t>
  </si>
  <si>
    <t>[64, 78, 10]</t>
  </si>
  <si>
    <t>[64, 80, 10]</t>
  </si>
  <si>
    <t>[64, 82, 10]</t>
  </si>
  <si>
    <t>[64, 84, 10]</t>
  </si>
  <si>
    <t>[64, 86, 10]</t>
  </si>
  <si>
    <t>[64, 88, 10]</t>
  </si>
  <si>
    <t>[64, 90, 10]</t>
  </si>
  <si>
    <t>[64, 92, 10]</t>
  </si>
  <si>
    <t>[64, 94, 10]</t>
  </si>
  <si>
    <t>[64, 96, 10]</t>
  </si>
  <si>
    <t>[64, 98, 10]</t>
  </si>
  <si>
    <t>[64, 103, 10]</t>
  </si>
  <si>
    <t>[64, 113, 10]</t>
  </si>
  <si>
    <t>[64, 123, 10]</t>
  </si>
  <si>
    <t>[64, 53, 10]</t>
  </si>
  <si>
    <t>[64, 63, 10]</t>
  </si>
  <si>
    <t>[64, 64, 109, 10]</t>
  </si>
  <si>
    <t>[64, 64, 119, 10]</t>
  </si>
  <si>
    <t>[64, 64, 129, 10]</t>
  </si>
  <si>
    <t>[64, 64, 69, 10]</t>
  </si>
  <si>
    <t>[64, 64, 79, 10]</t>
  </si>
  <si>
    <t>[64, 64, 89, 10]</t>
  </si>
  <si>
    <t>[64, 64, 99, 10]</t>
  </si>
  <si>
    <t>[64, 66, 109, 10]</t>
  </si>
  <si>
    <t>[64, 66, 119, 10]</t>
  </si>
  <si>
    <t>[64, 66, 129, 10]</t>
  </si>
  <si>
    <t>[64, 66, 79, 10]</t>
  </si>
  <si>
    <t>[64, 66, 89, 10]</t>
  </si>
  <si>
    <t>[64, 66, 99, 10]</t>
  </si>
  <si>
    <t>[64, 68, 109, 10]</t>
  </si>
  <si>
    <t>[64, 68, 129, 10]</t>
  </si>
  <si>
    <t>[64, 68, 69, 10]</t>
  </si>
  <si>
    <t>[64, 68, 79, 10]</t>
  </si>
  <si>
    <t>[64, 68, 89, 10]</t>
  </si>
  <si>
    <t>[64, 68, 99, 10]</t>
  </si>
  <si>
    <t>[64, 70, 109, 10]</t>
  </si>
  <si>
    <t>[64, 70, 119, 10]</t>
  </si>
  <si>
    <t>[64, 70, 129, 10]</t>
  </si>
  <si>
    <t>[64, 70, 69, 10]</t>
  </si>
  <si>
    <t>[64, 70, 79, 10]</t>
  </si>
  <si>
    <t>[64, 70, 89, 10]</t>
  </si>
  <si>
    <t>[64, 70, 99, 10]</t>
  </si>
  <si>
    <t>[64, 72, 109, 10]</t>
  </si>
  <si>
    <t>[64, 72, 119, 10]</t>
  </si>
  <si>
    <t>[64, 72, 129, 10]</t>
  </si>
  <si>
    <t>[64, 72, 69, 10]</t>
  </si>
  <si>
    <t>[64, 72, 79, 10]</t>
  </si>
  <si>
    <t>[64, 72, 89, 10]</t>
  </si>
  <si>
    <t>[64, 72, 99, 10]</t>
  </si>
  <si>
    <t>[64, 73, 10]</t>
  </si>
  <si>
    <t>[64, 83, 10]</t>
  </si>
  <si>
    <t>[64, 93, 10]</t>
  </si>
  <si>
    <t>Iris</t>
  </si>
  <si>
    <t>[4, 10, 4, 3]</t>
  </si>
  <si>
    <t>[4, 10, 6, 3]</t>
  </si>
  <si>
    <t>[4, 10, 8, 3]</t>
  </si>
  <si>
    <t>[4, 12, 4, 3]</t>
  </si>
  <si>
    <t>[4, 12, 6, 3]</t>
  </si>
  <si>
    <t>[4, 12, 8, 3]</t>
  </si>
  <si>
    <t>[4, 3, 3]</t>
  </si>
  <si>
    <t>[4, 4, 4, 3]</t>
  </si>
  <si>
    <t>[4, 4, 6, 3]</t>
  </si>
  <si>
    <t>[4, 4, 8, 3]</t>
  </si>
  <si>
    <t>[4, 5, 3]</t>
  </si>
  <si>
    <t>[4, 6, 4, 3]</t>
  </si>
  <si>
    <t>[4, 6, 6, 3]</t>
  </si>
  <si>
    <t>[4, 6, 8, 3]</t>
  </si>
  <si>
    <t>[4, 7, 3]</t>
  </si>
  <si>
    <t>[4, 8, 6, 3]</t>
  </si>
  <si>
    <t>[4, 8, 8, 3]</t>
  </si>
  <si>
    <t>[4, 9, 3]</t>
  </si>
  <si>
    <t>Wine</t>
  </si>
  <si>
    <t>[13, 11, 3]</t>
  </si>
  <si>
    <t>[13, 13, 13, 3]</t>
  </si>
  <si>
    <t>[13, 13, 15, 3]</t>
  </si>
  <si>
    <t>[13, 13, 17, 3]</t>
  </si>
  <si>
    <t>[13, 13, 19, 3]</t>
  </si>
  <si>
    <t>[13, 13, 21, 3]</t>
  </si>
  <si>
    <t>[13, 13, 23, 3]</t>
  </si>
  <si>
    <t>[13, 13, 25, 3]</t>
  </si>
  <si>
    <t>[13, 13, 27, 3]</t>
  </si>
  <si>
    <t>[13, 13, 3]</t>
  </si>
  <si>
    <t>[13, 15, 13, 3]</t>
  </si>
  <si>
    <t>[13, 15, 15, 3]</t>
  </si>
  <si>
    <t>[13, 15, 17, 3]</t>
  </si>
  <si>
    <t>[13, 15, 21, 3]</t>
  </si>
  <si>
    <t>[13, 15, 23, 3]</t>
  </si>
  <si>
    <t>[13, 15, 25, 3]</t>
  </si>
  <si>
    <t>[13, 15, 27, 3]</t>
  </si>
  <si>
    <t>[13, 15, 3]</t>
  </si>
  <si>
    <t>[13, 17, 13, 3]</t>
  </si>
  <si>
    <t>[13, 17, 15, 3]</t>
  </si>
  <si>
    <t>[13, 17, 17, 3]</t>
  </si>
  <si>
    <t>[13, 17, 21, 3]</t>
  </si>
  <si>
    <t>[13, 17, 25, 3]</t>
  </si>
  <si>
    <t>[13, 17, 27, 3]</t>
  </si>
  <si>
    <t>[13, 17, 3]</t>
  </si>
  <si>
    <t>[13, 19, 13, 3]</t>
  </si>
  <si>
    <t>[13, 19, 15, 3]</t>
  </si>
  <si>
    <t>[13, 19, 17, 3]</t>
  </si>
  <si>
    <t>[13, 19, 19, 3]</t>
  </si>
  <si>
    <t>[13, 19, 21, 3]</t>
  </si>
  <si>
    <t>[13, 19, 23, 3]</t>
  </si>
  <si>
    <t>[13, 19, 25, 3]</t>
  </si>
  <si>
    <t>[13, 19, 27, 3]</t>
  </si>
  <si>
    <t>[13, 19, 3]</t>
  </si>
  <si>
    <t>[13, 21, 13, 3]</t>
  </si>
  <si>
    <t>[13, 21, 15, 3]</t>
  </si>
  <si>
    <t>[13, 21, 19, 3]</t>
  </si>
  <si>
    <t>[13, 21, 21, 3]</t>
  </si>
  <si>
    <t>[13, 21, 23, 3]</t>
  </si>
  <si>
    <t>[13, 21, 25, 3]</t>
  </si>
  <si>
    <t>[13, 21, 27, 3]</t>
  </si>
  <si>
    <t>[13, 21, 3]</t>
  </si>
  <si>
    <t>[13, 23, 3]</t>
  </si>
  <si>
    <t>[13, 25, 3]</t>
  </si>
  <si>
    <t>[13, 27, 3]</t>
  </si>
  <si>
    <t>[13, 9, 3]</t>
  </si>
  <si>
    <t>no_steps</t>
  </si>
  <si>
    <t>kan_val_acc_1</t>
  </si>
  <si>
    <t>parametry</t>
  </si>
  <si>
    <t>acc KAN val</t>
  </si>
  <si>
    <t>kroki</t>
  </si>
  <si>
    <t>acc KAN tast</t>
  </si>
  <si>
    <t>test accuracy</t>
  </si>
  <si>
    <t>val accuracy</t>
  </si>
  <si>
    <t>steps</t>
  </si>
  <si>
    <t>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</si>
</sst>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</cellXfs>
  <cellStyles count="1">
    <cellStyle name="Normalny" xfId="0" builtinId="0"/>
  </cellStyles>
  <dxfs count="14"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theme="9"/>
          <bgColor theme="9"/>
        </patternFill>
      </fill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theme="9"/>
          <bgColor theme="9"/>
        </patternFill>
      </fill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theme="9"/>
          <bgColor theme="9"/>
        </patternFill>
      </fill>
    </dxf>
    <dxf>
      <numFmt numFmtId="0" formatCode="General"/>
    </dxf>
    <dxf>
      <numFmt numFmtId="0" formatCode="General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theme="9"/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Digits!$X$1</c:f>
              <c:strCache>
                <c:ptCount val="1"/>
                <c:pt idx="0">
                  <c:v>acc KAN tast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Digits!$W$2:$W$831</c:f>
              <c:numCache>
                <c:formatCode>General</c:formatCode>
                <c:ptCount val="104"/>
                <c:pt idx="0">
                  <c:v>45629</c:v>
                </c:pt>
                <c:pt idx="1">
                  <c:v>48097</c:v>
                </c:pt>
                <c:pt idx="2">
                  <c:v>49990</c:v>
                </c:pt>
                <c:pt idx="3">
                  <c:v>51919</c:v>
                </c:pt>
                <c:pt idx="4">
                  <c:v>53884</c:v>
                </c:pt>
                <c:pt idx="5">
                  <c:v>55214</c:v>
                </c:pt>
                <c:pt idx="6">
                  <c:v>57239</c:v>
                </c:pt>
                <c:pt idx="7">
                  <c:v>59300</c:v>
                </c:pt>
                <c:pt idx="8">
                  <c:v>61397</c:v>
                </c:pt>
                <c:pt idx="9">
                  <c:v>63530</c:v>
                </c:pt>
                <c:pt idx="10">
                  <c:v>64972</c:v>
                </c:pt>
                <c:pt idx="11">
                  <c:v>67165</c:v>
                </c:pt>
                <c:pt idx="12">
                  <c:v>68647</c:v>
                </c:pt>
                <c:pt idx="13">
                  <c:v>70900</c:v>
                </c:pt>
                <c:pt idx="14">
                  <c:v>73189</c:v>
                </c:pt>
                <c:pt idx="15">
                  <c:v>74735</c:v>
                </c:pt>
                <c:pt idx="16">
                  <c:v>76297</c:v>
                </c:pt>
                <c:pt idx="17">
                  <c:v>78670</c:v>
                </c:pt>
                <c:pt idx="18">
                  <c:v>80272</c:v>
                </c:pt>
                <c:pt idx="19">
                  <c:v>82705</c:v>
                </c:pt>
                <c:pt idx="20">
                  <c:v>84347</c:v>
                </c:pt>
                <c:pt idx="21">
                  <c:v>86005</c:v>
                </c:pt>
                <c:pt idx="22">
                  <c:v>88522</c:v>
                </c:pt>
                <c:pt idx="23">
                  <c:v>90220</c:v>
                </c:pt>
                <c:pt idx="24">
                  <c:v>91934</c:v>
                </c:pt>
                <c:pt idx="25">
                  <c:v>93664</c:v>
                </c:pt>
                <c:pt idx="26">
                  <c:v>96289</c:v>
                </c:pt>
                <c:pt idx="27">
                  <c:v>98059</c:v>
                </c:pt>
                <c:pt idx="28">
                  <c:v>99845</c:v>
                </c:pt>
                <c:pt idx="29">
                  <c:v>101647</c:v>
                </c:pt>
                <c:pt idx="30">
                  <c:v>103465</c:v>
                </c:pt>
                <c:pt idx="31">
                  <c:v>105299</c:v>
                </c:pt>
                <c:pt idx="32">
                  <c:v>107149</c:v>
                </c:pt>
                <c:pt idx="33">
                  <c:v>109015</c:v>
                </c:pt>
                <c:pt idx="34">
                  <c:v>110897</c:v>
                </c:pt>
                <c:pt idx="35">
                  <c:v>112795</c:v>
                </c:pt>
                <c:pt idx="36">
                  <c:v>114709</c:v>
                </c:pt>
                <c:pt idx="37">
                  <c:v>116639</c:v>
                </c:pt>
                <c:pt idx="38">
                  <c:v>117610</c:v>
                </c:pt>
                <c:pt idx="39">
                  <c:v>118585</c:v>
                </c:pt>
                <c:pt idx="40">
                  <c:v>119564</c:v>
                </c:pt>
                <c:pt idx="41">
                  <c:v>120547</c:v>
                </c:pt>
                <c:pt idx="42">
                  <c:v>121534</c:v>
                </c:pt>
                <c:pt idx="43">
                  <c:v>122525</c:v>
                </c:pt>
                <c:pt idx="44">
                  <c:v>123520</c:v>
                </c:pt>
                <c:pt idx="45">
                  <c:v>124519</c:v>
                </c:pt>
                <c:pt idx="46">
                  <c:v>125522</c:v>
                </c:pt>
                <c:pt idx="47">
                  <c:v>126529</c:v>
                </c:pt>
                <c:pt idx="48">
                  <c:v>127540</c:v>
                </c:pt>
                <c:pt idx="49">
                  <c:v>128555</c:v>
                </c:pt>
                <c:pt idx="50">
                  <c:v>129574</c:v>
                </c:pt>
                <c:pt idx="51">
                  <c:v>130597</c:v>
                </c:pt>
                <c:pt idx="52">
                  <c:v>131624</c:v>
                </c:pt>
                <c:pt idx="53">
                  <c:v>132655</c:v>
                </c:pt>
                <c:pt idx="54">
                  <c:v>133690</c:v>
                </c:pt>
                <c:pt idx="55">
                  <c:v>134729</c:v>
                </c:pt>
                <c:pt idx="56">
                  <c:v>135772</c:v>
                </c:pt>
                <c:pt idx="57">
                  <c:v>136819</c:v>
                </c:pt>
                <c:pt idx="58">
                  <c:v>137870</c:v>
                </c:pt>
                <c:pt idx="59">
                  <c:v>138925</c:v>
                </c:pt>
                <c:pt idx="60">
                  <c:v>139984</c:v>
                </c:pt>
                <c:pt idx="61">
                  <c:v>141047</c:v>
                </c:pt>
                <c:pt idx="62">
                  <c:v>143185</c:v>
                </c:pt>
                <c:pt idx="63">
                  <c:v>145339</c:v>
                </c:pt>
                <c:pt idx="64">
                  <c:v>146422</c:v>
                </c:pt>
                <c:pt idx="65">
                  <c:v>147509</c:v>
                </c:pt>
                <c:pt idx="66">
                  <c:v>148600</c:v>
                </c:pt>
                <c:pt idx="67">
                  <c:v>149695</c:v>
                </c:pt>
                <c:pt idx="68">
                  <c:v>150794</c:v>
                </c:pt>
                <c:pt idx="69">
                  <c:v>151897</c:v>
                </c:pt>
                <c:pt idx="70">
                  <c:v>153004</c:v>
                </c:pt>
                <c:pt idx="71">
                  <c:v>155230</c:v>
                </c:pt>
                <c:pt idx="72">
                  <c:v>156349</c:v>
                </c:pt>
                <c:pt idx="73">
                  <c:v>157472</c:v>
                </c:pt>
                <c:pt idx="74">
                  <c:v>158599</c:v>
                </c:pt>
                <c:pt idx="75">
                  <c:v>159730</c:v>
                </c:pt>
                <c:pt idx="76">
                  <c:v>160865</c:v>
                </c:pt>
                <c:pt idx="77">
                  <c:v>162004</c:v>
                </c:pt>
                <c:pt idx="78">
                  <c:v>163147</c:v>
                </c:pt>
                <c:pt idx="79">
                  <c:v>164294</c:v>
                </c:pt>
                <c:pt idx="80">
                  <c:v>165445</c:v>
                </c:pt>
                <c:pt idx="81">
                  <c:v>166600</c:v>
                </c:pt>
                <c:pt idx="82">
                  <c:v>167759</c:v>
                </c:pt>
                <c:pt idx="83">
                  <c:v>168922</c:v>
                </c:pt>
                <c:pt idx="84">
                  <c:v>170089</c:v>
                </c:pt>
                <c:pt idx="85">
                  <c:v>171260</c:v>
                </c:pt>
                <c:pt idx="86">
                  <c:v>172435</c:v>
                </c:pt>
                <c:pt idx="87">
                  <c:v>173614</c:v>
                </c:pt>
                <c:pt idx="88">
                  <c:v>174797</c:v>
                </c:pt>
                <c:pt idx="89">
                  <c:v>175984</c:v>
                </c:pt>
                <c:pt idx="90">
                  <c:v>177175</c:v>
                </c:pt>
                <c:pt idx="91">
                  <c:v>178370</c:v>
                </c:pt>
                <c:pt idx="92">
                  <c:v>179569</c:v>
                </c:pt>
                <c:pt idx="93">
                  <c:v>180772</c:v>
                </c:pt>
                <c:pt idx="94">
                  <c:v>181979</c:v>
                </c:pt>
                <c:pt idx="95">
                  <c:v>183190</c:v>
                </c:pt>
                <c:pt idx="96">
                  <c:v>184405</c:v>
                </c:pt>
                <c:pt idx="97">
                  <c:v>185624</c:v>
                </c:pt>
                <c:pt idx="98">
                  <c:v>186847</c:v>
                </c:pt>
                <c:pt idx="99">
                  <c:v>189305</c:v>
                </c:pt>
                <c:pt idx="100">
                  <c:v>190540</c:v>
                </c:pt>
                <c:pt idx="101">
                  <c:v>191779</c:v>
                </c:pt>
                <c:pt idx="102">
                  <c:v>194269</c:v>
                </c:pt>
                <c:pt idx="103">
                  <c:v>195520</c:v>
                </c:pt>
              </c:numCache>
            </c:numRef>
          </c:xVal>
          <c:yVal>
            <c:numRef>
              <c:f>Digits!$X$2:$X$831</c:f>
              <c:numCache>
                <c:formatCode>General</c:formatCode>
                <c:ptCount val="104"/>
                <c:pt idx="0">
                  <c:v>0.89304583271344506</c:v>
                </c:pt>
                <c:pt idx="1">
                  <c:v>0.96444443613290787</c:v>
                </c:pt>
                <c:pt idx="2">
                  <c:v>0.96916666626930237</c:v>
                </c:pt>
                <c:pt idx="3">
                  <c:v>0.96680555492639542</c:v>
                </c:pt>
                <c:pt idx="4">
                  <c:v>0.96388888359069824</c:v>
                </c:pt>
                <c:pt idx="5">
                  <c:v>0.96958333626389503</c:v>
                </c:pt>
                <c:pt idx="6">
                  <c:v>0.96861110627651215</c:v>
                </c:pt>
                <c:pt idx="7">
                  <c:v>0.97138888388872147</c:v>
                </c:pt>
                <c:pt idx="8">
                  <c:v>0.97194444015622139</c:v>
                </c:pt>
                <c:pt idx="9">
                  <c:v>0.97152777388691902</c:v>
                </c:pt>
                <c:pt idx="10">
                  <c:v>0.96972221881151199</c:v>
                </c:pt>
                <c:pt idx="11">
                  <c:v>0.9652777761220932</c:v>
                </c:pt>
                <c:pt idx="12">
                  <c:v>0.96486110985279083</c:v>
                </c:pt>
                <c:pt idx="13">
                  <c:v>0.96847221627831459</c:v>
                </c:pt>
                <c:pt idx="14">
                  <c:v>0.9722222201526165</c:v>
                </c:pt>
                <c:pt idx="15">
                  <c:v>0.96611110121011734</c:v>
                </c:pt>
                <c:pt idx="16">
                  <c:v>0.96986111253499985</c:v>
                </c:pt>
                <c:pt idx="17">
                  <c:v>0.96944444626569748</c:v>
                </c:pt>
                <c:pt idx="18">
                  <c:v>0.96847221627831459</c:v>
                </c:pt>
                <c:pt idx="19">
                  <c:v>0.96571428009441918</c:v>
                </c:pt>
                <c:pt idx="20">
                  <c:v>0.96505049683830957</c:v>
                </c:pt>
                <c:pt idx="21">
                  <c:v>0.96969696066596289</c:v>
                </c:pt>
                <c:pt idx="22">
                  <c:v>0.96888888965953479</c:v>
                </c:pt>
                <c:pt idx="23">
                  <c:v>0.9664646495472301</c:v>
                </c:pt>
                <c:pt idx="24">
                  <c:v>0.96949494968761096</c:v>
                </c:pt>
                <c:pt idx="25">
                  <c:v>0.96707069873809814</c:v>
                </c:pt>
                <c:pt idx="26">
                  <c:v>0.96481480201085412</c:v>
                </c:pt>
                <c:pt idx="27">
                  <c:v>0.96925925215085351</c:v>
                </c:pt>
                <c:pt idx="28">
                  <c:v>0.97555555899937951</c:v>
                </c:pt>
                <c:pt idx="29">
                  <c:v>0.97518519560496009</c:v>
                </c:pt>
                <c:pt idx="30">
                  <c:v>0.97740741570790612</c:v>
                </c:pt>
                <c:pt idx="31">
                  <c:v>0.97481482227643335</c:v>
                </c:pt>
                <c:pt idx="32">
                  <c:v>0.97148148218790686</c:v>
                </c:pt>
                <c:pt idx="33">
                  <c:v>0.96962962547938025</c:v>
                </c:pt>
                <c:pt idx="34">
                  <c:v>0.9707407454649607</c:v>
                </c:pt>
                <c:pt idx="35">
                  <c:v>0.96555554866790771</c:v>
                </c:pt>
                <c:pt idx="36">
                  <c:v>0.97185185551643372</c:v>
                </c:pt>
                <c:pt idx="37">
                  <c:v>0.97474747354334046</c:v>
                </c:pt>
                <c:pt idx="38">
                  <c:v>0.97939393737099389</c:v>
                </c:pt>
                <c:pt idx="39">
                  <c:v>0.97222221891085303</c:v>
                </c:pt>
                <c:pt idx="40">
                  <c:v>0.97656564820896496</c:v>
                </c:pt>
                <c:pt idx="41">
                  <c:v>0.96555554866790771</c:v>
                </c:pt>
                <c:pt idx="42">
                  <c:v>0.97555553913116455</c:v>
                </c:pt>
                <c:pt idx="43">
                  <c:v>0.97434342991222034</c:v>
                </c:pt>
                <c:pt idx="44">
                  <c:v>0.97555556080558081</c:v>
                </c:pt>
                <c:pt idx="45">
                  <c:v>0.97090909697792749</c:v>
                </c:pt>
                <c:pt idx="46">
                  <c:v>0.97999999672174454</c:v>
                </c:pt>
                <c:pt idx="47">
                  <c:v>0.97319444268941879</c:v>
                </c:pt>
                <c:pt idx="48">
                  <c:v>0.98555554946263635</c:v>
                </c:pt>
                <c:pt idx="49">
                  <c:v>0.97492063613164992</c:v>
                </c:pt>
                <c:pt idx="50">
                  <c:v>0.98592593272527063</c:v>
                </c:pt>
                <c:pt idx="51">
                  <c:v>0.97470899139131817</c:v>
                </c:pt>
                <c:pt idx="52">
                  <c:v>0.98370370268821716</c:v>
                </c:pt>
                <c:pt idx="53">
                  <c:v>0.97396825608753024</c:v>
                </c:pt>
                <c:pt idx="54">
                  <c:v>0.98888888955116272</c:v>
                </c:pt>
                <c:pt idx="55">
                  <c:v>0.9739682589258466</c:v>
                </c:pt>
                <c:pt idx="56">
                  <c:v>0.98703703284263611</c:v>
                </c:pt>
                <c:pt idx="57">
                  <c:v>0.97164020935694373</c:v>
                </c:pt>
                <c:pt idx="58">
                  <c:v>0.98121211745522241</c:v>
                </c:pt>
                <c:pt idx="59">
                  <c:v>0.9765656590461731</c:v>
                </c:pt>
                <c:pt idx="60">
                  <c:v>0.9826388880610466</c:v>
                </c:pt>
                <c:pt idx="61">
                  <c:v>0.97272728248076001</c:v>
                </c:pt>
                <c:pt idx="62">
                  <c:v>0.97897435839359581</c:v>
                </c:pt>
                <c:pt idx="63">
                  <c:v>0.97888888762547421</c:v>
                </c:pt>
                <c:pt idx="64">
                  <c:v>0.97897436068608212</c:v>
                </c:pt>
                <c:pt idx="65">
                  <c:v>0.97111112872759497</c:v>
                </c:pt>
                <c:pt idx="66">
                  <c:v>0.97936507917585824</c:v>
                </c:pt>
                <c:pt idx="67">
                  <c:v>0.97292929887771606</c:v>
                </c:pt>
                <c:pt idx="68">
                  <c:v>0.98041666299104691</c:v>
                </c:pt>
                <c:pt idx="69">
                  <c:v>0.97838383913040161</c:v>
                </c:pt>
                <c:pt idx="70">
                  <c:v>0.98152777925133705</c:v>
                </c:pt>
                <c:pt idx="71">
                  <c:v>0.97769230604171753</c:v>
                </c:pt>
                <c:pt idx="72">
                  <c:v>0.97769230604171753</c:v>
                </c:pt>
                <c:pt idx="73">
                  <c:v>0.97444443901379907</c:v>
                </c:pt>
                <c:pt idx="74">
                  <c:v>0.97957672107787364</c:v>
                </c:pt>
                <c:pt idx="75">
                  <c:v>0.96814815203348792</c:v>
                </c:pt>
                <c:pt idx="76">
                  <c:v>0.97597883145014441</c:v>
                </c:pt>
                <c:pt idx="77">
                  <c:v>0.9703030315312472</c:v>
                </c:pt>
                <c:pt idx="78">
                  <c:v>0.97830687818073092</c:v>
                </c:pt>
                <c:pt idx="79">
                  <c:v>0.9773737300526012</c:v>
                </c:pt>
                <c:pt idx="80">
                  <c:v>0.9756944365799427</c:v>
                </c:pt>
                <c:pt idx="81">
                  <c:v>0.9813888855278492</c:v>
                </c:pt>
                <c:pt idx="82">
                  <c:v>0.97388888522982597</c:v>
                </c:pt>
                <c:pt idx="83">
                  <c:v>0.97968253351393197</c:v>
                </c:pt>
                <c:pt idx="84">
                  <c:v>0.97962961594263709</c:v>
                </c:pt>
                <c:pt idx="85">
                  <c:v>0.98031745638166157</c:v>
                </c:pt>
                <c:pt idx="86">
                  <c:v>0.98000000281767408</c:v>
                </c:pt>
                <c:pt idx="87">
                  <c:v>0.97708333283662796</c:v>
                </c:pt>
                <c:pt idx="88">
                  <c:v>0.97736110910773277</c:v>
                </c:pt>
                <c:pt idx="89">
                  <c:v>0.9769444428384304</c:v>
                </c:pt>
                <c:pt idx="90">
                  <c:v>0.98041666299104691</c:v>
                </c:pt>
                <c:pt idx="91">
                  <c:v>0.97171716256575147</c:v>
                </c:pt>
                <c:pt idx="92">
                  <c:v>0.97847221419215202</c:v>
                </c:pt>
                <c:pt idx="93">
                  <c:v>0.97858586094596167</c:v>
                </c:pt>
                <c:pt idx="94">
                  <c:v>0.97847222536802292</c:v>
                </c:pt>
                <c:pt idx="95">
                  <c:v>0.98592590292294824</c:v>
                </c:pt>
                <c:pt idx="96">
                  <c:v>0.97858585552735766</c:v>
                </c:pt>
                <c:pt idx="97">
                  <c:v>0.98666665770790796</c:v>
                </c:pt>
                <c:pt idx="98">
                  <c:v>0.97838384454900573</c:v>
                </c:pt>
                <c:pt idx="99">
                  <c:v>0.97979797558351001</c:v>
                </c:pt>
                <c:pt idx="100">
                  <c:v>0.97030302611264319</c:v>
                </c:pt>
                <c:pt idx="101">
                  <c:v>0.96518517533938086</c:v>
                </c:pt>
                <c:pt idx="102">
                  <c:v>0.96333333849906921</c:v>
                </c:pt>
                <c:pt idx="103">
                  <c:v>0.96703703204790747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9F-409A-AFD3-008333A468A0}"/>
            </c:ext>
          </c:extLst>
        </c:ser>
        <c:ser>
          <c:idx val="1"/>
          <c:order val="1"/>
          <c:tx>
            <c:strRef>
              <c:f>Digits!$Y$1</c:f>
              <c:strCache>
                <c:ptCount val="1"/>
                <c:pt idx="0">
                  <c:v>acc KAN val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Digits!$W$2:$W$831</c:f>
              <c:numCache>
                <c:formatCode>General</c:formatCode>
                <c:ptCount val="104"/>
                <c:pt idx="0">
                  <c:v>45629</c:v>
                </c:pt>
                <c:pt idx="1">
                  <c:v>48097</c:v>
                </c:pt>
                <c:pt idx="2">
                  <c:v>49990</c:v>
                </c:pt>
                <c:pt idx="3">
                  <c:v>51919</c:v>
                </c:pt>
                <c:pt idx="4">
                  <c:v>53884</c:v>
                </c:pt>
                <c:pt idx="5">
                  <c:v>55214</c:v>
                </c:pt>
                <c:pt idx="6">
                  <c:v>57239</c:v>
                </c:pt>
                <c:pt idx="7">
                  <c:v>59300</c:v>
                </c:pt>
                <c:pt idx="8">
                  <c:v>61397</c:v>
                </c:pt>
                <c:pt idx="9">
                  <c:v>63530</c:v>
                </c:pt>
                <c:pt idx="10">
                  <c:v>64972</c:v>
                </c:pt>
                <c:pt idx="11">
                  <c:v>67165</c:v>
                </c:pt>
                <c:pt idx="12">
                  <c:v>68647</c:v>
                </c:pt>
                <c:pt idx="13">
                  <c:v>70900</c:v>
                </c:pt>
                <c:pt idx="14">
                  <c:v>73189</c:v>
                </c:pt>
                <c:pt idx="15">
                  <c:v>74735</c:v>
                </c:pt>
                <c:pt idx="16">
                  <c:v>76297</c:v>
                </c:pt>
                <c:pt idx="17">
                  <c:v>78670</c:v>
                </c:pt>
                <c:pt idx="18">
                  <c:v>80272</c:v>
                </c:pt>
                <c:pt idx="19">
                  <c:v>82705</c:v>
                </c:pt>
                <c:pt idx="20">
                  <c:v>84347</c:v>
                </c:pt>
                <c:pt idx="21">
                  <c:v>86005</c:v>
                </c:pt>
                <c:pt idx="22">
                  <c:v>88522</c:v>
                </c:pt>
                <c:pt idx="23">
                  <c:v>90220</c:v>
                </c:pt>
                <c:pt idx="24">
                  <c:v>91934</c:v>
                </c:pt>
                <c:pt idx="25">
                  <c:v>93664</c:v>
                </c:pt>
                <c:pt idx="26">
                  <c:v>96289</c:v>
                </c:pt>
                <c:pt idx="27">
                  <c:v>98059</c:v>
                </c:pt>
                <c:pt idx="28">
                  <c:v>99845</c:v>
                </c:pt>
                <c:pt idx="29">
                  <c:v>101647</c:v>
                </c:pt>
                <c:pt idx="30">
                  <c:v>103465</c:v>
                </c:pt>
                <c:pt idx="31">
                  <c:v>105299</c:v>
                </c:pt>
                <c:pt idx="32">
                  <c:v>107149</c:v>
                </c:pt>
                <c:pt idx="33">
                  <c:v>109015</c:v>
                </c:pt>
                <c:pt idx="34">
                  <c:v>110897</c:v>
                </c:pt>
                <c:pt idx="35">
                  <c:v>112795</c:v>
                </c:pt>
                <c:pt idx="36">
                  <c:v>114709</c:v>
                </c:pt>
                <c:pt idx="37">
                  <c:v>116639</c:v>
                </c:pt>
                <c:pt idx="38">
                  <c:v>117610</c:v>
                </c:pt>
                <c:pt idx="39">
                  <c:v>118585</c:v>
                </c:pt>
                <c:pt idx="40">
                  <c:v>119564</c:v>
                </c:pt>
                <c:pt idx="41">
                  <c:v>120547</c:v>
                </c:pt>
                <c:pt idx="42">
                  <c:v>121534</c:v>
                </c:pt>
                <c:pt idx="43">
                  <c:v>122525</c:v>
                </c:pt>
                <c:pt idx="44">
                  <c:v>123520</c:v>
                </c:pt>
                <c:pt idx="45">
                  <c:v>124519</c:v>
                </c:pt>
                <c:pt idx="46">
                  <c:v>125522</c:v>
                </c:pt>
                <c:pt idx="47">
                  <c:v>126529</c:v>
                </c:pt>
                <c:pt idx="48">
                  <c:v>127540</c:v>
                </c:pt>
                <c:pt idx="49">
                  <c:v>128555</c:v>
                </c:pt>
                <c:pt idx="50">
                  <c:v>129574</c:v>
                </c:pt>
                <c:pt idx="51">
                  <c:v>130597</c:v>
                </c:pt>
                <c:pt idx="52">
                  <c:v>131624</c:v>
                </c:pt>
                <c:pt idx="53">
                  <c:v>132655</c:v>
                </c:pt>
                <c:pt idx="54">
                  <c:v>133690</c:v>
                </c:pt>
                <c:pt idx="55">
                  <c:v>134729</c:v>
                </c:pt>
                <c:pt idx="56">
                  <c:v>135772</c:v>
                </c:pt>
                <c:pt idx="57">
                  <c:v>136819</c:v>
                </c:pt>
                <c:pt idx="58">
                  <c:v>137870</c:v>
                </c:pt>
                <c:pt idx="59">
                  <c:v>138925</c:v>
                </c:pt>
                <c:pt idx="60">
                  <c:v>139984</c:v>
                </c:pt>
                <c:pt idx="61">
                  <c:v>141047</c:v>
                </c:pt>
                <c:pt idx="62">
                  <c:v>143185</c:v>
                </c:pt>
                <c:pt idx="63">
                  <c:v>145339</c:v>
                </c:pt>
                <c:pt idx="64">
                  <c:v>146422</c:v>
                </c:pt>
                <c:pt idx="65">
                  <c:v>147509</c:v>
                </c:pt>
                <c:pt idx="66">
                  <c:v>148600</c:v>
                </c:pt>
                <c:pt idx="67">
                  <c:v>149695</c:v>
                </c:pt>
                <c:pt idx="68">
                  <c:v>150794</c:v>
                </c:pt>
                <c:pt idx="69">
                  <c:v>151897</c:v>
                </c:pt>
                <c:pt idx="70">
                  <c:v>153004</c:v>
                </c:pt>
                <c:pt idx="71">
                  <c:v>155230</c:v>
                </c:pt>
                <c:pt idx="72">
                  <c:v>156349</c:v>
                </c:pt>
                <c:pt idx="73">
                  <c:v>157472</c:v>
                </c:pt>
                <c:pt idx="74">
                  <c:v>158599</c:v>
                </c:pt>
                <c:pt idx="75">
                  <c:v>159730</c:v>
                </c:pt>
                <c:pt idx="76">
                  <c:v>160865</c:v>
                </c:pt>
                <c:pt idx="77">
                  <c:v>162004</c:v>
                </c:pt>
                <c:pt idx="78">
                  <c:v>163147</c:v>
                </c:pt>
                <c:pt idx="79">
                  <c:v>164294</c:v>
                </c:pt>
                <c:pt idx="80">
                  <c:v>165445</c:v>
                </c:pt>
                <c:pt idx="81">
                  <c:v>166600</c:v>
                </c:pt>
                <c:pt idx="82">
                  <c:v>167759</c:v>
                </c:pt>
                <c:pt idx="83">
                  <c:v>168922</c:v>
                </c:pt>
                <c:pt idx="84">
                  <c:v>170089</c:v>
                </c:pt>
                <c:pt idx="85">
                  <c:v>171260</c:v>
                </c:pt>
                <c:pt idx="86">
                  <c:v>172435</c:v>
                </c:pt>
                <c:pt idx="87">
                  <c:v>173614</c:v>
                </c:pt>
                <c:pt idx="88">
                  <c:v>174797</c:v>
                </c:pt>
                <c:pt idx="89">
                  <c:v>175984</c:v>
                </c:pt>
                <c:pt idx="90">
                  <c:v>177175</c:v>
                </c:pt>
                <c:pt idx="91">
                  <c:v>178370</c:v>
                </c:pt>
                <c:pt idx="92">
                  <c:v>179569</c:v>
                </c:pt>
                <c:pt idx="93">
                  <c:v>180772</c:v>
                </c:pt>
                <c:pt idx="94">
                  <c:v>181979</c:v>
                </c:pt>
                <c:pt idx="95">
                  <c:v>183190</c:v>
                </c:pt>
                <c:pt idx="96">
                  <c:v>184405</c:v>
                </c:pt>
                <c:pt idx="97">
                  <c:v>185624</c:v>
                </c:pt>
                <c:pt idx="98">
                  <c:v>186847</c:v>
                </c:pt>
                <c:pt idx="99">
                  <c:v>189305</c:v>
                </c:pt>
                <c:pt idx="100">
                  <c:v>190540</c:v>
                </c:pt>
                <c:pt idx="101">
                  <c:v>191779</c:v>
                </c:pt>
                <c:pt idx="102">
                  <c:v>194269</c:v>
                </c:pt>
                <c:pt idx="103">
                  <c:v>195520</c:v>
                </c:pt>
              </c:numCache>
            </c:numRef>
          </c:xVal>
          <c:yVal>
            <c:numRef>
              <c:f>Digits!$Y$2:$Y$831</c:f>
              <c:numCache>
                <c:formatCode>General</c:formatCode>
                <c:ptCount val="104"/>
                <c:pt idx="0">
                  <c:v>0.93350560665130611</c:v>
                </c:pt>
                <c:pt idx="1">
                  <c:v>0.96938271522521968</c:v>
                </c:pt>
                <c:pt idx="2">
                  <c:v>0.96790122985839844</c:v>
                </c:pt>
                <c:pt idx="3">
                  <c:v>0.9669135689735413</c:v>
                </c:pt>
                <c:pt idx="4">
                  <c:v>0.96395061016082761</c:v>
                </c:pt>
                <c:pt idx="5">
                  <c:v>0.96691357692082724</c:v>
                </c:pt>
                <c:pt idx="6">
                  <c:v>0.9706172863642375</c:v>
                </c:pt>
                <c:pt idx="7">
                  <c:v>0.96419751644134521</c:v>
                </c:pt>
                <c:pt idx="8">
                  <c:v>0.96271604299545288</c:v>
                </c:pt>
                <c:pt idx="9">
                  <c:v>0.9676543156305949</c:v>
                </c:pt>
                <c:pt idx="10">
                  <c:v>0.96666667064030964</c:v>
                </c:pt>
                <c:pt idx="11">
                  <c:v>0.96864197254180906</c:v>
                </c:pt>
                <c:pt idx="12">
                  <c:v>0.9676543156305949</c:v>
                </c:pt>
                <c:pt idx="13">
                  <c:v>0.96222220261891678</c:v>
                </c:pt>
                <c:pt idx="14">
                  <c:v>0.9688888867696126</c:v>
                </c:pt>
                <c:pt idx="15">
                  <c:v>0.97358024915059405</c:v>
                </c:pt>
                <c:pt idx="16">
                  <c:v>0.97111111481984458</c:v>
                </c:pt>
                <c:pt idx="17">
                  <c:v>0.96987654368082687</c:v>
                </c:pt>
                <c:pt idx="18">
                  <c:v>0.96592593590418496</c:v>
                </c:pt>
                <c:pt idx="19">
                  <c:v>0.96837605879856992</c:v>
                </c:pt>
                <c:pt idx="20">
                  <c:v>0.98148148655891421</c:v>
                </c:pt>
                <c:pt idx="21">
                  <c:v>0.97703703641891482</c:v>
                </c:pt>
                <c:pt idx="22">
                  <c:v>0.97592592239379883</c:v>
                </c:pt>
                <c:pt idx="23">
                  <c:v>0.97814814448356624</c:v>
                </c:pt>
                <c:pt idx="24">
                  <c:v>0.97703703641891482</c:v>
                </c:pt>
                <c:pt idx="25">
                  <c:v>0.97592592239379883</c:v>
                </c:pt>
                <c:pt idx="26">
                  <c:v>0.97777777910232544</c:v>
                </c:pt>
                <c:pt idx="27">
                  <c:v>0.97111109495162962</c:v>
                </c:pt>
                <c:pt idx="28">
                  <c:v>0.97333332300186159</c:v>
                </c:pt>
                <c:pt idx="29">
                  <c:v>0.97407406568527222</c:v>
                </c:pt>
                <c:pt idx="30">
                  <c:v>0.97629629373550419</c:v>
                </c:pt>
                <c:pt idx="31">
                  <c:v>0.97111109495162962</c:v>
                </c:pt>
                <c:pt idx="32">
                  <c:v>0.97481480836868284</c:v>
                </c:pt>
                <c:pt idx="33">
                  <c:v>0.97481480836868284</c:v>
                </c:pt>
                <c:pt idx="34">
                  <c:v>0.97851852178573606</c:v>
                </c:pt>
                <c:pt idx="35">
                  <c:v>0.97629629373550419</c:v>
                </c:pt>
                <c:pt idx="36">
                  <c:v>0.97111109495162962</c:v>
                </c:pt>
                <c:pt idx="37">
                  <c:v>0.97962961792945857</c:v>
                </c:pt>
                <c:pt idx="38">
                  <c:v>0.97962961792945857</c:v>
                </c:pt>
                <c:pt idx="39">
                  <c:v>0.98074074983596804</c:v>
                </c:pt>
                <c:pt idx="40">
                  <c:v>0.97888889312744143</c:v>
                </c:pt>
                <c:pt idx="41">
                  <c:v>0.98148149251937866</c:v>
                </c:pt>
                <c:pt idx="42">
                  <c:v>0.98259258270263672</c:v>
                </c:pt>
                <c:pt idx="43">
                  <c:v>0.98222222328186037</c:v>
                </c:pt>
                <c:pt idx="44">
                  <c:v>0.97629629373550419</c:v>
                </c:pt>
                <c:pt idx="45">
                  <c:v>0.97222221493721006</c:v>
                </c:pt>
                <c:pt idx="46">
                  <c:v>0.98271605173746746</c:v>
                </c:pt>
                <c:pt idx="47">
                  <c:v>0.97308641274770102</c:v>
                </c:pt>
                <c:pt idx="48">
                  <c:v>0.98370372056961064</c:v>
                </c:pt>
                <c:pt idx="49">
                  <c:v>0.9796296298503876</c:v>
                </c:pt>
                <c:pt idx="50">
                  <c:v>0.98888887166976924</c:v>
                </c:pt>
                <c:pt idx="51">
                  <c:v>0.98037037253379822</c:v>
                </c:pt>
                <c:pt idx="52">
                  <c:v>0.9859259366989136</c:v>
                </c:pt>
                <c:pt idx="53">
                  <c:v>0.98185185194015501</c:v>
                </c:pt>
                <c:pt idx="54">
                  <c:v>0.98222223520278928</c:v>
                </c:pt>
                <c:pt idx="55">
                  <c:v>0.97981482148170473</c:v>
                </c:pt>
                <c:pt idx="56">
                  <c:v>0.98740739822387691</c:v>
                </c:pt>
                <c:pt idx="57">
                  <c:v>0.97981480956077571</c:v>
                </c:pt>
                <c:pt idx="58">
                  <c:v>0.98148147463798519</c:v>
                </c:pt>
                <c:pt idx="59">
                  <c:v>0.98555555343627932</c:v>
                </c:pt>
                <c:pt idx="60">
                  <c:v>0.98172840277353923</c:v>
                </c:pt>
                <c:pt idx="61">
                  <c:v>0.9822222054004669</c:v>
                </c:pt>
                <c:pt idx="62">
                  <c:v>0.98059258937835692</c:v>
                </c:pt>
                <c:pt idx="63">
                  <c:v>0.98118518352508544</c:v>
                </c:pt>
                <c:pt idx="64">
                  <c:v>0.98207406759262084</c:v>
                </c:pt>
                <c:pt idx="65">
                  <c:v>0.98000000715255742</c:v>
                </c:pt>
                <c:pt idx="66">
                  <c:v>0.98370369970798488</c:v>
                </c:pt>
                <c:pt idx="67">
                  <c:v>0.98518518209457395</c:v>
                </c:pt>
                <c:pt idx="68">
                  <c:v>0.97950617074966428</c:v>
                </c:pt>
                <c:pt idx="69">
                  <c:v>0.98370369672775271</c:v>
                </c:pt>
                <c:pt idx="70">
                  <c:v>0.97802468935648601</c:v>
                </c:pt>
                <c:pt idx="71">
                  <c:v>0.97896295785903931</c:v>
                </c:pt>
                <c:pt idx="72">
                  <c:v>0.98207407236099242</c:v>
                </c:pt>
                <c:pt idx="73">
                  <c:v>0.98962961435317998</c:v>
                </c:pt>
                <c:pt idx="74">
                  <c:v>0.97981481552124028</c:v>
                </c:pt>
                <c:pt idx="75">
                  <c:v>0.98518517017364504</c:v>
                </c:pt>
                <c:pt idx="76">
                  <c:v>0.97666666507720945</c:v>
                </c:pt>
                <c:pt idx="77">
                  <c:v>0.98444444537162779</c:v>
                </c:pt>
                <c:pt idx="78">
                  <c:v>0.97999999821186068</c:v>
                </c:pt>
                <c:pt idx="79">
                  <c:v>0.97000000476837156</c:v>
                </c:pt>
                <c:pt idx="80">
                  <c:v>0.97604938745498659</c:v>
                </c:pt>
                <c:pt idx="81">
                  <c:v>0.97777777512868247</c:v>
                </c:pt>
                <c:pt idx="82">
                  <c:v>0.9819753130276998</c:v>
                </c:pt>
                <c:pt idx="83">
                  <c:v>0.97925925254821777</c:v>
                </c:pt>
                <c:pt idx="84">
                  <c:v>0.97185184955596926</c:v>
                </c:pt>
                <c:pt idx="85">
                  <c:v>0.97814814448356624</c:v>
                </c:pt>
                <c:pt idx="86">
                  <c:v>0.97962963581085205</c:v>
                </c:pt>
                <c:pt idx="87">
                  <c:v>0.97851852575937903</c:v>
                </c:pt>
                <c:pt idx="88">
                  <c:v>0.97654321193695071</c:v>
                </c:pt>
                <c:pt idx="89">
                  <c:v>0.98074072996775308</c:v>
                </c:pt>
                <c:pt idx="90">
                  <c:v>0.98024691740671799</c:v>
                </c:pt>
                <c:pt idx="91">
                  <c:v>0.97592592239379883</c:v>
                </c:pt>
                <c:pt idx="92">
                  <c:v>0.97283950646718342</c:v>
                </c:pt>
                <c:pt idx="93">
                  <c:v>0.97666666507720945</c:v>
                </c:pt>
                <c:pt idx="94">
                  <c:v>0.97530863285064695</c:v>
                </c:pt>
                <c:pt idx="95">
                  <c:v>0.98222222328186037</c:v>
                </c:pt>
                <c:pt idx="96">
                  <c:v>0.97370370030403142</c:v>
                </c:pt>
                <c:pt idx="97">
                  <c:v>0.98518518805503841</c:v>
                </c:pt>
                <c:pt idx="98">
                  <c:v>0.97962961792945857</c:v>
                </c:pt>
                <c:pt idx="99">
                  <c:v>0.97555555701255803</c:v>
                </c:pt>
                <c:pt idx="100">
                  <c:v>0.97592592239379883</c:v>
                </c:pt>
                <c:pt idx="101">
                  <c:v>0.98000000715255742</c:v>
                </c:pt>
                <c:pt idx="102">
                  <c:v>0.96148147583007815</c:v>
                </c:pt>
                <c:pt idx="103">
                  <c:v>0.9703703641891479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9F-409A-AFD3-008333A46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205088"/>
        <c:axId val="1663204608"/>
      </c:scatterChart>
      <c:scatterChart>
        <c:scatterStyle val="smoothMarker"/>
        <c:varyColors val="0"/>
        <c:ser>
          <c:idx val="2"/>
          <c:order val="2"/>
          <c:tx>
            <c:strRef>
              <c:f>Digits!$Z$1</c:f>
              <c:strCache>
                <c:ptCount val="1"/>
                <c:pt idx="0">
                  <c:v>kroki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Digits!$W$2:$W$831</c:f>
              <c:numCache>
                <c:formatCode>General</c:formatCode>
                <c:ptCount val="104"/>
                <c:pt idx="0">
                  <c:v>45629</c:v>
                </c:pt>
                <c:pt idx="1">
                  <c:v>48097</c:v>
                </c:pt>
                <c:pt idx="2">
                  <c:v>49990</c:v>
                </c:pt>
                <c:pt idx="3">
                  <c:v>51919</c:v>
                </c:pt>
                <c:pt idx="4">
                  <c:v>53884</c:v>
                </c:pt>
                <c:pt idx="5">
                  <c:v>55214</c:v>
                </c:pt>
                <c:pt idx="6">
                  <c:v>57239</c:v>
                </c:pt>
                <c:pt idx="7">
                  <c:v>59300</c:v>
                </c:pt>
                <c:pt idx="8">
                  <c:v>61397</c:v>
                </c:pt>
                <c:pt idx="9">
                  <c:v>63530</c:v>
                </c:pt>
                <c:pt idx="10">
                  <c:v>64972</c:v>
                </c:pt>
                <c:pt idx="11">
                  <c:v>67165</c:v>
                </c:pt>
                <c:pt idx="12">
                  <c:v>68647</c:v>
                </c:pt>
                <c:pt idx="13">
                  <c:v>70900</c:v>
                </c:pt>
                <c:pt idx="14">
                  <c:v>73189</c:v>
                </c:pt>
                <c:pt idx="15">
                  <c:v>74735</c:v>
                </c:pt>
                <c:pt idx="16">
                  <c:v>76297</c:v>
                </c:pt>
                <c:pt idx="17">
                  <c:v>78670</c:v>
                </c:pt>
                <c:pt idx="18">
                  <c:v>80272</c:v>
                </c:pt>
                <c:pt idx="19">
                  <c:v>82705</c:v>
                </c:pt>
                <c:pt idx="20">
                  <c:v>84347</c:v>
                </c:pt>
                <c:pt idx="21">
                  <c:v>86005</c:v>
                </c:pt>
                <c:pt idx="22">
                  <c:v>88522</c:v>
                </c:pt>
                <c:pt idx="23">
                  <c:v>90220</c:v>
                </c:pt>
                <c:pt idx="24">
                  <c:v>91934</c:v>
                </c:pt>
                <c:pt idx="25">
                  <c:v>93664</c:v>
                </c:pt>
                <c:pt idx="26">
                  <c:v>96289</c:v>
                </c:pt>
                <c:pt idx="27">
                  <c:v>98059</c:v>
                </c:pt>
                <c:pt idx="28">
                  <c:v>99845</c:v>
                </c:pt>
                <c:pt idx="29">
                  <c:v>101647</c:v>
                </c:pt>
                <c:pt idx="30">
                  <c:v>103465</c:v>
                </c:pt>
                <c:pt idx="31">
                  <c:v>105299</c:v>
                </c:pt>
                <c:pt idx="32">
                  <c:v>107149</c:v>
                </c:pt>
                <c:pt idx="33">
                  <c:v>109015</c:v>
                </c:pt>
                <c:pt idx="34">
                  <c:v>110897</c:v>
                </c:pt>
                <c:pt idx="35">
                  <c:v>112795</c:v>
                </c:pt>
                <c:pt idx="36">
                  <c:v>114709</c:v>
                </c:pt>
                <c:pt idx="37">
                  <c:v>116639</c:v>
                </c:pt>
                <c:pt idx="38">
                  <c:v>117610</c:v>
                </c:pt>
                <c:pt idx="39">
                  <c:v>118585</c:v>
                </c:pt>
                <c:pt idx="40">
                  <c:v>119564</c:v>
                </c:pt>
                <c:pt idx="41">
                  <c:v>120547</c:v>
                </c:pt>
                <c:pt idx="42">
                  <c:v>121534</c:v>
                </c:pt>
                <c:pt idx="43">
                  <c:v>122525</c:v>
                </c:pt>
                <c:pt idx="44">
                  <c:v>123520</c:v>
                </c:pt>
                <c:pt idx="45">
                  <c:v>124519</c:v>
                </c:pt>
                <c:pt idx="46">
                  <c:v>125522</c:v>
                </c:pt>
                <c:pt idx="47">
                  <c:v>126529</c:v>
                </c:pt>
                <c:pt idx="48">
                  <c:v>127540</c:v>
                </c:pt>
                <c:pt idx="49">
                  <c:v>128555</c:v>
                </c:pt>
                <c:pt idx="50">
                  <c:v>129574</c:v>
                </c:pt>
                <c:pt idx="51">
                  <c:v>130597</c:v>
                </c:pt>
                <c:pt idx="52">
                  <c:v>131624</c:v>
                </c:pt>
                <c:pt idx="53">
                  <c:v>132655</c:v>
                </c:pt>
                <c:pt idx="54">
                  <c:v>133690</c:v>
                </c:pt>
                <c:pt idx="55">
                  <c:v>134729</c:v>
                </c:pt>
                <c:pt idx="56">
                  <c:v>135772</c:v>
                </c:pt>
                <c:pt idx="57">
                  <c:v>136819</c:v>
                </c:pt>
                <c:pt idx="58">
                  <c:v>137870</c:v>
                </c:pt>
                <c:pt idx="59">
                  <c:v>138925</c:v>
                </c:pt>
                <c:pt idx="60">
                  <c:v>139984</c:v>
                </c:pt>
                <c:pt idx="61">
                  <c:v>141047</c:v>
                </c:pt>
                <c:pt idx="62">
                  <c:v>143185</c:v>
                </c:pt>
                <c:pt idx="63">
                  <c:v>145339</c:v>
                </c:pt>
                <c:pt idx="64">
                  <c:v>146422</c:v>
                </c:pt>
                <c:pt idx="65">
                  <c:v>147509</c:v>
                </c:pt>
                <c:pt idx="66">
                  <c:v>148600</c:v>
                </c:pt>
                <c:pt idx="67">
                  <c:v>149695</c:v>
                </c:pt>
                <c:pt idx="68">
                  <c:v>150794</c:v>
                </c:pt>
                <c:pt idx="69">
                  <c:v>151897</c:v>
                </c:pt>
                <c:pt idx="70">
                  <c:v>153004</c:v>
                </c:pt>
                <c:pt idx="71">
                  <c:v>155230</c:v>
                </c:pt>
                <c:pt idx="72">
                  <c:v>156349</c:v>
                </c:pt>
                <c:pt idx="73">
                  <c:v>157472</c:v>
                </c:pt>
                <c:pt idx="74">
                  <c:v>158599</c:v>
                </c:pt>
                <c:pt idx="75">
                  <c:v>159730</c:v>
                </c:pt>
                <c:pt idx="76">
                  <c:v>160865</c:v>
                </c:pt>
                <c:pt idx="77">
                  <c:v>162004</c:v>
                </c:pt>
                <c:pt idx="78">
                  <c:v>163147</c:v>
                </c:pt>
                <c:pt idx="79">
                  <c:v>164294</c:v>
                </c:pt>
                <c:pt idx="80">
                  <c:v>165445</c:v>
                </c:pt>
                <c:pt idx="81">
                  <c:v>166600</c:v>
                </c:pt>
                <c:pt idx="82">
                  <c:v>167759</c:v>
                </c:pt>
                <c:pt idx="83">
                  <c:v>168922</c:v>
                </c:pt>
                <c:pt idx="84">
                  <c:v>170089</c:v>
                </c:pt>
                <c:pt idx="85">
                  <c:v>171260</c:v>
                </c:pt>
                <c:pt idx="86">
                  <c:v>172435</c:v>
                </c:pt>
                <c:pt idx="87">
                  <c:v>173614</c:v>
                </c:pt>
                <c:pt idx="88">
                  <c:v>174797</c:v>
                </c:pt>
                <c:pt idx="89">
                  <c:v>175984</c:v>
                </c:pt>
                <c:pt idx="90">
                  <c:v>177175</c:v>
                </c:pt>
                <c:pt idx="91">
                  <c:v>178370</c:v>
                </c:pt>
                <c:pt idx="92">
                  <c:v>179569</c:v>
                </c:pt>
                <c:pt idx="93">
                  <c:v>180772</c:v>
                </c:pt>
                <c:pt idx="94">
                  <c:v>181979</c:v>
                </c:pt>
                <c:pt idx="95">
                  <c:v>183190</c:v>
                </c:pt>
                <c:pt idx="96">
                  <c:v>184405</c:v>
                </c:pt>
                <c:pt idx="97">
                  <c:v>185624</c:v>
                </c:pt>
                <c:pt idx="98">
                  <c:v>186847</c:v>
                </c:pt>
                <c:pt idx="99">
                  <c:v>189305</c:v>
                </c:pt>
                <c:pt idx="100">
                  <c:v>190540</c:v>
                </c:pt>
                <c:pt idx="101">
                  <c:v>191779</c:v>
                </c:pt>
                <c:pt idx="102">
                  <c:v>194269</c:v>
                </c:pt>
                <c:pt idx="103">
                  <c:v>195520</c:v>
                </c:pt>
              </c:numCache>
            </c:numRef>
          </c:xVal>
          <c:yVal>
            <c:numRef>
              <c:f>Digits!$Z$2:$Z$831</c:f>
              <c:numCache>
                <c:formatCode>General</c:formatCode>
                <c:ptCount val="104"/>
                <c:pt idx="0">
                  <c:v>11.187887938265392</c:v>
                </c:pt>
                <c:pt idx="1">
                  <c:v>11.185374434578657</c:v>
                </c:pt>
                <c:pt idx="2">
                  <c:v>11.182784005353856</c:v>
                </c:pt>
                <c:pt idx="3">
                  <c:v>11.180701754385964</c:v>
                </c:pt>
                <c:pt idx="4">
                  <c:v>11.178541631903888</c:v>
                </c:pt>
                <c:pt idx="5">
                  <c:v>11.176470588235293</c:v>
                </c:pt>
                <c:pt idx="6">
                  <c:v>11.174155433516392</c:v>
                </c:pt>
                <c:pt idx="7">
                  <c:v>11.171846435100548</c:v>
                </c:pt>
                <c:pt idx="8">
                  <c:v>11.169377593360997</c:v>
                </c:pt>
                <c:pt idx="9">
                  <c:v>11.167661196751201</c:v>
                </c:pt>
                <c:pt idx="10">
                  <c:v>11.164956133090548</c:v>
                </c:pt>
                <c:pt idx="11">
                  <c:v>11.163250123987435</c:v>
                </c:pt>
                <c:pt idx="12">
                  <c:v>11.160723130262506</c:v>
                </c:pt>
                <c:pt idx="13">
                  <c:v>11.158367683429514</c:v>
                </c:pt>
                <c:pt idx="14">
                  <c:v>11.1558537790219</c:v>
                </c:pt>
                <c:pt idx="15">
                  <c:v>11.153593159019898</c:v>
                </c:pt>
                <c:pt idx="16">
                  <c:v>11.151502709804566</c:v>
                </c:pt>
                <c:pt idx="17">
                  <c:v>11.150155814334919</c:v>
                </c:pt>
                <c:pt idx="18">
                  <c:v>11.147911547911548</c:v>
                </c:pt>
                <c:pt idx="19">
                  <c:v>11.145615183246074</c:v>
                </c:pt>
                <c:pt idx="20">
                  <c:v>11.144912137310993</c:v>
                </c:pt>
                <c:pt idx="21">
                  <c:v>11.14363873918014</c:v>
                </c:pt>
                <c:pt idx="22">
                  <c:v>11.141714938402545</c:v>
                </c:pt>
                <c:pt idx="23">
                  <c:v>11.139876100423868</c:v>
                </c:pt>
                <c:pt idx="24">
                  <c:v>11.137959117191954</c:v>
                </c:pt>
                <c:pt idx="25">
                  <c:v>11.136615134255493</c:v>
                </c:pt>
                <c:pt idx="26">
                  <c:v>11.135491216655822</c:v>
                </c:pt>
                <c:pt idx="27">
                  <c:v>11.134612258169403</c:v>
                </c:pt>
                <c:pt idx="28">
                  <c:v>11.133571660708482</c:v>
                </c:pt>
                <c:pt idx="29">
                  <c:v>11.132694494071789</c:v>
                </c:pt>
                <c:pt idx="30">
                  <c:v>11.131818181818181</c:v>
                </c:pt>
                <c:pt idx="31">
                  <c:v>11.131429498620802</c:v>
                </c:pt>
                <c:pt idx="32">
                  <c:v>11.130797924099904</c:v>
                </c:pt>
                <c:pt idx="33">
                  <c:v>11.129842762198088</c:v>
                </c:pt>
                <c:pt idx="34">
                  <c:v>11.129617627997408</c:v>
                </c:pt>
                <c:pt idx="35">
                  <c:v>11.12914979757085</c:v>
                </c:pt>
                <c:pt idx="36">
                  <c:v>11.12819682745225</c:v>
                </c:pt>
                <c:pt idx="37">
                  <c:v>11.129376566669363</c:v>
                </c:pt>
                <c:pt idx="38">
                  <c:v>11.129988689610599</c:v>
                </c:pt>
                <c:pt idx="39">
                  <c:v>11.130652454780362</c:v>
                </c:pt>
                <c:pt idx="40">
                  <c:v>11.132876159741832</c:v>
                </c:pt>
                <c:pt idx="41">
                  <c:v>11.134585920490283</c:v>
                </c:pt>
                <c:pt idx="42">
                  <c:v>11.135352884305512</c:v>
                </c:pt>
                <c:pt idx="43">
                  <c:v>11.138211382113822</c:v>
                </c:pt>
                <c:pt idx="44">
                  <c:v>11.138652082998231</c:v>
                </c:pt>
                <c:pt idx="45">
                  <c:v>11.140297308155885</c:v>
                </c:pt>
                <c:pt idx="46">
                  <c:v>11.144691437284328</c:v>
                </c:pt>
                <c:pt idx="47">
                  <c:v>11.150436803718843</c:v>
                </c:pt>
                <c:pt idx="48">
                  <c:v>11.151966674677562</c:v>
                </c:pt>
                <c:pt idx="49">
                  <c:v>11.157069737683941</c:v>
                </c:pt>
                <c:pt idx="50">
                  <c:v>11.158033573141488</c:v>
                </c:pt>
                <c:pt idx="51">
                  <c:v>11.162955869443779</c:v>
                </c:pt>
                <c:pt idx="52">
                  <c:v>11.164154103852596</c:v>
                </c:pt>
                <c:pt idx="53">
                  <c:v>11.168577799012581</c:v>
                </c:pt>
                <c:pt idx="54">
                  <c:v>11.169770773638968</c:v>
                </c:pt>
                <c:pt idx="55">
                  <c:v>11.174016686531585</c:v>
                </c:pt>
                <c:pt idx="56">
                  <c:v>11.174569136684934</c:v>
                </c:pt>
                <c:pt idx="57">
                  <c:v>11.179273707580082</c:v>
                </c:pt>
                <c:pt idx="58">
                  <c:v>11.182444743721778</c:v>
                </c:pt>
                <c:pt idx="59">
                  <c:v>11.185135349058097</c:v>
                </c:pt>
                <c:pt idx="60">
                  <c:v>11.188616600790514</c:v>
                </c:pt>
                <c:pt idx="61">
                  <c:v>11.190032382908143</c:v>
                </c:pt>
                <c:pt idx="62">
                  <c:v>11.194451012847797</c:v>
                </c:pt>
                <c:pt idx="63">
                  <c:v>11.197278376465036</c:v>
                </c:pt>
                <c:pt idx="64">
                  <c:v>11.200486694403015</c:v>
                </c:pt>
                <c:pt idx="65">
                  <c:v>11.201726167124363</c:v>
                </c:pt>
                <c:pt idx="66">
                  <c:v>11.206642644524518</c:v>
                </c:pt>
                <c:pt idx="67">
                  <c:v>11.207638725835485</c:v>
                </c:pt>
                <c:pt idx="68">
                  <c:v>11.209802235597593</c:v>
                </c:pt>
                <c:pt idx="69">
                  <c:v>11.209387691346453</c:v>
                </c:pt>
                <c:pt idx="70">
                  <c:v>11.212012480499221</c:v>
                </c:pt>
                <c:pt idx="71">
                  <c:v>11.217032539311848</c:v>
                </c:pt>
                <c:pt idx="72">
                  <c:v>11.219002486016159</c:v>
                </c:pt>
                <c:pt idx="73">
                  <c:v>11.219521664854792</c:v>
                </c:pt>
                <c:pt idx="74">
                  <c:v>11.224125901232654</c:v>
                </c:pt>
                <c:pt idx="75">
                  <c:v>11.224486633087951</c:v>
                </c:pt>
                <c:pt idx="76">
                  <c:v>11.228376914745475</c:v>
                </c:pt>
                <c:pt idx="77">
                  <c:v>11.229419494473216</c:v>
                </c:pt>
                <c:pt idx="78">
                  <c:v>11.23221176107424</c:v>
                </c:pt>
                <c:pt idx="79">
                  <c:v>11.234559333795975</c:v>
                </c:pt>
                <c:pt idx="80">
                  <c:v>11.236118598382749</c:v>
                </c:pt>
                <c:pt idx="81">
                  <c:v>11.238443196677178</c:v>
                </c:pt>
                <c:pt idx="82">
                  <c:v>11.241376661289083</c:v>
                </c:pt>
                <c:pt idx="83">
                  <c:v>11.244439331185765</c:v>
                </c:pt>
                <c:pt idx="84">
                  <c:v>11.245323520392517</c:v>
                </c:pt>
                <c:pt idx="85">
                  <c:v>11.247455032529659</c:v>
                </c:pt>
                <c:pt idx="86">
                  <c:v>11.248394004282655</c:v>
                </c:pt>
                <c:pt idx="87">
                  <c:v>11.250076382523678</c:v>
                </c:pt>
                <c:pt idx="88">
                  <c:v>11.253127860848338</c:v>
                </c:pt>
                <c:pt idx="89">
                  <c:v>11.257086254190796</c:v>
                </c:pt>
                <c:pt idx="90">
                  <c:v>11.259208523592084</c:v>
                </c:pt>
                <c:pt idx="91">
                  <c:v>11.260968747623755</c:v>
                </c:pt>
                <c:pt idx="92">
                  <c:v>11.264297106402369</c:v>
                </c:pt>
                <c:pt idx="93">
                  <c:v>11.265594172105024</c:v>
                </c:pt>
                <c:pt idx="94">
                  <c:v>11.267697438229499</c:v>
                </c:pt>
                <c:pt idx="95">
                  <c:v>11.269621212121212</c:v>
                </c:pt>
                <c:pt idx="96">
                  <c:v>11.271591855272122</c:v>
                </c:pt>
                <c:pt idx="97">
                  <c:v>11.273332324913024</c:v>
                </c:pt>
                <c:pt idx="98">
                  <c:v>11.276127862162776</c:v>
                </c:pt>
                <c:pt idx="99">
                  <c:v>11.278994261552402</c:v>
                </c:pt>
                <c:pt idx="100">
                  <c:v>11.280271595624292</c:v>
                </c:pt>
                <c:pt idx="101">
                  <c:v>11.280898876404494</c:v>
                </c:pt>
                <c:pt idx="102">
                  <c:v>11.282656214667973</c:v>
                </c:pt>
                <c:pt idx="103">
                  <c:v>11.283884577714156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9F-409A-AFD3-008333A46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845088"/>
        <c:axId val="778843168"/>
      </c:scatterChart>
      <c:valAx>
        <c:axId val="16632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63204608"/>
        <c:crosses val="autoZero"/>
        <c:crossBetween val="midCat"/>
      </c:valAx>
      <c:valAx>
        <c:axId val="16632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63205088"/>
        <c:crosses val="autoZero"/>
        <c:crossBetween val="midCat"/>
      </c:valAx>
      <c:valAx>
        <c:axId val="7788431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78845088"/>
        <c:crosses val="max"/>
        <c:crossBetween val="midCat"/>
      </c:valAx>
      <c:valAx>
        <c:axId val="77884508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78843168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Cancer!$X$1</c:f>
              <c:strCache>
                <c:ptCount val="1"/>
                <c:pt idx="0">
                  <c:v>test accuracy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Cancer!$W$2:$W$729</c:f>
              <c:numCache>
                <c:formatCode>General</c:formatCode>
                <c:ptCount val="66"/>
                <c:pt idx="0">
                  <c:v>17427</c:v>
                </c:pt>
                <c:pt idx="1">
                  <c:v>18959</c:v>
                </c:pt>
                <c:pt idx="2">
                  <c:v>20555</c:v>
                </c:pt>
                <c:pt idx="3">
                  <c:v>22215</c:v>
                </c:pt>
                <c:pt idx="4">
                  <c:v>23939</c:v>
                </c:pt>
                <c:pt idx="5">
                  <c:v>25274</c:v>
                </c:pt>
                <c:pt idx="6">
                  <c:v>27110</c:v>
                </c:pt>
                <c:pt idx="7">
                  <c:v>28529</c:v>
                </c:pt>
                <c:pt idx="8">
                  <c:v>29984</c:v>
                </c:pt>
                <c:pt idx="9">
                  <c:v>31980</c:v>
                </c:pt>
                <c:pt idx="10">
                  <c:v>33519</c:v>
                </c:pt>
                <c:pt idx="11">
                  <c:v>35094</c:v>
                </c:pt>
                <c:pt idx="12">
                  <c:v>36705</c:v>
                </c:pt>
                <c:pt idx="13">
                  <c:v>38352</c:v>
                </c:pt>
                <c:pt idx="14">
                  <c:v>40035</c:v>
                </c:pt>
                <c:pt idx="15">
                  <c:v>41177</c:v>
                </c:pt>
                <c:pt idx="16">
                  <c:v>42920</c:v>
                </c:pt>
                <c:pt idx="17">
                  <c:v>44699</c:v>
                </c:pt>
                <c:pt idx="18">
                  <c:v>45905</c:v>
                </c:pt>
                <c:pt idx="19">
                  <c:v>46514</c:v>
                </c:pt>
                <c:pt idx="20">
                  <c:v>47744</c:v>
                </c:pt>
                <c:pt idx="21">
                  <c:v>48990</c:v>
                </c:pt>
                <c:pt idx="22">
                  <c:v>49619</c:v>
                </c:pt>
                <c:pt idx="23">
                  <c:v>50889</c:v>
                </c:pt>
                <c:pt idx="24">
                  <c:v>52175</c:v>
                </c:pt>
                <c:pt idx="25">
                  <c:v>52824</c:v>
                </c:pt>
                <c:pt idx="26">
                  <c:v>54134</c:v>
                </c:pt>
                <c:pt idx="27">
                  <c:v>55460</c:v>
                </c:pt>
                <c:pt idx="28">
                  <c:v>56129</c:v>
                </c:pt>
                <c:pt idx="29">
                  <c:v>56802</c:v>
                </c:pt>
                <c:pt idx="30">
                  <c:v>57479</c:v>
                </c:pt>
                <c:pt idx="31">
                  <c:v>58160</c:v>
                </c:pt>
                <c:pt idx="32">
                  <c:v>58845</c:v>
                </c:pt>
                <c:pt idx="33">
                  <c:v>59534</c:v>
                </c:pt>
                <c:pt idx="34">
                  <c:v>60227</c:v>
                </c:pt>
                <c:pt idx="35">
                  <c:v>60924</c:v>
                </c:pt>
                <c:pt idx="36">
                  <c:v>62330</c:v>
                </c:pt>
                <c:pt idx="37">
                  <c:v>63039</c:v>
                </c:pt>
                <c:pt idx="38">
                  <c:v>63752</c:v>
                </c:pt>
                <c:pt idx="39">
                  <c:v>64469</c:v>
                </c:pt>
                <c:pt idx="40">
                  <c:v>65190</c:v>
                </c:pt>
                <c:pt idx="41">
                  <c:v>65915</c:v>
                </c:pt>
                <c:pt idx="42">
                  <c:v>66644</c:v>
                </c:pt>
                <c:pt idx="43">
                  <c:v>67377</c:v>
                </c:pt>
                <c:pt idx="44">
                  <c:v>68114</c:v>
                </c:pt>
                <c:pt idx="45">
                  <c:v>68855</c:v>
                </c:pt>
                <c:pt idx="46">
                  <c:v>69600</c:v>
                </c:pt>
                <c:pt idx="47">
                  <c:v>70349</c:v>
                </c:pt>
                <c:pt idx="48">
                  <c:v>71102</c:v>
                </c:pt>
                <c:pt idx="49">
                  <c:v>71859</c:v>
                </c:pt>
                <c:pt idx="50">
                  <c:v>72620</c:v>
                </c:pt>
                <c:pt idx="51">
                  <c:v>73385</c:v>
                </c:pt>
                <c:pt idx="52">
                  <c:v>74154</c:v>
                </c:pt>
                <c:pt idx="53">
                  <c:v>74927</c:v>
                </c:pt>
                <c:pt idx="54">
                  <c:v>75704</c:v>
                </c:pt>
                <c:pt idx="55">
                  <c:v>76485</c:v>
                </c:pt>
                <c:pt idx="56">
                  <c:v>77270</c:v>
                </c:pt>
                <c:pt idx="57">
                  <c:v>78059</c:v>
                </c:pt>
                <c:pt idx="58">
                  <c:v>78852</c:v>
                </c:pt>
                <c:pt idx="59">
                  <c:v>79649</c:v>
                </c:pt>
                <c:pt idx="60">
                  <c:v>80450</c:v>
                </c:pt>
                <c:pt idx="61">
                  <c:v>82064</c:v>
                </c:pt>
                <c:pt idx="62">
                  <c:v>83694</c:v>
                </c:pt>
                <c:pt idx="63">
                  <c:v>84515</c:v>
                </c:pt>
                <c:pt idx="64">
                  <c:v>86169</c:v>
                </c:pt>
                <c:pt idx="65">
                  <c:v>87839</c:v>
                </c:pt>
              </c:numCache>
            </c:numRef>
          </c:xVal>
          <c:yVal>
            <c:numRef>
              <c:f>Cancer!$X$2:$X$729</c:f>
              <c:numCache>
                <c:formatCode>General</c:formatCode>
                <c:ptCount val="66"/>
                <c:pt idx="0">
                  <c:v>0.9533799533799534</c:v>
                </c:pt>
                <c:pt idx="1">
                  <c:v>0.96037296037296038</c:v>
                </c:pt>
                <c:pt idx="2">
                  <c:v>0.96853146853146854</c:v>
                </c:pt>
                <c:pt idx="3">
                  <c:v>0.97086247086247079</c:v>
                </c:pt>
                <c:pt idx="4">
                  <c:v>0.91608391608391604</c:v>
                </c:pt>
                <c:pt idx="5">
                  <c:v>0.965034965034965</c:v>
                </c:pt>
                <c:pt idx="6">
                  <c:v>0.96969696969696961</c:v>
                </c:pt>
                <c:pt idx="7">
                  <c:v>0.96736596736596736</c:v>
                </c:pt>
                <c:pt idx="8">
                  <c:v>0.96853146853146854</c:v>
                </c:pt>
                <c:pt idx="9">
                  <c:v>0.965034965034965</c:v>
                </c:pt>
                <c:pt idx="10">
                  <c:v>0.97086247086247079</c:v>
                </c:pt>
                <c:pt idx="11">
                  <c:v>0.97202797202797198</c:v>
                </c:pt>
                <c:pt idx="12">
                  <c:v>0.96853146853146854</c:v>
                </c:pt>
                <c:pt idx="13">
                  <c:v>0.965034965034965</c:v>
                </c:pt>
                <c:pt idx="14">
                  <c:v>0.97086247086247091</c:v>
                </c:pt>
                <c:pt idx="15">
                  <c:v>0.97202797202797198</c:v>
                </c:pt>
                <c:pt idx="16">
                  <c:v>0.96736596736596736</c:v>
                </c:pt>
                <c:pt idx="17">
                  <c:v>0.96736596736596736</c:v>
                </c:pt>
                <c:pt idx="18">
                  <c:v>0.96853146853146854</c:v>
                </c:pt>
                <c:pt idx="19">
                  <c:v>0.97319347319347316</c:v>
                </c:pt>
                <c:pt idx="20">
                  <c:v>0.96853146853146854</c:v>
                </c:pt>
                <c:pt idx="21">
                  <c:v>0.96948506039415128</c:v>
                </c:pt>
                <c:pt idx="22">
                  <c:v>0.94405594405594406</c:v>
                </c:pt>
                <c:pt idx="23">
                  <c:v>0.96439923712650977</c:v>
                </c:pt>
                <c:pt idx="24">
                  <c:v>0.9599491417673236</c:v>
                </c:pt>
                <c:pt idx="25">
                  <c:v>0.94522144522144524</c:v>
                </c:pt>
                <c:pt idx="26">
                  <c:v>0.96058486967577872</c:v>
                </c:pt>
                <c:pt idx="27">
                  <c:v>0.96328671328671323</c:v>
                </c:pt>
                <c:pt idx="28">
                  <c:v>0.95571095571095566</c:v>
                </c:pt>
                <c:pt idx="29">
                  <c:v>0.95629370629370625</c:v>
                </c:pt>
                <c:pt idx="30">
                  <c:v>0.95571095571095566</c:v>
                </c:pt>
                <c:pt idx="31">
                  <c:v>0.9576048951048951</c:v>
                </c:pt>
                <c:pt idx="32">
                  <c:v>0.95687645687645684</c:v>
                </c:pt>
                <c:pt idx="33">
                  <c:v>0.95867768595041325</c:v>
                </c:pt>
                <c:pt idx="34">
                  <c:v>0.95168467895740627</c:v>
                </c:pt>
                <c:pt idx="35">
                  <c:v>0.95454545454545459</c:v>
                </c:pt>
                <c:pt idx="36">
                  <c:v>0.95970695970695963</c:v>
                </c:pt>
                <c:pt idx="37">
                  <c:v>0.96122059758423395</c:v>
                </c:pt>
                <c:pt idx="38">
                  <c:v>0.96022727272727271</c:v>
                </c:pt>
                <c:pt idx="39">
                  <c:v>0.9592074592074592</c:v>
                </c:pt>
                <c:pt idx="40">
                  <c:v>0.95371295371295373</c:v>
                </c:pt>
                <c:pt idx="41">
                  <c:v>0.96969696969696961</c:v>
                </c:pt>
                <c:pt idx="42">
                  <c:v>0.94787031150667511</c:v>
                </c:pt>
                <c:pt idx="43">
                  <c:v>0.94787031150667511</c:v>
                </c:pt>
                <c:pt idx="44">
                  <c:v>0.97086247086247079</c:v>
                </c:pt>
                <c:pt idx="45">
                  <c:v>0.95716783216783219</c:v>
                </c:pt>
                <c:pt idx="46">
                  <c:v>0.95359186268277174</c:v>
                </c:pt>
                <c:pt idx="47">
                  <c:v>0.95454545454545459</c:v>
                </c:pt>
                <c:pt idx="48">
                  <c:v>0.94971694971694975</c:v>
                </c:pt>
                <c:pt idx="49">
                  <c:v>0.95104895104895104</c:v>
                </c:pt>
                <c:pt idx="50">
                  <c:v>0.95740623013350279</c:v>
                </c:pt>
                <c:pt idx="51">
                  <c:v>0.96270396270396263</c:v>
                </c:pt>
                <c:pt idx="52">
                  <c:v>0.95104895104895104</c:v>
                </c:pt>
                <c:pt idx="53">
                  <c:v>0.9401223776223776</c:v>
                </c:pt>
                <c:pt idx="54">
                  <c:v>0.94988344988344986</c:v>
                </c:pt>
                <c:pt idx="55">
                  <c:v>0.94871794871794868</c:v>
                </c:pt>
                <c:pt idx="56">
                  <c:v>0.95168467895740627</c:v>
                </c:pt>
                <c:pt idx="57">
                  <c:v>0.95454545454545459</c:v>
                </c:pt>
                <c:pt idx="58">
                  <c:v>0.94977749523204069</c:v>
                </c:pt>
                <c:pt idx="59">
                  <c:v>0.95221445221445222</c:v>
                </c:pt>
                <c:pt idx="60">
                  <c:v>0.95221445221445222</c:v>
                </c:pt>
                <c:pt idx="61">
                  <c:v>0.95804195804195802</c:v>
                </c:pt>
                <c:pt idx="62">
                  <c:v>0.9599491417673236</c:v>
                </c:pt>
                <c:pt idx="63">
                  <c:v>0.9533799533799534</c:v>
                </c:pt>
                <c:pt idx="64">
                  <c:v>0.94988344988344986</c:v>
                </c:pt>
                <c:pt idx="65">
                  <c:v>0.95454545454545459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E-46F8-9290-9C4BC16E10B8}"/>
            </c:ext>
          </c:extLst>
        </c:ser>
        <c:ser>
          <c:idx val="1"/>
          <c:order val="1"/>
          <c:tx>
            <c:strRef>
              <c:f>Cancer!$Y$1</c:f>
              <c:strCache>
                <c:ptCount val="1"/>
                <c:pt idx="0">
                  <c:v>val accuracy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Cancer!$W$2:$W$729</c:f>
              <c:numCache>
                <c:formatCode>General</c:formatCode>
                <c:ptCount val="66"/>
                <c:pt idx="0">
                  <c:v>17427</c:v>
                </c:pt>
                <c:pt idx="1">
                  <c:v>18959</c:v>
                </c:pt>
                <c:pt idx="2">
                  <c:v>20555</c:v>
                </c:pt>
                <c:pt idx="3">
                  <c:v>22215</c:v>
                </c:pt>
                <c:pt idx="4">
                  <c:v>23939</c:v>
                </c:pt>
                <c:pt idx="5">
                  <c:v>25274</c:v>
                </c:pt>
                <c:pt idx="6">
                  <c:v>27110</c:v>
                </c:pt>
                <c:pt idx="7">
                  <c:v>28529</c:v>
                </c:pt>
                <c:pt idx="8">
                  <c:v>29984</c:v>
                </c:pt>
                <c:pt idx="9">
                  <c:v>31980</c:v>
                </c:pt>
                <c:pt idx="10">
                  <c:v>33519</c:v>
                </c:pt>
                <c:pt idx="11">
                  <c:v>35094</c:v>
                </c:pt>
                <c:pt idx="12">
                  <c:v>36705</c:v>
                </c:pt>
                <c:pt idx="13">
                  <c:v>38352</c:v>
                </c:pt>
                <c:pt idx="14">
                  <c:v>40035</c:v>
                </c:pt>
                <c:pt idx="15">
                  <c:v>41177</c:v>
                </c:pt>
                <c:pt idx="16">
                  <c:v>42920</c:v>
                </c:pt>
                <c:pt idx="17">
                  <c:v>44699</c:v>
                </c:pt>
                <c:pt idx="18">
                  <c:v>45905</c:v>
                </c:pt>
                <c:pt idx="19">
                  <c:v>46514</c:v>
                </c:pt>
                <c:pt idx="20">
                  <c:v>47744</c:v>
                </c:pt>
                <c:pt idx="21">
                  <c:v>48990</c:v>
                </c:pt>
                <c:pt idx="22">
                  <c:v>49619</c:v>
                </c:pt>
                <c:pt idx="23">
                  <c:v>50889</c:v>
                </c:pt>
                <c:pt idx="24">
                  <c:v>52175</c:v>
                </c:pt>
                <c:pt idx="25">
                  <c:v>52824</c:v>
                </c:pt>
                <c:pt idx="26">
                  <c:v>54134</c:v>
                </c:pt>
                <c:pt idx="27">
                  <c:v>55460</c:v>
                </c:pt>
                <c:pt idx="28">
                  <c:v>56129</c:v>
                </c:pt>
                <c:pt idx="29">
                  <c:v>56802</c:v>
                </c:pt>
                <c:pt idx="30">
                  <c:v>57479</c:v>
                </c:pt>
                <c:pt idx="31">
                  <c:v>58160</c:v>
                </c:pt>
                <c:pt idx="32">
                  <c:v>58845</c:v>
                </c:pt>
                <c:pt idx="33">
                  <c:v>59534</c:v>
                </c:pt>
                <c:pt idx="34">
                  <c:v>60227</c:v>
                </c:pt>
                <c:pt idx="35">
                  <c:v>60924</c:v>
                </c:pt>
                <c:pt idx="36">
                  <c:v>62330</c:v>
                </c:pt>
                <c:pt idx="37">
                  <c:v>63039</c:v>
                </c:pt>
                <c:pt idx="38">
                  <c:v>63752</c:v>
                </c:pt>
                <c:pt idx="39">
                  <c:v>64469</c:v>
                </c:pt>
                <c:pt idx="40">
                  <c:v>65190</c:v>
                </c:pt>
                <c:pt idx="41">
                  <c:v>65915</c:v>
                </c:pt>
                <c:pt idx="42">
                  <c:v>66644</c:v>
                </c:pt>
                <c:pt idx="43">
                  <c:v>67377</c:v>
                </c:pt>
                <c:pt idx="44">
                  <c:v>68114</c:v>
                </c:pt>
                <c:pt idx="45">
                  <c:v>68855</c:v>
                </c:pt>
                <c:pt idx="46">
                  <c:v>69600</c:v>
                </c:pt>
                <c:pt idx="47">
                  <c:v>70349</c:v>
                </c:pt>
                <c:pt idx="48">
                  <c:v>71102</c:v>
                </c:pt>
                <c:pt idx="49">
                  <c:v>71859</c:v>
                </c:pt>
                <c:pt idx="50">
                  <c:v>72620</c:v>
                </c:pt>
                <c:pt idx="51">
                  <c:v>73385</c:v>
                </c:pt>
                <c:pt idx="52">
                  <c:v>74154</c:v>
                </c:pt>
                <c:pt idx="53">
                  <c:v>74927</c:v>
                </c:pt>
                <c:pt idx="54">
                  <c:v>75704</c:v>
                </c:pt>
                <c:pt idx="55">
                  <c:v>76485</c:v>
                </c:pt>
                <c:pt idx="56">
                  <c:v>77270</c:v>
                </c:pt>
                <c:pt idx="57">
                  <c:v>78059</c:v>
                </c:pt>
                <c:pt idx="58">
                  <c:v>78852</c:v>
                </c:pt>
                <c:pt idx="59">
                  <c:v>79649</c:v>
                </c:pt>
                <c:pt idx="60">
                  <c:v>80450</c:v>
                </c:pt>
                <c:pt idx="61">
                  <c:v>82064</c:v>
                </c:pt>
                <c:pt idx="62">
                  <c:v>83694</c:v>
                </c:pt>
                <c:pt idx="63">
                  <c:v>84515</c:v>
                </c:pt>
                <c:pt idx="64">
                  <c:v>86169</c:v>
                </c:pt>
                <c:pt idx="65">
                  <c:v>87839</c:v>
                </c:pt>
              </c:numCache>
            </c:numRef>
          </c:xVal>
          <c:yVal>
            <c:numRef>
              <c:f>Cancer!$Y$2:$Y$729</c:f>
              <c:numCache>
                <c:formatCode>General</c:formatCode>
                <c:ptCount val="66"/>
                <c:pt idx="0">
                  <c:v>0.9511627793312073</c:v>
                </c:pt>
                <c:pt idx="1">
                  <c:v>0.96279067993164058</c:v>
                </c:pt>
                <c:pt idx="2">
                  <c:v>0.9604651093482971</c:v>
                </c:pt>
                <c:pt idx="3">
                  <c:v>0.95813951492309568</c:v>
                </c:pt>
                <c:pt idx="4">
                  <c:v>0.95232557058334355</c:v>
                </c:pt>
                <c:pt idx="5">
                  <c:v>0.96511626243591309</c:v>
                </c:pt>
                <c:pt idx="6">
                  <c:v>0.965116274356842</c:v>
                </c:pt>
                <c:pt idx="7">
                  <c:v>0.96279067993164058</c:v>
                </c:pt>
                <c:pt idx="8">
                  <c:v>0.96744184494018559</c:v>
                </c:pt>
                <c:pt idx="9">
                  <c:v>0.96511626243591309</c:v>
                </c:pt>
                <c:pt idx="10">
                  <c:v>0.96511626243591309</c:v>
                </c:pt>
                <c:pt idx="11">
                  <c:v>0.95348834991455078</c:v>
                </c:pt>
                <c:pt idx="12">
                  <c:v>0.95581393241882329</c:v>
                </c:pt>
                <c:pt idx="13">
                  <c:v>0.95581393241882329</c:v>
                </c:pt>
                <c:pt idx="14">
                  <c:v>0.96279067993164058</c:v>
                </c:pt>
                <c:pt idx="15">
                  <c:v>0.95581393241882329</c:v>
                </c:pt>
                <c:pt idx="16">
                  <c:v>0.96744184494018559</c:v>
                </c:pt>
                <c:pt idx="17">
                  <c:v>0.96511626243591309</c:v>
                </c:pt>
                <c:pt idx="18">
                  <c:v>0.97674417495727539</c:v>
                </c:pt>
                <c:pt idx="19">
                  <c:v>0.9790697574615479</c:v>
                </c:pt>
                <c:pt idx="20">
                  <c:v>0.94883719682693479</c:v>
                </c:pt>
                <c:pt idx="21">
                  <c:v>0.96162788867950444</c:v>
                </c:pt>
                <c:pt idx="22">
                  <c:v>0.96511626243591309</c:v>
                </c:pt>
                <c:pt idx="23">
                  <c:v>0.95697672367095943</c:v>
                </c:pt>
                <c:pt idx="24">
                  <c:v>0.96046509742736819</c:v>
                </c:pt>
                <c:pt idx="25">
                  <c:v>0.96511626243591309</c:v>
                </c:pt>
                <c:pt idx="26">
                  <c:v>0.96162790060043335</c:v>
                </c:pt>
                <c:pt idx="27">
                  <c:v>0.96124029556910195</c:v>
                </c:pt>
                <c:pt idx="28">
                  <c:v>0.9511627793312073</c:v>
                </c:pt>
                <c:pt idx="29">
                  <c:v>0.95426354805628455</c:v>
                </c:pt>
                <c:pt idx="30">
                  <c:v>0.95813951492309568</c:v>
                </c:pt>
                <c:pt idx="31">
                  <c:v>0.96201548576354978</c:v>
                </c:pt>
                <c:pt idx="32">
                  <c:v>0.95116276741027828</c:v>
                </c:pt>
                <c:pt idx="33">
                  <c:v>0.95465114712715149</c:v>
                </c:pt>
                <c:pt idx="34">
                  <c:v>0.95581393837928774</c:v>
                </c:pt>
                <c:pt idx="35">
                  <c:v>0.9465116143226624</c:v>
                </c:pt>
                <c:pt idx="36">
                  <c:v>0.9598837018013</c:v>
                </c:pt>
                <c:pt idx="37">
                  <c:v>0.94767441153526311</c:v>
                </c:pt>
                <c:pt idx="38">
                  <c:v>0.96046509742736819</c:v>
                </c:pt>
                <c:pt idx="39">
                  <c:v>0.9511627793312073</c:v>
                </c:pt>
                <c:pt idx="40">
                  <c:v>0.95639533400535581</c:v>
                </c:pt>
                <c:pt idx="41">
                  <c:v>0.96976742744445799</c:v>
                </c:pt>
                <c:pt idx="42">
                  <c:v>0.96046509742736819</c:v>
                </c:pt>
                <c:pt idx="43">
                  <c:v>0.95465114116668703</c:v>
                </c:pt>
                <c:pt idx="44">
                  <c:v>0.97209300994873049</c:v>
                </c:pt>
                <c:pt idx="45">
                  <c:v>0.95891471703847253</c:v>
                </c:pt>
                <c:pt idx="46">
                  <c:v>0.95581393837928774</c:v>
                </c:pt>
                <c:pt idx="47">
                  <c:v>0.96744184494018559</c:v>
                </c:pt>
                <c:pt idx="48">
                  <c:v>0.95465114116668703</c:v>
                </c:pt>
                <c:pt idx="49">
                  <c:v>0.96744184494018559</c:v>
                </c:pt>
                <c:pt idx="50">
                  <c:v>0.96395347118377683</c:v>
                </c:pt>
                <c:pt idx="51">
                  <c:v>0.96511626243591309</c:v>
                </c:pt>
                <c:pt idx="52">
                  <c:v>0.9790697574615479</c:v>
                </c:pt>
                <c:pt idx="53">
                  <c:v>0.96201548576354978</c:v>
                </c:pt>
                <c:pt idx="54">
                  <c:v>0.97441859245300289</c:v>
                </c:pt>
                <c:pt idx="55">
                  <c:v>0.96511626243591309</c:v>
                </c:pt>
                <c:pt idx="56">
                  <c:v>0.96279067993164058</c:v>
                </c:pt>
                <c:pt idx="57">
                  <c:v>0.96744184494018559</c:v>
                </c:pt>
                <c:pt idx="58">
                  <c:v>0.95813951492309568</c:v>
                </c:pt>
                <c:pt idx="59">
                  <c:v>0.96976742744445799</c:v>
                </c:pt>
                <c:pt idx="60">
                  <c:v>0.9511627793312073</c:v>
                </c:pt>
                <c:pt idx="61">
                  <c:v>0.9558139443397522</c:v>
                </c:pt>
                <c:pt idx="62">
                  <c:v>0.95348835587501524</c:v>
                </c:pt>
                <c:pt idx="63">
                  <c:v>0.9604651093482971</c:v>
                </c:pt>
                <c:pt idx="64">
                  <c:v>0.9558139443397522</c:v>
                </c:pt>
                <c:pt idx="65">
                  <c:v>0.96279067993164058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CE-46F8-9290-9C4BC16E1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159359"/>
        <c:axId val="2025153119"/>
      </c:scatterChart>
      <c:scatterChart>
        <c:scatterStyle val="smoothMarker"/>
        <c:varyColors val="0"/>
        <c:ser>
          <c:idx val="2"/>
          <c:order val="2"/>
          <c:tx>
            <c:strRef>
              <c:f>Cancer!$Z$1</c:f>
              <c:strCache>
                <c:ptCount val="1"/>
                <c:pt idx="0">
                  <c:v>steps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Cancer!$W$2:$W$729</c:f>
              <c:numCache>
                <c:formatCode>General</c:formatCode>
                <c:ptCount val="66"/>
                <c:pt idx="0">
                  <c:v>17427</c:v>
                </c:pt>
                <c:pt idx="1">
                  <c:v>18959</c:v>
                </c:pt>
                <c:pt idx="2">
                  <c:v>20555</c:v>
                </c:pt>
                <c:pt idx="3">
                  <c:v>22215</c:v>
                </c:pt>
                <c:pt idx="4">
                  <c:v>23939</c:v>
                </c:pt>
                <c:pt idx="5">
                  <c:v>25274</c:v>
                </c:pt>
                <c:pt idx="6">
                  <c:v>27110</c:v>
                </c:pt>
                <c:pt idx="7">
                  <c:v>28529</c:v>
                </c:pt>
                <c:pt idx="8">
                  <c:v>29984</c:v>
                </c:pt>
                <c:pt idx="9">
                  <c:v>31980</c:v>
                </c:pt>
                <c:pt idx="10">
                  <c:v>33519</c:v>
                </c:pt>
                <c:pt idx="11">
                  <c:v>35094</c:v>
                </c:pt>
                <c:pt idx="12">
                  <c:v>36705</c:v>
                </c:pt>
                <c:pt idx="13">
                  <c:v>38352</c:v>
                </c:pt>
                <c:pt idx="14">
                  <c:v>40035</c:v>
                </c:pt>
                <c:pt idx="15">
                  <c:v>41177</c:v>
                </c:pt>
                <c:pt idx="16">
                  <c:v>42920</c:v>
                </c:pt>
                <c:pt idx="17">
                  <c:v>44699</c:v>
                </c:pt>
                <c:pt idx="18">
                  <c:v>45905</c:v>
                </c:pt>
                <c:pt idx="19">
                  <c:v>46514</c:v>
                </c:pt>
                <c:pt idx="20">
                  <c:v>47744</c:v>
                </c:pt>
                <c:pt idx="21">
                  <c:v>48990</c:v>
                </c:pt>
                <c:pt idx="22">
                  <c:v>49619</c:v>
                </c:pt>
                <c:pt idx="23">
                  <c:v>50889</c:v>
                </c:pt>
                <c:pt idx="24">
                  <c:v>52175</c:v>
                </c:pt>
                <c:pt idx="25">
                  <c:v>52824</c:v>
                </c:pt>
                <c:pt idx="26">
                  <c:v>54134</c:v>
                </c:pt>
                <c:pt idx="27">
                  <c:v>55460</c:v>
                </c:pt>
                <c:pt idx="28">
                  <c:v>56129</c:v>
                </c:pt>
                <c:pt idx="29">
                  <c:v>56802</c:v>
                </c:pt>
                <c:pt idx="30">
                  <c:v>57479</c:v>
                </c:pt>
                <c:pt idx="31">
                  <c:v>58160</c:v>
                </c:pt>
                <c:pt idx="32">
                  <c:v>58845</c:v>
                </c:pt>
                <c:pt idx="33">
                  <c:v>59534</c:v>
                </c:pt>
                <c:pt idx="34">
                  <c:v>60227</c:v>
                </c:pt>
                <c:pt idx="35">
                  <c:v>60924</c:v>
                </c:pt>
                <c:pt idx="36">
                  <c:v>62330</c:v>
                </c:pt>
                <c:pt idx="37">
                  <c:v>63039</c:v>
                </c:pt>
                <c:pt idx="38">
                  <c:v>63752</c:v>
                </c:pt>
                <c:pt idx="39">
                  <c:v>64469</c:v>
                </c:pt>
                <c:pt idx="40">
                  <c:v>65190</c:v>
                </c:pt>
                <c:pt idx="41">
                  <c:v>65915</c:v>
                </c:pt>
                <c:pt idx="42">
                  <c:v>66644</c:v>
                </c:pt>
                <c:pt idx="43">
                  <c:v>67377</c:v>
                </c:pt>
                <c:pt idx="44">
                  <c:v>68114</c:v>
                </c:pt>
                <c:pt idx="45">
                  <c:v>68855</c:v>
                </c:pt>
                <c:pt idx="46">
                  <c:v>69600</c:v>
                </c:pt>
                <c:pt idx="47">
                  <c:v>70349</c:v>
                </c:pt>
                <c:pt idx="48">
                  <c:v>71102</c:v>
                </c:pt>
                <c:pt idx="49">
                  <c:v>71859</c:v>
                </c:pt>
                <c:pt idx="50">
                  <c:v>72620</c:v>
                </c:pt>
                <c:pt idx="51">
                  <c:v>73385</c:v>
                </c:pt>
                <c:pt idx="52">
                  <c:v>74154</c:v>
                </c:pt>
                <c:pt idx="53">
                  <c:v>74927</c:v>
                </c:pt>
                <c:pt idx="54">
                  <c:v>75704</c:v>
                </c:pt>
                <c:pt idx="55">
                  <c:v>76485</c:v>
                </c:pt>
                <c:pt idx="56">
                  <c:v>77270</c:v>
                </c:pt>
                <c:pt idx="57">
                  <c:v>78059</c:v>
                </c:pt>
                <c:pt idx="58">
                  <c:v>78852</c:v>
                </c:pt>
                <c:pt idx="59">
                  <c:v>79649</c:v>
                </c:pt>
                <c:pt idx="60">
                  <c:v>80450</c:v>
                </c:pt>
                <c:pt idx="61">
                  <c:v>82064</c:v>
                </c:pt>
                <c:pt idx="62">
                  <c:v>83694</c:v>
                </c:pt>
                <c:pt idx="63">
                  <c:v>84515</c:v>
                </c:pt>
                <c:pt idx="64">
                  <c:v>86169</c:v>
                </c:pt>
                <c:pt idx="65">
                  <c:v>87839</c:v>
                </c:pt>
              </c:numCache>
            </c:numRef>
          </c:xVal>
          <c:yVal>
            <c:numRef>
              <c:f>Cancer!$Z$2:$Z$729</c:f>
              <c:numCache>
                <c:formatCode>General</c:formatCode>
                <c:ptCount val="66"/>
                <c:pt idx="0">
                  <c:v>11.272181513198552</c:v>
                </c:pt>
                <c:pt idx="1">
                  <c:v>11.270625606635489</c:v>
                </c:pt>
                <c:pt idx="2">
                  <c:v>11.271276126642562</c:v>
                </c:pt>
                <c:pt idx="3">
                  <c:v>11.272102247686206</c:v>
                </c:pt>
                <c:pt idx="4">
                  <c:v>11.320686456400741</c:v>
                </c:pt>
                <c:pt idx="5">
                  <c:v>11.319024661598368</c:v>
                </c:pt>
                <c:pt idx="6">
                  <c:v>11.31986656782802</c:v>
                </c:pt>
                <c:pt idx="7">
                  <c:v>11.320985367660677</c:v>
                </c:pt>
                <c:pt idx="8">
                  <c:v>11.320807108478341</c:v>
                </c:pt>
                <c:pt idx="9">
                  <c:v>11.3209065679926</c:v>
                </c:pt>
                <c:pt idx="10">
                  <c:v>11.321930473372781</c:v>
                </c:pt>
                <c:pt idx="11">
                  <c:v>11.320181112548513</c:v>
                </c:pt>
                <c:pt idx="12">
                  <c:v>11.319080162541558</c:v>
                </c:pt>
                <c:pt idx="13">
                  <c:v>11.319272660143991</c:v>
                </c:pt>
                <c:pt idx="14">
                  <c:v>11.32029520295203</c:v>
                </c:pt>
                <c:pt idx="15">
                  <c:v>11.320763415083903</c:v>
                </c:pt>
                <c:pt idx="16">
                  <c:v>11.32030962034648</c:v>
                </c:pt>
                <c:pt idx="17">
                  <c:v>11.318843249217167</c:v>
                </c:pt>
                <c:pt idx="18">
                  <c:v>11.31931148748159</c:v>
                </c:pt>
                <c:pt idx="19">
                  <c:v>11.319595216191352</c:v>
                </c:pt>
                <c:pt idx="20">
                  <c:v>11.319970577418168</c:v>
                </c:pt>
                <c:pt idx="21">
                  <c:v>11.31808579039221</c:v>
                </c:pt>
                <c:pt idx="22">
                  <c:v>11.317359772330855</c:v>
                </c:pt>
                <c:pt idx="23">
                  <c:v>11.318323550990462</c:v>
                </c:pt>
                <c:pt idx="24">
                  <c:v>11.317086578103527</c:v>
                </c:pt>
                <c:pt idx="25">
                  <c:v>11.315630436773189</c:v>
                </c:pt>
                <c:pt idx="26">
                  <c:v>11.313849249908525</c:v>
                </c:pt>
                <c:pt idx="27">
                  <c:v>11.313116550968214</c:v>
                </c:pt>
                <c:pt idx="28">
                  <c:v>11.313949242285924</c:v>
                </c:pt>
                <c:pt idx="29">
                  <c:v>11.310209662716499</c:v>
                </c:pt>
                <c:pt idx="30">
                  <c:v>11.308673469387756</c:v>
                </c:pt>
                <c:pt idx="31">
                  <c:v>11.308133187772926</c:v>
                </c:pt>
                <c:pt idx="32">
                  <c:v>11.307237679578105</c:v>
                </c:pt>
                <c:pt idx="33">
                  <c:v>11.307294032155509</c:v>
                </c:pt>
                <c:pt idx="34">
                  <c:v>11.306079854809438</c:v>
                </c:pt>
                <c:pt idx="35">
                  <c:v>11.306003990567749</c:v>
                </c:pt>
                <c:pt idx="36">
                  <c:v>11.301801394043633</c:v>
                </c:pt>
                <c:pt idx="37">
                  <c:v>11.301862904684391</c:v>
                </c:pt>
                <c:pt idx="38">
                  <c:v>11.300072241285894</c:v>
                </c:pt>
                <c:pt idx="39">
                  <c:v>11.299368231046932</c:v>
                </c:pt>
                <c:pt idx="40">
                  <c:v>11.296459778398342</c:v>
                </c:pt>
                <c:pt idx="41">
                  <c:v>11.295579364364816</c:v>
                </c:pt>
                <c:pt idx="42">
                  <c:v>11.294747256700845</c:v>
                </c:pt>
                <c:pt idx="43">
                  <c:v>11.292928385299668</c:v>
                </c:pt>
                <c:pt idx="44">
                  <c:v>11.292501122586438</c:v>
                </c:pt>
                <c:pt idx="45">
                  <c:v>11.289839476280154</c:v>
                </c:pt>
                <c:pt idx="46">
                  <c:v>11.28874753628382</c:v>
                </c:pt>
                <c:pt idx="47">
                  <c:v>11.287965616045845</c:v>
                </c:pt>
                <c:pt idx="48">
                  <c:v>11.285369559388686</c:v>
                </c:pt>
                <c:pt idx="49">
                  <c:v>11.284502009825815</c:v>
                </c:pt>
                <c:pt idx="50">
                  <c:v>11.283419596644654</c:v>
                </c:pt>
                <c:pt idx="51">
                  <c:v>11.283446307527649</c:v>
                </c:pt>
                <c:pt idx="52">
                  <c:v>11.283294704938491</c:v>
                </c:pt>
                <c:pt idx="53">
                  <c:v>11.280754851344135</c:v>
                </c:pt>
                <c:pt idx="54">
                  <c:v>11.279982206405695</c:v>
                </c:pt>
                <c:pt idx="55">
                  <c:v>11.279032544904855</c:v>
                </c:pt>
                <c:pt idx="56">
                  <c:v>11.277427378520033</c:v>
                </c:pt>
                <c:pt idx="57">
                  <c:v>11.276302938826245</c:v>
                </c:pt>
                <c:pt idx="58">
                  <c:v>11.275767252084442</c:v>
                </c:pt>
                <c:pt idx="59">
                  <c:v>11.275354609929078</c:v>
                </c:pt>
                <c:pt idx="60">
                  <c:v>11.274233563707249</c:v>
                </c:pt>
                <c:pt idx="61">
                  <c:v>11.273290825363089</c:v>
                </c:pt>
                <c:pt idx="62">
                  <c:v>11.27311333274352</c:v>
                </c:pt>
                <c:pt idx="63">
                  <c:v>11.272614731629675</c:v>
                </c:pt>
                <c:pt idx="64">
                  <c:v>11.272116659301812</c:v>
                </c:pt>
                <c:pt idx="65">
                  <c:v>11.272679091953007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CE-46F8-9290-9C4BC16E1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142559"/>
        <c:axId val="2025156959"/>
      </c:scatterChart>
      <c:valAx>
        <c:axId val="2025159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25153119"/>
        <c:crosses val="autoZero"/>
        <c:crossBetween val="midCat"/>
      </c:valAx>
      <c:valAx>
        <c:axId val="202515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25159359"/>
        <c:crosses val="autoZero"/>
        <c:crossBetween val="midCat"/>
      </c:valAx>
      <c:valAx>
        <c:axId val="202515695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25142559"/>
        <c:crosses val="max"/>
        <c:crossBetween val="midCat"/>
      </c:valAx>
      <c:valAx>
        <c:axId val="20251425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5156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Iris!$X$1</c:f>
              <c:strCache>
                <c:ptCount val="1"/>
                <c:pt idx="0">
                  <c:v>test accuracy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Iris!$W$2:$W$183</c:f>
              <c:numCache>
                <c:formatCode>General</c:formatCode>
                <c:ptCount val="182"/>
                <c:pt idx="0">
                  <c:v>255</c:v>
                </c:pt>
                <c:pt idx="1">
                  <c:v>303</c:v>
                </c:pt>
                <c:pt idx="2">
                  <c:v>303</c:v>
                </c:pt>
                <c:pt idx="3">
                  <c:v>355</c:v>
                </c:pt>
                <c:pt idx="4">
                  <c:v>355</c:v>
                </c:pt>
                <c:pt idx="5">
                  <c:v>355</c:v>
                </c:pt>
                <c:pt idx="6">
                  <c:v>411</c:v>
                </c:pt>
                <c:pt idx="7">
                  <c:v>411</c:v>
                </c:pt>
                <c:pt idx="8">
                  <c:v>411</c:v>
                </c:pt>
                <c:pt idx="9">
                  <c:v>411</c:v>
                </c:pt>
                <c:pt idx="10">
                  <c:v>471</c:v>
                </c:pt>
                <c:pt idx="11">
                  <c:v>471</c:v>
                </c:pt>
                <c:pt idx="12">
                  <c:v>471</c:v>
                </c:pt>
                <c:pt idx="13">
                  <c:v>535</c:v>
                </c:pt>
                <c:pt idx="14">
                  <c:v>535</c:v>
                </c:pt>
                <c:pt idx="15">
                  <c:v>535</c:v>
                </c:pt>
                <c:pt idx="16">
                  <c:v>603</c:v>
                </c:pt>
                <c:pt idx="17">
                  <c:v>603</c:v>
                </c:pt>
                <c:pt idx="18">
                  <c:v>603</c:v>
                </c:pt>
                <c:pt idx="19">
                  <c:v>603</c:v>
                </c:pt>
                <c:pt idx="20">
                  <c:v>603</c:v>
                </c:pt>
                <c:pt idx="21">
                  <c:v>675</c:v>
                </c:pt>
                <c:pt idx="22">
                  <c:v>675</c:v>
                </c:pt>
                <c:pt idx="23">
                  <c:v>675</c:v>
                </c:pt>
                <c:pt idx="24">
                  <c:v>751</c:v>
                </c:pt>
                <c:pt idx="25">
                  <c:v>751</c:v>
                </c:pt>
                <c:pt idx="26">
                  <c:v>751</c:v>
                </c:pt>
                <c:pt idx="27">
                  <c:v>751</c:v>
                </c:pt>
                <c:pt idx="28">
                  <c:v>751</c:v>
                </c:pt>
                <c:pt idx="29">
                  <c:v>831</c:v>
                </c:pt>
                <c:pt idx="30">
                  <c:v>831</c:v>
                </c:pt>
                <c:pt idx="31">
                  <c:v>831</c:v>
                </c:pt>
                <c:pt idx="32">
                  <c:v>831</c:v>
                </c:pt>
                <c:pt idx="33">
                  <c:v>831</c:v>
                </c:pt>
                <c:pt idx="34">
                  <c:v>831</c:v>
                </c:pt>
                <c:pt idx="35">
                  <c:v>915</c:v>
                </c:pt>
                <c:pt idx="36">
                  <c:v>915</c:v>
                </c:pt>
                <c:pt idx="37">
                  <c:v>915</c:v>
                </c:pt>
                <c:pt idx="38">
                  <c:v>915</c:v>
                </c:pt>
                <c:pt idx="39">
                  <c:v>915</c:v>
                </c:pt>
                <c:pt idx="40">
                  <c:v>915</c:v>
                </c:pt>
                <c:pt idx="41">
                  <c:v>915</c:v>
                </c:pt>
                <c:pt idx="42">
                  <c:v>915</c:v>
                </c:pt>
                <c:pt idx="43">
                  <c:v>915</c:v>
                </c:pt>
                <c:pt idx="44">
                  <c:v>1003</c:v>
                </c:pt>
                <c:pt idx="45">
                  <c:v>1003</c:v>
                </c:pt>
                <c:pt idx="46">
                  <c:v>1003</c:v>
                </c:pt>
                <c:pt idx="47">
                  <c:v>1003</c:v>
                </c:pt>
                <c:pt idx="48">
                  <c:v>1003</c:v>
                </c:pt>
                <c:pt idx="49">
                  <c:v>1003</c:v>
                </c:pt>
                <c:pt idx="50">
                  <c:v>1003</c:v>
                </c:pt>
                <c:pt idx="51">
                  <c:v>1003</c:v>
                </c:pt>
                <c:pt idx="52">
                  <c:v>1095</c:v>
                </c:pt>
                <c:pt idx="53">
                  <c:v>1095</c:v>
                </c:pt>
                <c:pt idx="54">
                  <c:v>1095</c:v>
                </c:pt>
                <c:pt idx="55">
                  <c:v>1095</c:v>
                </c:pt>
                <c:pt idx="56">
                  <c:v>1095</c:v>
                </c:pt>
                <c:pt idx="57">
                  <c:v>1095</c:v>
                </c:pt>
                <c:pt idx="58">
                  <c:v>1095</c:v>
                </c:pt>
                <c:pt idx="59">
                  <c:v>1191</c:v>
                </c:pt>
                <c:pt idx="60">
                  <c:v>1191</c:v>
                </c:pt>
                <c:pt idx="61">
                  <c:v>1191</c:v>
                </c:pt>
                <c:pt idx="62">
                  <c:v>1191</c:v>
                </c:pt>
                <c:pt idx="63">
                  <c:v>1191</c:v>
                </c:pt>
                <c:pt idx="64">
                  <c:v>1191</c:v>
                </c:pt>
                <c:pt idx="65">
                  <c:v>1191</c:v>
                </c:pt>
                <c:pt idx="66">
                  <c:v>1191</c:v>
                </c:pt>
                <c:pt idx="67">
                  <c:v>1191</c:v>
                </c:pt>
                <c:pt idx="68">
                  <c:v>1291</c:v>
                </c:pt>
                <c:pt idx="69">
                  <c:v>1291</c:v>
                </c:pt>
                <c:pt idx="70">
                  <c:v>1291</c:v>
                </c:pt>
                <c:pt idx="71">
                  <c:v>1291</c:v>
                </c:pt>
                <c:pt idx="72">
                  <c:v>1291</c:v>
                </c:pt>
                <c:pt idx="73">
                  <c:v>1291</c:v>
                </c:pt>
                <c:pt idx="74">
                  <c:v>1291</c:v>
                </c:pt>
                <c:pt idx="75">
                  <c:v>1395</c:v>
                </c:pt>
                <c:pt idx="76">
                  <c:v>1395</c:v>
                </c:pt>
                <c:pt idx="77">
                  <c:v>1395</c:v>
                </c:pt>
                <c:pt idx="78">
                  <c:v>1395</c:v>
                </c:pt>
                <c:pt idx="79">
                  <c:v>1395</c:v>
                </c:pt>
                <c:pt idx="80">
                  <c:v>1395</c:v>
                </c:pt>
                <c:pt idx="81">
                  <c:v>1395</c:v>
                </c:pt>
                <c:pt idx="82">
                  <c:v>1395</c:v>
                </c:pt>
                <c:pt idx="83">
                  <c:v>1395</c:v>
                </c:pt>
                <c:pt idx="84">
                  <c:v>1395</c:v>
                </c:pt>
                <c:pt idx="85">
                  <c:v>1503</c:v>
                </c:pt>
                <c:pt idx="86">
                  <c:v>1503</c:v>
                </c:pt>
                <c:pt idx="87">
                  <c:v>1503</c:v>
                </c:pt>
                <c:pt idx="88">
                  <c:v>1503</c:v>
                </c:pt>
                <c:pt idx="89">
                  <c:v>1503</c:v>
                </c:pt>
                <c:pt idx="90">
                  <c:v>1503</c:v>
                </c:pt>
                <c:pt idx="91">
                  <c:v>1503</c:v>
                </c:pt>
                <c:pt idx="92">
                  <c:v>1615</c:v>
                </c:pt>
                <c:pt idx="93">
                  <c:v>1615</c:v>
                </c:pt>
                <c:pt idx="94">
                  <c:v>1615</c:v>
                </c:pt>
                <c:pt idx="95">
                  <c:v>1615</c:v>
                </c:pt>
                <c:pt idx="96">
                  <c:v>1615</c:v>
                </c:pt>
                <c:pt idx="97">
                  <c:v>1615</c:v>
                </c:pt>
                <c:pt idx="98">
                  <c:v>1731</c:v>
                </c:pt>
                <c:pt idx="99">
                  <c:v>1731</c:v>
                </c:pt>
                <c:pt idx="100">
                  <c:v>1731</c:v>
                </c:pt>
                <c:pt idx="101">
                  <c:v>1731</c:v>
                </c:pt>
                <c:pt idx="102">
                  <c:v>1731</c:v>
                </c:pt>
                <c:pt idx="103">
                  <c:v>1731</c:v>
                </c:pt>
                <c:pt idx="104">
                  <c:v>1731</c:v>
                </c:pt>
                <c:pt idx="105">
                  <c:v>1731</c:v>
                </c:pt>
                <c:pt idx="106">
                  <c:v>1731</c:v>
                </c:pt>
                <c:pt idx="107">
                  <c:v>1851</c:v>
                </c:pt>
                <c:pt idx="108">
                  <c:v>1851</c:v>
                </c:pt>
                <c:pt idx="109">
                  <c:v>1851</c:v>
                </c:pt>
                <c:pt idx="110">
                  <c:v>1851</c:v>
                </c:pt>
                <c:pt idx="111">
                  <c:v>1851</c:v>
                </c:pt>
                <c:pt idx="112">
                  <c:v>1851</c:v>
                </c:pt>
                <c:pt idx="113">
                  <c:v>1851</c:v>
                </c:pt>
                <c:pt idx="114">
                  <c:v>1851</c:v>
                </c:pt>
                <c:pt idx="115">
                  <c:v>1975</c:v>
                </c:pt>
                <c:pt idx="116">
                  <c:v>1975</c:v>
                </c:pt>
                <c:pt idx="117">
                  <c:v>1975</c:v>
                </c:pt>
                <c:pt idx="118">
                  <c:v>1975</c:v>
                </c:pt>
                <c:pt idx="119">
                  <c:v>1975</c:v>
                </c:pt>
                <c:pt idx="120">
                  <c:v>1975</c:v>
                </c:pt>
                <c:pt idx="121">
                  <c:v>1975</c:v>
                </c:pt>
                <c:pt idx="122">
                  <c:v>2103</c:v>
                </c:pt>
                <c:pt idx="123">
                  <c:v>2103</c:v>
                </c:pt>
                <c:pt idx="124">
                  <c:v>2103</c:v>
                </c:pt>
                <c:pt idx="125">
                  <c:v>2103</c:v>
                </c:pt>
                <c:pt idx="126">
                  <c:v>2103</c:v>
                </c:pt>
                <c:pt idx="127">
                  <c:v>2103</c:v>
                </c:pt>
                <c:pt idx="128">
                  <c:v>2103</c:v>
                </c:pt>
                <c:pt idx="129">
                  <c:v>2103</c:v>
                </c:pt>
                <c:pt idx="130">
                  <c:v>2235</c:v>
                </c:pt>
                <c:pt idx="131">
                  <c:v>2235</c:v>
                </c:pt>
                <c:pt idx="132">
                  <c:v>2235</c:v>
                </c:pt>
                <c:pt idx="133">
                  <c:v>2235</c:v>
                </c:pt>
                <c:pt idx="134">
                  <c:v>2235</c:v>
                </c:pt>
                <c:pt idx="135">
                  <c:v>2235</c:v>
                </c:pt>
                <c:pt idx="136">
                  <c:v>2371</c:v>
                </c:pt>
                <c:pt idx="137">
                  <c:v>2371</c:v>
                </c:pt>
                <c:pt idx="138">
                  <c:v>2371</c:v>
                </c:pt>
                <c:pt idx="139">
                  <c:v>2371</c:v>
                </c:pt>
                <c:pt idx="140">
                  <c:v>2371</c:v>
                </c:pt>
                <c:pt idx="141">
                  <c:v>2511</c:v>
                </c:pt>
                <c:pt idx="142">
                  <c:v>2511</c:v>
                </c:pt>
                <c:pt idx="143">
                  <c:v>2511</c:v>
                </c:pt>
                <c:pt idx="144">
                  <c:v>2511</c:v>
                </c:pt>
                <c:pt idx="145">
                  <c:v>2511</c:v>
                </c:pt>
                <c:pt idx="146">
                  <c:v>2511</c:v>
                </c:pt>
                <c:pt idx="147">
                  <c:v>2511</c:v>
                </c:pt>
                <c:pt idx="148">
                  <c:v>2511</c:v>
                </c:pt>
                <c:pt idx="149">
                  <c:v>2511</c:v>
                </c:pt>
                <c:pt idx="150">
                  <c:v>2655</c:v>
                </c:pt>
                <c:pt idx="151">
                  <c:v>2655</c:v>
                </c:pt>
                <c:pt idx="152">
                  <c:v>2655</c:v>
                </c:pt>
                <c:pt idx="153">
                  <c:v>2655</c:v>
                </c:pt>
                <c:pt idx="154">
                  <c:v>2655</c:v>
                </c:pt>
                <c:pt idx="155">
                  <c:v>2655</c:v>
                </c:pt>
                <c:pt idx="156">
                  <c:v>2655</c:v>
                </c:pt>
                <c:pt idx="157">
                  <c:v>2803</c:v>
                </c:pt>
                <c:pt idx="158">
                  <c:v>2803</c:v>
                </c:pt>
                <c:pt idx="159">
                  <c:v>2955</c:v>
                </c:pt>
                <c:pt idx="160">
                  <c:v>2955</c:v>
                </c:pt>
                <c:pt idx="161">
                  <c:v>2955</c:v>
                </c:pt>
                <c:pt idx="162">
                  <c:v>2955</c:v>
                </c:pt>
                <c:pt idx="163">
                  <c:v>2955</c:v>
                </c:pt>
                <c:pt idx="164">
                  <c:v>2955</c:v>
                </c:pt>
                <c:pt idx="165">
                  <c:v>3111</c:v>
                </c:pt>
                <c:pt idx="166">
                  <c:v>3111</c:v>
                </c:pt>
                <c:pt idx="167">
                  <c:v>3111</c:v>
                </c:pt>
                <c:pt idx="168">
                  <c:v>3111</c:v>
                </c:pt>
                <c:pt idx="169">
                  <c:v>3271</c:v>
                </c:pt>
                <c:pt idx="170">
                  <c:v>3271</c:v>
                </c:pt>
                <c:pt idx="171">
                  <c:v>3435</c:v>
                </c:pt>
                <c:pt idx="172">
                  <c:v>3435</c:v>
                </c:pt>
                <c:pt idx="173">
                  <c:v>3435</c:v>
                </c:pt>
                <c:pt idx="174">
                  <c:v>3603</c:v>
                </c:pt>
                <c:pt idx="175">
                  <c:v>3603</c:v>
                </c:pt>
                <c:pt idx="176">
                  <c:v>3603</c:v>
                </c:pt>
                <c:pt idx="177">
                  <c:v>3775</c:v>
                </c:pt>
                <c:pt idx="178">
                  <c:v>3951</c:v>
                </c:pt>
                <c:pt idx="179">
                  <c:v>3951</c:v>
                </c:pt>
                <c:pt idx="180">
                  <c:v>4131</c:v>
                </c:pt>
                <c:pt idx="181">
                  <c:v>4695</c:v>
                </c:pt>
              </c:numCache>
            </c:numRef>
          </c:xVal>
          <c:yVal>
            <c:numRef>
              <c:f>Iris!$X$2:$X$183</c:f>
              <c:numCache>
                <c:formatCode>General</c:formatCode>
                <c:ptCount val="182"/>
                <c:pt idx="0">
                  <c:v>0.91776315789473684</c:v>
                </c:pt>
                <c:pt idx="1">
                  <c:v>0.9391447368421052</c:v>
                </c:pt>
                <c:pt idx="2">
                  <c:v>0.92927631578947367</c:v>
                </c:pt>
                <c:pt idx="3">
                  <c:v>0.92434210526315785</c:v>
                </c:pt>
                <c:pt idx="4">
                  <c:v>0.93421052631578949</c:v>
                </c:pt>
                <c:pt idx="5">
                  <c:v>0.9229323308270676</c:v>
                </c:pt>
                <c:pt idx="6">
                  <c:v>0.94967418546365912</c:v>
                </c:pt>
                <c:pt idx="7">
                  <c:v>0.92434210526315785</c:v>
                </c:pt>
                <c:pt idx="8">
                  <c:v>0.92434210526315785</c:v>
                </c:pt>
                <c:pt idx="9">
                  <c:v>0.91729323308270672</c:v>
                </c:pt>
                <c:pt idx="10">
                  <c:v>0.94407894736842102</c:v>
                </c:pt>
                <c:pt idx="11">
                  <c:v>0.9285714285714286</c:v>
                </c:pt>
                <c:pt idx="12">
                  <c:v>0.92857142857142849</c:v>
                </c:pt>
                <c:pt idx="13">
                  <c:v>0.91611842105263153</c:v>
                </c:pt>
                <c:pt idx="14">
                  <c:v>0.95394736842105265</c:v>
                </c:pt>
                <c:pt idx="15">
                  <c:v>0.93045112781954886</c:v>
                </c:pt>
                <c:pt idx="16">
                  <c:v>0.91940789473684215</c:v>
                </c:pt>
                <c:pt idx="17">
                  <c:v>0.93092105263157898</c:v>
                </c:pt>
                <c:pt idx="18">
                  <c:v>0.93421052631578949</c:v>
                </c:pt>
                <c:pt idx="19">
                  <c:v>0.94243421052631582</c:v>
                </c:pt>
                <c:pt idx="20">
                  <c:v>0.90413533834586468</c:v>
                </c:pt>
                <c:pt idx="21">
                  <c:v>0.93914473684210531</c:v>
                </c:pt>
                <c:pt idx="22">
                  <c:v>0.93092105263157898</c:v>
                </c:pt>
                <c:pt idx="23">
                  <c:v>0.91447368421052633</c:v>
                </c:pt>
                <c:pt idx="24">
                  <c:v>0.94078947368421051</c:v>
                </c:pt>
                <c:pt idx="25">
                  <c:v>0.92927631578947367</c:v>
                </c:pt>
                <c:pt idx="26">
                  <c:v>0.92434210526315785</c:v>
                </c:pt>
                <c:pt idx="27">
                  <c:v>0.93421052631578949</c:v>
                </c:pt>
                <c:pt idx="28">
                  <c:v>0.91729323308270672</c:v>
                </c:pt>
                <c:pt idx="29">
                  <c:v>0.93256578947368418</c:v>
                </c:pt>
                <c:pt idx="30">
                  <c:v>0.91776315789473684</c:v>
                </c:pt>
                <c:pt idx="31">
                  <c:v>0.92434210526315785</c:v>
                </c:pt>
                <c:pt idx="32">
                  <c:v>0.92669172932330823</c:v>
                </c:pt>
                <c:pt idx="33">
                  <c:v>0.93045112781954886</c:v>
                </c:pt>
                <c:pt idx="34">
                  <c:v>0.93984962406015038</c:v>
                </c:pt>
                <c:pt idx="35">
                  <c:v>0.92448512585812359</c:v>
                </c:pt>
                <c:pt idx="36">
                  <c:v>0.92598684210526316</c:v>
                </c:pt>
                <c:pt idx="37">
                  <c:v>0.92434210526315785</c:v>
                </c:pt>
                <c:pt idx="38">
                  <c:v>0.92763157894736836</c:v>
                </c:pt>
                <c:pt idx="39">
                  <c:v>0.91850594227504245</c:v>
                </c:pt>
                <c:pt idx="40">
                  <c:v>0.92269736842105265</c:v>
                </c:pt>
                <c:pt idx="41">
                  <c:v>0.91541353383458646</c:v>
                </c:pt>
                <c:pt idx="42">
                  <c:v>0.93421052631578949</c:v>
                </c:pt>
                <c:pt idx="43">
                  <c:v>0.90977443609022557</c:v>
                </c:pt>
                <c:pt idx="44">
                  <c:v>0.9303904923599321</c:v>
                </c:pt>
                <c:pt idx="45">
                  <c:v>0.92444821731748728</c:v>
                </c:pt>
                <c:pt idx="46">
                  <c:v>0.92763157894736836</c:v>
                </c:pt>
                <c:pt idx="47">
                  <c:v>0.91447368421052633</c:v>
                </c:pt>
                <c:pt idx="48">
                  <c:v>0.91447368421052633</c:v>
                </c:pt>
                <c:pt idx="49">
                  <c:v>0.91940789473684204</c:v>
                </c:pt>
                <c:pt idx="50">
                  <c:v>0.92105263157894735</c:v>
                </c:pt>
                <c:pt idx="51">
                  <c:v>0.91917293233082709</c:v>
                </c:pt>
                <c:pt idx="52">
                  <c:v>0.91611842105263153</c:v>
                </c:pt>
                <c:pt idx="53">
                  <c:v>0.91611842105263153</c:v>
                </c:pt>
                <c:pt idx="54">
                  <c:v>0.92434210526315785</c:v>
                </c:pt>
                <c:pt idx="55">
                  <c:v>0.92020373514431242</c:v>
                </c:pt>
                <c:pt idx="56">
                  <c:v>0.92105263157894735</c:v>
                </c:pt>
                <c:pt idx="57">
                  <c:v>0.93045112781954886</c:v>
                </c:pt>
                <c:pt idx="58">
                  <c:v>0.92481203007518797</c:v>
                </c:pt>
                <c:pt idx="59">
                  <c:v>0.92763157894736836</c:v>
                </c:pt>
                <c:pt idx="60">
                  <c:v>0.93256578947368418</c:v>
                </c:pt>
                <c:pt idx="61">
                  <c:v>0.93123938879456702</c:v>
                </c:pt>
                <c:pt idx="62">
                  <c:v>0.91611842105263153</c:v>
                </c:pt>
                <c:pt idx="63">
                  <c:v>0.92269736842105265</c:v>
                </c:pt>
                <c:pt idx="64">
                  <c:v>0.9307992202729044</c:v>
                </c:pt>
                <c:pt idx="65">
                  <c:v>0.9135338345864662</c:v>
                </c:pt>
                <c:pt idx="66">
                  <c:v>0.93421052631578938</c:v>
                </c:pt>
                <c:pt idx="67">
                  <c:v>0.92669172932330823</c:v>
                </c:pt>
                <c:pt idx="68">
                  <c:v>0.93256578947368418</c:v>
                </c:pt>
                <c:pt idx="69">
                  <c:v>0.92598684210526316</c:v>
                </c:pt>
                <c:pt idx="70">
                  <c:v>0.9391447368421052</c:v>
                </c:pt>
                <c:pt idx="71">
                  <c:v>0.93045112781954886</c:v>
                </c:pt>
                <c:pt idx="72">
                  <c:v>0.92481203007518797</c:v>
                </c:pt>
                <c:pt idx="73">
                  <c:v>0.92669172932330823</c:v>
                </c:pt>
                <c:pt idx="74">
                  <c:v>0.93233082706766912</c:v>
                </c:pt>
                <c:pt idx="75">
                  <c:v>0.93135011441647597</c:v>
                </c:pt>
                <c:pt idx="76">
                  <c:v>0.93548387096774188</c:v>
                </c:pt>
                <c:pt idx="77">
                  <c:v>0.93256578947368418</c:v>
                </c:pt>
                <c:pt idx="78">
                  <c:v>0.92763157894736836</c:v>
                </c:pt>
                <c:pt idx="79">
                  <c:v>0.9252971137521222</c:v>
                </c:pt>
                <c:pt idx="80">
                  <c:v>0.92444821731748728</c:v>
                </c:pt>
                <c:pt idx="81">
                  <c:v>0.93609022556390975</c:v>
                </c:pt>
                <c:pt idx="82">
                  <c:v>0.92481203007518797</c:v>
                </c:pt>
                <c:pt idx="83">
                  <c:v>0.92105263157894735</c:v>
                </c:pt>
                <c:pt idx="84">
                  <c:v>0.92481203007518797</c:v>
                </c:pt>
                <c:pt idx="85">
                  <c:v>0.92269736842105265</c:v>
                </c:pt>
                <c:pt idx="86">
                  <c:v>0.92269736842105265</c:v>
                </c:pt>
                <c:pt idx="87">
                  <c:v>0.93914473684210531</c:v>
                </c:pt>
                <c:pt idx="88">
                  <c:v>0.9375</c:v>
                </c:pt>
                <c:pt idx="89">
                  <c:v>0.93079922027290452</c:v>
                </c:pt>
                <c:pt idx="90">
                  <c:v>0.92481203007518797</c:v>
                </c:pt>
                <c:pt idx="91">
                  <c:v>0.92481203007518797</c:v>
                </c:pt>
                <c:pt idx="92">
                  <c:v>0.92763157894736836</c:v>
                </c:pt>
                <c:pt idx="93">
                  <c:v>0.93363844393592677</c:v>
                </c:pt>
                <c:pt idx="94">
                  <c:v>0.93421052631578949</c:v>
                </c:pt>
                <c:pt idx="95">
                  <c:v>0.92690058479532167</c:v>
                </c:pt>
                <c:pt idx="96">
                  <c:v>0.93045112781954886</c:v>
                </c:pt>
                <c:pt idx="97">
                  <c:v>0.91917293233082709</c:v>
                </c:pt>
                <c:pt idx="98">
                  <c:v>0.93208828522920206</c:v>
                </c:pt>
                <c:pt idx="99">
                  <c:v>0.92954159592529706</c:v>
                </c:pt>
                <c:pt idx="100">
                  <c:v>0.93123938879456702</c:v>
                </c:pt>
                <c:pt idx="101">
                  <c:v>0.92105263157894735</c:v>
                </c:pt>
                <c:pt idx="102">
                  <c:v>0.91940789473684204</c:v>
                </c:pt>
                <c:pt idx="103">
                  <c:v>0.92481203007518797</c:v>
                </c:pt>
                <c:pt idx="104">
                  <c:v>0.92495126705653019</c:v>
                </c:pt>
                <c:pt idx="105">
                  <c:v>0.92397660818713445</c:v>
                </c:pt>
                <c:pt idx="106">
                  <c:v>0.91910331384015598</c:v>
                </c:pt>
                <c:pt idx="107">
                  <c:v>0.93092105263157887</c:v>
                </c:pt>
                <c:pt idx="108">
                  <c:v>0.92763157894736836</c:v>
                </c:pt>
                <c:pt idx="109">
                  <c:v>0.92954159592529706</c:v>
                </c:pt>
                <c:pt idx="110">
                  <c:v>0.93208828522920195</c:v>
                </c:pt>
                <c:pt idx="111">
                  <c:v>0.91729323308270672</c:v>
                </c:pt>
                <c:pt idx="112">
                  <c:v>0.92495126705653019</c:v>
                </c:pt>
                <c:pt idx="113">
                  <c:v>0.92884990253411304</c:v>
                </c:pt>
                <c:pt idx="114">
                  <c:v>0.92669172932330823</c:v>
                </c:pt>
                <c:pt idx="115">
                  <c:v>0.92269736842105265</c:v>
                </c:pt>
                <c:pt idx="116">
                  <c:v>0.9252971137521222</c:v>
                </c:pt>
                <c:pt idx="117">
                  <c:v>0.93208828522920195</c:v>
                </c:pt>
                <c:pt idx="118">
                  <c:v>0.9229323308270676</c:v>
                </c:pt>
                <c:pt idx="119">
                  <c:v>0.9229323308270676</c:v>
                </c:pt>
                <c:pt idx="120">
                  <c:v>0.92397660818713445</c:v>
                </c:pt>
                <c:pt idx="121">
                  <c:v>0.9229323308270676</c:v>
                </c:pt>
                <c:pt idx="122">
                  <c:v>0.93256578947368418</c:v>
                </c:pt>
                <c:pt idx="123">
                  <c:v>0.92699490662139217</c:v>
                </c:pt>
                <c:pt idx="124">
                  <c:v>0.93421052631578949</c:v>
                </c:pt>
                <c:pt idx="125">
                  <c:v>0.93092105263157898</c:v>
                </c:pt>
                <c:pt idx="126">
                  <c:v>0.92763157894736836</c:v>
                </c:pt>
                <c:pt idx="127">
                  <c:v>0.92105263157894735</c:v>
                </c:pt>
                <c:pt idx="128">
                  <c:v>0.92105263157894735</c:v>
                </c:pt>
                <c:pt idx="129">
                  <c:v>0.91541353383458646</c:v>
                </c:pt>
                <c:pt idx="130">
                  <c:v>0.91447368421052633</c:v>
                </c:pt>
                <c:pt idx="131">
                  <c:v>0.92434210526315785</c:v>
                </c:pt>
                <c:pt idx="132">
                  <c:v>0.92495126705653019</c:v>
                </c:pt>
                <c:pt idx="133">
                  <c:v>0.91917293233082709</c:v>
                </c:pt>
                <c:pt idx="134">
                  <c:v>0.9285714285714286</c:v>
                </c:pt>
                <c:pt idx="135">
                  <c:v>0.92690058479532156</c:v>
                </c:pt>
                <c:pt idx="136">
                  <c:v>0.92190152801358227</c:v>
                </c:pt>
                <c:pt idx="137">
                  <c:v>0.92614601018675724</c:v>
                </c:pt>
                <c:pt idx="138">
                  <c:v>0.92669172932330823</c:v>
                </c:pt>
                <c:pt idx="139">
                  <c:v>0.91812865497076024</c:v>
                </c:pt>
                <c:pt idx="140">
                  <c:v>0.92481203007518797</c:v>
                </c:pt>
                <c:pt idx="141">
                  <c:v>0.9252971137521222</c:v>
                </c:pt>
                <c:pt idx="142">
                  <c:v>0.92763157894736836</c:v>
                </c:pt>
                <c:pt idx="143">
                  <c:v>0.91776315789473684</c:v>
                </c:pt>
                <c:pt idx="144">
                  <c:v>0.92269736842105265</c:v>
                </c:pt>
                <c:pt idx="145">
                  <c:v>0.9229323308270676</c:v>
                </c:pt>
                <c:pt idx="146">
                  <c:v>0.92105263157894735</c:v>
                </c:pt>
                <c:pt idx="147">
                  <c:v>0.92592592592592593</c:v>
                </c:pt>
                <c:pt idx="148">
                  <c:v>0.91729323308270672</c:v>
                </c:pt>
                <c:pt idx="149">
                  <c:v>0.92007797270955161</c:v>
                </c:pt>
                <c:pt idx="150">
                  <c:v>0.92598684210526316</c:v>
                </c:pt>
                <c:pt idx="151">
                  <c:v>0.93092105263157898</c:v>
                </c:pt>
                <c:pt idx="152">
                  <c:v>0.92598684210526316</c:v>
                </c:pt>
                <c:pt idx="153">
                  <c:v>0.92481203007518797</c:v>
                </c:pt>
                <c:pt idx="154">
                  <c:v>0.92481203007518797</c:v>
                </c:pt>
                <c:pt idx="155">
                  <c:v>0.92007797270955161</c:v>
                </c:pt>
                <c:pt idx="156">
                  <c:v>0.92481203007518797</c:v>
                </c:pt>
                <c:pt idx="157">
                  <c:v>0.9285714285714286</c:v>
                </c:pt>
                <c:pt idx="158">
                  <c:v>0.93233082706766912</c:v>
                </c:pt>
                <c:pt idx="159">
                  <c:v>0.92598684210526316</c:v>
                </c:pt>
                <c:pt idx="160">
                  <c:v>0.9375</c:v>
                </c:pt>
                <c:pt idx="161">
                  <c:v>0.92481203007518797</c:v>
                </c:pt>
                <c:pt idx="162">
                  <c:v>0.92105263157894735</c:v>
                </c:pt>
                <c:pt idx="163">
                  <c:v>0.91729323308270672</c:v>
                </c:pt>
                <c:pt idx="164">
                  <c:v>0.92300194931773871</c:v>
                </c:pt>
                <c:pt idx="165">
                  <c:v>0.92598684210526316</c:v>
                </c:pt>
                <c:pt idx="166">
                  <c:v>0.92105263157894735</c:v>
                </c:pt>
                <c:pt idx="167">
                  <c:v>0.92105263157894735</c:v>
                </c:pt>
                <c:pt idx="168">
                  <c:v>0.92481203007518797</c:v>
                </c:pt>
                <c:pt idx="169">
                  <c:v>0.92592592592592593</c:v>
                </c:pt>
                <c:pt idx="170">
                  <c:v>0.91729323308270672</c:v>
                </c:pt>
                <c:pt idx="171">
                  <c:v>0.9285714285714286</c:v>
                </c:pt>
                <c:pt idx="172">
                  <c:v>0.91917293233082709</c:v>
                </c:pt>
                <c:pt idx="173">
                  <c:v>0.92105263157894735</c:v>
                </c:pt>
                <c:pt idx="174">
                  <c:v>0.92105263157894735</c:v>
                </c:pt>
                <c:pt idx="175">
                  <c:v>0.92105263157894735</c:v>
                </c:pt>
                <c:pt idx="176">
                  <c:v>0.92857142857142849</c:v>
                </c:pt>
                <c:pt idx="177">
                  <c:v>0.91423001949317739</c:v>
                </c:pt>
                <c:pt idx="178">
                  <c:v>0.93045112781954886</c:v>
                </c:pt>
                <c:pt idx="179">
                  <c:v>0.93045112781954886</c:v>
                </c:pt>
                <c:pt idx="180">
                  <c:v>0.93233082706766912</c:v>
                </c:pt>
                <c:pt idx="181">
                  <c:v>0.93045112781954886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95-49C2-A084-E2579C645A15}"/>
            </c:ext>
          </c:extLst>
        </c:ser>
        <c:ser>
          <c:idx val="1"/>
          <c:order val="1"/>
          <c:tx>
            <c:strRef>
              <c:f>Iris!$Y$1</c:f>
              <c:strCache>
                <c:ptCount val="1"/>
                <c:pt idx="0">
                  <c:v>val accuracy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Iris!$W$2:$W$183</c:f>
              <c:numCache>
                <c:formatCode>General</c:formatCode>
                <c:ptCount val="182"/>
                <c:pt idx="0">
                  <c:v>255</c:v>
                </c:pt>
                <c:pt idx="1">
                  <c:v>303</c:v>
                </c:pt>
                <c:pt idx="2">
                  <c:v>303</c:v>
                </c:pt>
                <c:pt idx="3">
                  <c:v>355</c:v>
                </c:pt>
                <c:pt idx="4">
                  <c:v>355</c:v>
                </c:pt>
                <c:pt idx="5">
                  <c:v>355</c:v>
                </c:pt>
                <c:pt idx="6">
                  <c:v>411</c:v>
                </c:pt>
                <c:pt idx="7">
                  <c:v>411</c:v>
                </c:pt>
                <c:pt idx="8">
                  <c:v>411</c:v>
                </c:pt>
                <c:pt idx="9">
                  <c:v>411</c:v>
                </c:pt>
                <c:pt idx="10">
                  <c:v>471</c:v>
                </c:pt>
                <c:pt idx="11">
                  <c:v>471</c:v>
                </c:pt>
                <c:pt idx="12">
                  <c:v>471</c:v>
                </c:pt>
                <c:pt idx="13">
                  <c:v>535</c:v>
                </c:pt>
                <c:pt idx="14">
                  <c:v>535</c:v>
                </c:pt>
                <c:pt idx="15">
                  <c:v>535</c:v>
                </c:pt>
                <c:pt idx="16">
                  <c:v>603</c:v>
                </c:pt>
                <c:pt idx="17">
                  <c:v>603</c:v>
                </c:pt>
                <c:pt idx="18">
                  <c:v>603</c:v>
                </c:pt>
                <c:pt idx="19">
                  <c:v>603</c:v>
                </c:pt>
                <c:pt idx="20">
                  <c:v>603</c:v>
                </c:pt>
                <c:pt idx="21">
                  <c:v>675</c:v>
                </c:pt>
                <c:pt idx="22">
                  <c:v>675</c:v>
                </c:pt>
                <c:pt idx="23">
                  <c:v>675</c:v>
                </c:pt>
                <c:pt idx="24">
                  <c:v>751</c:v>
                </c:pt>
                <c:pt idx="25">
                  <c:v>751</c:v>
                </c:pt>
                <c:pt idx="26">
                  <c:v>751</c:v>
                </c:pt>
                <c:pt idx="27">
                  <c:v>751</c:v>
                </c:pt>
                <c:pt idx="28">
                  <c:v>751</c:v>
                </c:pt>
                <c:pt idx="29">
                  <c:v>831</c:v>
                </c:pt>
                <c:pt idx="30">
                  <c:v>831</c:v>
                </c:pt>
                <c:pt idx="31">
                  <c:v>831</c:v>
                </c:pt>
                <c:pt idx="32">
                  <c:v>831</c:v>
                </c:pt>
                <c:pt idx="33">
                  <c:v>831</c:v>
                </c:pt>
                <c:pt idx="34">
                  <c:v>831</c:v>
                </c:pt>
                <c:pt idx="35">
                  <c:v>915</c:v>
                </c:pt>
                <c:pt idx="36">
                  <c:v>915</c:v>
                </c:pt>
                <c:pt idx="37">
                  <c:v>915</c:v>
                </c:pt>
                <c:pt idx="38">
                  <c:v>915</c:v>
                </c:pt>
                <c:pt idx="39">
                  <c:v>915</c:v>
                </c:pt>
                <c:pt idx="40">
                  <c:v>915</c:v>
                </c:pt>
                <c:pt idx="41">
                  <c:v>915</c:v>
                </c:pt>
                <c:pt idx="42">
                  <c:v>915</c:v>
                </c:pt>
                <c:pt idx="43">
                  <c:v>915</c:v>
                </c:pt>
                <c:pt idx="44">
                  <c:v>1003</c:v>
                </c:pt>
                <c:pt idx="45">
                  <c:v>1003</c:v>
                </c:pt>
                <c:pt idx="46">
                  <c:v>1003</c:v>
                </c:pt>
                <c:pt idx="47">
                  <c:v>1003</c:v>
                </c:pt>
                <c:pt idx="48">
                  <c:v>1003</c:v>
                </c:pt>
                <c:pt idx="49">
                  <c:v>1003</c:v>
                </c:pt>
                <c:pt idx="50">
                  <c:v>1003</c:v>
                </c:pt>
                <c:pt idx="51">
                  <c:v>1003</c:v>
                </c:pt>
                <c:pt idx="52">
                  <c:v>1095</c:v>
                </c:pt>
                <c:pt idx="53">
                  <c:v>1095</c:v>
                </c:pt>
                <c:pt idx="54">
                  <c:v>1095</c:v>
                </c:pt>
                <c:pt idx="55">
                  <c:v>1095</c:v>
                </c:pt>
                <c:pt idx="56">
                  <c:v>1095</c:v>
                </c:pt>
                <c:pt idx="57">
                  <c:v>1095</c:v>
                </c:pt>
                <c:pt idx="58">
                  <c:v>1095</c:v>
                </c:pt>
                <c:pt idx="59">
                  <c:v>1191</c:v>
                </c:pt>
                <c:pt idx="60">
                  <c:v>1191</c:v>
                </c:pt>
                <c:pt idx="61">
                  <c:v>1191</c:v>
                </c:pt>
                <c:pt idx="62">
                  <c:v>1191</c:v>
                </c:pt>
                <c:pt idx="63">
                  <c:v>1191</c:v>
                </c:pt>
                <c:pt idx="64">
                  <c:v>1191</c:v>
                </c:pt>
                <c:pt idx="65">
                  <c:v>1191</c:v>
                </c:pt>
                <c:pt idx="66">
                  <c:v>1191</c:v>
                </c:pt>
                <c:pt idx="67">
                  <c:v>1191</c:v>
                </c:pt>
                <c:pt idx="68">
                  <c:v>1291</c:v>
                </c:pt>
                <c:pt idx="69">
                  <c:v>1291</c:v>
                </c:pt>
                <c:pt idx="70">
                  <c:v>1291</c:v>
                </c:pt>
                <c:pt idx="71">
                  <c:v>1291</c:v>
                </c:pt>
                <c:pt idx="72">
                  <c:v>1291</c:v>
                </c:pt>
                <c:pt idx="73">
                  <c:v>1291</c:v>
                </c:pt>
                <c:pt idx="74">
                  <c:v>1291</c:v>
                </c:pt>
                <c:pt idx="75">
                  <c:v>1395</c:v>
                </c:pt>
                <c:pt idx="76">
                  <c:v>1395</c:v>
                </c:pt>
                <c:pt idx="77">
                  <c:v>1395</c:v>
                </c:pt>
                <c:pt idx="78">
                  <c:v>1395</c:v>
                </c:pt>
                <c:pt idx="79">
                  <c:v>1395</c:v>
                </c:pt>
                <c:pt idx="80">
                  <c:v>1395</c:v>
                </c:pt>
                <c:pt idx="81">
                  <c:v>1395</c:v>
                </c:pt>
                <c:pt idx="82">
                  <c:v>1395</c:v>
                </c:pt>
                <c:pt idx="83">
                  <c:v>1395</c:v>
                </c:pt>
                <c:pt idx="84">
                  <c:v>1395</c:v>
                </c:pt>
                <c:pt idx="85">
                  <c:v>1503</c:v>
                </c:pt>
                <c:pt idx="86">
                  <c:v>1503</c:v>
                </c:pt>
                <c:pt idx="87">
                  <c:v>1503</c:v>
                </c:pt>
                <c:pt idx="88">
                  <c:v>1503</c:v>
                </c:pt>
                <c:pt idx="89">
                  <c:v>1503</c:v>
                </c:pt>
                <c:pt idx="90">
                  <c:v>1503</c:v>
                </c:pt>
                <c:pt idx="91">
                  <c:v>1503</c:v>
                </c:pt>
                <c:pt idx="92">
                  <c:v>1615</c:v>
                </c:pt>
                <c:pt idx="93">
                  <c:v>1615</c:v>
                </c:pt>
                <c:pt idx="94">
                  <c:v>1615</c:v>
                </c:pt>
                <c:pt idx="95">
                  <c:v>1615</c:v>
                </c:pt>
                <c:pt idx="96">
                  <c:v>1615</c:v>
                </c:pt>
                <c:pt idx="97">
                  <c:v>1615</c:v>
                </c:pt>
                <c:pt idx="98">
                  <c:v>1731</c:v>
                </c:pt>
                <c:pt idx="99">
                  <c:v>1731</c:v>
                </c:pt>
                <c:pt idx="100">
                  <c:v>1731</c:v>
                </c:pt>
                <c:pt idx="101">
                  <c:v>1731</c:v>
                </c:pt>
                <c:pt idx="102">
                  <c:v>1731</c:v>
                </c:pt>
                <c:pt idx="103">
                  <c:v>1731</c:v>
                </c:pt>
                <c:pt idx="104">
                  <c:v>1731</c:v>
                </c:pt>
                <c:pt idx="105">
                  <c:v>1731</c:v>
                </c:pt>
                <c:pt idx="106">
                  <c:v>1731</c:v>
                </c:pt>
                <c:pt idx="107">
                  <c:v>1851</c:v>
                </c:pt>
                <c:pt idx="108">
                  <c:v>1851</c:v>
                </c:pt>
                <c:pt idx="109">
                  <c:v>1851</c:v>
                </c:pt>
                <c:pt idx="110">
                  <c:v>1851</c:v>
                </c:pt>
                <c:pt idx="111">
                  <c:v>1851</c:v>
                </c:pt>
                <c:pt idx="112">
                  <c:v>1851</c:v>
                </c:pt>
                <c:pt idx="113">
                  <c:v>1851</c:v>
                </c:pt>
                <c:pt idx="114">
                  <c:v>1851</c:v>
                </c:pt>
                <c:pt idx="115">
                  <c:v>1975</c:v>
                </c:pt>
                <c:pt idx="116">
                  <c:v>1975</c:v>
                </c:pt>
                <c:pt idx="117">
                  <c:v>1975</c:v>
                </c:pt>
                <c:pt idx="118">
                  <c:v>1975</c:v>
                </c:pt>
                <c:pt idx="119">
                  <c:v>1975</c:v>
                </c:pt>
                <c:pt idx="120">
                  <c:v>1975</c:v>
                </c:pt>
                <c:pt idx="121">
                  <c:v>1975</c:v>
                </c:pt>
                <c:pt idx="122">
                  <c:v>2103</c:v>
                </c:pt>
                <c:pt idx="123">
                  <c:v>2103</c:v>
                </c:pt>
                <c:pt idx="124">
                  <c:v>2103</c:v>
                </c:pt>
                <c:pt idx="125">
                  <c:v>2103</c:v>
                </c:pt>
                <c:pt idx="126">
                  <c:v>2103</c:v>
                </c:pt>
                <c:pt idx="127">
                  <c:v>2103</c:v>
                </c:pt>
                <c:pt idx="128">
                  <c:v>2103</c:v>
                </c:pt>
                <c:pt idx="129">
                  <c:v>2103</c:v>
                </c:pt>
                <c:pt idx="130">
                  <c:v>2235</c:v>
                </c:pt>
                <c:pt idx="131">
                  <c:v>2235</c:v>
                </c:pt>
                <c:pt idx="132">
                  <c:v>2235</c:v>
                </c:pt>
                <c:pt idx="133">
                  <c:v>2235</c:v>
                </c:pt>
                <c:pt idx="134">
                  <c:v>2235</c:v>
                </c:pt>
                <c:pt idx="135">
                  <c:v>2235</c:v>
                </c:pt>
                <c:pt idx="136">
                  <c:v>2371</c:v>
                </c:pt>
                <c:pt idx="137">
                  <c:v>2371</c:v>
                </c:pt>
                <c:pt idx="138">
                  <c:v>2371</c:v>
                </c:pt>
                <c:pt idx="139">
                  <c:v>2371</c:v>
                </c:pt>
                <c:pt idx="140">
                  <c:v>2371</c:v>
                </c:pt>
                <c:pt idx="141">
                  <c:v>2511</c:v>
                </c:pt>
                <c:pt idx="142">
                  <c:v>2511</c:v>
                </c:pt>
                <c:pt idx="143">
                  <c:v>2511</c:v>
                </c:pt>
                <c:pt idx="144">
                  <c:v>2511</c:v>
                </c:pt>
                <c:pt idx="145">
                  <c:v>2511</c:v>
                </c:pt>
                <c:pt idx="146">
                  <c:v>2511</c:v>
                </c:pt>
                <c:pt idx="147">
                  <c:v>2511</c:v>
                </c:pt>
                <c:pt idx="148">
                  <c:v>2511</c:v>
                </c:pt>
                <c:pt idx="149">
                  <c:v>2511</c:v>
                </c:pt>
                <c:pt idx="150">
                  <c:v>2655</c:v>
                </c:pt>
                <c:pt idx="151">
                  <c:v>2655</c:v>
                </c:pt>
                <c:pt idx="152">
                  <c:v>2655</c:v>
                </c:pt>
                <c:pt idx="153">
                  <c:v>2655</c:v>
                </c:pt>
                <c:pt idx="154">
                  <c:v>2655</c:v>
                </c:pt>
                <c:pt idx="155">
                  <c:v>2655</c:v>
                </c:pt>
                <c:pt idx="156">
                  <c:v>2655</c:v>
                </c:pt>
                <c:pt idx="157">
                  <c:v>2803</c:v>
                </c:pt>
                <c:pt idx="158">
                  <c:v>2803</c:v>
                </c:pt>
                <c:pt idx="159">
                  <c:v>2955</c:v>
                </c:pt>
                <c:pt idx="160">
                  <c:v>2955</c:v>
                </c:pt>
                <c:pt idx="161">
                  <c:v>2955</c:v>
                </c:pt>
                <c:pt idx="162">
                  <c:v>2955</c:v>
                </c:pt>
                <c:pt idx="163">
                  <c:v>2955</c:v>
                </c:pt>
                <c:pt idx="164">
                  <c:v>2955</c:v>
                </c:pt>
                <c:pt idx="165">
                  <c:v>3111</c:v>
                </c:pt>
                <c:pt idx="166">
                  <c:v>3111</c:v>
                </c:pt>
                <c:pt idx="167">
                  <c:v>3111</c:v>
                </c:pt>
                <c:pt idx="168">
                  <c:v>3111</c:v>
                </c:pt>
                <c:pt idx="169">
                  <c:v>3271</c:v>
                </c:pt>
                <c:pt idx="170">
                  <c:v>3271</c:v>
                </c:pt>
                <c:pt idx="171">
                  <c:v>3435</c:v>
                </c:pt>
                <c:pt idx="172">
                  <c:v>3435</c:v>
                </c:pt>
                <c:pt idx="173">
                  <c:v>3435</c:v>
                </c:pt>
                <c:pt idx="174">
                  <c:v>3603</c:v>
                </c:pt>
                <c:pt idx="175">
                  <c:v>3603</c:v>
                </c:pt>
                <c:pt idx="176">
                  <c:v>3603</c:v>
                </c:pt>
                <c:pt idx="177">
                  <c:v>3775</c:v>
                </c:pt>
                <c:pt idx="178">
                  <c:v>3951</c:v>
                </c:pt>
                <c:pt idx="179">
                  <c:v>3951</c:v>
                </c:pt>
                <c:pt idx="180">
                  <c:v>4131</c:v>
                </c:pt>
                <c:pt idx="181">
                  <c:v>4695</c:v>
                </c:pt>
              </c:numCache>
            </c:numRef>
          </c:xVal>
          <c:yVal>
            <c:numRef>
              <c:f>Iris!$Y$2:$Y$183</c:f>
              <c:numCache>
                <c:formatCode>General</c:formatCode>
                <c:ptCount val="182"/>
                <c:pt idx="0">
                  <c:v>0.99420289993286137</c:v>
                </c:pt>
                <c:pt idx="1">
                  <c:v>0.99130434989929195</c:v>
                </c:pt>
                <c:pt idx="2">
                  <c:v>0.97101449966430664</c:v>
                </c:pt>
                <c:pt idx="3">
                  <c:v>0.98840579986572263</c:v>
                </c:pt>
                <c:pt idx="4">
                  <c:v>0.98260869979858401</c:v>
                </c:pt>
                <c:pt idx="5">
                  <c:v>0.93311037008578956</c:v>
                </c:pt>
                <c:pt idx="6">
                  <c:v>0.79198333333333326</c:v>
                </c:pt>
                <c:pt idx="7">
                  <c:v>0.98550724983215332</c:v>
                </c:pt>
                <c:pt idx="8">
                  <c:v>0.98550724983215332</c:v>
                </c:pt>
                <c:pt idx="9">
                  <c:v>0.95652174491148734</c:v>
                </c:pt>
                <c:pt idx="10">
                  <c:v>0.96231884956359859</c:v>
                </c:pt>
                <c:pt idx="11">
                  <c:v>0.96655519192035377</c:v>
                </c:pt>
                <c:pt idx="12">
                  <c:v>0.9565217403265146</c:v>
                </c:pt>
                <c:pt idx="13">
                  <c:v>0.98840579986572263</c:v>
                </c:pt>
                <c:pt idx="14">
                  <c:v>0.99420289993286137</c:v>
                </c:pt>
                <c:pt idx="15">
                  <c:v>0.94314382167962885</c:v>
                </c:pt>
                <c:pt idx="16">
                  <c:v>0.99420289993286137</c:v>
                </c:pt>
                <c:pt idx="17">
                  <c:v>0.97391304969787595</c:v>
                </c:pt>
                <c:pt idx="18">
                  <c:v>0.98260869979858401</c:v>
                </c:pt>
                <c:pt idx="19">
                  <c:v>0.97101449966430664</c:v>
                </c:pt>
                <c:pt idx="20">
                  <c:v>0.94314381709465611</c:v>
                </c:pt>
                <c:pt idx="21">
                  <c:v>0.99420289993286137</c:v>
                </c:pt>
                <c:pt idx="22">
                  <c:v>0.98260869979858401</c:v>
                </c:pt>
                <c:pt idx="23">
                  <c:v>0.99130434989929195</c:v>
                </c:pt>
                <c:pt idx="24">
                  <c:v>0.99420289993286137</c:v>
                </c:pt>
                <c:pt idx="25">
                  <c:v>0.98840579986572263</c:v>
                </c:pt>
                <c:pt idx="26">
                  <c:v>0.97681159973144527</c:v>
                </c:pt>
                <c:pt idx="27">
                  <c:v>0.97971014976501469</c:v>
                </c:pt>
                <c:pt idx="28">
                  <c:v>0.94648830248759341</c:v>
                </c:pt>
                <c:pt idx="29">
                  <c:v>0.97681159973144527</c:v>
                </c:pt>
                <c:pt idx="30">
                  <c:v>0.98550724983215332</c:v>
                </c:pt>
                <c:pt idx="31">
                  <c:v>0.96811594168345139</c:v>
                </c:pt>
                <c:pt idx="32">
                  <c:v>0.98327759596017694</c:v>
                </c:pt>
                <c:pt idx="33">
                  <c:v>0.94983277871058536</c:v>
                </c:pt>
                <c:pt idx="34">
                  <c:v>0.94648830707256615</c:v>
                </c:pt>
                <c:pt idx="35">
                  <c:v>0.99227053324381509</c:v>
                </c:pt>
                <c:pt idx="36">
                  <c:v>0.99130434989929195</c:v>
                </c:pt>
                <c:pt idx="37">
                  <c:v>0.98840579986572263</c:v>
                </c:pt>
                <c:pt idx="38">
                  <c:v>0.98840579986572263</c:v>
                </c:pt>
                <c:pt idx="39">
                  <c:v>0.97971014777819321</c:v>
                </c:pt>
                <c:pt idx="40">
                  <c:v>0.97971014976501469</c:v>
                </c:pt>
                <c:pt idx="41">
                  <c:v>0.97324415353628302</c:v>
                </c:pt>
                <c:pt idx="42">
                  <c:v>0.94314382167962885</c:v>
                </c:pt>
                <c:pt idx="43">
                  <c:v>0.98662207676814151</c:v>
                </c:pt>
                <c:pt idx="44">
                  <c:v>0.99275362491607666</c:v>
                </c:pt>
                <c:pt idx="45">
                  <c:v>0.99130434989929195</c:v>
                </c:pt>
                <c:pt idx="46">
                  <c:v>0.94202899138132734</c:v>
                </c:pt>
                <c:pt idx="47">
                  <c:v>0.97971014976501469</c:v>
                </c:pt>
                <c:pt idx="48">
                  <c:v>0.98550724983215332</c:v>
                </c:pt>
                <c:pt idx="49">
                  <c:v>0.97101449569066367</c:v>
                </c:pt>
                <c:pt idx="50">
                  <c:v>0.98662207676814151</c:v>
                </c:pt>
                <c:pt idx="51">
                  <c:v>0.97324415353628302</c:v>
                </c:pt>
                <c:pt idx="52">
                  <c:v>0.99420289993286137</c:v>
                </c:pt>
                <c:pt idx="53">
                  <c:v>0.99420289993286137</c:v>
                </c:pt>
                <c:pt idx="54">
                  <c:v>0.96811594168345139</c:v>
                </c:pt>
                <c:pt idx="55">
                  <c:v>0.97971014976501469</c:v>
                </c:pt>
                <c:pt idx="56">
                  <c:v>0.96655519192035377</c:v>
                </c:pt>
                <c:pt idx="57">
                  <c:v>0.96989967272831845</c:v>
                </c:pt>
                <c:pt idx="58">
                  <c:v>0.97324415353628302</c:v>
                </c:pt>
                <c:pt idx="59">
                  <c:v>0.98840579986572263</c:v>
                </c:pt>
                <c:pt idx="60">
                  <c:v>0.98840579986572263</c:v>
                </c:pt>
                <c:pt idx="61">
                  <c:v>0.96811594565709436</c:v>
                </c:pt>
                <c:pt idx="62">
                  <c:v>0.99130434989929195</c:v>
                </c:pt>
                <c:pt idx="63">
                  <c:v>0.98260869979858401</c:v>
                </c:pt>
                <c:pt idx="64">
                  <c:v>0.93812709588270926</c:v>
                </c:pt>
                <c:pt idx="65">
                  <c:v>0.98996655757610619</c:v>
                </c:pt>
                <c:pt idx="66">
                  <c:v>0.96655518733538115</c:v>
                </c:pt>
                <c:pt idx="67">
                  <c:v>0.96655518733538115</c:v>
                </c:pt>
                <c:pt idx="68">
                  <c:v>0.99420289993286137</c:v>
                </c:pt>
                <c:pt idx="69">
                  <c:v>0.97101449569066367</c:v>
                </c:pt>
                <c:pt idx="70">
                  <c:v>0.95942029953002927</c:v>
                </c:pt>
                <c:pt idx="71">
                  <c:v>0.97423510860513762</c:v>
                </c:pt>
                <c:pt idx="72">
                  <c:v>0.92307692766189575</c:v>
                </c:pt>
                <c:pt idx="73">
                  <c:v>0.96989967272831845</c:v>
                </c:pt>
                <c:pt idx="74">
                  <c:v>0.93311037925573492</c:v>
                </c:pt>
                <c:pt idx="75">
                  <c:v>0.97874396244684858</c:v>
                </c:pt>
                <c:pt idx="76">
                  <c:v>0.99130434989929195</c:v>
                </c:pt>
                <c:pt idx="77">
                  <c:v>0.97101449569066367</c:v>
                </c:pt>
                <c:pt idx="78">
                  <c:v>0.95652174154917402</c:v>
                </c:pt>
                <c:pt idx="79">
                  <c:v>0.97826087474822998</c:v>
                </c:pt>
                <c:pt idx="80">
                  <c:v>0.98115942478179929</c:v>
                </c:pt>
                <c:pt idx="81">
                  <c:v>0.97993311056723964</c:v>
                </c:pt>
                <c:pt idx="82">
                  <c:v>0.9765886343442477</c:v>
                </c:pt>
                <c:pt idx="83">
                  <c:v>0.89966554825122536</c:v>
                </c:pt>
                <c:pt idx="84">
                  <c:v>0.94983278329555809</c:v>
                </c:pt>
                <c:pt idx="85">
                  <c:v>0.99130434989929195</c:v>
                </c:pt>
                <c:pt idx="86">
                  <c:v>0.98260869979858401</c:v>
                </c:pt>
                <c:pt idx="87">
                  <c:v>0.99420289993286137</c:v>
                </c:pt>
                <c:pt idx="88">
                  <c:v>0.98550724983215332</c:v>
                </c:pt>
                <c:pt idx="89">
                  <c:v>0.93478261278225827</c:v>
                </c:pt>
                <c:pt idx="90">
                  <c:v>0.94983278788053072</c:v>
                </c:pt>
                <c:pt idx="91">
                  <c:v>0.95652174491148734</c:v>
                </c:pt>
                <c:pt idx="92">
                  <c:v>0.97971014976501469</c:v>
                </c:pt>
                <c:pt idx="93">
                  <c:v>0.98550724983215332</c:v>
                </c:pt>
                <c:pt idx="94">
                  <c:v>0.96521739562352493</c:v>
                </c:pt>
                <c:pt idx="95">
                  <c:v>0.98160535555619455</c:v>
                </c:pt>
                <c:pt idx="96">
                  <c:v>0.95652174949645996</c:v>
                </c:pt>
                <c:pt idx="97">
                  <c:v>0.93979933628669154</c:v>
                </c:pt>
                <c:pt idx="98">
                  <c:v>0.99275362491607666</c:v>
                </c:pt>
                <c:pt idx="99">
                  <c:v>0.94202898740768437</c:v>
                </c:pt>
                <c:pt idx="100">
                  <c:v>0.96956521868705747</c:v>
                </c:pt>
                <c:pt idx="101">
                  <c:v>0.96521739959716801</c:v>
                </c:pt>
                <c:pt idx="102">
                  <c:v>0.97971014976501469</c:v>
                </c:pt>
                <c:pt idx="103">
                  <c:v>0.98327759596017694</c:v>
                </c:pt>
                <c:pt idx="104">
                  <c:v>0.93812709588270926</c:v>
                </c:pt>
                <c:pt idx="105">
                  <c:v>0.94816053830660307</c:v>
                </c:pt>
                <c:pt idx="106">
                  <c:v>0.93979933857917786</c:v>
                </c:pt>
                <c:pt idx="107">
                  <c:v>0.99420289993286137</c:v>
                </c:pt>
                <c:pt idx="108">
                  <c:v>0.99130434989929195</c:v>
                </c:pt>
                <c:pt idx="109">
                  <c:v>0.98985507488250735</c:v>
                </c:pt>
                <c:pt idx="110">
                  <c:v>0.98405797481536861</c:v>
                </c:pt>
                <c:pt idx="111">
                  <c:v>0.98327759596017694</c:v>
                </c:pt>
                <c:pt idx="112">
                  <c:v>0.92809364658135629</c:v>
                </c:pt>
                <c:pt idx="113">
                  <c:v>0.97826087474822998</c:v>
                </c:pt>
                <c:pt idx="114">
                  <c:v>0.95317725951855004</c:v>
                </c:pt>
                <c:pt idx="115">
                  <c:v>0.97971014976501469</c:v>
                </c:pt>
                <c:pt idx="116">
                  <c:v>0.97391304969787595</c:v>
                </c:pt>
                <c:pt idx="117">
                  <c:v>0.98985507488250735</c:v>
                </c:pt>
                <c:pt idx="118">
                  <c:v>0.96655518733538115</c:v>
                </c:pt>
                <c:pt idx="119">
                  <c:v>0.97993311515221226</c:v>
                </c:pt>
                <c:pt idx="120">
                  <c:v>0.92140468038045442</c:v>
                </c:pt>
                <c:pt idx="121">
                  <c:v>0.95986623030442453</c:v>
                </c:pt>
                <c:pt idx="122">
                  <c:v>0.99420289993286137</c:v>
                </c:pt>
                <c:pt idx="123">
                  <c:v>0.98550724983215332</c:v>
                </c:pt>
                <c:pt idx="124">
                  <c:v>0.96811594565709436</c:v>
                </c:pt>
                <c:pt idx="125">
                  <c:v>0.99130434989929195</c:v>
                </c:pt>
                <c:pt idx="126">
                  <c:v>0.98260869979858401</c:v>
                </c:pt>
                <c:pt idx="127">
                  <c:v>0.94314381250968349</c:v>
                </c:pt>
                <c:pt idx="128">
                  <c:v>0.95986622113447928</c:v>
                </c:pt>
                <c:pt idx="129">
                  <c:v>0.89966555283619809</c:v>
                </c:pt>
                <c:pt idx="130">
                  <c:v>0.99130434989929195</c:v>
                </c:pt>
                <c:pt idx="131">
                  <c:v>0.97681159973144527</c:v>
                </c:pt>
                <c:pt idx="132">
                  <c:v>0.96989967272831845</c:v>
                </c:pt>
                <c:pt idx="133">
                  <c:v>0.93311036550081694</c:v>
                </c:pt>
                <c:pt idx="134">
                  <c:v>0.9531772549335773</c:v>
                </c:pt>
                <c:pt idx="135">
                  <c:v>0.95317726410352266</c:v>
                </c:pt>
                <c:pt idx="136">
                  <c:v>0.94202898939450586</c:v>
                </c:pt>
                <c:pt idx="137">
                  <c:v>0.98260869979858401</c:v>
                </c:pt>
                <c:pt idx="138">
                  <c:v>0.95317725951855004</c:v>
                </c:pt>
                <c:pt idx="139">
                  <c:v>0.95150501682208133</c:v>
                </c:pt>
                <c:pt idx="140">
                  <c:v>0.96655519192035377</c:v>
                </c:pt>
                <c:pt idx="141">
                  <c:v>0.99275362491607666</c:v>
                </c:pt>
                <c:pt idx="142">
                  <c:v>0.97681159973144527</c:v>
                </c:pt>
                <c:pt idx="143">
                  <c:v>0.98550724983215332</c:v>
                </c:pt>
                <c:pt idx="144">
                  <c:v>0.98260869979858401</c:v>
                </c:pt>
                <c:pt idx="145">
                  <c:v>0.98327759596017694</c:v>
                </c:pt>
                <c:pt idx="146">
                  <c:v>0.94983277871058536</c:v>
                </c:pt>
                <c:pt idx="147">
                  <c:v>0.97826087245574367</c:v>
                </c:pt>
                <c:pt idx="148">
                  <c:v>0.94983278329555809</c:v>
                </c:pt>
                <c:pt idx="149">
                  <c:v>0.87290969720253575</c:v>
                </c:pt>
                <c:pt idx="150">
                  <c:v>0.98550724983215332</c:v>
                </c:pt>
                <c:pt idx="151">
                  <c:v>0.97681159973144527</c:v>
                </c:pt>
                <c:pt idx="152">
                  <c:v>0.97971014976501469</c:v>
                </c:pt>
                <c:pt idx="153">
                  <c:v>0.9598662257194519</c:v>
                </c:pt>
                <c:pt idx="154">
                  <c:v>0.98327759596017694</c:v>
                </c:pt>
                <c:pt idx="155">
                  <c:v>0.97157191313230074</c:v>
                </c:pt>
                <c:pt idx="156">
                  <c:v>0.93311037008578956</c:v>
                </c:pt>
                <c:pt idx="157">
                  <c:v>0.97324414895131039</c:v>
                </c:pt>
                <c:pt idx="158">
                  <c:v>0.98327759596017694</c:v>
                </c:pt>
                <c:pt idx="159">
                  <c:v>0.97971014976501469</c:v>
                </c:pt>
                <c:pt idx="160">
                  <c:v>0.97681159973144527</c:v>
                </c:pt>
                <c:pt idx="161">
                  <c:v>0.94314381250968349</c:v>
                </c:pt>
                <c:pt idx="162">
                  <c:v>0.98327759596017694</c:v>
                </c:pt>
                <c:pt idx="163">
                  <c:v>0.89297658205032349</c:v>
                </c:pt>
                <c:pt idx="164">
                  <c:v>0.93311037237827599</c:v>
                </c:pt>
                <c:pt idx="165">
                  <c:v>0.98840579986572263</c:v>
                </c:pt>
                <c:pt idx="166">
                  <c:v>0.97391304969787595</c:v>
                </c:pt>
                <c:pt idx="167">
                  <c:v>0.94983278329555809</c:v>
                </c:pt>
                <c:pt idx="168">
                  <c:v>0.96655518733538115</c:v>
                </c:pt>
                <c:pt idx="169">
                  <c:v>0.97491638935529268</c:v>
                </c:pt>
                <c:pt idx="170">
                  <c:v>0.8628762501936692</c:v>
                </c:pt>
                <c:pt idx="171">
                  <c:v>0.97993311515221226</c:v>
                </c:pt>
                <c:pt idx="172">
                  <c:v>0.96321071111238921</c:v>
                </c:pt>
                <c:pt idx="173">
                  <c:v>0.96488294922388518</c:v>
                </c:pt>
                <c:pt idx="174">
                  <c:v>0.97101449966430664</c:v>
                </c:pt>
                <c:pt idx="175">
                  <c:v>0.97658862975927496</c:v>
                </c:pt>
                <c:pt idx="176">
                  <c:v>0.96321070652741647</c:v>
                </c:pt>
                <c:pt idx="177">
                  <c:v>0.93812709588270926</c:v>
                </c:pt>
                <c:pt idx="178">
                  <c:v>0.9765886343442477</c:v>
                </c:pt>
                <c:pt idx="179">
                  <c:v>0.89966555283619809</c:v>
                </c:pt>
                <c:pt idx="180">
                  <c:v>0.94314381709465611</c:v>
                </c:pt>
                <c:pt idx="181">
                  <c:v>0.9565217403265146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95-49C2-A084-E2579C645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689552"/>
        <c:axId val="104690032"/>
      </c:scatterChart>
      <c:scatterChart>
        <c:scatterStyle val="smoothMarker"/>
        <c:varyColors val="0"/>
        <c:ser>
          <c:idx val="2"/>
          <c:order val="2"/>
          <c:tx>
            <c:strRef>
              <c:f>Iris!$Z$1</c:f>
              <c:strCache>
                <c:ptCount val="1"/>
                <c:pt idx="0">
                  <c:v>steps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Iris!$W$2:$W$183</c:f>
              <c:numCache>
                <c:formatCode>General</c:formatCode>
                <c:ptCount val="182"/>
                <c:pt idx="0">
                  <c:v>255</c:v>
                </c:pt>
                <c:pt idx="1">
                  <c:v>303</c:v>
                </c:pt>
                <c:pt idx="2">
                  <c:v>303</c:v>
                </c:pt>
                <c:pt idx="3">
                  <c:v>355</c:v>
                </c:pt>
                <c:pt idx="4">
                  <c:v>355</c:v>
                </c:pt>
                <c:pt idx="5">
                  <c:v>355</c:v>
                </c:pt>
                <c:pt idx="6">
                  <c:v>411</c:v>
                </c:pt>
                <c:pt idx="7">
                  <c:v>411</c:v>
                </c:pt>
                <c:pt idx="8">
                  <c:v>411</c:v>
                </c:pt>
                <c:pt idx="9">
                  <c:v>411</c:v>
                </c:pt>
                <c:pt idx="10">
                  <c:v>471</c:v>
                </c:pt>
                <c:pt idx="11">
                  <c:v>471</c:v>
                </c:pt>
                <c:pt idx="12">
                  <c:v>471</c:v>
                </c:pt>
                <c:pt idx="13">
                  <c:v>535</c:v>
                </c:pt>
                <c:pt idx="14">
                  <c:v>535</c:v>
                </c:pt>
                <c:pt idx="15">
                  <c:v>535</c:v>
                </c:pt>
                <c:pt idx="16">
                  <c:v>603</c:v>
                </c:pt>
                <c:pt idx="17">
                  <c:v>603</c:v>
                </c:pt>
                <c:pt idx="18">
                  <c:v>603</c:v>
                </c:pt>
                <c:pt idx="19">
                  <c:v>603</c:v>
                </c:pt>
                <c:pt idx="20">
                  <c:v>603</c:v>
                </c:pt>
                <c:pt idx="21">
                  <c:v>675</c:v>
                </c:pt>
                <c:pt idx="22">
                  <c:v>675</c:v>
                </c:pt>
                <c:pt idx="23">
                  <c:v>675</c:v>
                </c:pt>
                <c:pt idx="24">
                  <c:v>751</c:v>
                </c:pt>
                <c:pt idx="25">
                  <c:v>751</c:v>
                </c:pt>
                <c:pt idx="26">
                  <c:v>751</c:v>
                </c:pt>
                <c:pt idx="27">
                  <c:v>751</c:v>
                </c:pt>
                <c:pt idx="28">
                  <c:v>751</c:v>
                </c:pt>
                <c:pt idx="29">
                  <c:v>831</c:v>
                </c:pt>
                <c:pt idx="30">
                  <c:v>831</c:v>
                </c:pt>
                <c:pt idx="31">
                  <c:v>831</c:v>
                </c:pt>
                <c:pt idx="32">
                  <c:v>831</c:v>
                </c:pt>
                <c:pt idx="33">
                  <c:v>831</c:v>
                </c:pt>
                <c:pt idx="34">
                  <c:v>831</c:v>
                </c:pt>
                <c:pt idx="35">
                  <c:v>915</c:v>
                </c:pt>
                <c:pt idx="36">
                  <c:v>915</c:v>
                </c:pt>
                <c:pt idx="37">
                  <c:v>915</c:v>
                </c:pt>
                <c:pt idx="38">
                  <c:v>915</c:v>
                </c:pt>
                <c:pt idx="39">
                  <c:v>915</c:v>
                </c:pt>
                <c:pt idx="40">
                  <c:v>915</c:v>
                </c:pt>
                <c:pt idx="41">
                  <c:v>915</c:v>
                </c:pt>
                <c:pt idx="42">
                  <c:v>915</c:v>
                </c:pt>
                <c:pt idx="43">
                  <c:v>915</c:v>
                </c:pt>
                <c:pt idx="44">
                  <c:v>1003</c:v>
                </c:pt>
                <c:pt idx="45">
                  <c:v>1003</c:v>
                </c:pt>
                <c:pt idx="46">
                  <c:v>1003</c:v>
                </c:pt>
                <c:pt idx="47">
                  <c:v>1003</c:v>
                </c:pt>
                <c:pt idx="48">
                  <c:v>1003</c:v>
                </c:pt>
                <c:pt idx="49">
                  <c:v>1003</c:v>
                </c:pt>
                <c:pt idx="50">
                  <c:v>1003</c:v>
                </c:pt>
                <c:pt idx="51">
                  <c:v>1003</c:v>
                </c:pt>
                <c:pt idx="52">
                  <c:v>1095</c:v>
                </c:pt>
                <c:pt idx="53">
                  <c:v>1095</c:v>
                </c:pt>
                <c:pt idx="54">
                  <c:v>1095</c:v>
                </c:pt>
                <c:pt idx="55">
                  <c:v>1095</c:v>
                </c:pt>
                <c:pt idx="56">
                  <c:v>1095</c:v>
                </c:pt>
                <c:pt idx="57">
                  <c:v>1095</c:v>
                </c:pt>
                <c:pt idx="58">
                  <c:v>1095</c:v>
                </c:pt>
                <c:pt idx="59">
                  <c:v>1191</c:v>
                </c:pt>
                <c:pt idx="60">
                  <c:v>1191</c:v>
                </c:pt>
                <c:pt idx="61">
                  <c:v>1191</c:v>
                </c:pt>
                <c:pt idx="62">
                  <c:v>1191</c:v>
                </c:pt>
                <c:pt idx="63">
                  <c:v>1191</c:v>
                </c:pt>
                <c:pt idx="64">
                  <c:v>1191</c:v>
                </c:pt>
                <c:pt idx="65">
                  <c:v>1191</c:v>
                </c:pt>
                <c:pt idx="66">
                  <c:v>1191</c:v>
                </c:pt>
                <c:pt idx="67">
                  <c:v>1191</c:v>
                </c:pt>
                <c:pt idx="68">
                  <c:v>1291</c:v>
                </c:pt>
                <c:pt idx="69">
                  <c:v>1291</c:v>
                </c:pt>
                <c:pt idx="70">
                  <c:v>1291</c:v>
                </c:pt>
                <c:pt idx="71">
                  <c:v>1291</c:v>
                </c:pt>
                <c:pt idx="72">
                  <c:v>1291</c:v>
                </c:pt>
                <c:pt idx="73">
                  <c:v>1291</c:v>
                </c:pt>
                <c:pt idx="74">
                  <c:v>1291</c:v>
                </c:pt>
                <c:pt idx="75">
                  <c:v>1395</c:v>
                </c:pt>
                <c:pt idx="76">
                  <c:v>1395</c:v>
                </c:pt>
                <c:pt idx="77">
                  <c:v>1395</c:v>
                </c:pt>
                <c:pt idx="78">
                  <c:v>1395</c:v>
                </c:pt>
                <c:pt idx="79">
                  <c:v>1395</c:v>
                </c:pt>
                <c:pt idx="80">
                  <c:v>1395</c:v>
                </c:pt>
                <c:pt idx="81">
                  <c:v>1395</c:v>
                </c:pt>
                <c:pt idx="82">
                  <c:v>1395</c:v>
                </c:pt>
                <c:pt idx="83">
                  <c:v>1395</c:v>
                </c:pt>
                <c:pt idx="84">
                  <c:v>1395</c:v>
                </c:pt>
                <c:pt idx="85">
                  <c:v>1503</c:v>
                </c:pt>
                <c:pt idx="86">
                  <c:v>1503</c:v>
                </c:pt>
                <c:pt idx="87">
                  <c:v>1503</c:v>
                </c:pt>
                <c:pt idx="88">
                  <c:v>1503</c:v>
                </c:pt>
                <c:pt idx="89">
                  <c:v>1503</c:v>
                </c:pt>
                <c:pt idx="90">
                  <c:v>1503</c:v>
                </c:pt>
                <c:pt idx="91">
                  <c:v>1503</c:v>
                </c:pt>
                <c:pt idx="92">
                  <c:v>1615</c:v>
                </c:pt>
                <c:pt idx="93">
                  <c:v>1615</c:v>
                </c:pt>
                <c:pt idx="94">
                  <c:v>1615</c:v>
                </c:pt>
                <c:pt idx="95">
                  <c:v>1615</c:v>
                </c:pt>
                <c:pt idx="96">
                  <c:v>1615</c:v>
                </c:pt>
                <c:pt idx="97">
                  <c:v>1615</c:v>
                </c:pt>
                <c:pt idx="98">
                  <c:v>1731</c:v>
                </c:pt>
                <c:pt idx="99">
                  <c:v>1731</c:v>
                </c:pt>
                <c:pt idx="100">
                  <c:v>1731</c:v>
                </c:pt>
                <c:pt idx="101">
                  <c:v>1731</c:v>
                </c:pt>
                <c:pt idx="102">
                  <c:v>1731</c:v>
                </c:pt>
                <c:pt idx="103">
                  <c:v>1731</c:v>
                </c:pt>
                <c:pt idx="104">
                  <c:v>1731</c:v>
                </c:pt>
                <c:pt idx="105">
                  <c:v>1731</c:v>
                </c:pt>
                <c:pt idx="106">
                  <c:v>1731</c:v>
                </c:pt>
                <c:pt idx="107">
                  <c:v>1851</c:v>
                </c:pt>
                <c:pt idx="108">
                  <c:v>1851</c:v>
                </c:pt>
                <c:pt idx="109">
                  <c:v>1851</c:v>
                </c:pt>
                <c:pt idx="110">
                  <c:v>1851</c:v>
                </c:pt>
                <c:pt idx="111">
                  <c:v>1851</c:v>
                </c:pt>
                <c:pt idx="112">
                  <c:v>1851</c:v>
                </c:pt>
                <c:pt idx="113">
                  <c:v>1851</c:v>
                </c:pt>
                <c:pt idx="114">
                  <c:v>1851</c:v>
                </c:pt>
                <c:pt idx="115">
                  <c:v>1975</c:v>
                </c:pt>
                <c:pt idx="116">
                  <c:v>1975</c:v>
                </c:pt>
                <c:pt idx="117">
                  <c:v>1975</c:v>
                </c:pt>
                <c:pt idx="118">
                  <c:v>1975</c:v>
                </c:pt>
                <c:pt idx="119">
                  <c:v>1975</c:v>
                </c:pt>
                <c:pt idx="120">
                  <c:v>1975</c:v>
                </c:pt>
                <c:pt idx="121">
                  <c:v>1975</c:v>
                </c:pt>
                <c:pt idx="122">
                  <c:v>2103</c:v>
                </c:pt>
                <c:pt idx="123">
                  <c:v>2103</c:v>
                </c:pt>
                <c:pt idx="124">
                  <c:v>2103</c:v>
                </c:pt>
                <c:pt idx="125">
                  <c:v>2103</c:v>
                </c:pt>
                <c:pt idx="126">
                  <c:v>2103</c:v>
                </c:pt>
                <c:pt idx="127">
                  <c:v>2103</c:v>
                </c:pt>
                <c:pt idx="128">
                  <c:v>2103</c:v>
                </c:pt>
                <c:pt idx="129">
                  <c:v>2103</c:v>
                </c:pt>
                <c:pt idx="130">
                  <c:v>2235</c:v>
                </c:pt>
                <c:pt idx="131">
                  <c:v>2235</c:v>
                </c:pt>
                <c:pt idx="132">
                  <c:v>2235</c:v>
                </c:pt>
                <c:pt idx="133">
                  <c:v>2235</c:v>
                </c:pt>
                <c:pt idx="134">
                  <c:v>2235</c:v>
                </c:pt>
                <c:pt idx="135">
                  <c:v>2235</c:v>
                </c:pt>
                <c:pt idx="136">
                  <c:v>2371</c:v>
                </c:pt>
                <c:pt idx="137">
                  <c:v>2371</c:v>
                </c:pt>
                <c:pt idx="138">
                  <c:v>2371</c:v>
                </c:pt>
                <c:pt idx="139">
                  <c:v>2371</c:v>
                </c:pt>
                <c:pt idx="140">
                  <c:v>2371</c:v>
                </c:pt>
                <c:pt idx="141">
                  <c:v>2511</c:v>
                </c:pt>
                <c:pt idx="142">
                  <c:v>2511</c:v>
                </c:pt>
                <c:pt idx="143">
                  <c:v>2511</c:v>
                </c:pt>
                <c:pt idx="144">
                  <c:v>2511</c:v>
                </c:pt>
                <c:pt idx="145">
                  <c:v>2511</c:v>
                </c:pt>
                <c:pt idx="146">
                  <c:v>2511</c:v>
                </c:pt>
                <c:pt idx="147">
                  <c:v>2511</c:v>
                </c:pt>
                <c:pt idx="148">
                  <c:v>2511</c:v>
                </c:pt>
                <c:pt idx="149">
                  <c:v>2511</c:v>
                </c:pt>
                <c:pt idx="150">
                  <c:v>2655</c:v>
                </c:pt>
                <c:pt idx="151">
                  <c:v>2655</c:v>
                </c:pt>
                <c:pt idx="152">
                  <c:v>2655</c:v>
                </c:pt>
                <c:pt idx="153">
                  <c:v>2655</c:v>
                </c:pt>
                <c:pt idx="154">
                  <c:v>2655</c:v>
                </c:pt>
                <c:pt idx="155">
                  <c:v>2655</c:v>
                </c:pt>
                <c:pt idx="156">
                  <c:v>2655</c:v>
                </c:pt>
                <c:pt idx="157">
                  <c:v>2803</c:v>
                </c:pt>
                <c:pt idx="158">
                  <c:v>2803</c:v>
                </c:pt>
                <c:pt idx="159">
                  <c:v>2955</c:v>
                </c:pt>
                <c:pt idx="160">
                  <c:v>2955</c:v>
                </c:pt>
                <c:pt idx="161">
                  <c:v>2955</c:v>
                </c:pt>
                <c:pt idx="162">
                  <c:v>2955</c:v>
                </c:pt>
                <c:pt idx="163">
                  <c:v>2955</c:v>
                </c:pt>
                <c:pt idx="164">
                  <c:v>2955</c:v>
                </c:pt>
                <c:pt idx="165">
                  <c:v>3111</c:v>
                </c:pt>
                <c:pt idx="166">
                  <c:v>3111</c:v>
                </c:pt>
                <c:pt idx="167">
                  <c:v>3111</c:v>
                </c:pt>
                <c:pt idx="168">
                  <c:v>3111</c:v>
                </c:pt>
                <c:pt idx="169">
                  <c:v>3271</c:v>
                </c:pt>
                <c:pt idx="170">
                  <c:v>3271</c:v>
                </c:pt>
                <c:pt idx="171">
                  <c:v>3435</c:v>
                </c:pt>
                <c:pt idx="172">
                  <c:v>3435</c:v>
                </c:pt>
                <c:pt idx="173">
                  <c:v>3435</c:v>
                </c:pt>
                <c:pt idx="174">
                  <c:v>3603</c:v>
                </c:pt>
                <c:pt idx="175">
                  <c:v>3603</c:v>
                </c:pt>
                <c:pt idx="176">
                  <c:v>3603</c:v>
                </c:pt>
                <c:pt idx="177">
                  <c:v>3775</c:v>
                </c:pt>
                <c:pt idx="178">
                  <c:v>3951</c:v>
                </c:pt>
                <c:pt idx="179">
                  <c:v>3951</c:v>
                </c:pt>
                <c:pt idx="180">
                  <c:v>4131</c:v>
                </c:pt>
                <c:pt idx="181">
                  <c:v>4695</c:v>
                </c:pt>
              </c:numCache>
            </c:numRef>
          </c:xVal>
          <c:yVal>
            <c:numRef>
              <c:f>Iris!$Z$2:$Z$183</c:f>
              <c:numCache>
                <c:formatCode>General</c:formatCode>
                <c:ptCount val="182"/>
                <c:pt idx="0">
                  <c:v>12.120027543831771</c:v>
                </c:pt>
                <c:pt idx="1">
                  <c:v>12.116168298491665</c:v>
                </c:pt>
                <c:pt idx="2">
                  <c:v>11.985856442895388</c:v>
                </c:pt>
                <c:pt idx="3">
                  <c:v>12.068767908309455</c:v>
                </c:pt>
                <c:pt idx="4">
                  <c:v>11.935011942675159</c:v>
                </c:pt>
                <c:pt idx="5">
                  <c:v>11.810242690617237</c:v>
                </c:pt>
                <c:pt idx="6">
                  <c:v>12.16975856320912</c:v>
                </c:pt>
                <c:pt idx="7">
                  <c:v>12.028417542959733</c:v>
                </c:pt>
                <c:pt idx="8">
                  <c:v>11.886742498529124</c:v>
                </c:pt>
                <c:pt idx="9">
                  <c:v>11.776917995659149</c:v>
                </c:pt>
                <c:pt idx="10">
                  <c:v>11.982183414929592</c:v>
                </c:pt>
                <c:pt idx="11">
                  <c:v>11.847798742138364</c:v>
                </c:pt>
                <c:pt idx="12">
                  <c:v>11.748159194705938</c:v>
                </c:pt>
                <c:pt idx="13">
                  <c:v>12.16622790522753</c:v>
                </c:pt>
                <c:pt idx="14">
                  <c:v>12.11273861773571</c:v>
                </c:pt>
                <c:pt idx="15">
                  <c:v>11.713950276243095</c:v>
                </c:pt>
                <c:pt idx="16">
                  <c:v>12.162918031026894</c:v>
                </c:pt>
                <c:pt idx="17">
                  <c:v>12.066107958981833</c:v>
                </c:pt>
                <c:pt idx="18">
                  <c:v>11.97912148872863</c:v>
                </c:pt>
                <c:pt idx="19">
                  <c:v>11.932428400954654</c:v>
                </c:pt>
                <c:pt idx="20">
                  <c:v>11.808555332760431</c:v>
                </c:pt>
                <c:pt idx="21">
                  <c:v>12.109473239287789</c:v>
                </c:pt>
                <c:pt idx="22">
                  <c:v>11.977072310405644</c:v>
                </c:pt>
                <c:pt idx="23">
                  <c:v>11.883450911228689</c:v>
                </c:pt>
                <c:pt idx="24">
                  <c:v>12.159184768034326</c:v>
                </c:pt>
                <c:pt idx="25">
                  <c:v>12.1064245367682</c:v>
                </c:pt>
                <c:pt idx="26">
                  <c:v>12.025216544513352</c:v>
                </c:pt>
                <c:pt idx="27">
                  <c:v>11.929352146263911</c:v>
                </c:pt>
                <c:pt idx="28">
                  <c:v>11.775462089777443</c:v>
                </c:pt>
                <c:pt idx="29">
                  <c:v>12.062204192021635</c:v>
                </c:pt>
                <c:pt idx="30">
                  <c:v>11.973767685413625</c:v>
                </c:pt>
                <c:pt idx="31">
                  <c:v>11.927323272438443</c:v>
                </c:pt>
                <c:pt idx="32">
                  <c:v>11.844710887642622</c:v>
                </c:pt>
                <c:pt idx="33">
                  <c:v>11.807347328244274</c:v>
                </c:pt>
                <c:pt idx="34">
                  <c:v>11.746553651266765</c:v>
                </c:pt>
                <c:pt idx="35">
                  <c:v>12.150179230645765</c:v>
                </c:pt>
                <c:pt idx="36">
                  <c:v>12.10332823461153</c:v>
                </c:pt>
                <c:pt idx="37">
                  <c:v>12.06017772696565</c:v>
                </c:pt>
                <c:pt idx="38">
                  <c:v>12.022225636298458</c:v>
                </c:pt>
                <c:pt idx="39">
                  <c:v>11.968731148200282</c:v>
                </c:pt>
                <c:pt idx="40">
                  <c:v>11.880311337380066</c:v>
                </c:pt>
                <c:pt idx="41">
                  <c:v>11.805235052922667</c:v>
                </c:pt>
                <c:pt idx="42">
                  <c:v>11.774055225709169</c:v>
                </c:pt>
                <c:pt idx="43">
                  <c:v>11.711972025397994</c:v>
                </c:pt>
                <c:pt idx="44">
                  <c:v>12.148007691485953</c:v>
                </c:pt>
                <c:pt idx="45">
                  <c:v>12.098367561874671</c:v>
                </c:pt>
                <c:pt idx="46">
                  <c:v>12.01959780995753</c:v>
                </c:pt>
                <c:pt idx="47">
                  <c:v>11.965089411291943</c:v>
                </c:pt>
                <c:pt idx="48">
                  <c:v>11.923908730158731</c:v>
                </c:pt>
                <c:pt idx="49">
                  <c:v>11.877812561142633</c:v>
                </c:pt>
                <c:pt idx="50">
                  <c:v>11.842641801140207</c:v>
                </c:pt>
                <c:pt idx="51">
                  <c:v>11.771567150122433</c:v>
                </c:pt>
                <c:pt idx="52">
                  <c:v>12.09428601494265</c:v>
                </c:pt>
                <c:pt idx="53">
                  <c:v>12.057116153486682</c:v>
                </c:pt>
                <c:pt idx="54">
                  <c:v>11.962758482232484</c:v>
                </c:pt>
                <c:pt idx="55">
                  <c:v>11.918973800208013</c:v>
                </c:pt>
                <c:pt idx="56">
                  <c:v>11.840768636539204</c:v>
                </c:pt>
                <c:pt idx="57">
                  <c:v>11.804078521059653</c:v>
                </c:pt>
                <c:pt idx="58">
                  <c:v>11.743879735641814</c:v>
                </c:pt>
                <c:pt idx="59">
                  <c:v>12.144999466325114</c:v>
                </c:pt>
                <c:pt idx="60">
                  <c:v>12.091525601934602</c:v>
                </c:pt>
                <c:pt idx="61">
                  <c:v>12.051995852773457</c:v>
                </c:pt>
                <c:pt idx="62">
                  <c:v>12.015696098982566</c:v>
                </c:pt>
                <c:pt idx="63">
                  <c:v>11.875415444770283</c:v>
                </c:pt>
                <c:pt idx="64">
                  <c:v>11.802569593147751</c:v>
                </c:pt>
                <c:pt idx="65">
                  <c:v>11.769129411764705</c:v>
                </c:pt>
                <c:pt idx="66">
                  <c:v>11.742465116279069</c:v>
                </c:pt>
                <c:pt idx="67">
                  <c:v>11.709950340261173</c:v>
                </c:pt>
                <c:pt idx="68">
                  <c:v>12.048482337097276</c:v>
                </c:pt>
                <c:pt idx="69">
                  <c:v>12.012618135376757</c:v>
                </c:pt>
                <c:pt idx="70">
                  <c:v>11.915375859850547</c:v>
                </c:pt>
                <c:pt idx="71">
                  <c:v>11.873682155408044</c:v>
                </c:pt>
                <c:pt idx="72">
                  <c:v>11.801417090684293</c:v>
                </c:pt>
                <c:pt idx="73">
                  <c:v>11.766647855530474</c:v>
                </c:pt>
                <c:pt idx="74">
                  <c:v>11.708161014612628</c:v>
                </c:pt>
                <c:pt idx="75">
                  <c:v>12.136871805792163</c:v>
                </c:pt>
                <c:pt idx="76">
                  <c:v>12.089277279168634</c:v>
                </c:pt>
                <c:pt idx="77">
                  <c:v>12.046993064900114</c:v>
                </c:pt>
                <c:pt idx="78">
                  <c:v>12.010872339339492</c:v>
                </c:pt>
                <c:pt idx="79">
                  <c:v>11.962064645452267</c:v>
                </c:pt>
                <c:pt idx="80">
                  <c:v>11.910416049016701</c:v>
                </c:pt>
                <c:pt idx="81">
                  <c:v>11.838029528128921</c:v>
                </c:pt>
                <c:pt idx="82">
                  <c:v>11.799220643444375</c:v>
                </c:pt>
                <c:pt idx="83">
                  <c:v>11.766848388006391</c:v>
                </c:pt>
                <c:pt idx="84">
                  <c:v>11.740634005763688</c:v>
                </c:pt>
                <c:pt idx="85">
                  <c:v>12.133829787234042</c:v>
                </c:pt>
                <c:pt idx="86">
                  <c:v>12.086737637002464</c:v>
                </c:pt>
                <c:pt idx="87">
                  <c:v>12.007701331157239</c:v>
                </c:pt>
                <c:pt idx="88">
                  <c:v>11.870171673819742</c:v>
                </c:pt>
                <c:pt idx="89">
                  <c:v>11.834819062304245</c:v>
                </c:pt>
                <c:pt idx="90">
                  <c:v>11.765780574863799</c:v>
                </c:pt>
                <c:pt idx="91">
                  <c:v>11.738294314381271</c:v>
                </c:pt>
                <c:pt idx="92">
                  <c:v>12.005096060745045</c:v>
                </c:pt>
                <c:pt idx="93">
                  <c:v>11.95345232738363</c:v>
                </c:pt>
                <c:pt idx="94">
                  <c:v>11.908857509627728</c:v>
                </c:pt>
                <c:pt idx="95">
                  <c:v>11.866494569188058</c:v>
                </c:pt>
                <c:pt idx="96">
                  <c:v>11.764244813667512</c:v>
                </c:pt>
                <c:pt idx="97">
                  <c:v>11.706052534900808</c:v>
                </c:pt>
                <c:pt idx="98">
                  <c:v>12.129945302957889</c:v>
                </c:pt>
                <c:pt idx="99">
                  <c:v>12.082513089005236</c:v>
                </c:pt>
                <c:pt idx="100">
                  <c:v>12.047021133674365</c:v>
                </c:pt>
                <c:pt idx="101">
                  <c:v>11.950442124194435</c:v>
                </c:pt>
                <c:pt idx="102">
                  <c:v>11.906117414898866</c:v>
                </c:pt>
                <c:pt idx="103">
                  <c:v>11.832811672364809</c:v>
                </c:pt>
                <c:pt idx="104">
                  <c:v>11.795823445657332</c:v>
                </c:pt>
                <c:pt idx="105">
                  <c:v>11.735328230109024</c:v>
                </c:pt>
                <c:pt idx="106">
                  <c:v>11.702059349630785</c:v>
                </c:pt>
                <c:pt idx="107">
                  <c:v>12.126757574149732</c:v>
                </c:pt>
                <c:pt idx="108">
                  <c:v>12.081920903954803</c:v>
                </c:pt>
                <c:pt idx="109">
                  <c:v>12.042921997523731</c:v>
                </c:pt>
                <c:pt idx="110">
                  <c:v>11.901433426924783</c:v>
                </c:pt>
                <c:pt idx="111">
                  <c:v>11.866001460209297</c:v>
                </c:pt>
                <c:pt idx="112">
                  <c:v>11.829037222275657</c:v>
                </c:pt>
                <c:pt idx="113">
                  <c:v>11.791107740437029</c:v>
                </c:pt>
                <c:pt idx="114">
                  <c:v>11.733923686772682</c:v>
                </c:pt>
                <c:pt idx="115">
                  <c:v>12.041288659793814</c:v>
                </c:pt>
                <c:pt idx="116">
                  <c:v>12.002136969573623</c:v>
                </c:pt>
                <c:pt idx="117">
                  <c:v>11.943934557063049</c:v>
                </c:pt>
                <c:pt idx="118">
                  <c:v>11.864049807870032</c:v>
                </c:pt>
                <c:pt idx="119">
                  <c:v>11.789019942210222</c:v>
                </c:pt>
                <c:pt idx="120">
                  <c:v>11.760558758730605</c:v>
                </c:pt>
                <c:pt idx="121">
                  <c:v>11.699821240317183</c:v>
                </c:pt>
                <c:pt idx="122">
                  <c:v>12.123363197794625</c:v>
                </c:pt>
                <c:pt idx="123">
                  <c:v>12.078027889486604</c:v>
                </c:pt>
                <c:pt idx="124">
                  <c:v>12.000355871886121</c:v>
                </c:pt>
                <c:pt idx="125">
                  <c:v>11.94093899521531</c:v>
                </c:pt>
                <c:pt idx="126">
                  <c:v>11.89934537579367</c:v>
                </c:pt>
                <c:pt idx="127">
                  <c:v>11.827758554402154</c:v>
                </c:pt>
                <c:pt idx="128">
                  <c:v>11.760434721506535</c:v>
                </c:pt>
                <c:pt idx="129">
                  <c:v>11.698593742842746</c:v>
                </c:pt>
                <c:pt idx="130">
                  <c:v>12.07493607472734</c:v>
                </c:pt>
                <c:pt idx="131">
                  <c:v>12.039555006180469</c:v>
                </c:pt>
                <c:pt idx="132">
                  <c:v>11.859370445934131</c:v>
                </c:pt>
                <c:pt idx="133">
                  <c:v>11.825713187974259</c:v>
                </c:pt>
                <c:pt idx="134">
                  <c:v>11.787739644970415</c:v>
                </c:pt>
                <c:pt idx="135">
                  <c:v>11.730135210224116</c:v>
                </c:pt>
                <c:pt idx="136">
                  <c:v>11.997715851987209</c:v>
                </c:pt>
                <c:pt idx="137">
                  <c:v>11.893945350894437</c:v>
                </c:pt>
                <c:pt idx="138">
                  <c:v>11.856699029126213</c:v>
                </c:pt>
                <c:pt idx="139">
                  <c:v>11.757649480677459</c:v>
                </c:pt>
                <c:pt idx="140">
                  <c:v>11.727950023137437</c:v>
                </c:pt>
                <c:pt idx="141">
                  <c:v>12.035121098369929</c:v>
                </c:pt>
                <c:pt idx="142">
                  <c:v>11.995435411066593</c:v>
                </c:pt>
                <c:pt idx="143">
                  <c:v>11.93784860557769</c:v>
                </c:pt>
                <c:pt idx="144">
                  <c:v>11.891720683559223</c:v>
                </c:pt>
                <c:pt idx="145">
                  <c:v>11.854079751625109</c:v>
                </c:pt>
                <c:pt idx="146">
                  <c:v>11.822773274497578</c:v>
                </c:pt>
                <c:pt idx="147">
                  <c:v>11.782951966717095</c:v>
                </c:pt>
                <c:pt idx="148">
                  <c:v>11.75654572657565</c:v>
                </c:pt>
                <c:pt idx="149">
                  <c:v>11.694802818190137</c:v>
                </c:pt>
                <c:pt idx="150">
                  <c:v>12.072266541529798</c:v>
                </c:pt>
                <c:pt idx="151">
                  <c:v>12.03236911062015</c:v>
                </c:pt>
                <c:pt idx="152">
                  <c:v>11.992905285562257</c:v>
                </c:pt>
                <c:pt idx="153">
                  <c:v>11.781016724936219</c:v>
                </c:pt>
                <c:pt idx="154">
                  <c:v>11.754789272030651</c:v>
                </c:pt>
                <c:pt idx="155">
                  <c:v>11.723852659795721</c:v>
                </c:pt>
                <c:pt idx="156">
                  <c:v>11.692803584491587</c:v>
                </c:pt>
                <c:pt idx="157">
                  <c:v>11.851851851851851</c:v>
                </c:pt>
                <c:pt idx="158">
                  <c:v>11.820831136461679</c:v>
                </c:pt>
                <c:pt idx="159">
                  <c:v>11.992505949668338</c:v>
                </c:pt>
                <c:pt idx="160">
                  <c:v>11.889156035328753</c:v>
                </c:pt>
                <c:pt idx="161">
                  <c:v>11.850983431837999</c:v>
                </c:pt>
                <c:pt idx="162">
                  <c:v>11.753081807994024</c:v>
                </c:pt>
                <c:pt idx="163">
                  <c:v>11.722460856311487</c:v>
                </c:pt>
                <c:pt idx="164">
                  <c:v>11.689163888762044</c:v>
                </c:pt>
                <c:pt idx="165">
                  <c:v>12.031264438626213</c:v>
                </c:pt>
                <c:pt idx="166">
                  <c:v>11.990184669870985</c:v>
                </c:pt>
                <c:pt idx="167">
                  <c:v>11.77908404154863</c:v>
                </c:pt>
                <c:pt idx="168">
                  <c:v>11.7518898740084</c:v>
                </c:pt>
                <c:pt idx="169">
                  <c:v>11.816467209191</c:v>
                </c:pt>
                <c:pt idx="170">
                  <c:v>11.686670013234153</c:v>
                </c:pt>
                <c:pt idx="171">
                  <c:v>11.849390007745933</c:v>
                </c:pt>
                <c:pt idx="172">
                  <c:v>11.815059318790663</c:v>
                </c:pt>
                <c:pt idx="173">
                  <c:v>11.719162284343573</c:v>
                </c:pt>
                <c:pt idx="174">
                  <c:v>11.98791769880188</c:v>
                </c:pt>
                <c:pt idx="175">
                  <c:v>11.749720201454952</c:v>
                </c:pt>
                <c:pt idx="176">
                  <c:v>11.717222939332473</c:v>
                </c:pt>
                <c:pt idx="177">
                  <c:v>11.683272561531449</c:v>
                </c:pt>
                <c:pt idx="178">
                  <c:v>11.812553781432259</c:v>
                </c:pt>
                <c:pt idx="179">
                  <c:v>11.681470347089368</c:v>
                </c:pt>
                <c:pt idx="180">
                  <c:v>11.715654657698332</c:v>
                </c:pt>
                <c:pt idx="181">
                  <c:v>11.679306263656228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95-49C2-A084-E2579C645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704432"/>
        <c:axId val="104702512"/>
      </c:scatterChart>
      <c:valAx>
        <c:axId val="10468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4690032"/>
        <c:crosses val="autoZero"/>
        <c:crossBetween val="midCat"/>
      </c:valAx>
      <c:valAx>
        <c:axId val="10469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4689552"/>
        <c:crosses val="autoZero"/>
        <c:crossBetween val="midCat"/>
      </c:valAx>
      <c:valAx>
        <c:axId val="1047025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4704432"/>
        <c:crosses val="max"/>
        <c:crossBetween val="midCat"/>
      </c:valAx>
      <c:valAx>
        <c:axId val="104704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702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Wine!$X$1</c:f>
              <c:strCache>
                <c:ptCount val="1"/>
                <c:pt idx="0">
                  <c:v>test accuracy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Wine!$W$2:$W$425</c:f>
              <c:numCache>
                <c:formatCode>General</c:formatCode>
                <c:ptCount val="37"/>
                <c:pt idx="0">
                  <c:v>3444</c:v>
                </c:pt>
                <c:pt idx="1">
                  <c:v>4329</c:v>
                </c:pt>
                <c:pt idx="2">
                  <c:v>5109</c:v>
                </c:pt>
                <c:pt idx="3">
                  <c:v>5953</c:v>
                </c:pt>
                <c:pt idx="4">
                  <c:v>6628</c:v>
                </c:pt>
                <c:pt idx="5">
                  <c:v>7584</c:v>
                </c:pt>
                <c:pt idx="6">
                  <c:v>8343</c:v>
                </c:pt>
                <c:pt idx="7">
                  <c:v>9138</c:v>
                </c:pt>
                <c:pt idx="8">
                  <c:v>9411</c:v>
                </c:pt>
                <c:pt idx="9">
                  <c:v>9969</c:v>
                </c:pt>
                <c:pt idx="10">
                  <c:v>10254</c:v>
                </c:pt>
                <c:pt idx="11">
                  <c:v>10543</c:v>
                </c:pt>
                <c:pt idx="12">
                  <c:v>10836</c:v>
                </c:pt>
                <c:pt idx="13">
                  <c:v>11434</c:v>
                </c:pt>
                <c:pt idx="14">
                  <c:v>11739</c:v>
                </c:pt>
                <c:pt idx="15">
                  <c:v>12048</c:v>
                </c:pt>
                <c:pt idx="16">
                  <c:v>12361</c:v>
                </c:pt>
                <c:pt idx="17">
                  <c:v>12999</c:v>
                </c:pt>
                <c:pt idx="18">
                  <c:v>13324</c:v>
                </c:pt>
                <c:pt idx="19">
                  <c:v>13986</c:v>
                </c:pt>
                <c:pt idx="20">
                  <c:v>14323</c:v>
                </c:pt>
                <c:pt idx="21">
                  <c:v>15009</c:v>
                </c:pt>
                <c:pt idx="22">
                  <c:v>15358</c:v>
                </c:pt>
                <c:pt idx="23">
                  <c:v>15711</c:v>
                </c:pt>
                <c:pt idx="24">
                  <c:v>16068</c:v>
                </c:pt>
                <c:pt idx="25">
                  <c:v>16429</c:v>
                </c:pt>
                <c:pt idx="26">
                  <c:v>16794</c:v>
                </c:pt>
                <c:pt idx="27">
                  <c:v>17536</c:v>
                </c:pt>
                <c:pt idx="28">
                  <c:v>17913</c:v>
                </c:pt>
                <c:pt idx="29">
                  <c:v>18679</c:v>
                </c:pt>
                <c:pt idx="30">
                  <c:v>19068</c:v>
                </c:pt>
                <c:pt idx="31">
                  <c:v>19461</c:v>
                </c:pt>
                <c:pt idx="32">
                  <c:v>19858</c:v>
                </c:pt>
                <c:pt idx="33">
                  <c:v>20664</c:v>
                </c:pt>
                <c:pt idx="34">
                  <c:v>21073</c:v>
                </c:pt>
                <c:pt idx="35">
                  <c:v>21486</c:v>
                </c:pt>
                <c:pt idx="36">
                  <c:v>22749</c:v>
                </c:pt>
              </c:numCache>
            </c:numRef>
          </c:xVal>
          <c:yVal>
            <c:numRef>
              <c:f>Wine!$X$2:$X$425</c:f>
              <c:numCache>
                <c:formatCode>General</c:formatCode>
                <c:ptCount val="37"/>
                <c:pt idx="0">
                  <c:v>0.68888890246550238</c:v>
                </c:pt>
                <c:pt idx="1">
                  <c:v>0.85555556416511536</c:v>
                </c:pt>
                <c:pt idx="2">
                  <c:v>0.73703705271085107</c:v>
                </c:pt>
                <c:pt idx="3">
                  <c:v>0.85925926764806115</c:v>
                </c:pt>
                <c:pt idx="4">
                  <c:v>0.85185186068216956</c:v>
                </c:pt>
                <c:pt idx="5">
                  <c:v>0.92962963382403052</c:v>
                </c:pt>
                <c:pt idx="6">
                  <c:v>0.86666667461395264</c:v>
                </c:pt>
                <c:pt idx="7">
                  <c:v>0.81851852933565772</c:v>
                </c:pt>
                <c:pt idx="8">
                  <c:v>0.82962963481744134</c:v>
                </c:pt>
                <c:pt idx="9">
                  <c:v>0.50370371341705322</c:v>
                </c:pt>
                <c:pt idx="10">
                  <c:v>0.84074075023333228</c:v>
                </c:pt>
                <c:pt idx="11">
                  <c:v>0.60317461831229069</c:v>
                </c:pt>
                <c:pt idx="12">
                  <c:v>0.64027779549360275</c:v>
                </c:pt>
                <c:pt idx="13">
                  <c:v>0.60808082602240821</c:v>
                </c:pt>
                <c:pt idx="14">
                  <c:v>0.65252526781775733</c:v>
                </c:pt>
                <c:pt idx="15">
                  <c:v>0.63030304692008277</c:v>
                </c:pt>
                <c:pt idx="16">
                  <c:v>0.67037039001782739</c:v>
                </c:pt>
                <c:pt idx="17">
                  <c:v>0.62010583423432852</c:v>
                </c:pt>
                <c:pt idx="18">
                  <c:v>0.64074075718720758</c:v>
                </c:pt>
                <c:pt idx="19">
                  <c:v>0.60000001763304078</c:v>
                </c:pt>
                <c:pt idx="20">
                  <c:v>0.56527779251337051</c:v>
                </c:pt>
                <c:pt idx="21">
                  <c:v>0.6125000175088644</c:v>
                </c:pt>
                <c:pt idx="22">
                  <c:v>0.63597885341871352</c:v>
                </c:pt>
                <c:pt idx="23">
                  <c:v>0.5666666875282923</c:v>
                </c:pt>
                <c:pt idx="24">
                  <c:v>0.54949496550993482</c:v>
                </c:pt>
                <c:pt idx="25">
                  <c:v>0.62962964177131653</c:v>
                </c:pt>
                <c:pt idx="26">
                  <c:v>0.55555557211240136</c:v>
                </c:pt>
                <c:pt idx="27">
                  <c:v>0.55277779512107372</c:v>
                </c:pt>
                <c:pt idx="28">
                  <c:v>0.67037039001782739</c:v>
                </c:pt>
                <c:pt idx="29">
                  <c:v>0.58787880702452222</c:v>
                </c:pt>
                <c:pt idx="30">
                  <c:v>0.44814815620581311</c:v>
                </c:pt>
                <c:pt idx="31">
                  <c:v>0.61111112435658776</c:v>
                </c:pt>
                <c:pt idx="32">
                  <c:v>0.60740742584069574</c:v>
                </c:pt>
                <c:pt idx="33">
                  <c:v>0.53703705469767249</c:v>
                </c:pt>
                <c:pt idx="34">
                  <c:v>0.52222223579883575</c:v>
                </c:pt>
                <c:pt idx="35">
                  <c:v>0.5555555671453476</c:v>
                </c:pt>
                <c:pt idx="36">
                  <c:v>0.78148149450620019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24-4AA9-BD06-88952C565969}"/>
            </c:ext>
          </c:extLst>
        </c:ser>
        <c:ser>
          <c:idx val="1"/>
          <c:order val="1"/>
          <c:tx>
            <c:strRef>
              <c:f>Wine!$Y$1</c:f>
              <c:strCache>
                <c:ptCount val="1"/>
                <c:pt idx="0">
                  <c:v>val accuracy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Wine!$W$2:$W$425</c:f>
              <c:numCache>
                <c:formatCode>General</c:formatCode>
                <c:ptCount val="37"/>
                <c:pt idx="0">
                  <c:v>3444</c:v>
                </c:pt>
                <c:pt idx="1">
                  <c:v>4329</c:v>
                </c:pt>
                <c:pt idx="2">
                  <c:v>5109</c:v>
                </c:pt>
                <c:pt idx="3">
                  <c:v>5953</c:v>
                </c:pt>
                <c:pt idx="4">
                  <c:v>6628</c:v>
                </c:pt>
                <c:pt idx="5">
                  <c:v>7584</c:v>
                </c:pt>
                <c:pt idx="6">
                  <c:v>8343</c:v>
                </c:pt>
                <c:pt idx="7">
                  <c:v>9138</c:v>
                </c:pt>
                <c:pt idx="8">
                  <c:v>9411</c:v>
                </c:pt>
                <c:pt idx="9">
                  <c:v>9969</c:v>
                </c:pt>
                <c:pt idx="10">
                  <c:v>10254</c:v>
                </c:pt>
                <c:pt idx="11">
                  <c:v>10543</c:v>
                </c:pt>
                <c:pt idx="12">
                  <c:v>10836</c:v>
                </c:pt>
                <c:pt idx="13">
                  <c:v>11434</c:v>
                </c:pt>
                <c:pt idx="14">
                  <c:v>11739</c:v>
                </c:pt>
                <c:pt idx="15">
                  <c:v>12048</c:v>
                </c:pt>
                <c:pt idx="16">
                  <c:v>12361</c:v>
                </c:pt>
                <c:pt idx="17">
                  <c:v>12999</c:v>
                </c:pt>
                <c:pt idx="18">
                  <c:v>13324</c:v>
                </c:pt>
                <c:pt idx="19">
                  <c:v>13986</c:v>
                </c:pt>
                <c:pt idx="20">
                  <c:v>14323</c:v>
                </c:pt>
                <c:pt idx="21">
                  <c:v>15009</c:v>
                </c:pt>
                <c:pt idx="22">
                  <c:v>15358</c:v>
                </c:pt>
                <c:pt idx="23">
                  <c:v>15711</c:v>
                </c:pt>
                <c:pt idx="24">
                  <c:v>16068</c:v>
                </c:pt>
                <c:pt idx="25">
                  <c:v>16429</c:v>
                </c:pt>
                <c:pt idx="26">
                  <c:v>16794</c:v>
                </c:pt>
                <c:pt idx="27">
                  <c:v>17536</c:v>
                </c:pt>
                <c:pt idx="28">
                  <c:v>17913</c:v>
                </c:pt>
                <c:pt idx="29">
                  <c:v>18679</c:v>
                </c:pt>
                <c:pt idx="30">
                  <c:v>19068</c:v>
                </c:pt>
                <c:pt idx="31">
                  <c:v>19461</c:v>
                </c:pt>
                <c:pt idx="32">
                  <c:v>19858</c:v>
                </c:pt>
                <c:pt idx="33">
                  <c:v>20664</c:v>
                </c:pt>
                <c:pt idx="34">
                  <c:v>21073</c:v>
                </c:pt>
                <c:pt idx="35">
                  <c:v>21486</c:v>
                </c:pt>
                <c:pt idx="36">
                  <c:v>22749</c:v>
                </c:pt>
              </c:numCache>
            </c:numRef>
          </c:xVal>
          <c:yVal>
            <c:numRef>
              <c:f>Wine!$Y$2:$Y$425</c:f>
              <c:numCache>
                <c:formatCode>General</c:formatCode>
                <c:ptCount val="37"/>
                <c:pt idx="0">
                  <c:v>0.79259259700775142</c:v>
                </c:pt>
                <c:pt idx="1">
                  <c:v>0.92592592239379878</c:v>
                </c:pt>
                <c:pt idx="2">
                  <c:v>0.8592592597007751</c:v>
                </c:pt>
                <c:pt idx="3">
                  <c:v>0.88888890743255611</c:v>
                </c:pt>
                <c:pt idx="4">
                  <c:v>0.8888888955116272</c:v>
                </c:pt>
                <c:pt idx="5">
                  <c:v>0.96296297311782841</c:v>
                </c:pt>
                <c:pt idx="6">
                  <c:v>0.91111111640930176</c:v>
                </c:pt>
                <c:pt idx="7">
                  <c:v>0.8962962865829468</c:v>
                </c:pt>
                <c:pt idx="8">
                  <c:v>0.94814814329147334</c:v>
                </c:pt>
                <c:pt idx="9">
                  <c:v>0.74074074029922488</c:v>
                </c:pt>
                <c:pt idx="10">
                  <c:v>0.88148149251937868</c:v>
                </c:pt>
                <c:pt idx="11">
                  <c:v>0.76543210943539941</c:v>
                </c:pt>
                <c:pt idx="12">
                  <c:v>0.74320987462997434</c:v>
                </c:pt>
                <c:pt idx="13">
                  <c:v>0.72222223281860354</c:v>
                </c:pt>
                <c:pt idx="14">
                  <c:v>0.78888888955116276</c:v>
                </c:pt>
                <c:pt idx="15">
                  <c:v>0.71481482386589046</c:v>
                </c:pt>
                <c:pt idx="16">
                  <c:v>0.6740740895271301</c:v>
                </c:pt>
                <c:pt idx="17">
                  <c:v>0.7703703701496124</c:v>
                </c:pt>
                <c:pt idx="18">
                  <c:v>0.77777776718139646</c:v>
                </c:pt>
                <c:pt idx="19">
                  <c:v>0.72624798961307691</c:v>
                </c:pt>
                <c:pt idx="20">
                  <c:v>0.65925925970077515</c:v>
                </c:pt>
                <c:pt idx="21">
                  <c:v>0.69876544475555424</c:v>
                </c:pt>
                <c:pt idx="22">
                  <c:v>0.70925925970077519</c:v>
                </c:pt>
                <c:pt idx="23">
                  <c:v>0.73333333730697636</c:v>
                </c:pt>
                <c:pt idx="24">
                  <c:v>0.72592592835426328</c:v>
                </c:pt>
                <c:pt idx="25">
                  <c:v>0.785185182094574</c:v>
                </c:pt>
                <c:pt idx="26">
                  <c:v>0.77037037611007686</c:v>
                </c:pt>
                <c:pt idx="27">
                  <c:v>0.69382716417312618</c:v>
                </c:pt>
                <c:pt idx="28">
                  <c:v>0.74074072837829585</c:v>
                </c:pt>
                <c:pt idx="29">
                  <c:v>0.72222222089767452</c:v>
                </c:pt>
                <c:pt idx="30">
                  <c:v>0.72592591047286992</c:v>
                </c:pt>
                <c:pt idx="31">
                  <c:v>0.71111112833023071</c:v>
                </c:pt>
                <c:pt idx="32">
                  <c:v>0.73333333730697636</c:v>
                </c:pt>
                <c:pt idx="33">
                  <c:v>0.68148149251937862</c:v>
                </c:pt>
                <c:pt idx="34">
                  <c:v>0.71111110448837278</c:v>
                </c:pt>
                <c:pt idx="35">
                  <c:v>0.69629629850387575</c:v>
                </c:pt>
                <c:pt idx="36">
                  <c:v>0.82962963581085203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24-4AA9-BD06-88952C565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32623"/>
        <c:axId val="101233103"/>
      </c:scatterChart>
      <c:scatterChart>
        <c:scatterStyle val="smoothMarker"/>
        <c:varyColors val="0"/>
        <c:ser>
          <c:idx val="2"/>
          <c:order val="2"/>
          <c:tx>
            <c:strRef>
              <c:f>Wine!$Z$1</c:f>
              <c:strCache>
                <c:ptCount val="1"/>
                <c:pt idx="0">
                  <c:v>steps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Wine!$W$2:$W$425</c:f>
              <c:numCache>
                <c:formatCode>General</c:formatCode>
                <c:ptCount val="37"/>
                <c:pt idx="0">
                  <c:v>3444</c:v>
                </c:pt>
                <c:pt idx="1">
                  <c:v>4329</c:v>
                </c:pt>
                <c:pt idx="2">
                  <c:v>5109</c:v>
                </c:pt>
                <c:pt idx="3">
                  <c:v>5953</c:v>
                </c:pt>
                <c:pt idx="4">
                  <c:v>6628</c:v>
                </c:pt>
                <c:pt idx="5">
                  <c:v>7584</c:v>
                </c:pt>
                <c:pt idx="6">
                  <c:v>8343</c:v>
                </c:pt>
                <c:pt idx="7">
                  <c:v>9138</c:v>
                </c:pt>
                <c:pt idx="8">
                  <c:v>9411</c:v>
                </c:pt>
                <c:pt idx="9">
                  <c:v>9969</c:v>
                </c:pt>
                <c:pt idx="10">
                  <c:v>10254</c:v>
                </c:pt>
                <c:pt idx="11">
                  <c:v>10543</c:v>
                </c:pt>
                <c:pt idx="12">
                  <c:v>10836</c:v>
                </c:pt>
                <c:pt idx="13">
                  <c:v>11434</c:v>
                </c:pt>
                <c:pt idx="14">
                  <c:v>11739</c:v>
                </c:pt>
                <c:pt idx="15">
                  <c:v>12048</c:v>
                </c:pt>
                <c:pt idx="16">
                  <c:v>12361</c:v>
                </c:pt>
                <c:pt idx="17">
                  <c:v>12999</c:v>
                </c:pt>
                <c:pt idx="18">
                  <c:v>13324</c:v>
                </c:pt>
                <c:pt idx="19">
                  <c:v>13986</c:v>
                </c:pt>
                <c:pt idx="20">
                  <c:v>14323</c:v>
                </c:pt>
                <c:pt idx="21">
                  <c:v>15009</c:v>
                </c:pt>
                <c:pt idx="22">
                  <c:v>15358</c:v>
                </c:pt>
                <c:pt idx="23">
                  <c:v>15711</c:v>
                </c:pt>
                <c:pt idx="24">
                  <c:v>16068</c:v>
                </c:pt>
                <c:pt idx="25">
                  <c:v>16429</c:v>
                </c:pt>
                <c:pt idx="26">
                  <c:v>16794</c:v>
                </c:pt>
                <c:pt idx="27">
                  <c:v>17536</c:v>
                </c:pt>
                <c:pt idx="28">
                  <c:v>17913</c:v>
                </c:pt>
                <c:pt idx="29">
                  <c:v>18679</c:v>
                </c:pt>
                <c:pt idx="30">
                  <c:v>19068</c:v>
                </c:pt>
                <c:pt idx="31">
                  <c:v>19461</c:v>
                </c:pt>
                <c:pt idx="32">
                  <c:v>19858</c:v>
                </c:pt>
                <c:pt idx="33">
                  <c:v>20664</c:v>
                </c:pt>
                <c:pt idx="34">
                  <c:v>21073</c:v>
                </c:pt>
                <c:pt idx="35">
                  <c:v>21486</c:v>
                </c:pt>
                <c:pt idx="36">
                  <c:v>22749</c:v>
                </c:pt>
              </c:numCache>
            </c:numRef>
          </c:xVal>
          <c:yVal>
            <c:numRef>
              <c:f>Wine!$Z$2:$Z$425</c:f>
              <c:numCache>
                <c:formatCode>General</c:formatCode>
                <c:ptCount val="37"/>
                <c:pt idx="0">
                  <c:v>11.626016587486916</c:v>
                </c:pt>
                <c:pt idx="1">
                  <c:v>11.625422637256481</c:v>
                </c:pt>
                <c:pt idx="2">
                  <c:v>11.625110663983904</c:v>
                </c:pt>
                <c:pt idx="3">
                  <c:v>11.624316060508528</c:v>
                </c:pt>
                <c:pt idx="4">
                  <c:v>11.624044726892446</c:v>
                </c:pt>
                <c:pt idx="5">
                  <c:v>11.623532250281487</c:v>
                </c:pt>
                <c:pt idx="6">
                  <c:v>11.622979818284152</c:v>
                </c:pt>
                <c:pt idx="7">
                  <c:v>11.622789389067524</c:v>
                </c:pt>
                <c:pt idx="8">
                  <c:v>11.621996303142328</c:v>
                </c:pt>
                <c:pt idx="9">
                  <c:v>11.621042905351116</c:v>
                </c:pt>
                <c:pt idx="10">
                  <c:v>11.620371114145714</c:v>
                </c:pt>
                <c:pt idx="11">
                  <c:v>11.619433848624775</c:v>
                </c:pt>
                <c:pt idx="12">
                  <c:v>11.617752096625336</c:v>
                </c:pt>
                <c:pt idx="13">
                  <c:v>11.616757580619284</c:v>
                </c:pt>
                <c:pt idx="14">
                  <c:v>11.61560357615363</c:v>
                </c:pt>
                <c:pt idx="15">
                  <c:v>11.615091768854693</c:v>
                </c:pt>
                <c:pt idx="16">
                  <c:v>11.614102564102565</c:v>
                </c:pt>
                <c:pt idx="17">
                  <c:v>11.613186021376245</c:v>
                </c:pt>
                <c:pt idx="18">
                  <c:v>11.613639092328011</c:v>
                </c:pt>
                <c:pt idx="19">
                  <c:v>11.611610891207869</c:v>
                </c:pt>
                <c:pt idx="20">
                  <c:v>11.609301953889799</c:v>
                </c:pt>
                <c:pt idx="21">
                  <c:v>11.607954318572055</c:v>
                </c:pt>
                <c:pt idx="22">
                  <c:v>11.606048515799554</c:v>
                </c:pt>
                <c:pt idx="23">
                  <c:v>11.605544475468689</c:v>
                </c:pt>
                <c:pt idx="24">
                  <c:v>11.604003030182209</c:v>
                </c:pt>
                <c:pt idx="25">
                  <c:v>11.603380236776019</c:v>
                </c:pt>
                <c:pt idx="26">
                  <c:v>11.602279520184911</c:v>
                </c:pt>
                <c:pt idx="27">
                  <c:v>11.600262853956748</c:v>
                </c:pt>
                <c:pt idx="28">
                  <c:v>11.600079633685048</c:v>
                </c:pt>
                <c:pt idx="29">
                  <c:v>11.599299530366951</c:v>
                </c:pt>
                <c:pt idx="30">
                  <c:v>11.598639185102657</c:v>
                </c:pt>
                <c:pt idx="31">
                  <c:v>11.597979155064046</c:v>
                </c:pt>
                <c:pt idx="32">
                  <c:v>11.597558065542476</c:v>
                </c:pt>
                <c:pt idx="33">
                  <c:v>11.597057654075547</c:v>
                </c:pt>
                <c:pt idx="34">
                  <c:v>11.596915248847193</c:v>
                </c:pt>
                <c:pt idx="35">
                  <c:v>11.596216516970035</c:v>
                </c:pt>
                <c:pt idx="36">
                  <c:v>11.626651095360824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24-4AA9-BD06-88952C565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258831"/>
        <c:axId val="28630351"/>
      </c:scatterChart>
      <c:valAx>
        <c:axId val="101232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1233103"/>
        <c:crosses val="autoZero"/>
        <c:crossBetween val="midCat"/>
      </c:valAx>
      <c:valAx>
        <c:axId val="1012331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1232623"/>
        <c:crosses val="autoZero"/>
        <c:crossBetween val="midCat"/>
      </c:valAx>
      <c:valAx>
        <c:axId val="2863035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0258831"/>
        <c:crosses val="max"/>
        <c:crossBetween val="midCat"/>
      </c:valAx>
      <c:valAx>
        <c:axId val="100258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630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9</xdr:row>
      <xdr:rowOff>40821</xdr:rowOff>
    </xdr:from>
    <xdr:to>
      <xdr:col>5</xdr:col>
      <xdr:colOff>693964</xdr:colOff>
      <xdr:row>44</xdr:row>
      <xdr:rowOff>117021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4AEAF716-0D74-473F-8A9A-8ACA479CA23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485775</xdr:colOff>
      <xdr:row>600</xdr:row>
      <xdr:rowOff>166687</xdr:rowOff>
    </xdr:from>
    <xdr:to>
      <xdr:col>5</xdr:col>
      <xdr:colOff>809625</xdr:colOff>
      <xdr:row>617</xdr:row>
      <xdr:rowOff>66675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B83F7568-0E09-2BC8-5CC6-34AB9CC993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643829</xdr:colOff>
      <xdr:row>7</xdr:row>
      <xdr:rowOff>109002</xdr:rowOff>
    </xdr:from>
    <xdr:to>
      <xdr:col>6</xdr:col>
      <xdr:colOff>168088</xdr:colOff>
      <xdr:row>24</xdr:row>
      <xdr:rowOff>11205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6BF3C67-B01F-4C5C-B461-5C553110DA8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487296</xdr:colOff>
      <xdr:row>59</xdr:row>
      <xdr:rowOff>0</xdr:rowOff>
    </xdr:from>
    <xdr:to>
      <xdr:col>5</xdr:col>
      <xdr:colOff>874815</xdr:colOff>
      <xdr:row>317</xdr:row>
      <xdr:rowOff>105102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A9C9A7EE-1109-4AA9-9F00-F919C65FE76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F1680420-869F-4E58-BDD1-5FA2B684C4D6}" autoFormatId="16" applyNumberFormats="0" applyBorderFormats="0" applyFontFormats="0" applyPatternFormats="0" applyAlignmentFormats="0" applyWidthHeightFormats="0">
  <queryTableRefresh nextId="22">
    <queryTableFields count="20">
      <queryTableField id="1" name="dataset_name" tableColumnId="1"/>
      <queryTableField id="2" name="kan_grid_passed_parameter" tableColumnId="2"/>
      <queryTableField id="3" name="kan_degree" tableColumnId="3"/>
      <queryTableField id="4" name="kan_lam" tableColumnId="4"/>
      <queryTableField id="5" name="kan_width" tableColumnId="5"/>
      <queryTableField id="6" name="kan_params" tableColumnId="6"/>
      <queryTableField id="7" name="kan_time_difference" tableColumnId="7"/>
      <queryTableField id="8" name="kan_test_acc" tableColumnId="8"/>
      <queryTableField id="9" name="mlp_test_acc" tableColumnId="9"/>
      <queryTableField id="10" name="mlp_time_difference" tableColumnId="10"/>
      <queryTableField id="11" name="mlp_params" tableColumnId="11"/>
      <queryTableField id="12" name="mlp_no_layers" tableColumnId="12"/>
      <queryTableField id="13" name="mlp_width_layers" tableColumnId="13"/>
      <queryTableField id="14" name="mlp_test_acc2" tableColumnId="14"/>
      <queryTableField id="15" name="mlp2_time_difference" tableColumnId="15"/>
      <queryTableField id="16" name="mlp_params2" tableColumnId="16"/>
      <queryTableField id="17" name="no_layers2" tableColumnId="17"/>
      <queryTableField id="18" name="width_layers2" tableColumnId="18"/>
      <queryTableField id="19" name="no_steps" tableColumnId="19"/>
      <queryTableField id="20" name="kan_val_acc_1" tableColumnId="20"/>
    </queryTableFields>
    <queryTableDeletedFields count="1">
      <deletedField name="delme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54BD518-346F-40BF-BB85-4E319B431B70}" name="Tabela3" displayName="Tabela3" ref="A1:T831" totalsRowShown="0" headerRowDxfId="13" headerRowBorderDxfId="12" tableBorderDxfId="11">
  <autoFilter ref="A1:T831" xr:uid="{C54BD518-346F-40BF-BB85-4E319B431B70}">
    <filterColumn colId="1">
      <filters>
        <filter val="3"/>
      </filters>
    </filterColumn>
    <filterColumn colId="2">
      <filters>
        <filter val="2"/>
      </filters>
    </filterColumn>
  </autoFilter>
  <sortState xmlns:xlrd2="http://schemas.microsoft.com/office/spreadsheetml/2017/richdata2" ref="A2:T831">
    <sortCondition ref="K1:K831"/>
  </sortState>
  <tableColumns count="20">
    <tableColumn id="1" xr3:uid="{14E6439B-3FB7-46FD-8477-1AD4821EA42A}" name="dataset_name"/>
    <tableColumn id="2" xr3:uid="{262E5B47-B786-4B72-AF2E-FE1F2D12B5FE}" name="kan_grid_passed_parameter"/>
    <tableColumn id="3" xr3:uid="{B49F2F66-25ED-4E50-9152-35ECDD4D0190}" name="kan_degree"/>
    <tableColumn id="4" xr3:uid="{0C06F3E8-2C4E-4677-AD61-FB559783D2D1}" name="kan_lam"/>
    <tableColumn id="5" xr3:uid="{EA9BC6C9-5C2B-49AA-A950-3D02B8E305D2}" name="kan_width"/>
    <tableColumn id="6" xr3:uid="{D47CCA9F-F332-41B1-9937-ECC6341C82F6}" name="kan_params"/>
    <tableColumn id="7" xr3:uid="{4E1275F5-514C-48F7-ABA4-CB58CEE44549}" name="kan_time_difference"/>
    <tableColumn id="8" xr3:uid="{03BB8597-147B-4C47-A1C3-8F38559C8CED}" name="kan_test_acc"/>
    <tableColumn id="9" xr3:uid="{C957969E-E292-4E0F-B693-7B5D3975CA78}" name="mlp_test_acc"/>
    <tableColumn id="10" xr3:uid="{04EE5430-85E3-4DD2-9229-BD32177FDADF}" name="mlp_time_difference"/>
    <tableColumn id="11" xr3:uid="{62D62742-46E5-42F0-9E6B-599AF68A3C44}" name="mlp_params"/>
    <tableColumn id="12" xr3:uid="{FFF5CA0C-8A50-4146-88FC-B2497A58B988}" name="mlp_no_layers"/>
    <tableColumn id="13" xr3:uid="{65A41759-4FE7-4812-A5B5-1659B40062A2}" name="mlp_width_layers"/>
    <tableColumn id="14" xr3:uid="{EEFCD124-DC48-4005-9E76-142A33C20824}" name="mlp_test_acc2"/>
    <tableColumn id="15" xr3:uid="{5A0B1063-5EFD-4D7C-9C8C-EF19267D9104}" name="mlp2_time_difference"/>
    <tableColumn id="16" xr3:uid="{20689EE8-6FE6-4EDF-9BCC-2AE9943E9175}" name="mlp_params2"/>
    <tableColumn id="17" xr3:uid="{EF7F102D-6998-4A0A-B1CC-D5D416B2D7B2}" name="no_layers2"/>
    <tableColumn id="18" xr3:uid="{0C7F1893-4BC3-4349-9AEF-C932551CA13F}" name="width_layers2"/>
    <tableColumn id="19" xr3:uid="{47D5E7BA-3EE3-4FE9-99E3-E8F2E2D90335}" name="no_steps"/>
    <tableColumn id="20" xr3:uid="{E2EE7678-E170-4FF6-B2BA-676C2221582B}" name="kan_val_acc_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051CB0-0051-487D-8C56-38A76C79AA09}" name="wszystko_i_kroki_sorted__3" displayName="wszystko_i_kroki_sorted__3" ref="A1:T2165" tableType="queryTable" totalsRowShown="0">
  <autoFilter ref="A1:T2165" xr:uid="{DB051CB0-0051-487D-8C56-38A76C79AA09}"/>
  <tableColumns count="20">
    <tableColumn id="1" xr3:uid="{A2A375A5-6CD1-498F-9B6A-5144B8087CC9}" uniqueName="1" name="dataset_name" queryTableFieldId="1" dataDxfId="10"/>
    <tableColumn id="2" xr3:uid="{EB5BF94D-9322-446B-A4D6-DE442AD1C71C}" uniqueName="2" name="kan_grid_passed_parameter" queryTableFieldId="2"/>
    <tableColumn id="3" xr3:uid="{71BED53E-7764-45B4-85F1-5E567FB3FFDD}" uniqueName="3" name="kan_degree" queryTableFieldId="3"/>
    <tableColumn id="4" xr3:uid="{392F7D83-42B3-4588-A4FB-4A82DAE79FB3}" uniqueName="4" name="kan_lam" queryTableFieldId="4"/>
    <tableColumn id="5" xr3:uid="{1115CDDF-52ED-4056-84BE-CA629D4647F9}" uniqueName="5" name="kan_width" queryTableFieldId="5" dataDxfId="9"/>
    <tableColumn id="6" xr3:uid="{8E31BA5B-2374-467C-BA14-B6CCE792E8BA}" uniqueName="6" name="kan_params" queryTableFieldId="6"/>
    <tableColumn id="7" xr3:uid="{CEDF20B1-E209-4B07-80C7-778A72689488}" uniqueName="7" name="kan_time_difference" queryTableFieldId="7"/>
    <tableColumn id="8" xr3:uid="{99D2F554-C3FF-409C-AE14-80B452AB4617}" uniqueName="8" name="kan_test_acc" queryTableFieldId="8"/>
    <tableColumn id="9" xr3:uid="{9F477AA5-6FB6-414D-BB1D-AD2504CFF5F7}" uniqueName="9" name="mlp_test_acc" queryTableFieldId="9"/>
    <tableColumn id="10" xr3:uid="{D0FBD687-EDC8-4263-BB14-23CE14DECCC4}" uniqueName="10" name="mlp_time_difference" queryTableFieldId="10"/>
    <tableColumn id="11" xr3:uid="{DB911DDF-07CD-4B9F-B402-2E84498A99B8}" uniqueName="11" name="mlp_params" queryTableFieldId="11"/>
    <tableColumn id="12" xr3:uid="{9040BDB6-DF12-4079-B01F-E70914D7A192}" uniqueName="12" name="mlp_no_layers" queryTableFieldId="12"/>
    <tableColumn id="13" xr3:uid="{B80ABCA1-CE3E-4C3C-A019-F53F01F8A93A}" uniqueName="13" name="mlp_width_layers" queryTableFieldId="13"/>
    <tableColumn id="14" xr3:uid="{B4DF91EB-2758-4107-9E93-89928F2B2983}" uniqueName="14" name="mlp_test_acc2" queryTableFieldId="14"/>
    <tableColumn id="15" xr3:uid="{CC57A498-0D73-4410-90F0-EB5C0DB2A095}" uniqueName="15" name="mlp2_time_difference" queryTableFieldId="15"/>
    <tableColumn id="16" xr3:uid="{8A4103D3-7B75-444F-83E0-AEF7AEF63A44}" uniqueName="16" name="mlp_params2" queryTableFieldId="16"/>
    <tableColumn id="17" xr3:uid="{AAE0FBEE-5AA7-40C1-A635-BC1C3F5BB841}" uniqueName="17" name="no_layers2" queryTableFieldId="17"/>
    <tableColumn id="18" xr3:uid="{168A2CDD-A60B-4E57-9F06-4E3281B168A3}" uniqueName="18" name="width_layers2" queryTableFieldId="18"/>
    <tableColumn id="19" xr3:uid="{7E1EA6A1-5A04-41D3-9A70-95F866FF53CD}" uniqueName="19" name="no_steps" queryTableFieldId="19"/>
    <tableColumn id="20" xr3:uid="{C8FCB078-65DE-4EE4-8682-80F5A523F3C2}" uniqueName="20" name="kan_val_acc_1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0D80CAA-550B-4F6F-8035-3C5C520ACFAC}" name="Tabela6" displayName="Tabela6" ref="A1:T729" totalsRowShown="0" headerRowDxfId="8" headerRowBorderDxfId="7" tableBorderDxfId="6">
  <autoFilter ref="A1:T729" xr:uid="{10D80CAA-550B-4F6F-8035-3C5C520ACFAC}">
    <filterColumn colId="1">
      <filters>
        <filter val="9"/>
      </filters>
    </filterColumn>
    <filterColumn colId="2">
      <filters>
        <filter val="4"/>
      </filters>
    </filterColumn>
  </autoFilter>
  <sortState xmlns:xlrd2="http://schemas.microsoft.com/office/spreadsheetml/2017/richdata2" ref="A664:T729">
    <sortCondition ref="K1:K729"/>
  </sortState>
  <tableColumns count="20">
    <tableColumn id="1" xr3:uid="{8FE15B86-8FDD-48D5-97EC-2CC0EF405EBD}" name="dataset_name"/>
    <tableColumn id="2" xr3:uid="{20937D9B-F8D2-48D7-8BF3-20C4FE9CC600}" name="kan_grid_passed_parameter"/>
    <tableColumn id="3" xr3:uid="{81B75649-8FEA-4779-9FCB-07D93EB24509}" name="kan_degree"/>
    <tableColumn id="4" xr3:uid="{6653A8D6-985D-4ED8-B6C6-D0D577E25BE9}" name="kan_lam"/>
    <tableColumn id="5" xr3:uid="{C9BEAA18-63F1-4B4E-AE68-B349CAB0B0F9}" name="kan_width"/>
    <tableColumn id="6" xr3:uid="{FB40801C-8E6D-4BD6-9B85-4C055C614FC9}" name="kan_params"/>
    <tableColumn id="7" xr3:uid="{30EFBA28-D710-4895-AE46-69C815BA99C7}" name="kan_time_difference"/>
    <tableColumn id="8" xr3:uid="{C6C2765B-81B2-4BE0-A813-C6D8C9F8006E}" name="kan_test_acc"/>
    <tableColumn id="9" xr3:uid="{28589112-A58E-4890-8FD3-227EEF5A67C2}" name="mlp_test_acc"/>
    <tableColumn id="10" xr3:uid="{5EF57C1A-5F5E-4D3F-842D-59F18B484DEE}" name="mlp_time_difference"/>
    <tableColumn id="11" xr3:uid="{36754B24-2969-4CAD-9978-26F531C63D78}" name="mlp_params"/>
    <tableColumn id="12" xr3:uid="{CB8F7427-2D51-4E7A-854C-C8ADD5E28AB4}" name="mlp_no_layers"/>
    <tableColumn id="13" xr3:uid="{EA5D1625-FA5F-4956-B785-75E9DF7F54FC}" name="mlp_width_layers"/>
    <tableColumn id="14" xr3:uid="{5FCAA032-915E-4755-A552-F42232FE9B40}" name="mlp_test_acc2"/>
    <tableColumn id="15" xr3:uid="{DE0ADBDE-15B4-4BA9-9DE4-04296570B6B8}" name="mlp2_time_difference"/>
    <tableColumn id="16" xr3:uid="{307E218F-AA54-4263-BA0D-9DEB7F1D52E8}" name="mlp_params2"/>
    <tableColumn id="17" xr3:uid="{AF7C8F2F-7E6F-4E51-95BC-E7013F39E3F7}" name="no_layers2"/>
    <tableColumn id="18" xr3:uid="{EF75A389-2851-4214-8980-001F59BA5D5D}" name="width_layers2"/>
    <tableColumn id="19" xr3:uid="{A24E2C4E-0E88-4543-831B-1278A5CF97B0}" name="no_steps"/>
    <tableColumn id="20" xr3:uid="{E7B0862E-A62F-44C6-AF6E-24120B9F3A0B}" name="kan_val_acc_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6F55C3-B422-451E-96A4-1F856BA50A0C}" name="Tabela7" displayName="Tabela7" ref="A1:T183" totalsRowShown="0" headerRowDxfId="5" headerRowBorderDxfId="4" tableBorderDxfId="3">
  <autoFilter ref="A1:T183" xr:uid="{D86F55C3-B422-451E-96A4-1F856BA50A0C}"/>
  <sortState xmlns:xlrd2="http://schemas.microsoft.com/office/spreadsheetml/2017/richdata2" ref="A2:T183">
    <sortCondition ref="K1:K183"/>
  </sortState>
  <tableColumns count="20">
    <tableColumn id="1" xr3:uid="{D7220157-627E-47A0-B92A-78844D14D172}" name="dataset_name"/>
    <tableColumn id="2" xr3:uid="{2B7B6146-F9F2-4E74-8B23-E54CA2A167E6}" name="kan_grid_passed_parameter"/>
    <tableColumn id="3" xr3:uid="{DC3CC976-1FCD-4A9A-8A03-437E02349DC9}" name="kan_degree"/>
    <tableColumn id="4" xr3:uid="{344B01DC-891D-44CA-B0EE-1FFABF5E572E}" name="kan_lam"/>
    <tableColumn id="5" xr3:uid="{5CA86335-E0E1-4D09-BBD3-7C7A39E1455B}" name="kan_width"/>
    <tableColumn id="6" xr3:uid="{BF7B1D1D-EFF0-41AB-A63A-ABCF210FDA0F}" name="kan_params"/>
    <tableColumn id="7" xr3:uid="{256B2639-BFCB-4279-B020-44F839D8127D}" name="kan_time_difference"/>
    <tableColumn id="8" xr3:uid="{548AE46C-E083-4D6A-B7FC-B9ED628AC69E}" name="kan_test_acc"/>
    <tableColumn id="9" xr3:uid="{B8305B9B-8C01-4F43-8C95-F275904AB2C7}" name="mlp_test_acc"/>
    <tableColumn id="10" xr3:uid="{7E8E3A81-0D6B-41FC-81E6-A659550C5173}" name="mlp_time_difference"/>
    <tableColumn id="11" xr3:uid="{656CDFE0-3C1B-44A3-9F29-757C880B4692}" name="mlp_params"/>
    <tableColumn id="12" xr3:uid="{8C89905B-0F44-42DB-A00A-7C3D319D2371}" name="mlp_no_layers"/>
    <tableColumn id="13" xr3:uid="{2738C0FF-FD13-44D5-844B-A1E6AF0C584A}" name="mlp_width_layers"/>
    <tableColumn id="14" xr3:uid="{66A31BB6-F63C-46EE-BF8F-C3DF6720CD0B}" name="mlp_test_acc2"/>
    <tableColumn id="15" xr3:uid="{BCEB8703-B4B5-40FA-ADEC-539252A2E52B}" name="mlp2_time_difference"/>
    <tableColumn id="16" xr3:uid="{E2C26FC1-6318-4C58-9CF8-8E3E7B8D70DC}" name="mlp_params2"/>
    <tableColumn id="17" xr3:uid="{85E89A68-0E82-4EA0-AA17-582AC14B535D}" name="no_layers2"/>
    <tableColumn id="18" xr3:uid="{DBBF4432-E06D-478B-8D5C-D9DA387B1CD3}" name="width_layers2"/>
    <tableColumn id="19" xr3:uid="{120474DF-4863-496E-BFE2-213CC310E359}" name="no_steps"/>
    <tableColumn id="20" xr3:uid="{A2D72D85-14F0-4C98-893B-6BBAE15C86F9}" name="kan_val_acc_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072B2C-4B6A-44C4-973E-55CBB100DA92}" name="Tabela2" displayName="Tabela2" ref="A1:T425" totalsRowShown="0" headerRowDxfId="2" headerRowBorderDxfId="1" tableBorderDxfId="0">
  <autoFilter ref="A1:T425" xr:uid="{60072B2C-4B6A-44C4-973E-55CBB100DA92}">
    <filterColumn colId="1">
      <filters>
        <filter val="9"/>
      </filters>
    </filterColumn>
    <filterColumn colId="2">
      <filters>
        <filter val="4"/>
      </filters>
    </filterColumn>
  </autoFilter>
  <sortState xmlns:xlrd2="http://schemas.microsoft.com/office/spreadsheetml/2017/richdata2" ref="A2:T425">
    <sortCondition ref="K1:K425"/>
  </sortState>
  <tableColumns count="20">
    <tableColumn id="1" xr3:uid="{6C202ABC-2BBE-4150-BD7D-6EC3103724B9}" name="dataset_name"/>
    <tableColumn id="2" xr3:uid="{4DD62736-A1E0-4F1A-AEE7-3CDC4511B5F1}" name="kan_grid_passed_parameter"/>
    <tableColumn id="3" xr3:uid="{1C3D3BAF-5861-4FEC-91AD-4527A16993E5}" name="kan_degree"/>
    <tableColumn id="4" xr3:uid="{75ADA8B3-191A-413D-8468-39E8EFD24F46}" name="kan_lam"/>
    <tableColumn id="5" xr3:uid="{4C494B5E-6C05-43D5-A260-339A936A4F05}" name="kan_width"/>
    <tableColumn id="6" xr3:uid="{9F72F781-F215-4B6C-A8F9-6F604772D9AC}" name="kan_params"/>
    <tableColumn id="7" xr3:uid="{B62FDE58-47C2-4DAD-B33E-8D4346528E72}" name="kan_time_difference"/>
    <tableColumn id="8" xr3:uid="{03BC0911-6D75-4819-9EBF-EF0C20EAAE61}" name="kan_test_acc"/>
    <tableColumn id="9" xr3:uid="{3984590C-F6FE-485D-9625-550F3CB5FEC5}" name="mlp_test_acc"/>
    <tableColumn id="10" xr3:uid="{E7C0F278-0569-4E49-860E-DBF9301DCF6F}" name="mlp_time_difference"/>
    <tableColumn id="11" xr3:uid="{951C4045-5098-446A-981B-AFF18DBAA6DE}" name="mlp_params"/>
    <tableColumn id="12" xr3:uid="{E2E8211F-A270-42FA-9489-D6E21EC650A7}" name="mlp_no_layers"/>
    <tableColumn id="13" xr3:uid="{50DB4A52-3614-429D-850E-0038BF8ECF83}" name="mlp_width_layers"/>
    <tableColumn id="14" xr3:uid="{AF076B73-E8DE-4370-AB5C-4F908D497BB0}" name="mlp_test_acc2"/>
    <tableColumn id="15" xr3:uid="{2E4E63BB-910C-4ED8-A029-B5132D981BA1}" name="mlp2_time_difference"/>
    <tableColumn id="16" xr3:uid="{8844AC76-6E60-4BCA-90C4-1C39B26298D0}" name="mlp_params2"/>
    <tableColumn id="17" xr3:uid="{E52CA6E9-14D0-4474-B2E3-95310326F431}" name="no_layers2"/>
    <tableColumn id="18" xr3:uid="{431785AA-67CD-4A6D-AE11-4D31DA904DB1}" name="width_layers2"/>
    <tableColumn id="19" xr3:uid="{D63C67F0-64B5-43B3-8DF9-764CB8BF54A7}" name="no_steps"/>
    <tableColumn id="20" xr3:uid="{FBB7A34E-F8EE-4099-BC23-858F69345439}" name="kan_val_acc_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13C9B-5419-4173-910C-145B99D5BE68}">
  <dimension ref="A1:Z831"/>
  <sheetViews>
    <sheetView zoomScale="130" zoomScaleNormal="130" workbookViewId="0">
      <selection activeCell="A182" sqref="A182"/>
    </sheetView>
  </sheetViews>
  <sheetFormatPr defaultRowHeight="15" x14ac:dyDescent="0.25"/>
  <cols>
    <col min="1" max="1" width="15.140625" customWidth="1"/>
    <col min="2" max="2" width="26.7109375" customWidth="1"/>
    <col min="3" max="3" width="12.85546875" customWidth="1"/>
    <col min="4" max="4" width="10.42578125" customWidth="1"/>
    <col min="5" max="5" width="14.28515625" bestFit="1" customWidth="1"/>
    <col min="6" max="6" width="13.42578125" customWidth="1"/>
    <col min="7" max="7" width="20.42578125" customWidth="1"/>
    <col min="8" max="8" width="14.28515625" customWidth="1"/>
    <col min="9" max="9" width="14.42578125" customWidth="1"/>
    <col min="10" max="10" width="20.5703125" customWidth="1"/>
    <col min="11" max="11" width="13.7109375" customWidth="1"/>
    <col min="12" max="12" width="15.28515625" customWidth="1"/>
    <col min="13" max="13" width="18" customWidth="1"/>
    <col min="14" max="14" width="15.5703125" customWidth="1"/>
    <col min="15" max="15" width="21.5703125" customWidth="1"/>
    <col min="16" max="16" width="14.7109375" customWidth="1"/>
    <col min="17" max="17" width="12.28515625" customWidth="1"/>
    <col min="18" max="18" width="14.85546875" customWidth="1"/>
    <col min="19" max="19" width="12" bestFit="1" customWidth="1"/>
    <col min="20" max="20" width="15.28515625" customWidth="1"/>
  </cols>
  <sheetData>
    <row r="1" spans="1:26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361</v>
      </c>
      <c r="T1" s="3" t="s">
        <v>362</v>
      </c>
      <c r="W1" t="s">
        <v>363</v>
      </c>
      <c r="X1" t="s">
        <v>366</v>
      </c>
      <c r="Y1" t="s">
        <v>364</v>
      </c>
      <c r="Z1" t="s">
        <v>365</v>
      </c>
    </row>
    <row r="2" spans="1:26" x14ac:dyDescent="0.25">
      <c r="A2" t="s">
        <v>106</v>
      </c>
      <c r="B2">
        <v>3</v>
      </c>
      <c r="C2">
        <v>2</v>
      </c>
      <c r="D2">
        <v>0</v>
      </c>
      <c r="E2" t="s">
        <v>123</v>
      </c>
      <c r="F2">
        <v>28474</v>
      </c>
      <c r="G2">
        <v>26206504</v>
      </c>
      <c r="H2">
        <v>0.89304583271344506</v>
      </c>
      <c r="I2">
        <v>0.94941465941465941</v>
      </c>
      <c r="J2">
        <v>10752626.5</v>
      </c>
      <c r="K2">
        <v>45629</v>
      </c>
      <c r="L2">
        <v>2</v>
      </c>
      <c r="M2">
        <v>133</v>
      </c>
      <c r="N2">
        <v>0.95100492100492096</v>
      </c>
      <c r="O2">
        <v>8394033.5</v>
      </c>
      <c r="P2">
        <v>46240</v>
      </c>
      <c r="Q2">
        <v>2</v>
      </c>
      <c r="R2">
        <v>134</v>
      </c>
      <c r="S2">
        <v>11.187887938265392</v>
      </c>
      <c r="T2">
        <v>0.93350560665130611</v>
      </c>
      <c r="W2">
        <f>K2</f>
        <v>45629</v>
      </c>
      <c r="X2">
        <f>H2</f>
        <v>0.89304583271344506</v>
      </c>
      <c r="Y2">
        <f>T2</f>
        <v>0.93350560665130611</v>
      </c>
      <c r="Z2">
        <f>S2</f>
        <v>11.187887938265392</v>
      </c>
    </row>
    <row r="3" spans="1:26" x14ac:dyDescent="0.25">
      <c r="A3" t="s">
        <v>106</v>
      </c>
      <c r="B3">
        <v>3</v>
      </c>
      <c r="C3">
        <v>2</v>
      </c>
      <c r="D3">
        <v>0</v>
      </c>
      <c r="E3" t="s">
        <v>124</v>
      </c>
      <c r="F3">
        <v>29660</v>
      </c>
      <c r="G3">
        <v>51374350.875</v>
      </c>
      <c r="H3">
        <v>0.96444443613290787</v>
      </c>
      <c r="I3">
        <v>0.96680555555555558</v>
      </c>
      <c r="J3">
        <v>15454231.3125</v>
      </c>
      <c r="K3">
        <v>48097</v>
      </c>
      <c r="L3">
        <v>2</v>
      </c>
      <c r="M3">
        <v>137</v>
      </c>
      <c r="N3">
        <v>0.96680555555555547</v>
      </c>
      <c r="O3">
        <v>15617645.5</v>
      </c>
      <c r="P3">
        <v>48724</v>
      </c>
      <c r="Q3">
        <v>2</v>
      </c>
      <c r="R3">
        <v>138</v>
      </c>
      <c r="S3">
        <v>11.185374434578657</v>
      </c>
      <c r="T3">
        <v>0.96938271522521968</v>
      </c>
      <c r="W3">
        <f t="shared" ref="W3:W66" si="0">K3</f>
        <v>48097</v>
      </c>
      <c r="X3">
        <f t="shared" ref="X3:X66" si="1">H3</f>
        <v>0.96444443613290787</v>
      </c>
      <c r="Y3">
        <f t="shared" ref="Y3:Y66" si="2">T3</f>
        <v>0.96938271522521968</v>
      </c>
      <c r="Z3">
        <f t="shared" ref="Z3:Z66" si="3">S3</f>
        <v>11.185374434578657</v>
      </c>
    </row>
    <row r="4" spans="1:26" x14ac:dyDescent="0.25">
      <c r="A4" t="s">
        <v>106</v>
      </c>
      <c r="B4">
        <v>3</v>
      </c>
      <c r="C4">
        <v>2</v>
      </c>
      <c r="D4">
        <v>0</v>
      </c>
      <c r="E4" t="s">
        <v>125</v>
      </c>
      <c r="F4">
        <v>30846</v>
      </c>
      <c r="G4">
        <v>53811566.9375</v>
      </c>
      <c r="H4">
        <v>0.96916666626930237</v>
      </c>
      <c r="I4">
        <v>0.96791666666666665</v>
      </c>
      <c r="J4">
        <v>14226941.5625</v>
      </c>
      <c r="K4">
        <v>49990</v>
      </c>
      <c r="L4">
        <v>2</v>
      </c>
      <c r="M4">
        <v>140</v>
      </c>
      <c r="N4">
        <v>0.96763888888888894</v>
      </c>
      <c r="O4">
        <v>15251444.5625</v>
      </c>
      <c r="P4">
        <v>50629</v>
      </c>
      <c r="Q4">
        <v>2</v>
      </c>
      <c r="R4">
        <v>141</v>
      </c>
      <c r="S4">
        <v>11.182784005353856</v>
      </c>
      <c r="T4">
        <v>0.96790122985839844</v>
      </c>
      <c r="W4">
        <f t="shared" si="0"/>
        <v>49990</v>
      </c>
      <c r="X4">
        <f t="shared" si="1"/>
        <v>0.96916666626930237</v>
      </c>
      <c r="Y4">
        <f t="shared" si="2"/>
        <v>0.96790122985839844</v>
      </c>
      <c r="Z4">
        <f t="shared" si="3"/>
        <v>11.182784005353856</v>
      </c>
    </row>
    <row r="5" spans="1:26" x14ac:dyDescent="0.25">
      <c r="A5" t="s">
        <v>106</v>
      </c>
      <c r="B5">
        <v>3</v>
      </c>
      <c r="C5">
        <v>2</v>
      </c>
      <c r="D5">
        <v>0</v>
      </c>
      <c r="E5" t="s">
        <v>126</v>
      </c>
      <c r="F5">
        <v>32032</v>
      </c>
      <c r="G5">
        <v>54714018.5</v>
      </c>
      <c r="H5">
        <v>0.96680555492639542</v>
      </c>
      <c r="I5">
        <v>0.96861111111111109</v>
      </c>
      <c r="J5">
        <v>15252424.3125</v>
      </c>
      <c r="K5">
        <v>51919</v>
      </c>
      <c r="L5">
        <v>2</v>
      </c>
      <c r="M5">
        <v>143</v>
      </c>
      <c r="N5">
        <v>0.97041666666666671</v>
      </c>
      <c r="O5">
        <v>15220188.9375</v>
      </c>
      <c r="P5">
        <v>52570</v>
      </c>
      <c r="Q5">
        <v>2</v>
      </c>
      <c r="R5">
        <v>144</v>
      </c>
      <c r="S5">
        <v>11.180701754385964</v>
      </c>
      <c r="T5">
        <v>0.9669135689735413</v>
      </c>
      <c r="W5">
        <f t="shared" si="0"/>
        <v>51919</v>
      </c>
      <c r="X5">
        <f t="shared" si="1"/>
        <v>0.96680555492639542</v>
      </c>
      <c r="Y5">
        <f t="shared" si="2"/>
        <v>0.9669135689735413</v>
      </c>
      <c r="Z5">
        <f t="shared" si="3"/>
        <v>11.180701754385964</v>
      </c>
    </row>
    <row r="6" spans="1:26" hidden="1" x14ac:dyDescent="0.25">
      <c r="A6" t="s">
        <v>106</v>
      </c>
      <c r="B6">
        <v>5</v>
      </c>
      <c r="C6">
        <v>2</v>
      </c>
      <c r="D6">
        <v>0</v>
      </c>
      <c r="E6" t="s">
        <v>123</v>
      </c>
      <c r="F6">
        <v>53338</v>
      </c>
      <c r="G6">
        <v>418449544.16666669</v>
      </c>
      <c r="H6">
        <v>0.95444443821907043</v>
      </c>
      <c r="I6">
        <v>0.96074074074074067</v>
      </c>
      <c r="J6">
        <v>31389146</v>
      </c>
      <c r="K6">
        <v>53225</v>
      </c>
      <c r="L6">
        <v>2</v>
      </c>
      <c r="M6">
        <v>145</v>
      </c>
      <c r="N6">
        <v>0.96037037037037032</v>
      </c>
      <c r="O6">
        <v>31096817.166666668</v>
      </c>
      <c r="P6">
        <v>53884</v>
      </c>
      <c r="Q6">
        <v>2</v>
      </c>
      <c r="R6">
        <v>146</v>
      </c>
      <c r="S6">
        <v>11.433127506524922</v>
      </c>
      <c r="T6">
        <v>0.97629630565643311</v>
      </c>
      <c r="W6">
        <f t="shared" si="0"/>
        <v>53225</v>
      </c>
      <c r="X6">
        <f t="shared" si="1"/>
        <v>0.95444443821907043</v>
      </c>
      <c r="Y6">
        <f t="shared" si="2"/>
        <v>0.97629630565643311</v>
      </c>
      <c r="Z6">
        <f t="shared" si="3"/>
        <v>11.433127506524922</v>
      </c>
    </row>
    <row r="7" spans="1:26" x14ac:dyDescent="0.25">
      <c r="A7" t="s">
        <v>106</v>
      </c>
      <c r="B7">
        <v>3</v>
      </c>
      <c r="C7">
        <v>2</v>
      </c>
      <c r="D7">
        <v>0</v>
      </c>
      <c r="E7" t="s">
        <v>127</v>
      </c>
      <c r="F7">
        <v>33218</v>
      </c>
      <c r="G7">
        <v>59575707.25</v>
      </c>
      <c r="H7">
        <v>0.96388888359069824</v>
      </c>
      <c r="I7">
        <v>0.96819444444444447</v>
      </c>
      <c r="J7">
        <v>15112178.8125</v>
      </c>
      <c r="K7">
        <v>53884</v>
      </c>
      <c r="L7">
        <v>2</v>
      </c>
      <c r="M7">
        <v>146</v>
      </c>
      <c r="N7">
        <v>0.96930555555555564</v>
      </c>
      <c r="O7">
        <v>15267688.1875</v>
      </c>
      <c r="P7">
        <v>54547</v>
      </c>
      <c r="Q7">
        <v>2</v>
      </c>
      <c r="R7">
        <v>147</v>
      </c>
      <c r="S7">
        <v>11.178541631903888</v>
      </c>
      <c r="T7">
        <v>0.96395061016082761</v>
      </c>
      <c r="W7">
        <f t="shared" si="0"/>
        <v>53884</v>
      </c>
      <c r="X7">
        <f t="shared" si="1"/>
        <v>0.96388888359069824</v>
      </c>
      <c r="Y7">
        <f t="shared" si="2"/>
        <v>0.96395061016082761</v>
      </c>
      <c r="Z7">
        <f t="shared" si="3"/>
        <v>11.178541631903888</v>
      </c>
    </row>
    <row r="8" spans="1:26" x14ac:dyDescent="0.25">
      <c r="A8" t="s">
        <v>106</v>
      </c>
      <c r="B8">
        <v>3</v>
      </c>
      <c r="C8">
        <v>2</v>
      </c>
      <c r="D8">
        <v>0</v>
      </c>
      <c r="E8" t="s">
        <v>128</v>
      </c>
      <c r="F8">
        <v>34404</v>
      </c>
      <c r="G8">
        <v>61149569.5625</v>
      </c>
      <c r="H8">
        <v>0.96958333626389503</v>
      </c>
      <c r="I8">
        <v>0.96847222222222229</v>
      </c>
      <c r="J8">
        <v>14641600.3125</v>
      </c>
      <c r="K8">
        <v>55214</v>
      </c>
      <c r="L8">
        <v>2</v>
      </c>
      <c r="M8">
        <v>148</v>
      </c>
      <c r="N8">
        <v>0.9654166666666667</v>
      </c>
      <c r="O8">
        <v>15724011.0625</v>
      </c>
      <c r="P8">
        <v>55885</v>
      </c>
      <c r="Q8">
        <v>2</v>
      </c>
      <c r="R8">
        <v>149</v>
      </c>
      <c r="S8">
        <v>11.176470588235293</v>
      </c>
      <c r="T8">
        <v>0.96691357692082724</v>
      </c>
      <c r="W8">
        <f t="shared" si="0"/>
        <v>55214</v>
      </c>
      <c r="X8">
        <f t="shared" si="1"/>
        <v>0.96958333626389503</v>
      </c>
      <c r="Y8">
        <f t="shared" si="2"/>
        <v>0.96691357692082724</v>
      </c>
      <c r="Z8">
        <f t="shared" si="3"/>
        <v>11.176470588235293</v>
      </c>
    </row>
    <row r="9" spans="1:26" hidden="1" x14ac:dyDescent="0.25">
      <c r="A9" t="s">
        <v>106</v>
      </c>
      <c r="B9">
        <v>3</v>
      </c>
      <c r="C9">
        <v>3</v>
      </c>
      <c r="D9">
        <v>0</v>
      </c>
      <c r="E9" t="s">
        <v>123</v>
      </c>
      <c r="F9">
        <v>32026</v>
      </c>
      <c r="G9">
        <v>420063549.83333331</v>
      </c>
      <c r="H9">
        <v>0.96555555860201514</v>
      </c>
      <c r="I9">
        <v>0.94777777777777783</v>
      </c>
      <c r="J9">
        <v>26044664.166666668</v>
      </c>
      <c r="K9">
        <v>56560</v>
      </c>
      <c r="L9">
        <v>2</v>
      </c>
      <c r="M9">
        <v>150</v>
      </c>
      <c r="N9">
        <v>0.94481481481481477</v>
      </c>
      <c r="O9">
        <v>27608244.333333332</v>
      </c>
      <c r="P9">
        <v>57239</v>
      </c>
      <c r="Q9">
        <v>2</v>
      </c>
      <c r="R9">
        <v>151</v>
      </c>
      <c r="S9">
        <v>11.284584682581519</v>
      </c>
      <c r="T9">
        <v>0.96444443464279173</v>
      </c>
      <c r="W9">
        <f t="shared" si="0"/>
        <v>56560</v>
      </c>
      <c r="X9">
        <f t="shared" si="1"/>
        <v>0.96555555860201514</v>
      </c>
      <c r="Y9">
        <f t="shared" si="2"/>
        <v>0.96444443464279173</v>
      </c>
      <c r="Z9">
        <f t="shared" si="3"/>
        <v>11.284584682581519</v>
      </c>
    </row>
    <row r="10" spans="1:26" x14ac:dyDescent="0.25">
      <c r="A10" t="s">
        <v>106</v>
      </c>
      <c r="B10">
        <v>3</v>
      </c>
      <c r="C10">
        <v>2</v>
      </c>
      <c r="D10">
        <v>0</v>
      </c>
      <c r="E10" t="s">
        <v>129</v>
      </c>
      <c r="F10">
        <v>35590</v>
      </c>
      <c r="G10">
        <v>61706615.3125</v>
      </c>
      <c r="H10">
        <v>0.96861110627651215</v>
      </c>
      <c r="I10">
        <v>0.96680555555555558</v>
      </c>
      <c r="J10">
        <v>16338843.25</v>
      </c>
      <c r="K10">
        <v>57239</v>
      </c>
      <c r="L10">
        <v>2</v>
      </c>
      <c r="M10">
        <v>151</v>
      </c>
      <c r="N10">
        <v>0.96555555555555561</v>
      </c>
      <c r="O10">
        <v>15626292.4375</v>
      </c>
      <c r="P10">
        <v>57922</v>
      </c>
      <c r="Q10">
        <v>2</v>
      </c>
      <c r="R10">
        <v>152</v>
      </c>
      <c r="S10">
        <v>11.174155433516392</v>
      </c>
      <c r="T10">
        <v>0.9706172863642375</v>
      </c>
      <c r="W10">
        <f t="shared" si="0"/>
        <v>57239</v>
      </c>
      <c r="X10">
        <f t="shared" si="1"/>
        <v>0.96861110627651215</v>
      </c>
      <c r="Y10">
        <f t="shared" si="2"/>
        <v>0.9706172863642375</v>
      </c>
      <c r="Z10">
        <f t="shared" si="3"/>
        <v>11.174155433516392</v>
      </c>
    </row>
    <row r="11" spans="1:26" hidden="1" x14ac:dyDescent="0.25">
      <c r="A11" t="s">
        <v>106</v>
      </c>
      <c r="B11">
        <v>5</v>
      </c>
      <c r="C11">
        <v>2</v>
      </c>
      <c r="D11">
        <v>0</v>
      </c>
      <c r="E11" t="s">
        <v>257</v>
      </c>
      <c r="F11">
        <v>58893</v>
      </c>
      <c r="G11">
        <v>51503902.25</v>
      </c>
      <c r="H11">
        <v>0.96388888359069824</v>
      </c>
      <c r="I11">
        <v>0.96</v>
      </c>
      <c r="J11">
        <v>13704303.25</v>
      </c>
      <c r="K11">
        <v>58609</v>
      </c>
      <c r="L11">
        <v>2</v>
      </c>
      <c r="M11">
        <v>153</v>
      </c>
      <c r="N11">
        <v>0.9538888888888889</v>
      </c>
      <c r="O11">
        <v>13397828.25</v>
      </c>
      <c r="P11">
        <v>59300</v>
      </c>
      <c r="Q11">
        <v>2</v>
      </c>
      <c r="R11">
        <v>154</v>
      </c>
      <c r="S11">
        <v>11.432444472729587</v>
      </c>
      <c r="T11">
        <v>0.94938270250956214</v>
      </c>
      <c r="W11">
        <f t="shared" si="0"/>
        <v>58609</v>
      </c>
      <c r="X11">
        <f t="shared" si="1"/>
        <v>0.96388888359069824</v>
      </c>
      <c r="Y11">
        <f t="shared" si="2"/>
        <v>0.94938270250956214</v>
      </c>
      <c r="Z11">
        <f t="shared" si="3"/>
        <v>11.432444472729587</v>
      </c>
    </row>
    <row r="12" spans="1:26" x14ac:dyDescent="0.25">
      <c r="A12" t="s">
        <v>106</v>
      </c>
      <c r="B12">
        <v>3</v>
      </c>
      <c r="C12">
        <v>2</v>
      </c>
      <c r="D12">
        <v>0</v>
      </c>
      <c r="E12" t="s">
        <v>130</v>
      </c>
      <c r="F12">
        <v>36776</v>
      </c>
      <c r="G12">
        <v>62958527.0625</v>
      </c>
      <c r="H12">
        <v>0.97138888388872147</v>
      </c>
      <c r="I12">
        <v>0.96597222222222223</v>
      </c>
      <c r="J12">
        <v>15813764.875</v>
      </c>
      <c r="K12">
        <v>59300</v>
      </c>
      <c r="L12">
        <v>2</v>
      </c>
      <c r="M12">
        <v>154</v>
      </c>
      <c r="N12">
        <v>0.97055555555555562</v>
      </c>
      <c r="O12">
        <v>14548294.4375</v>
      </c>
      <c r="P12">
        <v>59995</v>
      </c>
      <c r="Q12">
        <v>2</v>
      </c>
      <c r="R12">
        <v>155</v>
      </c>
      <c r="S12">
        <v>11.171846435100548</v>
      </c>
      <c r="T12">
        <v>0.96419751644134521</v>
      </c>
      <c r="W12">
        <f t="shared" si="0"/>
        <v>59300</v>
      </c>
      <c r="X12">
        <f t="shared" si="1"/>
        <v>0.97138888388872147</v>
      </c>
      <c r="Y12">
        <f t="shared" si="2"/>
        <v>0.96419751644134521</v>
      </c>
      <c r="Z12">
        <f t="shared" si="3"/>
        <v>11.171846435100548</v>
      </c>
    </row>
    <row r="13" spans="1:26" x14ac:dyDescent="0.25">
      <c r="A13" t="s">
        <v>106</v>
      </c>
      <c r="B13">
        <v>3</v>
      </c>
      <c r="C13">
        <v>2</v>
      </c>
      <c r="D13">
        <v>0</v>
      </c>
      <c r="E13" t="s">
        <v>131</v>
      </c>
      <c r="F13">
        <v>37962</v>
      </c>
      <c r="G13">
        <v>62184775.25</v>
      </c>
      <c r="H13">
        <v>0.97194444015622139</v>
      </c>
      <c r="I13">
        <v>0.96722222222222221</v>
      </c>
      <c r="J13">
        <v>15575446.3125</v>
      </c>
      <c r="K13">
        <v>61397</v>
      </c>
      <c r="L13">
        <v>2</v>
      </c>
      <c r="M13">
        <v>157</v>
      </c>
      <c r="N13">
        <v>0.96777777777777774</v>
      </c>
      <c r="O13">
        <v>16654972.125</v>
      </c>
      <c r="P13">
        <v>62104</v>
      </c>
      <c r="Q13">
        <v>2</v>
      </c>
      <c r="R13">
        <v>158</v>
      </c>
      <c r="S13">
        <v>11.169377593360997</v>
      </c>
      <c r="T13">
        <v>0.96271604299545288</v>
      </c>
      <c r="W13">
        <f t="shared" si="0"/>
        <v>61397</v>
      </c>
      <c r="X13">
        <f t="shared" si="1"/>
        <v>0.97194444015622139</v>
      </c>
      <c r="Y13">
        <f t="shared" si="2"/>
        <v>0.96271604299545288</v>
      </c>
      <c r="Z13">
        <f t="shared" si="3"/>
        <v>11.169377593360997</v>
      </c>
    </row>
    <row r="14" spans="1:26" x14ac:dyDescent="0.25">
      <c r="A14" t="s">
        <v>106</v>
      </c>
      <c r="B14">
        <v>3</v>
      </c>
      <c r="C14">
        <v>2</v>
      </c>
      <c r="D14">
        <v>0</v>
      </c>
      <c r="E14" t="s">
        <v>165</v>
      </c>
      <c r="F14">
        <v>39148</v>
      </c>
      <c r="G14">
        <v>71466922.375</v>
      </c>
      <c r="H14">
        <v>0.97152777388691902</v>
      </c>
      <c r="I14">
        <v>0.97055555555555562</v>
      </c>
      <c r="J14">
        <v>16717296.75</v>
      </c>
      <c r="K14">
        <v>63530</v>
      </c>
      <c r="L14">
        <v>2</v>
      </c>
      <c r="M14">
        <v>160</v>
      </c>
      <c r="N14">
        <v>0.96597222222222223</v>
      </c>
      <c r="O14">
        <v>16016103.5625</v>
      </c>
      <c r="P14">
        <v>64249</v>
      </c>
      <c r="Q14">
        <v>2</v>
      </c>
      <c r="R14">
        <v>161</v>
      </c>
      <c r="S14">
        <v>11.167661196751201</v>
      </c>
      <c r="T14">
        <v>0.9676543156305949</v>
      </c>
      <c r="W14">
        <f t="shared" si="0"/>
        <v>63530</v>
      </c>
      <c r="X14">
        <f t="shared" si="1"/>
        <v>0.97152777388691902</v>
      </c>
      <c r="Y14">
        <f t="shared" si="2"/>
        <v>0.9676543156305949</v>
      </c>
      <c r="Z14">
        <f t="shared" si="3"/>
        <v>11.167661196751201</v>
      </c>
    </row>
    <row r="15" spans="1:26" hidden="1" x14ac:dyDescent="0.25">
      <c r="A15" t="s">
        <v>106</v>
      </c>
      <c r="B15">
        <v>5</v>
      </c>
      <c r="C15">
        <v>3</v>
      </c>
      <c r="D15">
        <v>0</v>
      </c>
      <c r="E15" t="s">
        <v>123</v>
      </c>
      <c r="F15">
        <v>63994</v>
      </c>
      <c r="G15">
        <v>449329293.5</v>
      </c>
      <c r="H15">
        <v>0.96000000834465027</v>
      </c>
      <c r="I15">
        <v>0.95833333333333326</v>
      </c>
      <c r="J15">
        <v>30198867.5</v>
      </c>
      <c r="K15">
        <v>63530</v>
      </c>
      <c r="L15">
        <v>2</v>
      </c>
      <c r="M15">
        <v>160</v>
      </c>
      <c r="N15">
        <v>0.95444444444444443</v>
      </c>
      <c r="O15">
        <v>30311989</v>
      </c>
      <c r="P15">
        <v>64249</v>
      </c>
      <c r="Q15">
        <v>2</v>
      </c>
      <c r="R15">
        <v>161</v>
      </c>
      <c r="S15">
        <v>11.532896788275647</v>
      </c>
      <c r="T15">
        <v>0.98148149251937866</v>
      </c>
      <c r="W15">
        <f t="shared" si="0"/>
        <v>63530</v>
      </c>
      <c r="X15">
        <f t="shared" si="1"/>
        <v>0.96000000834465027</v>
      </c>
      <c r="Y15">
        <f t="shared" si="2"/>
        <v>0.98148149251937866</v>
      </c>
      <c r="Z15">
        <f t="shared" si="3"/>
        <v>11.532896788275647</v>
      </c>
    </row>
    <row r="16" spans="1:26" hidden="1" x14ac:dyDescent="0.25">
      <c r="A16" t="s">
        <v>106</v>
      </c>
      <c r="B16">
        <v>5</v>
      </c>
      <c r="C16">
        <v>2</v>
      </c>
      <c r="D16">
        <v>0</v>
      </c>
      <c r="E16" t="s">
        <v>128</v>
      </c>
      <c r="F16">
        <v>64448</v>
      </c>
      <c r="G16">
        <v>55374954.75</v>
      </c>
      <c r="H16">
        <v>0.96222221851348877</v>
      </c>
      <c r="I16">
        <v>0.96166666666666667</v>
      </c>
      <c r="J16">
        <v>14206928.25</v>
      </c>
      <c r="K16">
        <v>64249</v>
      </c>
      <c r="L16">
        <v>2</v>
      </c>
      <c r="M16">
        <v>161</v>
      </c>
      <c r="N16">
        <v>0.95833333333333337</v>
      </c>
      <c r="O16">
        <v>15761668.25</v>
      </c>
      <c r="P16">
        <v>64972</v>
      </c>
      <c r="Q16">
        <v>2</v>
      </c>
      <c r="R16">
        <v>162</v>
      </c>
      <c r="S16">
        <v>11.431889037348094</v>
      </c>
      <c r="T16">
        <v>0.94320988655090332</v>
      </c>
      <c r="W16">
        <f t="shared" si="0"/>
        <v>64249</v>
      </c>
      <c r="X16">
        <f t="shared" si="1"/>
        <v>0.96222221851348877</v>
      </c>
      <c r="Y16">
        <f t="shared" si="2"/>
        <v>0.94320988655090332</v>
      </c>
      <c r="Z16">
        <f t="shared" si="3"/>
        <v>11.431889037348094</v>
      </c>
    </row>
    <row r="17" spans="1:26" x14ac:dyDescent="0.25">
      <c r="A17" t="s">
        <v>106</v>
      </c>
      <c r="B17">
        <v>3</v>
      </c>
      <c r="C17">
        <v>2</v>
      </c>
      <c r="D17">
        <v>0</v>
      </c>
      <c r="E17" t="s">
        <v>192</v>
      </c>
      <c r="F17">
        <v>40334</v>
      </c>
      <c r="G17">
        <v>68348397.3125</v>
      </c>
      <c r="H17">
        <v>0.96972221881151199</v>
      </c>
      <c r="I17">
        <v>0.96833333333333338</v>
      </c>
      <c r="J17">
        <v>16517850.625</v>
      </c>
      <c r="K17">
        <v>64972</v>
      </c>
      <c r="L17">
        <v>2</v>
      </c>
      <c r="M17">
        <v>162</v>
      </c>
      <c r="N17">
        <v>0.96680555555555558</v>
      </c>
      <c r="O17">
        <v>15946913.875</v>
      </c>
      <c r="P17">
        <v>65699</v>
      </c>
      <c r="Q17">
        <v>2</v>
      </c>
      <c r="R17">
        <v>163</v>
      </c>
      <c r="S17">
        <v>11.164956133090548</v>
      </c>
      <c r="T17">
        <v>0.96666667064030964</v>
      </c>
      <c r="W17">
        <f t="shared" si="0"/>
        <v>64972</v>
      </c>
      <c r="X17">
        <f t="shared" si="1"/>
        <v>0.96972221881151199</v>
      </c>
      <c r="Y17">
        <f t="shared" si="2"/>
        <v>0.96666667064030964</v>
      </c>
      <c r="Z17">
        <f t="shared" si="3"/>
        <v>11.164956133090548</v>
      </c>
    </row>
    <row r="18" spans="1:26" x14ac:dyDescent="0.25">
      <c r="A18" t="s">
        <v>106</v>
      </c>
      <c r="B18">
        <v>3</v>
      </c>
      <c r="C18">
        <v>2</v>
      </c>
      <c r="D18">
        <v>0</v>
      </c>
      <c r="E18" t="s">
        <v>210</v>
      </c>
      <c r="F18">
        <v>41520</v>
      </c>
      <c r="G18">
        <v>70804928.0625</v>
      </c>
      <c r="H18">
        <v>0.9652777761220932</v>
      </c>
      <c r="I18">
        <v>0.96652777777777776</v>
      </c>
      <c r="J18">
        <v>16931027.875</v>
      </c>
      <c r="K18">
        <v>67165</v>
      </c>
      <c r="L18">
        <v>2</v>
      </c>
      <c r="M18">
        <v>165</v>
      </c>
      <c r="N18">
        <v>0.96638888888888885</v>
      </c>
      <c r="O18">
        <v>16553214.75</v>
      </c>
      <c r="P18">
        <v>67904</v>
      </c>
      <c r="Q18">
        <v>2</v>
      </c>
      <c r="R18">
        <v>166</v>
      </c>
      <c r="S18">
        <v>11.163250123987435</v>
      </c>
      <c r="T18">
        <v>0.96864197254180906</v>
      </c>
      <c r="W18">
        <f t="shared" si="0"/>
        <v>67165</v>
      </c>
      <c r="X18">
        <f t="shared" si="1"/>
        <v>0.9652777761220932</v>
      </c>
      <c r="Y18">
        <f t="shared" si="2"/>
        <v>0.96864197254180906</v>
      </c>
      <c r="Z18">
        <f t="shared" si="3"/>
        <v>11.163250123987435</v>
      </c>
    </row>
    <row r="19" spans="1:26" hidden="1" x14ac:dyDescent="0.25">
      <c r="A19" t="s">
        <v>106</v>
      </c>
      <c r="B19">
        <v>3</v>
      </c>
      <c r="C19">
        <v>4</v>
      </c>
      <c r="D19">
        <v>0</v>
      </c>
      <c r="E19" t="s">
        <v>123</v>
      </c>
      <c r="F19">
        <v>35578</v>
      </c>
      <c r="G19">
        <v>252045939.16666666</v>
      </c>
      <c r="H19">
        <v>0.95999999841054284</v>
      </c>
      <c r="I19">
        <v>0.95296296296296301</v>
      </c>
      <c r="J19">
        <v>20673005.5</v>
      </c>
      <c r="K19">
        <v>67165</v>
      </c>
      <c r="L19">
        <v>2</v>
      </c>
      <c r="M19">
        <v>165</v>
      </c>
      <c r="N19">
        <v>0.95518518518518525</v>
      </c>
      <c r="O19">
        <v>20017606.5</v>
      </c>
      <c r="P19">
        <v>67904</v>
      </c>
      <c r="Q19">
        <v>2</v>
      </c>
      <c r="R19">
        <v>166</v>
      </c>
      <c r="S19">
        <v>11.430512702684961</v>
      </c>
      <c r="T19">
        <v>0.97777777910232544</v>
      </c>
      <c r="W19">
        <f t="shared" si="0"/>
        <v>67165</v>
      </c>
      <c r="X19">
        <f t="shared" si="1"/>
        <v>0.95999999841054284</v>
      </c>
      <c r="Y19">
        <f t="shared" si="2"/>
        <v>0.97777777910232544</v>
      </c>
      <c r="Z19">
        <f t="shared" si="3"/>
        <v>11.430512702684961</v>
      </c>
    </row>
    <row r="20" spans="1:26" hidden="1" x14ac:dyDescent="0.25">
      <c r="A20" t="s">
        <v>106</v>
      </c>
      <c r="B20">
        <v>9</v>
      </c>
      <c r="C20">
        <v>2</v>
      </c>
      <c r="D20">
        <v>0</v>
      </c>
      <c r="E20" t="s">
        <v>123</v>
      </c>
      <c r="F20">
        <v>67546</v>
      </c>
      <c r="G20">
        <v>840517909</v>
      </c>
      <c r="H20">
        <v>0.92277778685092926</v>
      </c>
      <c r="I20">
        <v>0.97</v>
      </c>
      <c r="J20">
        <v>35435495.25</v>
      </c>
      <c r="K20">
        <v>67165</v>
      </c>
      <c r="L20">
        <v>2</v>
      </c>
      <c r="M20">
        <v>165</v>
      </c>
      <c r="N20">
        <v>0.97166666666666668</v>
      </c>
      <c r="O20">
        <v>34114181</v>
      </c>
      <c r="P20">
        <v>67904</v>
      </c>
      <c r="Q20">
        <v>2</v>
      </c>
      <c r="R20">
        <v>166</v>
      </c>
      <c r="S20">
        <v>11.719263373282667</v>
      </c>
      <c r="T20">
        <v>0.94197531541188562</v>
      </c>
      <c r="W20">
        <f t="shared" si="0"/>
        <v>67165</v>
      </c>
      <c r="X20">
        <f t="shared" si="1"/>
        <v>0.92277778685092926</v>
      </c>
      <c r="Y20">
        <f t="shared" si="2"/>
        <v>0.94197531541188562</v>
      </c>
      <c r="Z20">
        <f t="shared" si="3"/>
        <v>11.719263373282667</v>
      </c>
    </row>
    <row r="21" spans="1:26" x14ac:dyDescent="0.25">
      <c r="A21" t="s">
        <v>106</v>
      </c>
      <c r="B21">
        <v>3</v>
      </c>
      <c r="C21">
        <v>2</v>
      </c>
      <c r="D21">
        <v>0</v>
      </c>
      <c r="E21" t="s">
        <v>225</v>
      </c>
      <c r="F21">
        <v>42706</v>
      </c>
      <c r="G21">
        <v>68584463.5</v>
      </c>
      <c r="H21">
        <v>0.96486110985279083</v>
      </c>
      <c r="I21">
        <v>0.96638888888888885</v>
      </c>
      <c r="J21">
        <v>16644241.125</v>
      </c>
      <c r="K21">
        <v>68647</v>
      </c>
      <c r="L21">
        <v>2</v>
      </c>
      <c r="M21">
        <v>167</v>
      </c>
      <c r="N21">
        <v>0.96902777777777771</v>
      </c>
      <c r="O21">
        <v>17629796.75</v>
      </c>
      <c r="P21">
        <v>69394</v>
      </c>
      <c r="Q21">
        <v>2</v>
      </c>
      <c r="R21">
        <v>168</v>
      </c>
      <c r="S21">
        <v>11.160723130262506</v>
      </c>
      <c r="T21">
        <v>0.9676543156305949</v>
      </c>
      <c r="W21">
        <f t="shared" si="0"/>
        <v>68647</v>
      </c>
      <c r="X21">
        <f t="shared" si="1"/>
        <v>0.96486110985279083</v>
      </c>
      <c r="Y21">
        <f t="shared" si="2"/>
        <v>0.9676543156305949</v>
      </c>
      <c r="Z21">
        <f t="shared" si="3"/>
        <v>11.160723130262506</v>
      </c>
    </row>
    <row r="22" spans="1:26" hidden="1" x14ac:dyDescent="0.25">
      <c r="A22" t="s">
        <v>106</v>
      </c>
      <c r="B22">
        <v>5</v>
      </c>
      <c r="C22">
        <v>2</v>
      </c>
      <c r="D22">
        <v>0</v>
      </c>
      <c r="E22" t="s">
        <v>258</v>
      </c>
      <c r="F22">
        <v>70003</v>
      </c>
      <c r="G22">
        <v>62509383.75</v>
      </c>
      <c r="H22">
        <v>0.96444444358348846</v>
      </c>
      <c r="I22">
        <v>0.96166666666666667</v>
      </c>
      <c r="J22">
        <v>13449123.75</v>
      </c>
      <c r="K22">
        <v>69394</v>
      </c>
      <c r="L22">
        <v>2</v>
      </c>
      <c r="M22">
        <v>168</v>
      </c>
      <c r="N22">
        <v>0.96611111111111114</v>
      </c>
      <c r="O22">
        <v>15646424.25</v>
      </c>
      <c r="P22">
        <v>70145</v>
      </c>
      <c r="Q22">
        <v>2</v>
      </c>
      <c r="R22">
        <v>169</v>
      </c>
      <c r="S22">
        <v>11.431524712168438</v>
      </c>
      <c r="T22">
        <v>0.9407407442728678</v>
      </c>
      <c r="W22">
        <f t="shared" si="0"/>
        <v>69394</v>
      </c>
      <c r="X22">
        <f t="shared" si="1"/>
        <v>0.96444444358348846</v>
      </c>
      <c r="Y22">
        <f t="shared" si="2"/>
        <v>0.9407407442728678</v>
      </c>
      <c r="Z22">
        <f t="shared" si="3"/>
        <v>11.431524712168438</v>
      </c>
    </row>
    <row r="23" spans="1:26" hidden="1" x14ac:dyDescent="0.25">
      <c r="A23" t="s">
        <v>106</v>
      </c>
      <c r="B23">
        <v>3</v>
      </c>
      <c r="C23">
        <v>4</v>
      </c>
      <c r="D23">
        <v>0</v>
      </c>
      <c r="E23" t="s">
        <v>124</v>
      </c>
      <c r="F23">
        <v>37060</v>
      </c>
      <c r="G23">
        <v>35659773.333333336</v>
      </c>
      <c r="H23">
        <v>0.96037037173906958</v>
      </c>
      <c r="I23">
        <v>0.94740740740740736</v>
      </c>
      <c r="J23">
        <v>10366397</v>
      </c>
      <c r="K23">
        <v>70145</v>
      </c>
      <c r="L23">
        <v>2</v>
      </c>
      <c r="M23">
        <v>169</v>
      </c>
      <c r="N23">
        <v>0.96111111111111114</v>
      </c>
      <c r="O23">
        <v>10000814</v>
      </c>
      <c r="P23">
        <v>70900</v>
      </c>
      <c r="Q23">
        <v>2</v>
      </c>
      <c r="R23">
        <v>170</v>
      </c>
      <c r="S23">
        <v>11.430080713957608</v>
      </c>
      <c r="T23">
        <v>0.97333332300186159</v>
      </c>
      <c r="W23">
        <f t="shared" si="0"/>
        <v>70145</v>
      </c>
      <c r="X23">
        <f t="shared" si="1"/>
        <v>0.96037037173906958</v>
      </c>
      <c r="Y23">
        <f t="shared" si="2"/>
        <v>0.97333332300186159</v>
      </c>
      <c r="Z23">
        <f t="shared" si="3"/>
        <v>11.430080713957608</v>
      </c>
    </row>
    <row r="24" spans="1:26" hidden="1" x14ac:dyDescent="0.25">
      <c r="A24" t="s">
        <v>106</v>
      </c>
      <c r="B24">
        <v>5</v>
      </c>
      <c r="C24">
        <v>3</v>
      </c>
      <c r="D24">
        <v>0</v>
      </c>
      <c r="E24" t="s">
        <v>257</v>
      </c>
      <c r="F24">
        <v>70659</v>
      </c>
      <c r="G24">
        <v>73152649.25</v>
      </c>
      <c r="H24">
        <v>0.95222222805023193</v>
      </c>
      <c r="I24">
        <v>0.95500000000000007</v>
      </c>
      <c r="J24">
        <v>16984529.25</v>
      </c>
      <c r="K24">
        <v>70145</v>
      </c>
      <c r="L24">
        <v>2</v>
      </c>
      <c r="M24">
        <v>169</v>
      </c>
      <c r="N24">
        <v>0.95666666666666667</v>
      </c>
      <c r="O24">
        <v>15164896.5</v>
      </c>
      <c r="P24">
        <v>70900</v>
      </c>
      <c r="Q24">
        <v>2</v>
      </c>
      <c r="R24">
        <v>170</v>
      </c>
      <c r="S24">
        <v>11.532327451836149</v>
      </c>
      <c r="T24">
        <v>0.97530863682428992</v>
      </c>
      <c r="W24">
        <f t="shared" si="0"/>
        <v>70145</v>
      </c>
      <c r="X24">
        <f t="shared" si="1"/>
        <v>0.95222222805023193</v>
      </c>
      <c r="Y24">
        <f t="shared" si="2"/>
        <v>0.97530863682428992</v>
      </c>
      <c r="Z24">
        <f t="shared" si="3"/>
        <v>11.532327451836149</v>
      </c>
    </row>
    <row r="25" spans="1:26" x14ac:dyDescent="0.25">
      <c r="A25" t="s">
        <v>106</v>
      </c>
      <c r="B25">
        <v>3</v>
      </c>
      <c r="C25">
        <v>2</v>
      </c>
      <c r="D25">
        <v>0</v>
      </c>
      <c r="E25" t="s">
        <v>241</v>
      </c>
      <c r="F25">
        <v>43892</v>
      </c>
      <c r="G25">
        <v>71649662.625</v>
      </c>
      <c r="H25">
        <v>0.96847221627831459</v>
      </c>
      <c r="I25">
        <v>0.96513888888888888</v>
      </c>
      <c r="J25">
        <v>16764131.6875</v>
      </c>
      <c r="K25">
        <v>70900</v>
      </c>
      <c r="L25">
        <v>2</v>
      </c>
      <c r="M25">
        <v>170</v>
      </c>
      <c r="N25">
        <v>0.96680555555555558</v>
      </c>
      <c r="O25">
        <v>16712459</v>
      </c>
      <c r="P25">
        <v>71659</v>
      </c>
      <c r="Q25">
        <v>2</v>
      </c>
      <c r="R25">
        <v>171</v>
      </c>
      <c r="S25">
        <v>11.158367683429514</v>
      </c>
      <c r="T25">
        <v>0.96222220261891678</v>
      </c>
      <c r="W25">
        <f t="shared" si="0"/>
        <v>70900</v>
      </c>
      <c r="X25">
        <f t="shared" si="1"/>
        <v>0.96847221627831459</v>
      </c>
      <c r="Y25">
        <f t="shared" si="2"/>
        <v>0.96222220261891678</v>
      </c>
      <c r="Z25">
        <f t="shared" si="3"/>
        <v>11.158367683429514</v>
      </c>
    </row>
    <row r="26" spans="1:26" hidden="1" x14ac:dyDescent="0.25">
      <c r="A26" t="s">
        <v>106</v>
      </c>
      <c r="B26">
        <v>3</v>
      </c>
      <c r="C26">
        <v>4</v>
      </c>
      <c r="D26">
        <v>0</v>
      </c>
      <c r="E26" t="s">
        <v>125</v>
      </c>
      <c r="F26">
        <v>38542</v>
      </c>
      <c r="G26">
        <v>35825136.666666664</v>
      </c>
      <c r="H26">
        <v>0.96370370189348853</v>
      </c>
      <c r="I26">
        <v>0.95037037037037042</v>
      </c>
      <c r="J26">
        <v>10649049.333333334</v>
      </c>
      <c r="K26">
        <v>72422</v>
      </c>
      <c r="L26">
        <v>2</v>
      </c>
      <c r="M26">
        <v>172</v>
      </c>
      <c r="N26">
        <v>0.95592592592592585</v>
      </c>
      <c r="O26">
        <v>10410378.333333334</v>
      </c>
      <c r="P26">
        <v>73189</v>
      </c>
      <c r="Q26">
        <v>2</v>
      </c>
      <c r="R26">
        <v>173</v>
      </c>
      <c r="S26">
        <v>11.4296490652673</v>
      </c>
      <c r="T26">
        <v>0.98740741014480593</v>
      </c>
      <c r="W26">
        <f t="shared" si="0"/>
        <v>72422</v>
      </c>
      <c r="X26">
        <f t="shared" si="1"/>
        <v>0.96370370189348853</v>
      </c>
      <c r="Y26">
        <f t="shared" si="2"/>
        <v>0.98740741014480593</v>
      </c>
      <c r="Z26">
        <f t="shared" si="3"/>
        <v>11.4296490652673</v>
      </c>
    </row>
    <row r="27" spans="1:26" x14ac:dyDescent="0.25">
      <c r="A27" t="s">
        <v>106</v>
      </c>
      <c r="B27">
        <v>3</v>
      </c>
      <c r="C27">
        <v>2</v>
      </c>
      <c r="D27">
        <v>0</v>
      </c>
      <c r="E27" t="s">
        <v>242</v>
      </c>
      <c r="F27">
        <v>45078</v>
      </c>
      <c r="G27">
        <v>77051157.5</v>
      </c>
      <c r="H27">
        <v>0.9722222201526165</v>
      </c>
      <c r="I27">
        <v>0.96583333333333332</v>
      </c>
      <c r="J27">
        <v>17601565.625</v>
      </c>
      <c r="K27">
        <v>73189</v>
      </c>
      <c r="L27">
        <v>2</v>
      </c>
      <c r="M27">
        <v>173</v>
      </c>
      <c r="N27">
        <v>0.96847222222222229</v>
      </c>
      <c r="O27">
        <v>16541917.75</v>
      </c>
      <c r="P27">
        <v>73960</v>
      </c>
      <c r="Q27">
        <v>2</v>
      </c>
      <c r="R27">
        <v>174</v>
      </c>
      <c r="S27">
        <v>11.1558537790219</v>
      </c>
      <c r="T27">
        <v>0.9688888867696126</v>
      </c>
      <c r="W27">
        <f t="shared" si="0"/>
        <v>73189</v>
      </c>
      <c r="X27">
        <f t="shared" si="1"/>
        <v>0.9722222201526165</v>
      </c>
      <c r="Y27">
        <f t="shared" si="2"/>
        <v>0.9688888867696126</v>
      </c>
      <c r="Z27">
        <f t="shared" si="3"/>
        <v>11.1558537790219</v>
      </c>
    </row>
    <row r="28" spans="1:26" hidden="1" x14ac:dyDescent="0.25">
      <c r="A28" t="s">
        <v>106</v>
      </c>
      <c r="B28">
        <v>5</v>
      </c>
      <c r="C28">
        <v>4</v>
      </c>
      <c r="D28">
        <v>0</v>
      </c>
      <c r="E28" t="s">
        <v>123</v>
      </c>
      <c r="F28">
        <v>74650</v>
      </c>
      <c r="G28">
        <v>531196612</v>
      </c>
      <c r="H28">
        <v>0.95555555820465088</v>
      </c>
      <c r="I28">
        <v>0.97055555555555562</v>
      </c>
      <c r="J28">
        <v>34152810</v>
      </c>
      <c r="K28">
        <v>73960</v>
      </c>
      <c r="L28">
        <v>2</v>
      </c>
      <c r="M28">
        <v>174</v>
      </c>
      <c r="N28">
        <v>0.96833333333333327</v>
      </c>
      <c r="O28">
        <v>31627541</v>
      </c>
      <c r="P28">
        <v>74735</v>
      </c>
      <c r="Q28">
        <v>2</v>
      </c>
      <c r="R28">
        <v>175</v>
      </c>
      <c r="S28">
        <v>11.583613368363169</v>
      </c>
      <c r="T28">
        <v>0.96296296517054236</v>
      </c>
      <c r="W28">
        <f t="shared" si="0"/>
        <v>73960</v>
      </c>
      <c r="X28">
        <f t="shared" si="1"/>
        <v>0.95555555820465088</v>
      </c>
      <c r="Y28">
        <f t="shared" si="2"/>
        <v>0.96296296517054236</v>
      </c>
      <c r="Z28">
        <f t="shared" si="3"/>
        <v>11.583613368363169</v>
      </c>
    </row>
    <row r="29" spans="1:26" hidden="1" x14ac:dyDescent="0.25">
      <c r="A29" t="s">
        <v>106</v>
      </c>
      <c r="B29">
        <v>9</v>
      </c>
      <c r="C29">
        <v>2</v>
      </c>
      <c r="D29">
        <v>0</v>
      </c>
      <c r="E29" t="s">
        <v>257</v>
      </c>
      <c r="F29">
        <v>74581</v>
      </c>
      <c r="G29">
        <v>71763932</v>
      </c>
      <c r="H29">
        <v>0.95388887822628021</v>
      </c>
      <c r="I29">
        <v>0.96944444444444444</v>
      </c>
      <c r="J29">
        <v>17254305.25</v>
      </c>
      <c r="K29">
        <v>73960</v>
      </c>
      <c r="L29">
        <v>2</v>
      </c>
      <c r="M29">
        <v>174</v>
      </c>
      <c r="N29">
        <v>0.96722222222222221</v>
      </c>
      <c r="O29">
        <v>16805645.75</v>
      </c>
      <c r="P29">
        <v>74735</v>
      </c>
      <c r="Q29">
        <v>2</v>
      </c>
      <c r="R29">
        <v>175</v>
      </c>
      <c r="S29">
        <v>11.718802969197498</v>
      </c>
      <c r="T29">
        <v>0.95555555820465088</v>
      </c>
      <c r="W29">
        <f t="shared" si="0"/>
        <v>73960</v>
      </c>
      <c r="X29">
        <f t="shared" si="1"/>
        <v>0.95388887822628021</v>
      </c>
      <c r="Y29">
        <f t="shared" si="2"/>
        <v>0.95555555820465088</v>
      </c>
      <c r="Z29">
        <f t="shared" si="3"/>
        <v>11.718802969197498</v>
      </c>
    </row>
    <row r="30" spans="1:26" x14ac:dyDescent="0.25">
      <c r="A30" t="s">
        <v>106</v>
      </c>
      <c r="B30">
        <v>3</v>
      </c>
      <c r="C30">
        <v>2</v>
      </c>
      <c r="D30">
        <v>0</v>
      </c>
      <c r="E30" t="s">
        <v>243</v>
      </c>
      <c r="F30">
        <v>46264</v>
      </c>
      <c r="G30">
        <v>77173566.8125</v>
      </c>
      <c r="H30">
        <v>0.96611110121011734</v>
      </c>
      <c r="I30">
        <v>0.96666666666666667</v>
      </c>
      <c r="J30">
        <v>16834337.3125</v>
      </c>
      <c r="K30">
        <v>74735</v>
      </c>
      <c r="L30">
        <v>2</v>
      </c>
      <c r="M30">
        <v>175</v>
      </c>
      <c r="N30">
        <v>0.96680555555555558</v>
      </c>
      <c r="O30">
        <v>18754988.125</v>
      </c>
      <c r="P30">
        <v>75514</v>
      </c>
      <c r="Q30">
        <v>2</v>
      </c>
      <c r="R30">
        <v>176</v>
      </c>
      <c r="S30">
        <v>11.153593159019898</v>
      </c>
      <c r="T30">
        <v>0.97358024915059405</v>
      </c>
      <c r="W30">
        <f t="shared" si="0"/>
        <v>74735</v>
      </c>
      <c r="X30">
        <f t="shared" si="1"/>
        <v>0.96611110121011734</v>
      </c>
      <c r="Y30">
        <f t="shared" si="2"/>
        <v>0.97358024915059405</v>
      </c>
      <c r="Z30">
        <f t="shared" si="3"/>
        <v>11.153593159019898</v>
      </c>
    </row>
    <row r="31" spans="1:26" hidden="1" x14ac:dyDescent="0.25">
      <c r="A31" t="s">
        <v>106</v>
      </c>
      <c r="B31">
        <v>3</v>
      </c>
      <c r="C31">
        <v>4</v>
      </c>
      <c r="D31">
        <v>0</v>
      </c>
      <c r="E31" t="s">
        <v>126</v>
      </c>
      <c r="F31">
        <v>40024</v>
      </c>
      <c r="G31">
        <v>34918281.666666664</v>
      </c>
      <c r="H31">
        <v>0.9566666682561239</v>
      </c>
      <c r="I31">
        <v>0.95481481481481489</v>
      </c>
      <c r="J31">
        <v>11268180.666666666</v>
      </c>
      <c r="K31">
        <v>75514</v>
      </c>
      <c r="L31">
        <v>2</v>
      </c>
      <c r="M31">
        <v>176</v>
      </c>
      <c r="N31">
        <v>0.95296296296296301</v>
      </c>
      <c r="O31">
        <v>10732712</v>
      </c>
      <c r="P31">
        <v>76297</v>
      </c>
      <c r="Q31">
        <v>2</v>
      </c>
      <c r="R31">
        <v>177</v>
      </c>
      <c r="S31">
        <v>11.428955478329289</v>
      </c>
      <c r="T31">
        <v>0.98444445133209224</v>
      </c>
      <c r="W31">
        <f t="shared" si="0"/>
        <v>75514</v>
      </c>
      <c r="X31">
        <f t="shared" si="1"/>
        <v>0.9566666682561239</v>
      </c>
      <c r="Y31">
        <f t="shared" si="2"/>
        <v>0.98444445133209224</v>
      </c>
      <c r="Z31">
        <f t="shared" si="3"/>
        <v>11.428955478329289</v>
      </c>
    </row>
    <row r="32" spans="1:26" hidden="1" x14ac:dyDescent="0.25">
      <c r="A32" t="s">
        <v>106</v>
      </c>
      <c r="B32">
        <v>5</v>
      </c>
      <c r="C32">
        <v>2</v>
      </c>
      <c r="D32">
        <v>0</v>
      </c>
      <c r="E32" t="s">
        <v>192</v>
      </c>
      <c r="F32">
        <v>75558</v>
      </c>
      <c r="G32">
        <v>67797969.5</v>
      </c>
      <c r="H32">
        <v>0.95666667819023132</v>
      </c>
      <c r="I32">
        <v>0.96388888888888891</v>
      </c>
      <c r="J32">
        <v>16480038</v>
      </c>
      <c r="K32">
        <v>75514</v>
      </c>
      <c r="L32">
        <v>2</v>
      </c>
      <c r="M32">
        <v>176</v>
      </c>
      <c r="N32">
        <v>0.96333333333333337</v>
      </c>
      <c r="O32">
        <v>17240110.25</v>
      </c>
      <c r="P32">
        <v>76297</v>
      </c>
      <c r="Q32">
        <v>2</v>
      </c>
      <c r="R32">
        <v>177</v>
      </c>
      <c r="S32">
        <v>11.431096979332274</v>
      </c>
      <c r="T32">
        <v>0.93827160199483239</v>
      </c>
      <c r="W32">
        <f t="shared" si="0"/>
        <v>75514</v>
      </c>
      <c r="X32">
        <f t="shared" si="1"/>
        <v>0.95666667819023132</v>
      </c>
      <c r="Y32">
        <f t="shared" si="2"/>
        <v>0.93827160199483239</v>
      </c>
      <c r="Z32">
        <f t="shared" si="3"/>
        <v>11.431096979332274</v>
      </c>
    </row>
    <row r="33" spans="1:26" x14ac:dyDescent="0.25">
      <c r="A33" t="s">
        <v>106</v>
      </c>
      <c r="B33">
        <v>3</v>
      </c>
      <c r="C33">
        <v>2</v>
      </c>
      <c r="D33">
        <v>0</v>
      </c>
      <c r="E33" t="s">
        <v>244</v>
      </c>
      <c r="F33">
        <v>47450</v>
      </c>
      <c r="G33">
        <v>79604365.125</v>
      </c>
      <c r="H33">
        <v>0.96986111253499985</v>
      </c>
      <c r="I33">
        <v>0.96597222222222223</v>
      </c>
      <c r="J33">
        <v>17669047.6875</v>
      </c>
      <c r="K33">
        <v>76297</v>
      </c>
      <c r="L33">
        <v>2</v>
      </c>
      <c r="M33">
        <v>177</v>
      </c>
      <c r="N33">
        <v>0.96833333333333327</v>
      </c>
      <c r="O33">
        <v>17479398.4375</v>
      </c>
      <c r="P33">
        <v>77084</v>
      </c>
      <c r="Q33">
        <v>2</v>
      </c>
      <c r="R33">
        <v>178</v>
      </c>
      <c r="S33">
        <v>11.151502709804566</v>
      </c>
      <c r="T33">
        <v>0.97111111481984458</v>
      </c>
      <c r="W33">
        <f t="shared" si="0"/>
        <v>76297</v>
      </c>
      <c r="X33">
        <f t="shared" si="1"/>
        <v>0.96986111253499985</v>
      </c>
      <c r="Y33">
        <f t="shared" si="2"/>
        <v>0.97111111481984458</v>
      </c>
      <c r="Z33">
        <f t="shared" si="3"/>
        <v>11.151502709804566</v>
      </c>
    </row>
    <row r="34" spans="1:26" hidden="1" x14ac:dyDescent="0.25">
      <c r="A34" t="s">
        <v>106</v>
      </c>
      <c r="B34">
        <v>5</v>
      </c>
      <c r="C34">
        <v>3</v>
      </c>
      <c r="D34">
        <v>0</v>
      </c>
      <c r="E34" t="s">
        <v>128</v>
      </c>
      <c r="F34">
        <v>77324</v>
      </c>
      <c r="G34">
        <v>94071362.5</v>
      </c>
      <c r="H34">
        <v>0.94611109793186188</v>
      </c>
      <c r="I34">
        <v>0.95611111111111113</v>
      </c>
      <c r="J34">
        <v>16486069.25</v>
      </c>
      <c r="K34">
        <v>77084</v>
      </c>
      <c r="L34">
        <v>2</v>
      </c>
      <c r="M34">
        <v>178</v>
      </c>
      <c r="N34">
        <v>0.95499999999999996</v>
      </c>
      <c r="O34">
        <v>18657268.25</v>
      </c>
      <c r="P34">
        <v>77875</v>
      </c>
      <c r="Q34">
        <v>2</v>
      </c>
      <c r="R34">
        <v>179</v>
      </c>
      <c r="S34">
        <v>11.532007729227701</v>
      </c>
      <c r="T34">
        <v>0.97901235024134314</v>
      </c>
      <c r="W34">
        <f t="shared" si="0"/>
        <v>77084</v>
      </c>
      <c r="X34">
        <f t="shared" si="1"/>
        <v>0.94611109793186188</v>
      </c>
      <c r="Y34">
        <f t="shared" si="2"/>
        <v>0.97901235024134314</v>
      </c>
      <c r="Z34">
        <f t="shared" si="3"/>
        <v>11.532007729227701</v>
      </c>
    </row>
    <row r="35" spans="1:26" hidden="1" x14ac:dyDescent="0.25">
      <c r="A35" t="s">
        <v>106</v>
      </c>
      <c r="B35">
        <v>9</v>
      </c>
      <c r="C35">
        <v>3</v>
      </c>
      <c r="D35">
        <v>0</v>
      </c>
      <c r="E35" t="s">
        <v>123</v>
      </c>
      <c r="F35">
        <v>78202</v>
      </c>
      <c r="G35">
        <v>1030495523.75</v>
      </c>
      <c r="H35">
        <v>0.89611111581325531</v>
      </c>
      <c r="I35">
        <v>0.9538888888888889</v>
      </c>
      <c r="J35">
        <v>33339737.75</v>
      </c>
      <c r="K35">
        <v>77875</v>
      </c>
      <c r="L35">
        <v>2</v>
      </c>
      <c r="M35">
        <v>179</v>
      </c>
      <c r="N35">
        <v>0.94777777777777783</v>
      </c>
      <c r="O35">
        <v>34117275</v>
      </c>
      <c r="P35">
        <v>78670</v>
      </c>
      <c r="Q35">
        <v>2</v>
      </c>
      <c r="R35">
        <v>180</v>
      </c>
      <c r="S35">
        <v>11.92341670491051</v>
      </c>
      <c r="T35">
        <v>0.91851852337519324</v>
      </c>
      <c r="W35">
        <f t="shared" si="0"/>
        <v>77875</v>
      </c>
      <c r="X35">
        <f t="shared" si="1"/>
        <v>0.89611111581325531</v>
      </c>
      <c r="Y35">
        <f t="shared" si="2"/>
        <v>0.91851852337519324</v>
      </c>
      <c r="Z35">
        <f t="shared" si="3"/>
        <v>11.92341670491051</v>
      </c>
    </row>
    <row r="36" spans="1:26" x14ac:dyDescent="0.25">
      <c r="A36" t="s">
        <v>106</v>
      </c>
      <c r="B36">
        <v>3</v>
      </c>
      <c r="C36">
        <v>2</v>
      </c>
      <c r="D36">
        <v>0</v>
      </c>
      <c r="E36" t="s">
        <v>245</v>
      </c>
      <c r="F36">
        <v>48636</v>
      </c>
      <c r="G36">
        <v>87640147.875</v>
      </c>
      <c r="H36">
        <v>0.96944444626569748</v>
      </c>
      <c r="I36">
        <v>0.96458333333333335</v>
      </c>
      <c r="J36">
        <v>18495777</v>
      </c>
      <c r="K36">
        <v>78670</v>
      </c>
      <c r="L36">
        <v>2</v>
      </c>
      <c r="M36">
        <v>180</v>
      </c>
      <c r="N36">
        <v>0.96652777777777776</v>
      </c>
      <c r="O36">
        <v>16871737.4375</v>
      </c>
      <c r="P36">
        <v>79469</v>
      </c>
      <c r="Q36">
        <v>2</v>
      </c>
      <c r="R36">
        <v>181</v>
      </c>
      <c r="S36">
        <v>11.150155814334919</v>
      </c>
      <c r="T36">
        <v>0.96987654368082687</v>
      </c>
      <c r="W36">
        <f t="shared" si="0"/>
        <v>78670</v>
      </c>
      <c r="X36">
        <f t="shared" si="1"/>
        <v>0.96944444626569748</v>
      </c>
      <c r="Y36">
        <f t="shared" si="2"/>
        <v>0.96987654368082687</v>
      </c>
      <c r="Z36">
        <f t="shared" si="3"/>
        <v>11.150155814334919</v>
      </c>
    </row>
    <row r="37" spans="1:26" hidden="1" x14ac:dyDescent="0.25">
      <c r="A37" t="s">
        <v>106</v>
      </c>
      <c r="B37">
        <v>3</v>
      </c>
      <c r="C37">
        <v>4</v>
      </c>
      <c r="D37">
        <v>0</v>
      </c>
      <c r="E37" t="s">
        <v>127</v>
      </c>
      <c r="F37">
        <v>41506</v>
      </c>
      <c r="G37">
        <v>38298437.5</v>
      </c>
      <c r="H37">
        <v>0.95296297470728553</v>
      </c>
      <c r="I37">
        <v>0.95444444444444443</v>
      </c>
      <c r="J37">
        <v>10805625.166666666</v>
      </c>
      <c r="K37">
        <v>78670</v>
      </c>
      <c r="L37">
        <v>2</v>
      </c>
      <c r="M37">
        <v>180</v>
      </c>
      <c r="N37">
        <v>0.95814814814814808</v>
      </c>
      <c r="O37">
        <v>11406543.166666666</v>
      </c>
      <c r="P37">
        <v>79469</v>
      </c>
      <c r="Q37">
        <v>2</v>
      </c>
      <c r="R37">
        <v>181</v>
      </c>
      <c r="S37">
        <v>11.42832798059907</v>
      </c>
      <c r="T37">
        <v>0.98000000715255742</v>
      </c>
      <c r="W37">
        <f t="shared" si="0"/>
        <v>78670</v>
      </c>
      <c r="X37">
        <f t="shared" si="1"/>
        <v>0.95296297470728553</v>
      </c>
      <c r="Y37">
        <f t="shared" si="2"/>
        <v>0.98000000715255742</v>
      </c>
      <c r="Z37">
        <f t="shared" si="3"/>
        <v>11.42832798059907</v>
      </c>
    </row>
    <row r="38" spans="1:26" x14ac:dyDescent="0.25">
      <c r="A38" t="s">
        <v>106</v>
      </c>
      <c r="B38">
        <v>3</v>
      </c>
      <c r="C38">
        <v>2</v>
      </c>
      <c r="D38">
        <v>0</v>
      </c>
      <c r="E38" t="s">
        <v>246</v>
      </c>
      <c r="F38">
        <v>49822</v>
      </c>
      <c r="G38">
        <v>86660320</v>
      </c>
      <c r="H38">
        <v>0.96847221627831459</v>
      </c>
      <c r="I38">
        <v>0.96291666666666664</v>
      </c>
      <c r="J38">
        <v>18650960.3125</v>
      </c>
      <c r="K38">
        <v>80272</v>
      </c>
      <c r="L38">
        <v>2</v>
      </c>
      <c r="M38">
        <v>182</v>
      </c>
      <c r="N38">
        <v>0.96416666666666662</v>
      </c>
      <c r="O38">
        <v>19082058.875</v>
      </c>
      <c r="P38">
        <v>81079</v>
      </c>
      <c r="Q38">
        <v>2</v>
      </c>
      <c r="R38">
        <v>183</v>
      </c>
      <c r="S38">
        <v>11.147911547911548</v>
      </c>
      <c r="T38">
        <v>0.96592593590418496</v>
      </c>
      <c r="W38">
        <f t="shared" si="0"/>
        <v>80272</v>
      </c>
      <c r="X38">
        <f t="shared" si="1"/>
        <v>0.96847221627831459</v>
      </c>
      <c r="Y38">
        <f t="shared" si="2"/>
        <v>0.96592593590418496</v>
      </c>
      <c r="Z38">
        <f t="shared" si="3"/>
        <v>11.147911547911548</v>
      </c>
    </row>
    <row r="39" spans="1:26" hidden="1" x14ac:dyDescent="0.25">
      <c r="A39" t="s">
        <v>106</v>
      </c>
      <c r="B39">
        <v>3</v>
      </c>
      <c r="C39">
        <v>4</v>
      </c>
      <c r="D39">
        <v>0</v>
      </c>
      <c r="E39" t="s">
        <v>128</v>
      </c>
      <c r="F39">
        <v>42988</v>
      </c>
      <c r="G39">
        <v>36225190</v>
      </c>
      <c r="H39">
        <v>0.9651851852734884</v>
      </c>
      <c r="I39">
        <v>0.95629629629629631</v>
      </c>
      <c r="J39">
        <v>10961565.833333334</v>
      </c>
      <c r="K39">
        <v>81079</v>
      </c>
      <c r="L39">
        <v>2</v>
      </c>
      <c r="M39">
        <v>183</v>
      </c>
      <c r="N39">
        <v>0.95814814814814808</v>
      </c>
      <c r="O39">
        <v>12385416.166666666</v>
      </c>
      <c r="P39">
        <v>81890</v>
      </c>
      <c r="Q39">
        <v>2</v>
      </c>
      <c r="R39">
        <v>184</v>
      </c>
      <c r="S39">
        <v>11.427700976216995</v>
      </c>
      <c r="T39">
        <v>0.97481480836868284</v>
      </c>
      <c r="W39">
        <f t="shared" si="0"/>
        <v>81079</v>
      </c>
      <c r="X39">
        <f t="shared" si="1"/>
        <v>0.9651851852734884</v>
      </c>
      <c r="Y39">
        <f t="shared" si="2"/>
        <v>0.97481480836868284</v>
      </c>
      <c r="Z39">
        <f t="shared" si="3"/>
        <v>11.427700976216995</v>
      </c>
    </row>
    <row r="40" spans="1:26" hidden="1" x14ac:dyDescent="0.25">
      <c r="A40" t="s">
        <v>106</v>
      </c>
      <c r="B40">
        <v>5</v>
      </c>
      <c r="C40">
        <v>2</v>
      </c>
      <c r="D40">
        <v>0</v>
      </c>
      <c r="E40" t="s">
        <v>292</v>
      </c>
      <c r="F40">
        <v>81113</v>
      </c>
      <c r="G40">
        <v>69512041.25</v>
      </c>
      <c r="H40">
        <v>0.96222221851348877</v>
      </c>
      <c r="I40">
        <v>0.95444444444444443</v>
      </c>
      <c r="J40">
        <v>17521682.25</v>
      </c>
      <c r="K40">
        <v>81079</v>
      </c>
      <c r="L40">
        <v>2</v>
      </c>
      <c r="M40">
        <v>183</v>
      </c>
      <c r="N40">
        <v>0.96</v>
      </c>
      <c r="O40">
        <v>18476637</v>
      </c>
      <c r="P40">
        <v>81890</v>
      </c>
      <c r="Q40">
        <v>2</v>
      </c>
      <c r="R40">
        <v>184</v>
      </c>
      <c r="S40">
        <v>11.430669464047302</v>
      </c>
      <c r="T40">
        <v>0.93580247958501184</v>
      </c>
      <c r="W40">
        <f t="shared" si="0"/>
        <v>81079</v>
      </c>
      <c r="X40">
        <f t="shared" si="1"/>
        <v>0.96222221851348877</v>
      </c>
      <c r="Y40">
        <f t="shared" si="2"/>
        <v>0.93580247958501184</v>
      </c>
      <c r="Z40">
        <f t="shared" si="3"/>
        <v>11.430669464047302</v>
      </c>
    </row>
    <row r="41" spans="1:26" hidden="1" x14ac:dyDescent="0.25">
      <c r="A41" t="s">
        <v>106</v>
      </c>
      <c r="B41">
        <v>9</v>
      </c>
      <c r="C41">
        <v>2</v>
      </c>
      <c r="D41">
        <v>0</v>
      </c>
      <c r="E41" t="s">
        <v>128</v>
      </c>
      <c r="F41">
        <v>81616</v>
      </c>
      <c r="G41">
        <v>80223742.75</v>
      </c>
      <c r="H41">
        <v>0.95555555820465088</v>
      </c>
      <c r="I41">
        <v>0.97</v>
      </c>
      <c r="J41">
        <v>19445047</v>
      </c>
      <c r="K41">
        <v>81079</v>
      </c>
      <c r="L41">
        <v>2</v>
      </c>
      <c r="M41">
        <v>183</v>
      </c>
      <c r="N41">
        <v>0.96944444444444444</v>
      </c>
      <c r="O41">
        <v>18883183.75</v>
      </c>
      <c r="P41">
        <v>81890</v>
      </c>
      <c r="Q41">
        <v>2</v>
      </c>
      <c r="R41">
        <v>184</v>
      </c>
      <c r="S41">
        <v>11.718225910126804</v>
      </c>
      <c r="T41">
        <v>0.95679012934366858</v>
      </c>
      <c r="W41">
        <f t="shared" si="0"/>
        <v>81079</v>
      </c>
      <c r="X41">
        <f t="shared" si="1"/>
        <v>0.95555555820465088</v>
      </c>
      <c r="Y41">
        <f t="shared" si="2"/>
        <v>0.95679012934366858</v>
      </c>
      <c r="Z41">
        <f t="shared" si="3"/>
        <v>11.718225910126804</v>
      </c>
    </row>
    <row r="42" spans="1:26" hidden="1" x14ac:dyDescent="0.25">
      <c r="A42" t="s">
        <v>106</v>
      </c>
      <c r="B42">
        <v>5</v>
      </c>
      <c r="C42">
        <v>4</v>
      </c>
      <c r="D42">
        <v>0</v>
      </c>
      <c r="E42" t="s">
        <v>257</v>
      </c>
      <c r="F42">
        <v>82425</v>
      </c>
      <c r="G42">
        <v>92301187.5</v>
      </c>
      <c r="H42">
        <v>0.94888888299465179</v>
      </c>
      <c r="I42">
        <v>0.96833333333333338</v>
      </c>
      <c r="J42">
        <v>20152899.25</v>
      </c>
      <c r="K42">
        <v>81890</v>
      </c>
      <c r="L42">
        <v>2</v>
      </c>
      <c r="M42">
        <v>184</v>
      </c>
      <c r="N42">
        <v>0.96888888888888891</v>
      </c>
      <c r="O42">
        <v>20529336.5</v>
      </c>
      <c r="P42">
        <v>82705</v>
      </c>
      <c r="Q42">
        <v>2</v>
      </c>
      <c r="R42">
        <v>185</v>
      </c>
      <c r="S42">
        <v>11.583470771486164</v>
      </c>
      <c r="T42">
        <v>0.96913578112920129</v>
      </c>
      <c r="W42">
        <f t="shared" si="0"/>
        <v>81890</v>
      </c>
      <c r="X42">
        <f t="shared" si="1"/>
        <v>0.94888888299465179</v>
      </c>
      <c r="Y42">
        <f t="shared" si="2"/>
        <v>0.96913578112920129</v>
      </c>
      <c r="Z42">
        <f t="shared" si="3"/>
        <v>11.583470771486164</v>
      </c>
    </row>
    <row r="43" spans="1:26" x14ac:dyDescent="0.25">
      <c r="A43" t="s">
        <v>106</v>
      </c>
      <c r="B43">
        <v>3</v>
      </c>
      <c r="C43">
        <v>2</v>
      </c>
      <c r="D43">
        <v>0</v>
      </c>
      <c r="E43" t="s">
        <v>247</v>
      </c>
      <c r="F43">
        <v>51008</v>
      </c>
      <c r="G43">
        <v>90320120</v>
      </c>
      <c r="H43">
        <v>0.96571428009441918</v>
      </c>
      <c r="I43">
        <v>0.96809523809523812</v>
      </c>
      <c r="J43">
        <v>18962534.5</v>
      </c>
      <c r="K43">
        <v>82705</v>
      </c>
      <c r="L43">
        <v>2</v>
      </c>
      <c r="M43">
        <v>185</v>
      </c>
      <c r="N43">
        <v>0.96571428571428575</v>
      </c>
      <c r="O43">
        <v>19519732.928571429</v>
      </c>
      <c r="P43">
        <v>83524</v>
      </c>
      <c r="Q43">
        <v>2</v>
      </c>
      <c r="R43">
        <v>186</v>
      </c>
      <c r="S43">
        <v>11.145615183246074</v>
      </c>
      <c r="T43">
        <v>0.96837605879856992</v>
      </c>
      <c r="W43">
        <f t="shared" si="0"/>
        <v>82705</v>
      </c>
      <c r="X43">
        <f t="shared" si="1"/>
        <v>0.96571428009441918</v>
      </c>
      <c r="Y43">
        <f t="shared" si="2"/>
        <v>0.96837605879856992</v>
      </c>
      <c r="Z43">
        <f t="shared" si="3"/>
        <v>11.145615183246074</v>
      </c>
    </row>
    <row r="44" spans="1:26" hidden="1" x14ac:dyDescent="0.25">
      <c r="A44" t="s">
        <v>106</v>
      </c>
      <c r="B44">
        <v>5</v>
      </c>
      <c r="C44">
        <v>3</v>
      </c>
      <c r="D44">
        <v>0</v>
      </c>
      <c r="E44" t="s">
        <v>258</v>
      </c>
      <c r="F44">
        <v>83989</v>
      </c>
      <c r="G44">
        <v>119996769</v>
      </c>
      <c r="H44">
        <v>0.94833333790302277</v>
      </c>
      <c r="I44">
        <v>0.95444444444444443</v>
      </c>
      <c r="J44">
        <v>19210192.75</v>
      </c>
      <c r="K44">
        <v>83524</v>
      </c>
      <c r="L44">
        <v>2</v>
      </c>
      <c r="M44">
        <v>186</v>
      </c>
      <c r="N44">
        <v>0.9572222222222222</v>
      </c>
      <c r="O44">
        <v>20123548.5</v>
      </c>
      <c r="P44">
        <v>84347</v>
      </c>
      <c r="Q44">
        <v>2</v>
      </c>
      <c r="R44">
        <v>187</v>
      </c>
      <c r="S44">
        <v>11.531625849068362</v>
      </c>
      <c r="T44">
        <v>0.97777777910232544</v>
      </c>
      <c r="W44">
        <f t="shared" si="0"/>
        <v>83524</v>
      </c>
      <c r="X44">
        <f t="shared" si="1"/>
        <v>0.94833333790302277</v>
      </c>
      <c r="Y44">
        <f t="shared" si="2"/>
        <v>0.97777777910232544</v>
      </c>
      <c r="Z44">
        <f t="shared" si="3"/>
        <v>11.531625849068362</v>
      </c>
    </row>
    <row r="45" spans="1:26" x14ac:dyDescent="0.25">
      <c r="A45" t="s">
        <v>106</v>
      </c>
      <c r="B45">
        <v>3</v>
      </c>
      <c r="C45">
        <v>2</v>
      </c>
      <c r="D45">
        <v>0</v>
      </c>
      <c r="E45" t="s">
        <v>248</v>
      </c>
      <c r="F45">
        <v>52194</v>
      </c>
      <c r="G45">
        <v>100226010.27272727</v>
      </c>
      <c r="H45">
        <v>0.96505049683830957</v>
      </c>
      <c r="I45">
        <v>0.96666666666666667</v>
      </c>
      <c r="J45">
        <v>19919031.363636363</v>
      </c>
      <c r="K45">
        <v>84347</v>
      </c>
      <c r="L45">
        <v>2</v>
      </c>
      <c r="M45">
        <v>187</v>
      </c>
      <c r="N45">
        <v>0.96363636363636362</v>
      </c>
      <c r="O45">
        <v>19349327.181818184</v>
      </c>
      <c r="P45">
        <v>85174</v>
      </c>
      <c r="Q45">
        <v>2</v>
      </c>
      <c r="R45">
        <v>188</v>
      </c>
      <c r="S45">
        <v>11.144912137310993</v>
      </c>
      <c r="T45">
        <v>0.98148148655891421</v>
      </c>
      <c r="W45">
        <f t="shared" si="0"/>
        <v>84347</v>
      </c>
      <c r="X45">
        <f t="shared" si="1"/>
        <v>0.96505049683830957</v>
      </c>
      <c r="Y45">
        <f t="shared" si="2"/>
        <v>0.98148148655891421</v>
      </c>
      <c r="Z45">
        <f t="shared" si="3"/>
        <v>11.144912137310993</v>
      </c>
    </row>
    <row r="46" spans="1:26" hidden="1" x14ac:dyDescent="0.25">
      <c r="A46" t="s">
        <v>106</v>
      </c>
      <c r="B46">
        <v>3</v>
      </c>
      <c r="C46">
        <v>4</v>
      </c>
      <c r="D46">
        <v>0</v>
      </c>
      <c r="E46" t="s">
        <v>129</v>
      </c>
      <c r="F46">
        <v>44470</v>
      </c>
      <c r="G46">
        <v>38886465.166666664</v>
      </c>
      <c r="H46">
        <v>0.96592592199643457</v>
      </c>
      <c r="I46">
        <v>0.95111111111111113</v>
      </c>
      <c r="J46">
        <v>11214697.333333334</v>
      </c>
      <c r="K46">
        <v>84347</v>
      </c>
      <c r="L46">
        <v>2</v>
      </c>
      <c r="M46">
        <v>187</v>
      </c>
      <c r="N46">
        <v>0.95814814814814808</v>
      </c>
      <c r="O46">
        <v>11551559.833333334</v>
      </c>
      <c r="P46">
        <v>85174</v>
      </c>
      <c r="Q46">
        <v>2</v>
      </c>
      <c r="R46">
        <v>188</v>
      </c>
      <c r="S46">
        <v>11.426616019385683</v>
      </c>
      <c r="T46">
        <v>0.97777777910232544</v>
      </c>
      <c r="W46">
        <f t="shared" si="0"/>
        <v>84347</v>
      </c>
      <c r="X46">
        <f t="shared" si="1"/>
        <v>0.96592592199643457</v>
      </c>
      <c r="Y46">
        <f t="shared" si="2"/>
        <v>0.97777777910232544</v>
      </c>
      <c r="Z46">
        <f t="shared" si="3"/>
        <v>11.426616019385683</v>
      </c>
    </row>
    <row r="47" spans="1:26" hidden="1" x14ac:dyDescent="0.25">
      <c r="A47" t="s">
        <v>106</v>
      </c>
      <c r="B47">
        <v>5</v>
      </c>
      <c r="C47">
        <v>5</v>
      </c>
      <c r="D47">
        <v>0</v>
      </c>
      <c r="E47" t="s">
        <v>123</v>
      </c>
      <c r="F47">
        <v>85306</v>
      </c>
      <c r="G47">
        <v>628405653.75</v>
      </c>
      <c r="H47">
        <v>0.93777778744697571</v>
      </c>
      <c r="I47">
        <v>0.97944444444444445</v>
      </c>
      <c r="J47">
        <v>36609946.25</v>
      </c>
      <c r="K47">
        <v>85174</v>
      </c>
      <c r="L47">
        <v>2</v>
      </c>
      <c r="M47">
        <v>188</v>
      </c>
      <c r="N47">
        <v>0.97888888888888892</v>
      </c>
      <c r="O47">
        <v>35194054.25</v>
      </c>
      <c r="P47">
        <v>86005</v>
      </c>
      <c r="Q47">
        <v>2</v>
      </c>
      <c r="R47">
        <v>189</v>
      </c>
      <c r="S47">
        <v>11.617775648320057</v>
      </c>
      <c r="T47">
        <v>0.95432098706563318</v>
      </c>
      <c r="W47">
        <f t="shared" si="0"/>
        <v>85174</v>
      </c>
      <c r="X47">
        <f t="shared" si="1"/>
        <v>0.93777778744697571</v>
      </c>
      <c r="Y47">
        <f t="shared" si="2"/>
        <v>0.95432098706563318</v>
      </c>
      <c r="Z47">
        <f t="shared" si="3"/>
        <v>11.617775648320057</v>
      </c>
    </row>
    <row r="48" spans="1:26" x14ac:dyDescent="0.25">
      <c r="A48" t="s">
        <v>106</v>
      </c>
      <c r="B48">
        <v>3</v>
      </c>
      <c r="C48">
        <v>2</v>
      </c>
      <c r="D48">
        <v>0</v>
      </c>
      <c r="E48" t="s">
        <v>249</v>
      </c>
      <c r="F48">
        <v>53380</v>
      </c>
      <c r="G48">
        <v>91078312.727272734</v>
      </c>
      <c r="H48">
        <v>0.96969696066596289</v>
      </c>
      <c r="I48">
        <v>0.96404040404040403</v>
      </c>
      <c r="J48">
        <v>19712632.818181816</v>
      </c>
      <c r="K48">
        <v>86005</v>
      </c>
      <c r="L48">
        <v>2</v>
      </c>
      <c r="M48">
        <v>189</v>
      </c>
      <c r="N48">
        <v>0.96424242424242423</v>
      </c>
      <c r="O48">
        <v>20256334.636363637</v>
      </c>
      <c r="P48">
        <v>86840</v>
      </c>
      <c r="Q48">
        <v>2</v>
      </c>
      <c r="R48">
        <v>190</v>
      </c>
      <c r="S48">
        <v>11.14363873918014</v>
      </c>
      <c r="T48">
        <v>0.97703703641891482</v>
      </c>
      <c r="W48">
        <f t="shared" si="0"/>
        <v>86005</v>
      </c>
      <c r="X48">
        <f t="shared" si="1"/>
        <v>0.96969696066596289</v>
      </c>
      <c r="Y48">
        <f t="shared" si="2"/>
        <v>0.97703703641891482</v>
      </c>
      <c r="Z48">
        <f t="shared" si="3"/>
        <v>11.14363873918014</v>
      </c>
    </row>
    <row r="49" spans="1:26" hidden="1" x14ac:dyDescent="0.25">
      <c r="A49" t="s">
        <v>106</v>
      </c>
      <c r="B49">
        <v>5</v>
      </c>
      <c r="C49">
        <v>2</v>
      </c>
      <c r="D49">
        <v>0</v>
      </c>
      <c r="E49" t="s">
        <v>243</v>
      </c>
      <c r="F49">
        <v>86668</v>
      </c>
      <c r="G49">
        <v>74881398.25</v>
      </c>
      <c r="H49">
        <v>0.95722222328186035</v>
      </c>
      <c r="I49">
        <v>0.96</v>
      </c>
      <c r="J49">
        <v>16230701.25</v>
      </c>
      <c r="K49">
        <v>86005</v>
      </c>
      <c r="L49">
        <v>2</v>
      </c>
      <c r="M49">
        <v>189</v>
      </c>
      <c r="N49">
        <v>0.9605555555555555</v>
      </c>
      <c r="O49">
        <v>18905507.5</v>
      </c>
      <c r="P49">
        <v>86840</v>
      </c>
      <c r="Q49">
        <v>2</v>
      </c>
      <c r="R49">
        <v>190</v>
      </c>
      <c r="S49">
        <v>11.430178605478929</v>
      </c>
      <c r="T49">
        <v>0.93580247958501184</v>
      </c>
      <c r="W49">
        <f t="shared" si="0"/>
        <v>86005</v>
      </c>
      <c r="X49">
        <f t="shared" si="1"/>
        <v>0.95722222328186035</v>
      </c>
      <c r="Y49">
        <f t="shared" si="2"/>
        <v>0.93580247958501184</v>
      </c>
      <c r="Z49">
        <f t="shared" si="3"/>
        <v>11.430178605478929</v>
      </c>
    </row>
    <row r="50" spans="1:26" hidden="1" x14ac:dyDescent="0.25">
      <c r="A50" t="s">
        <v>106</v>
      </c>
      <c r="B50">
        <v>9</v>
      </c>
      <c r="C50">
        <v>3</v>
      </c>
      <c r="D50">
        <v>0</v>
      </c>
      <c r="E50" t="s">
        <v>257</v>
      </c>
      <c r="F50">
        <v>86347</v>
      </c>
      <c r="G50">
        <v>98891031</v>
      </c>
      <c r="H50">
        <v>0.94500000774860382</v>
      </c>
      <c r="I50">
        <v>0.95777777777777784</v>
      </c>
      <c r="J50">
        <v>22262088.25</v>
      </c>
      <c r="K50">
        <v>86005</v>
      </c>
      <c r="L50">
        <v>2</v>
      </c>
      <c r="M50">
        <v>189</v>
      </c>
      <c r="N50">
        <v>0.95166666666666666</v>
      </c>
      <c r="O50">
        <v>20666469.75</v>
      </c>
      <c r="P50">
        <v>86840</v>
      </c>
      <c r="Q50">
        <v>2</v>
      </c>
      <c r="R50">
        <v>190</v>
      </c>
      <c r="S50">
        <v>11.923204863500803</v>
      </c>
      <c r="T50">
        <v>0.96666665871938073</v>
      </c>
      <c r="W50">
        <f t="shared" si="0"/>
        <v>86005</v>
      </c>
      <c r="X50">
        <f t="shared" si="1"/>
        <v>0.94500000774860382</v>
      </c>
      <c r="Y50">
        <f t="shared" si="2"/>
        <v>0.96666665871938073</v>
      </c>
      <c r="Z50">
        <f t="shared" si="3"/>
        <v>11.923204863500803</v>
      </c>
    </row>
    <row r="51" spans="1:26" hidden="1" x14ac:dyDescent="0.25">
      <c r="A51" t="s">
        <v>106</v>
      </c>
      <c r="B51">
        <v>3</v>
      </c>
      <c r="C51">
        <v>4</v>
      </c>
      <c r="D51">
        <v>0</v>
      </c>
      <c r="E51" t="s">
        <v>130</v>
      </c>
      <c r="F51">
        <v>45952</v>
      </c>
      <c r="G51">
        <v>40344922.833333336</v>
      </c>
      <c r="H51">
        <v>0.96814815203348792</v>
      </c>
      <c r="I51">
        <v>0.94703703703703701</v>
      </c>
      <c r="J51">
        <v>12353948.666666666</v>
      </c>
      <c r="K51">
        <v>86840</v>
      </c>
      <c r="L51">
        <v>2</v>
      </c>
      <c r="M51">
        <v>190</v>
      </c>
      <c r="N51">
        <v>0.95814814814814819</v>
      </c>
      <c r="O51">
        <v>12235225.5</v>
      </c>
      <c r="P51">
        <v>87679</v>
      </c>
      <c r="Q51">
        <v>2</v>
      </c>
      <c r="R51">
        <v>191</v>
      </c>
      <c r="S51">
        <v>11.426055646481178</v>
      </c>
      <c r="T51">
        <v>0.98444443941116333</v>
      </c>
      <c r="W51">
        <f t="shared" si="0"/>
        <v>86840</v>
      </c>
      <c r="X51">
        <f t="shared" si="1"/>
        <v>0.96814815203348792</v>
      </c>
      <c r="Y51">
        <f t="shared" si="2"/>
        <v>0.98444443941116333</v>
      </c>
      <c r="Z51">
        <f t="shared" si="3"/>
        <v>11.426055646481178</v>
      </c>
    </row>
    <row r="52" spans="1:26" x14ac:dyDescent="0.25">
      <c r="A52" t="s">
        <v>106</v>
      </c>
      <c r="B52">
        <v>3</v>
      </c>
      <c r="C52">
        <v>2</v>
      </c>
      <c r="D52">
        <v>0</v>
      </c>
      <c r="E52" t="s">
        <v>250</v>
      </c>
      <c r="F52">
        <v>54566</v>
      </c>
      <c r="G52">
        <v>89667013.454545453</v>
      </c>
      <c r="H52">
        <v>0.96888888965953479</v>
      </c>
      <c r="I52">
        <v>0.97070707070707074</v>
      </c>
      <c r="J52">
        <v>20453584.90909091</v>
      </c>
      <c r="K52">
        <v>88522</v>
      </c>
      <c r="L52">
        <v>2</v>
      </c>
      <c r="M52">
        <v>192</v>
      </c>
      <c r="N52">
        <v>0.96929292929292932</v>
      </c>
      <c r="O52">
        <v>17967981.181818184</v>
      </c>
      <c r="P52">
        <v>89369</v>
      </c>
      <c r="Q52">
        <v>2</v>
      </c>
      <c r="R52">
        <v>193</v>
      </c>
      <c r="S52">
        <v>11.141714938402545</v>
      </c>
      <c r="T52">
        <v>0.97592592239379883</v>
      </c>
      <c r="W52">
        <f t="shared" si="0"/>
        <v>88522</v>
      </c>
      <c r="X52">
        <f t="shared" si="1"/>
        <v>0.96888888965953479</v>
      </c>
      <c r="Y52">
        <f t="shared" si="2"/>
        <v>0.97592592239379883</v>
      </c>
      <c r="Z52">
        <f t="shared" si="3"/>
        <v>11.141714938402545</v>
      </c>
    </row>
    <row r="53" spans="1:26" hidden="1" x14ac:dyDescent="0.25">
      <c r="A53" t="s">
        <v>106</v>
      </c>
      <c r="B53">
        <v>9</v>
      </c>
      <c r="C53">
        <v>2</v>
      </c>
      <c r="D53">
        <v>0</v>
      </c>
      <c r="E53" t="s">
        <v>258</v>
      </c>
      <c r="F53">
        <v>88651</v>
      </c>
      <c r="G53">
        <v>84670434.5</v>
      </c>
      <c r="H53">
        <v>0.96055556833744049</v>
      </c>
      <c r="I53">
        <v>0.97333333333333338</v>
      </c>
      <c r="J53">
        <v>20270866.25</v>
      </c>
      <c r="K53">
        <v>88522</v>
      </c>
      <c r="L53">
        <v>2</v>
      </c>
      <c r="M53">
        <v>192</v>
      </c>
      <c r="N53">
        <v>0.96888888888888891</v>
      </c>
      <c r="O53">
        <v>18488127.25</v>
      </c>
      <c r="P53">
        <v>89369</v>
      </c>
      <c r="Q53">
        <v>2</v>
      </c>
      <c r="R53">
        <v>193</v>
      </c>
      <c r="S53">
        <v>11.717590699304784</v>
      </c>
      <c r="T53">
        <v>0.95555555820465088</v>
      </c>
      <c r="W53">
        <f t="shared" si="0"/>
        <v>88522</v>
      </c>
      <c r="X53">
        <f t="shared" si="1"/>
        <v>0.96055556833744049</v>
      </c>
      <c r="Y53">
        <f t="shared" si="2"/>
        <v>0.95555555820465088</v>
      </c>
      <c r="Z53">
        <f t="shared" si="3"/>
        <v>11.717590699304784</v>
      </c>
    </row>
    <row r="54" spans="1:26" hidden="1" x14ac:dyDescent="0.25">
      <c r="A54" t="s">
        <v>106</v>
      </c>
      <c r="B54">
        <v>9</v>
      </c>
      <c r="C54">
        <v>4</v>
      </c>
      <c r="D54">
        <v>0</v>
      </c>
      <c r="E54" t="s">
        <v>123</v>
      </c>
      <c r="F54">
        <v>88858</v>
      </c>
      <c r="G54">
        <v>1018718360.25</v>
      </c>
      <c r="H54">
        <v>0.92722223699092865</v>
      </c>
      <c r="I54">
        <v>0.94611111111111112</v>
      </c>
      <c r="J54">
        <v>36175245.25</v>
      </c>
      <c r="K54">
        <v>88522</v>
      </c>
      <c r="L54">
        <v>2</v>
      </c>
      <c r="M54">
        <v>192</v>
      </c>
      <c r="N54">
        <v>0.94444444444444442</v>
      </c>
      <c r="O54">
        <v>37479172.25</v>
      </c>
      <c r="P54">
        <v>89369</v>
      </c>
      <c r="Q54">
        <v>2</v>
      </c>
      <c r="R54">
        <v>193</v>
      </c>
      <c r="S54">
        <v>12.150798543009246</v>
      </c>
      <c r="T54">
        <v>0.94196666666666662</v>
      </c>
      <c r="W54">
        <f t="shared" si="0"/>
        <v>88522</v>
      </c>
      <c r="X54">
        <f t="shared" si="1"/>
        <v>0.92722223699092865</v>
      </c>
      <c r="Y54">
        <f t="shared" si="2"/>
        <v>0.94196666666666662</v>
      </c>
      <c r="Z54">
        <f t="shared" si="3"/>
        <v>12.150798543009246</v>
      </c>
    </row>
    <row r="55" spans="1:26" hidden="1" x14ac:dyDescent="0.25">
      <c r="A55" t="s">
        <v>106</v>
      </c>
      <c r="B55">
        <v>3</v>
      </c>
      <c r="C55">
        <v>4</v>
      </c>
      <c r="D55">
        <v>0</v>
      </c>
      <c r="E55" t="s">
        <v>131</v>
      </c>
      <c r="F55">
        <v>47434</v>
      </c>
      <c r="G55">
        <v>47853121</v>
      </c>
      <c r="H55">
        <v>0.95999999841054284</v>
      </c>
      <c r="I55">
        <v>0.95629629629629631</v>
      </c>
      <c r="J55">
        <v>12288137.333333334</v>
      </c>
      <c r="K55">
        <v>89369</v>
      </c>
      <c r="L55">
        <v>2</v>
      </c>
      <c r="M55">
        <v>193</v>
      </c>
      <c r="N55">
        <v>0.95185185185185184</v>
      </c>
      <c r="O55">
        <v>12420494.666666666</v>
      </c>
      <c r="P55">
        <v>90220</v>
      </c>
      <c r="Q55">
        <v>2</v>
      </c>
      <c r="R55">
        <v>194</v>
      </c>
      <c r="S55">
        <v>11.425692035861527</v>
      </c>
      <c r="T55">
        <v>0.97851850986480715</v>
      </c>
      <c r="W55">
        <f t="shared" si="0"/>
        <v>89369</v>
      </c>
      <c r="X55">
        <f t="shared" si="1"/>
        <v>0.95999999841054284</v>
      </c>
      <c r="Y55">
        <f t="shared" si="2"/>
        <v>0.97851850986480715</v>
      </c>
      <c r="Z55">
        <f t="shared" si="3"/>
        <v>11.425692035861527</v>
      </c>
    </row>
    <row r="56" spans="1:26" hidden="1" x14ac:dyDescent="0.25">
      <c r="A56" t="s">
        <v>106</v>
      </c>
      <c r="B56">
        <v>5</v>
      </c>
      <c r="C56">
        <v>4</v>
      </c>
      <c r="D56">
        <v>0</v>
      </c>
      <c r="E56" t="s">
        <v>128</v>
      </c>
      <c r="F56">
        <v>90200</v>
      </c>
      <c r="G56">
        <v>95327554.25</v>
      </c>
      <c r="H56">
        <v>0.95222222805023193</v>
      </c>
      <c r="I56">
        <v>0.97</v>
      </c>
      <c r="J56">
        <v>21248162.25</v>
      </c>
      <c r="K56">
        <v>89369</v>
      </c>
      <c r="L56">
        <v>2</v>
      </c>
      <c r="M56">
        <v>193</v>
      </c>
      <c r="N56">
        <v>0.96388888888888891</v>
      </c>
      <c r="O56">
        <v>22228509</v>
      </c>
      <c r="P56">
        <v>90220</v>
      </c>
      <c r="Q56">
        <v>2</v>
      </c>
      <c r="R56">
        <v>194</v>
      </c>
      <c r="S56">
        <v>11.582900763358779</v>
      </c>
      <c r="T56">
        <v>0.96296296517054236</v>
      </c>
      <c r="W56">
        <f t="shared" si="0"/>
        <v>89369</v>
      </c>
      <c r="X56">
        <f t="shared" si="1"/>
        <v>0.95222222805023193</v>
      </c>
      <c r="Y56">
        <f t="shared" si="2"/>
        <v>0.96296296517054236</v>
      </c>
      <c r="Z56">
        <f t="shared" si="3"/>
        <v>11.582900763358779</v>
      </c>
    </row>
    <row r="57" spans="1:26" x14ac:dyDescent="0.25">
      <c r="A57" t="s">
        <v>106</v>
      </c>
      <c r="B57">
        <v>3</v>
      </c>
      <c r="C57">
        <v>2</v>
      </c>
      <c r="D57">
        <v>0</v>
      </c>
      <c r="E57" t="s">
        <v>251</v>
      </c>
      <c r="F57">
        <v>55752</v>
      </c>
      <c r="G57">
        <v>88520418.454545453</v>
      </c>
      <c r="H57">
        <v>0.9664646495472301</v>
      </c>
      <c r="I57">
        <v>0.96909090909090911</v>
      </c>
      <c r="J57">
        <v>18821615.454545453</v>
      </c>
      <c r="K57">
        <v>90220</v>
      </c>
      <c r="L57">
        <v>2</v>
      </c>
      <c r="M57">
        <v>194</v>
      </c>
      <c r="N57">
        <v>0.96727272727272728</v>
      </c>
      <c r="O57">
        <v>16582035.272727273</v>
      </c>
      <c r="P57">
        <v>91075</v>
      </c>
      <c r="Q57">
        <v>2</v>
      </c>
      <c r="R57">
        <v>195</v>
      </c>
      <c r="S57">
        <v>11.139876100423868</v>
      </c>
      <c r="T57">
        <v>0.97814814448356624</v>
      </c>
      <c r="W57">
        <f t="shared" si="0"/>
        <v>90220</v>
      </c>
      <c r="X57">
        <f t="shared" si="1"/>
        <v>0.9664646495472301</v>
      </c>
      <c r="Y57">
        <f t="shared" si="2"/>
        <v>0.97814814448356624</v>
      </c>
      <c r="Z57">
        <f t="shared" si="3"/>
        <v>11.139876100423868</v>
      </c>
    </row>
    <row r="58" spans="1:26" hidden="1" x14ac:dyDescent="0.25">
      <c r="A58" t="s">
        <v>106</v>
      </c>
      <c r="B58">
        <v>5</v>
      </c>
      <c r="C58">
        <v>3</v>
      </c>
      <c r="D58">
        <v>0</v>
      </c>
      <c r="E58" t="s">
        <v>192</v>
      </c>
      <c r="F58">
        <v>90654</v>
      </c>
      <c r="G58">
        <v>92264001.75</v>
      </c>
      <c r="H58">
        <v>0.94777777791023254</v>
      </c>
      <c r="I58">
        <v>0.95222222222222219</v>
      </c>
      <c r="J58">
        <v>21366228.25</v>
      </c>
      <c r="K58">
        <v>90220</v>
      </c>
      <c r="L58">
        <v>2</v>
      </c>
      <c r="M58">
        <v>194</v>
      </c>
      <c r="N58">
        <v>0.95777777777777773</v>
      </c>
      <c r="O58">
        <v>20383234.5</v>
      </c>
      <c r="P58">
        <v>91075</v>
      </c>
      <c r="Q58">
        <v>2</v>
      </c>
      <c r="R58">
        <v>195</v>
      </c>
      <c r="S58">
        <v>11.531057254999688</v>
      </c>
      <c r="T58">
        <v>0.97901235024134314</v>
      </c>
      <c r="W58">
        <f t="shared" si="0"/>
        <v>90220</v>
      </c>
      <c r="X58">
        <f t="shared" si="1"/>
        <v>0.94777777791023254</v>
      </c>
      <c r="Y58">
        <f t="shared" si="2"/>
        <v>0.97901235024134314</v>
      </c>
      <c r="Z58">
        <f t="shared" si="3"/>
        <v>11.531057254999688</v>
      </c>
    </row>
    <row r="59" spans="1:26" x14ac:dyDescent="0.25">
      <c r="A59" t="s">
        <v>106</v>
      </c>
      <c r="B59">
        <v>3</v>
      </c>
      <c r="C59">
        <v>2</v>
      </c>
      <c r="D59">
        <v>0</v>
      </c>
      <c r="E59" t="s">
        <v>252</v>
      </c>
      <c r="F59">
        <v>56938</v>
      </c>
      <c r="G59">
        <v>88104320.181818187</v>
      </c>
      <c r="H59">
        <v>0.96949494968761096</v>
      </c>
      <c r="I59">
        <v>0.96444444444444444</v>
      </c>
      <c r="J59">
        <v>20436812.90909091</v>
      </c>
      <c r="K59">
        <v>91934</v>
      </c>
      <c r="L59">
        <v>2</v>
      </c>
      <c r="M59">
        <v>196</v>
      </c>
      <c r="N59">
        <v>0.96404040404040403</v>
      </c>
      <c r="O59">
        <v>20372351.363636363</v>
      </c>
      <c r="P59">
        <v>92797</v>
      </c>
      <c r="Q59">
        <v>2</v>
      </c>
      <c r="R59">
        <v>197</v>
      </c>
      <c r="S59">
        <v>11.137959117191954</v>
      </c>
      <c r="T59">
        <v>0.97703703641891482</v>
      </c>
      <c r="W59">
        <f t="shared" si="0"/>
        <v>91934</v>
      </c>
      <c r="X59">
        <f t="shared" si="1"/>
        <v>0.96949494968761096</v>
      </c>
      <c r="Y59">
        <f t="shared" si="2"/>
        <v>0.97703703641891482</v>
      </c>
      <c r="Z59">
        <f t="shared" si="3"/>
        <v>11.137959117191954</v>
      </c>
    </row>
    <row r="60" spans="1:26" hidden="1" x14ac:dyDescent="0.25">
      <c r="A60" t="s">
        <v>106</v>
      </c>
      <c r="B60">
        <v>5</v>
      </c>
      <c r="C60">
        <v>2</v>
      </c>
      <c r="D60">
        <v>0</v>
      </c>
      <c r="E60" t="s">
        <v>293</v>
      </c>
      <c r="F60">
        <v>92223</v>
      </c>
      <c r="G60">
        <v>85825865.25</v>
      </c>
      <c r="H60">
        <v>0.96444442868232727</v>
      </c>
      <c r="I60">
        <v>0.9622222222222222</v>
      </c>
      <c r="J60">
        <v>19436561.25</v>
      </c>
      <c r="K60">
        <v>91934</v>
      </c>
      <c r="L60">
        <v>2</v>
      </c>
      <c r="M60">
        <v>196</v>
      </c>
      <c r="N60">
        <v>0.9622222222222222</v>
      </c>
      <c r="O60">
        <v>19728039.75</v>
      </c>
      <c r="P60">
        <v>92797</v>
      </c>
      <c r="Q60">
        <v>2</v>
      </c>
      <c r="R60">
        <v>197</v>
      </c>
      <c r="S60">
        <v>11.42981508546737</v>
      </c>
      <c r="T60">
        <v>0.93703705072402954</v>
      </c>
      <c r="W60">
        <f t="shared" si="0"/>
        <v>91934</v>
      </c>
      <c r="X60">
        <f t="shared" si="1"/>
        <v>0.96444442868232727</v>
      </c>
      <c r="Y60">
        <f t="shared" si="2"/>
        <v>0.93703705072402954</v>
      </c>
      <c r="Z60">
        <f t="shared" si="3"/>
        <v>11.42981508546737</v>
      </c>
    </row>
    <row r="61" spans="1:26" hidden="1" x14ac:dyDescent="0.25">
      <c r="A61" t="s">
        <v>106</v>
      </c>
      <c r="B61">
        <v>3</v>
      </c>
      <c r="C61">
        <v>4</v>
      </c>
      <c r="D61">
        <v>0</v>
      </c>
      <c r="E61" t="s">
        <v>165</v>
      </c>
      <c r="F61">
        <v>48916</v>
      </c>
      <c r="G61">
        <v>46939307</v>
      </c>
      <c r="H61">
        <v>0.96333333849906921</v>
      </c>
      <c r="I61">
        <v>0.9588888888888889</v>
      </c>
      <c r="J61">
        <v>12327400.166666666</v>
      </c>
      <c r="K61">
        <v>92797</v>
      </c>
      <c r="L61">
        <v>2</v>
      </c>
      <c r="M61">
        <v>197</v>
      </c>
      <c r="N61">
        <v>0.95185185185185184</v>
      </c>
      <c r="O61">
        <v>11653663.833333334</v>
      </c>
      <c r="P61">
        <v>93664</v>
      </c>
      <c r="Q61">
        <v>2</v>
      </c>
      <c r="R61">
        <v>198</v>
      </c>
      <c r="S61">
        <v>11.42526329561065</v>
      </c>
      <c r="T61">
        <v>0.9844444155693054</v>
      </c>
      <c r="W61">
        <f t="shared" si="0"/>
        <v>92797</v>
      </c>
      <c r="X61">
        <f t="shared" si="1"/>
        <v>0.96333333849906921</v>
      </c>
      <c r="Y61">
        <f t="shared" si="2"/>
        <v>0.9844444155693054</v>
      </c>
      <c r="Z61">
        <f t="shared" si="3"/>
        <v>11.42526329561065</v>
      </c>
    </row>
    <row r="62" spans="1:26" x14ac:dyDescent="0.25">
      <c r="A62" t="s">
        <v>106</v>
      </c>
      <c r="B62">
        <v>3</v>
      </c>
      <c r="C62">
        <v>2</v>
      </c>
      <c r="D62">
        <v>0</v>
      </c>
      <c r="E62" t="s">
        <v>253</v>
      </c>
      <c r="F62">
        <v>58124</v>
      </c>
      <c r="G62">
        <v>108862796.54545455</v>
      </c>
      <c r="H62">
        <v>0.96707069873809814</v>
      </c>
      <c r="I62">
        <v>0.9624242424242424</v>
      </c>
      <c r="J62">
        <v>20482737.454545453</v>
      </c>
      <c r="K62">
        <v>93664</v>
      </c>
      <c r="L62">
        <v>2</v>
      </c>
      <c r="M62">
        <v>198</v>
      </c>
      <c r="N62">
        <v>0.96606060606060606</v>
      </c>
      <c r="O62">
        <v>21683303.818181816</v>
      </c>
      <c r="P62">
        <v>94535</v>
      </c>
      <c r="Q62">
        <v>2</v>
      </c>
      <c r="R62">
        <v>199</v>
      </c>
      <c r="S62">
        <v>11.136615134255493</v>
      </c>
      <c r="T62">
        <v>0.97592592239379883</v>
      </c>
      <c r="W62">
        <f t="shared" si="0"/>
        <v>93664</v>
      </c>
      <c r="X62">
        <f t="shared" si="1"/>
        <v>0.96707069873809814</v>
      </c>
      <c r="Y62">
        <f t="shared" si="2"/>
        <v>0.97592592239379883</v>
      </c>
      <c r="Z62">
        <f t="shared" si="3"/>
        <v>11.136615134255493</v>
      </c>
    </row>
    <row r="63" spans="1:26" hidden="1" x14ac:dyDescent="0.25">
      <c r="A63" t="s">
        <v>106</v>
      </c>
      <c r="B63">
        <v>5</v>
      </c>
      <c r="C63">
        <v>5</v>
      </c>
      <c r="D63">
        <v>0</v>
      </c>
      <c r="E63" t="s">
        <v>257</v>
      </c>
      <c r="F63">
        <v>94191</v>
      </c>
      <c r="G63">
        <v>125569837.5</v>
      </c>
      <c r="H63">
        <v>0.95888888835906982</v>
      </c>
      <c r="I63">
        <v>0.98111111111111104</v>
      </c>
      <c r="J63">
        <v>21981603.25</v>
      </c>
      <c r="K63">
        <v>93664</v>
      </c>
      <c r="L63">
        <v>2</v>
      </c>
      <c r="M63">
        <v>198</v>
      </c>
      <c r="N63">
        <v>0.98055555555555551</v>
      </c>
      <c r="O63">
        <v>21766632.25</v>
      </c>
      <c r="P63">
        <v>94535</v>
      </c>
      <c r="Q63">
        <v>2</v>
      </c>
      <c r="R63">
        <v>199</v>
      </c>
      <c r="S63">
        <v>11.617148673732112</v>
      </c>
      <c r="T63">
        <v>0.95679010947545373</v>
      </c>
      <c r="W63">
        <f t="shared" si="0"/>
        <v>93664</v>
      </c>
      <c r="X63">
        <f t="shared" si="1"/>
        <v>0.95888888835906982</v>
      </c>
      <c r="Y63">
        <f t="shared" si="2"/>
        <v>0.95679010947545373</v>
      </c>
      <c r="Z63">
        <f t="shared" si="3"/>
        <v>11.617148673732112</v>
      </c>
    </row>
    <row r="64" spans="1:26" hidden="1" x14ac:dyDescent="0.25">
      <c r="A64" t="s">
        <v>106</v>
      </c>
      <c r="B64">
        <v>9</v>
      </c>
      <c r="C64">
        <v>3</v>
      </c>
      <c r="D64">
        <v>0</v>
      </c>
      <c r="E64" t="s">
        <v>128</v>
      </c>
      <c r="F64">
        <v>94492</v>
      </c>
      <c r="G64">
        <v>110373593.5</v>
      </c>
      <c r="H64">
        <v>0.95055554807186127</v>
      </c>
      <c r="I64">
        <v>0.95166666666666666</v>
      </c>
      <c r="J64">
        <v>21985708.5</v>
      </c>
      <c r="K64">
        <v>93664</v>
      </c>
      <c r="L64">
        <v>2</v>
      </c>
      <c r="M64">
        <v>198</v>
      </c>
      <c r="N64">
        <v>0.95666666666666667</v>
      </c>
      <c r="O64">
        <v>22124690</v>
      </c>
      <c r="P64">
        <v>94535</v>
      </c>
      <c r="Q64">
        <v>2</v>
      </c>
      <c r="R64">
        <v>199</v>
      </c>
      <c r="S64">
        <v>11.922993119266055</v>
      </c>
      <c r="T64">
        <v>0.96543208758036292</v>
      </c>
      <c r="W64">
        <f t="shared" si="0"/>
        <v>93664</v>
      </c>
      <c r="X64">
        <f t="shared" si="1"/>
        <v>0.95055554807186127</v>
      </c>
      <c r="Y64">
        <f t="shared" si="2"/>
        <v>0.96543208758036292</v>
      </c>
      <c r="Z64">
        <f t="shared" si="3"/>
        <v>11.922993119266055</v>
      </c>
    </row>
    <row r="65" spans="1:26" hidden="1" x14ac:dyDescent="0.25">
      <c r="A65" t="s">
        <v>106</v>
      </c>
      <c r="B65">
        <v>3</v>
      </c>
      <c r="C65">
        <v>4</v>
      </c>
      <c r="D65">
        <v>0</v>
      </c>
      <c r="E65" t="s">
        <v>192</v>
      </c>
      <c r="F65">
        <v>50398</v>
      </c>
      <c r="G65">
        <v>41508511.5</v>
      </c>
      <c r="H65">
        <v>0.95592592159907019</v>
      </c>
      <c r="I65">
        <v>0.95074074074074078</v>
      </c>
      <c r="J65">
        <v>12682510.666666666</v>
      </c>
      <c r="K65">
        <v>95410</v>
      </c>
      <c r="L65">
        <v>2</v>
      </c>
      <c r="M65">
        <v>200</v>
      </c>
      <c r="N65">
        <v>0.95296296296296301</v>
      </c>
      <c r="O65">
        <v>13047981.333333334</v>
      </c>
      <c r="P65">
        <v>96289</v>
      </c>
      <c r="Q65">
        <v>2</v>
      </c>
      <c r="R65">
        <v>201</v>
      </c>
      <c r="S65">
        <v>11.424769502386713</v>
      </c>
      <c r="T65">
        <v>0.97925926446914668</v>
      </c>
      <c r="W65">
        <f t="shared" si="0"/>
        <v>95410</v>
      </c>
      <c r="X65">
        <f t="shared" si="1"/>
        <v>0.95592592159907019</v>
      </c>
      <c r="Y65">
        <f t="shared" si="2"/>
        <v>0.97925926446914668</v>
      </c>
      <c r="Z65">
        <f t="shared" si="3"/>
        <v>11.424769502386713</v>
      </c>
    </row>
    <row r="66" spans="1:26" hidden="1" x14ac:dyDescent="0.25">
      <c r="A66" t="s">
        <v>106</v>
      </c>
      <c r="B66">
        <v>9</v>
      </c>
      <c r="C66">
        <v>2</v>
      </c>
      <c r="D66">
        <v>0</v>
      </c>
      <c r="E66" t="s">
        <v>192</v>
      </c>
      <c r="F66">
        <v>95686</v>
      </c>
      <c r="G66">
        <v>91140271</v>
      </c>
      <c r="H66">
        <v>0.96166665852069855</v>
      </c>
      <c r="I66">
        <v>0.97666666666666668</v>
      </c>
      <c r="J66">
        <v>21034560.5</v>
      </c>
      <c r="K66">
        <v>95410</v>
      </c>
      <c r="L66">
        <v>2</v>
      </c>
      <c r="M66">
        <v>200</v>
      </c>
      <c r="N66">
        <v>0.97333333333333338</v>
      </c>
      <c r="O66">
        <v>18671075.75</v>
      </c>
      <c r="P66">
        <v>96289</v>
      </c>
      <c r="Q66">
        <v>2</v>
      </c>
      <c r="R66">
        <v>201</v>
      </c>
      <c r="S66">
        <v>11.717131008702763</v>
      </c>
      <c r="T66">
        <v>0.96049382289250695</v>
      </c>
      <c r="W66">
        <f t="shared" si="0"/>
        <v>95410</v>
      </c>
      <c r="X66">
        <f t="shared" si="1"/>
        <v>0.96166665852069855</v>
      </c>
      <c r="Y66">
        <f t="shared" si="2"/>
        <v>0.96049382289250695</v>
      </c>
      <c r="Z66">
        <f t="shared" si="3"/>
        <v>11.717131008702763</v>
      </c>
    </row>
    <row r="67" spans="1:26" x14ac:dyDescent="0.25">
      <c r="A67" t="s">
        <v>106</v>
      </c>
      <c r="B67">
        <v>3</v>
      </c>
      <c r="C67">
        <v>2</v>
      </c>
      <c r="D67">
        <v>0</v>
      </c>
      <c r="E67" t="s">
        <v>107</v>
      </c>
      <c r="F67">
        <v>59310</v>
      </c>
      <c r="G67">
        <v>106974639.5</v>
      </c>
      <c r="H67">
        <v>0.96481480201085412</v>
      </c>
      <c r="I67">
        <v>0.96111111111111103</v>
      </c>
      <c r="J67">
        <v>22606521</v>
      </c>
      <c r="K67">
        <v>96289</v>
      </c>
      <c r="L67">
        <v>2</v>
      </c>
      <c r="M67">
        <v>201</v>
      </c>
      <c r="N67">
        <v>0.97111111111111104</v>
      </c>
      <c r="O67">
        <v>22798299.333333332</v>
      </c>
      <c r="P67">
        <v>97172</v>
      </c>
      <c r="Q67">
        <v>2</v>
      </c>
      <c r="R67">
        <v>202</v>
      </c>
      <c r="S67">
        <v>11.135491216655822</v>
      </c>
      <c r="T67">
        <v>0.97777777910232544</v>
      </c>
      <c r="W67">
        <f t="shared" ref="W67:W130" si="4">K67</f>
        <v>96289</v>
      </c>
      <c r="X67">
        <f t="shared" ref="X67:X130" si="5">H67</f>
        <v>0.96481480201085412</v>
      </c>
      <c r="Y67">
        <f t="shared" ref="Y67:Y130" si="6">T67</f>
        <v>0.97777777910232544</v>
      </c>
      <c r="Z67">
        <f t="shared" ref="Z67:Z130" si="7">S67</f>
        <v>11.135491216655822</v>
      </c>
    </row>
    <row r="68" spans="1:26" hidden="1" x14ac:dyDescent="0.25">
      <c r="A68" t="s">
        <v>106</v>
      </c>
      <c r="B68">
        <v>5</v>
      </c>
      <c r="C68">
        <v>2</v>
      </c>
      <c r="D68">
        <v>0</v>
      </c>
      <c r="E68" t="s">
        <v>248</v>
      </c>
      <c r="F68">
        <v>97778</v>
      </c>
      <c r="G68">
        <v>109745886</v>
      </c>
      <c r="H68">
        <v>0.95722220838069916</v>
      </c>
      <c r="I68">
        <v>0.96055555555555561</v>
      </c>
      <c r="J68">
        <v>20728965.25</v>
      </c>
      <c r="K68">
        <v>97172</v>
      </c>
      <c r="L68">
        <v>2</v>
      </c>
      <c r="M68">
        <v>202</v>
      </c>
      <c r="N68">
        <v>0.96</v>
      </c>
      <c r="O68">
        <v>19923900.75</v>
      </c>
      <c r="P68">
        <v>98059</v>
      </c>
      <c r="Q68">
        <v>2</v>
      </c>
      <c r="R68">
        <v>203</v>
      </c>
      <c r="S68">
        <v>11.429578806937297</v>
      </c>
      <c r="T68">
        <v>0.9395061731338501</v>
      </c>
      <c r="W68">
        <f t="shared" si="4"/>
        <v>97172</v>
      </c>
      <c r="X68">
        <f t="shared" si="5"/>
        <v>0.95722220838069916</v>
      </c>
      <c r="Y68">
        <f t="shared" si="6"/>
        <v>0.9395061731338501</v>
      </c>
      <c r="Z68">
        <f t="shared" si="7"/>
        <v>11.429578806937297</v>
      </c>
    </row>
    <row r="69" spans="1:26" hidden="1" x14ac:dyDescent="0.25">
      <c r="A69" t="s">
        <v>106</v>
      </c>
      <c r="B69">
        <v>5</v>
      </c>
      <c r="C69">
        <v>3</v>
      </c>
      <c r="D69">
        <v>0</v>
      </c>
      <c r="E69" t="s">
        <v>292</v>
      </c>
      <c r="F69">
        <v>97319</v>
      </c>
      <c r="G69">
        <v>124819908.25</v>
      </c>
      <c r="H69">
        <v>0.9561111181974411</v>
      </c>
      <c r="I69">
        <v>0.9572222222222222</v>
      </c>
      <c r="J69">
        <v>21021611.25</v>
      </c>
      <c r="K69">
        <v>97172</v>
      </c>
      <c r="L69">
        <v>2</v>
      </c>
      <c r="M69">
        <v>202</v>
      </c>
      <c r="N69">
        <v>0.95333333333333337</v>
      </c>
      <c r="O69">
        <v>20806378.75</v>
      </c>
      <c r="P69">
        <v>98059</v>
      </c>
      <c r="Q69">
        <v>2</v>
      </c>
      <c r="R69">
        <v>203</v>
      </c>
      <c r="S69">
        <v>11.530987231392089</v>
      </c>
      <c r="T69">
        <v>0.9814814726511637</v>
      </c>
      <c r="W69">
        <f t="shared" si="4"/>
        <v>97172</v>
      </c>
      <c r="X69">
        <f t="shared" si="5"/>
        <v>0.9561111181974411</v>
      </c>
      <c r="Y69">
        <f t="shared" si="6"/>
        <v>0.9814814726511637</v>
      </c>
      <c r="Z69">
        <f t="shared" si="7"/>
        <v>11.530987231392089</v>
      </c>
    </row>
    <row r="70" spans="1:26" hidden="1" x14ac:dyDescent="0.25">
      <c r="A70" t="s">
        <v>106</v>
      </c>
      <c r="B70">
        <v>5</v>
      </c>
      <c r="C70">
        <v>4</v>
      </c>
      <c r="D70">
        <v>0</v>
      </c>
      <c r="E70" t="s">
        <v>258</v>
      </c>
      <c r="F70">
        <v>97975</v>
      </c>
      <c r="G70">
        <v>132122668</v>
      </c>
      <c r="H70">
        <v>0.94722221791744232</v>
      </c>
      <c r="I70">
        <v>0.97388888888888892</v>
      </c>
      <c r="J70">
        <v>21324519.75</v>
      </c>
      <c r="K70">
        <v>97172</v>
      </c>
      <c r="L70">
        <v>2</v>
      </c>
      <c r="M70">
        <v>202</v>
      </c>
      <c r="N70">
        <v>0.96722222222222221</v>
      </c>
      <c r="O70">
        <v>22163782.5</v>
      </c>
      <c r="P70">
        <v>98059</v>
      </c>
      <c r="Q70">
        <v>2</v>
      </c>
      <c r="R70">
        <v>203</v>
      </c>
      <c r="S70">
        <v>11.582636302582575</v>
      </c>
      <c r="T70">
        <v>0.96419753630956018</v>
      </c>
      <c r="W70">
        <f t="shared" si="4"/>
        <v>97172</v>
      </c>
      <c r="X70">
        <f t="shared" si="5"/>
        <v>0.94722221791744232</v>
      </c>
      <c r="Y70">
        <f t="shared" si="6"/>
        <v>0.96419753630956018</v>
      </c>
      <c r="Z70">
        <f t="shared" si="7"/>
        <v>11.582636302582575</v>
      </c>
    </row>
    <row r="71" spans="1:26" x14ac:dyDescent="0.25">
      <c r="A71" t="s">
        <v>106</v>
      </c>
      <c r="B71">
        <v>3</v>
      </c>
      <c r="C71">
        <v>2</v>
      </c>
      <c r="D71">
        <v>0</v>
      </c>
      <c r="E71" t="s">
        <v>108</v>
      </c>
      <c r="F71">
        <v>60496</v>
      </c>
      <c r="G71">
        <v>108357191</v>
      </c>
      <c r="H71">
        <v>0.96925925215085351</v>
      </c>
      <c r="I71">
        <v>0.9655555555555555</v>
      </c>
      <c r="J71">
        <v>23023472.666666668</v>
      </c>
      <c r="K71">
        <v>98059</v>
      </c>
      <c r="L71">
        <v>2</v>
      </c>
      <c r="M71">
        <v>203</v>
      </c>
      <c r="N71">
        <v>0.96407407407407408</v>
      </c>
      <c r="O71">
        <v>25200339</v>
      </c>
      <c r="P71">
        <v>98950</v>
      </c>
      <c r="Q71">
        <v>2</v>
      </c>
      <c r="R71">
        <v>204</v>
      </c>
      <c r="S71">
        <v>11.134612258169403</v>
      </c>
      <c r="T71">
        <v>0.97111109495162962</v>
      </c>
      <c r="W71">
        <f t="shared" si="4"/>
        <v>98059</v>
      </c>
      <c r="X71">
        <f t="shared" si="5"/>
        <v>0.96925925215085351</v>
      </c>
      <c r="Y71">
        <f t="shared" si="6"/>
        <v>0.97111109495162962</v>
      </c>
      <c r="Z71">
        <f t="shared" si="7"/>
        <v>11.134612258169403</v>
      </c>
    </row>
    <row r="72" spans="1:26" hidden="1" x14ac:dyDescent="0.25">
      <c r="A72" t="s">
        <v>106</v>
      </c>
      <c r="B72">
        <v>3</v>
      </c>
      <c r="C72">
        <v>4</v>
      </c>
      <c r="D72">
        <v>0</v>
      </c>
      <c r="E72" t="s">
        <v>210</v>
      </c>
      <c r="F72">
        <v>51880</v>
      </c>
      <c r="G72">
        <v>42113961</v>
      </c>
      <c r="H72">
        <v>0.9566666682561239</v>
      </c>
      <c r="I72">
        <v>0.95148148148148148</v>
      </c>
      <c r="J72">
        <v>12683746.5</v>
      </c>
      <c r="K72">
        <v>98059</v>
      </c>
      <c r="L72">
        <v>2</v>
      </c>
      <c r="M72">
        <v>203</v>
      </c>
      <c r="N72">
        <v>0.94925925925925925</v>
      </c>
      <c r="O72">
        <v>12728631.833333334</v>
      </c>
      <c r="P72">
        <v>98950</v>
      </c>
      <c r="Q72">
        <v>2</v>
      </c>
      <c r="R72">
        <v>204</v>
      </c>
      <c r="S72">
        <v>11.424145368978365</v>
      </c>
      <c r="T72">
        <v>0.98296297788619991</v>
      </c>
      <c r="W72">
        <f t="shared" si="4"/>
        <v>98059</v>
      </c>
      <c r="X72">
        <f t="shared" si="5"/>
        <v>0.9566666682561239</v>
      </c>
      <c r="Y72">
        <f t="shared" si="6"/>
        <v>0.98296297788619991</v>
      </c>
      <c r="Z72">
        <f t="shared" si="7"/>
        <v>11.424145368978365</v>
      </c>
    </row>
    <row r="73" spans="1:26" hidden="1" x14ac:dyDescent="0.25">
      <c r="A73" t="s">
        <v>106</v>
      </c>
      <c r="B73">
        <v>9</v>
      </c>
      <c r="C73">
        <v>4</v>
      </c>
      <c r="D73">
        <v>0</v>
      </c>
      <c r="E73" t="s">
        <v>257</v>
      </c>
      <c r="F73">
        <v>98113</v>
      </c>
      <c r="G73">
        <v>197317987.25</v>
      </c>
      <c r="H73">
        <v>0.93722221255302429</v>
      </c>
      <c r="I73">
        <v>0.95166666666666666</v>
      </c>
      <c r="J73">
        <v>20291924.25</v>
      </c>
      <c r="K73">
        <v>98059</v>
      </c>
      <c r="L73">
        <v>2</v>
      </c>
      <c r="M73">
        <v>203</v>
      </c>
      <c r="N73">
        <v>0.94888888888888889</v>
      </c>
      <c r="O73">
        <v>22989534.75</v>
      </c>
      <c r="P73">
        <v>98950</v>
      </c>
      <c r="Q73">
        <v>2</v>
      </c>
      <c r="R73">
        <v>204</v>
      </c>
      <c r="S73">
        <v>12.150708723177768</v>
      </c>
      <c r="T73">
        <v>0.96176666666666666</v>
      </c>
      <c r="W73">
        <f t="shared" si="4"/>
        <v>98059</v>
      </c>
      <c r="X73">
        <f t="shared" si="5"/>
        <v>0.93722221255302429</v>
      </c>
      <c r="Y73">
        <f t="shared" si="6"/>
        <v>0.96176666666666666</v>
      </c>
      <c r="Z73">
        <f t="shared" si="7"/>
        <v>12.150708723177768</v>
      </c>
    </row>
    <row r="74" spans="1:26" hidden="1" x14ac:dyDescent="0.25">
      <c r="A74" t="s">
        <v>106</v>
      </c>
      <c r="B74">
        <v>9</v>
      </c>
      <c r="C74">
        <v>5</v>
      </c>
      <c r="D74">
        <v>0</v>
      </c>
      <c r="E74" t="s">
        <v>123</v>
      </c>
      <c r="F74">
        <v>99514</v>
      </c>
      <c r="G74">
        <v>693372646</v>
      </c>
      <c r="H74">
        <v>0.90722224116325378</v>
      </c>
      <c r="I74">
        <v>0.96444444444444444</v>
      </c>
      <c r="J74">
        <v>44463744.25</v>
      </c>
      <c r="K74">
        <v>98950</v>
      </c>
      <c r="L74">
        <v>2</v>
      </c>
      <c r="M74">
        <v>204</v>
      </c>
      <c r="N74">
        <v>0.96111111111111114</v>
      </c>
      <c r="O74">
        <v>44267357</v>
      </c>
      <c r="P74">
        <v>99845</v>
      </c>
      <c r="Q74">
        <v>2</v>
      </c>
      <c r="R74">
        <v>205</v>
      </c>
      <c r="S74">
        <v>12.18315360915493</v>
      </c>
      <c r="T74">
        <v>0.92959999999999998</v>
      </c>
      <c r="W74">
        <f t="shared" si="4"/>
        <v>98950</v>
      </c>
      <c r="X74">
        <f t="shared" si="5"/>
        <v>0.90722224116325378</v>
      </c>
      <c r="Y74">
        <f t="shared" si="6"/>
        <v>0.92959999999999998</v>
      </c>
      <c r="Z74">
        <f t="shared" si="7"/>
        <v>12.18315360915493</v>
      </c>
    </row>
    <row r="75" spans="1:26" x14ac:dyDescent="0.25">
      <c r="A75" t="s">
        <v>106</v>
      </c>
      <c r="B75">
        <v>3</v>
      </c>
      <c r="C75">
        <v>2</v>
      </c>
      <c r="D75">
        <v>0</v>
      </c>
      <c r="E75" t="s">
        <v>109</v>
      </c>
      <c r="F75">
        <v>61682</v>
      </c>
      <c r="G75">
        <v>111285680.16666667</v>
      </c>
      <c r="H75">
        <v>0.97555555899937951</v>
      </c>
      <c r="I75">
        <v>0.96925925925925926</v>
      </c>
      <c r="J75">
        <v>22861904</v>
      </c>
      <c r="K75">
        <v>99845</v>
      </c>
      <c r="L75">
        <v>2</v>
      </c>
      <c r="M75">
        <v>205</v>
      </c>
      <c r="N75">
        <v>0.96777777777777785</v>
      </c>
      <c r="O75">
        <v>22919294.166666668</v>
      </c>
      <c r="P75">
        <v>100744</v>
      </c>
      <c r="Q75">
        <v>2</v>
      </c>
      <c r="R75">
        <v>206</v>
      </c>
      <c r="S75">
        <v>11.133571660708482</v>
      </c>
      <c r="T75">
        <v>0.97333332300186159</v>
      </c>
      <c r="W75">
        <f t="shared" si="4"/>
        <v>99845</v>
      </c>
      <c r="X75">
        <f t="shared" si="5"/>
        <v>0.97555555899937951</v>
      </c>
      <c r="Y75">
        <f t="shared" si="6"/>
        <v>0.97333332300186159</v>
      </c>
      <c r="Z75">
        <f t="shared" si="7"/>
        <v>11.133571660708482</v>
      </c>
    </row>
    <row r="76" spans="1:26" hidden="1" x14ac:dyDescent="0.25">
      <c r="A76" t="s">
        <v>106</v>
      </c>
      <c r="B76">
        <v>3</v>
      </c>
      <c r="C76">
        <v>4</v>
      </c>
      <c r="D76">
        <v>0</v>
      </c>
      <c r="E76" t="s">
        <v>225</v>
      </c>
      <c r="F76">
        <v>53362</v>
      </c>
      <c r="G76">
        <v>42230038.833333336</v>
      </c>
      <c r="H76">
        <v>0.96259259184201562</v>
      </c>
      <c r="I76">
        <v>0.9522222222222223</v>
      </c>
      <c r="J76">
        <v>12474947.333333334</v>
      </c>
      <c r="K76">
        <v>100744</v>
      </c>
      <c r="L76">
        <v>2</v>
      </c>
      <c r="M76">
        <v>206</v>
      </c>
      <c r="N76">
        <v>0.95370370370370372</v>
      </c>
      <c r="O76">
        <v>12902370.666666666</v>
      </c>
      <c r="P76">
        <v>101647</v>
      </c>
      <c r="Q76">
        <v>2</v>
      </c>
      <c r="R76">
        <v>207</v>
      </c>
      <c r="S76">
        <v>11.423129696177719</v>
      </c>
      <c r="T76">
        <v>0.9770370244979858</v>
      </c>
      <c r="W76">
        <f t="shared" si="4"/>
        <v>100744</v>
      </c>
      <c r="X76">
        <f t="shared" si="5"/>
        <v>0.96259259184201562</v>
      </c>
      <c r="Y76">
        <f t="shared" si="6"/>
        <v>0.9770370244979858</v>
      </c>
      <c r="Z76">
        <f t="shared" si="7"/>
        <v>11.423129696177719</v>
      </c>
    </row>
    <row r="77" spans="1:26" x14ac:dyDescent="0.25">
      <c r="A77" t="s">
        <v>106</v>
      </c>
      <c r="B77">
        <v>3</v>
      </c>
      <c r="C77">
        <v>2</v>
      </c>
      <c r="D77">
        <v>0</v>
      </c>
      <c r="E77" t="s">
        <v>110</v>
      </c>
      <c r="F77">
        <v>62868</v>
      </c>
      <c r="G77">
        <v>111129391.5</v>
      </c>
      <c r="H77">
        <v>0.97518519560496009</v>
      </c>
      <c r="I77">
        <v>0.9714814814814815</v>
      </c>
      <c r="J77">
        <v>23339139</v>
      </c>
      <c r="K77">
        <v>101647</v>
      </c>
      <c r="L77">
        <v>2</v>
      </c>
      <c r="M77">
        <v>207</v>
      </c>
      <c r="N77">
        <v>0.96333333333333337</v>
      </c>
      <c r="O77">
        <v>21459099.666666668</v>
      </c>
      <c r="P77">
        <v>102554</v>
      </c>
      <c r="Q77">
        <v>2</v>
      </c>
      <c r="R77">
        <v>208</v>
      </c>
      <c r="S77">
        <v>11.132694494071789</v>
      </c>
      <c r="T77">
        <v>0.97407406568527222</v>
      </c>
      <c r="W77">
        <f t="shared" si="4"/>
        <v>101647</v>
      </c>
      <c r="X77">
        <f t="shared" si="5"/>
        <v>0.97518519560496009</v>
      </c>
      <c r="Y77">
        <f t="shared" si="6"/>
        <v>0.97407406568527222</v>
      </c>
      <c r="Z77">
        <f t="shared" si="7"/>
        <v>11.132694494071789</v>
      </c>
    </row>
    <row r="78" spans="1:26" hidden="1" x14ac:dyDescent="0.25">
      <c r="A78" t="s">
        <v>106</v>
      </c>
      <c r="B78">
        <v>5</v>
      </c>
      <c r="C78">
        <v>2</v>
      </c>
      <c r="D78">
        <v>0</v>
      </c>
      <c r="E78" t="s">
        <v>294</v>
      </c>
      <c r="F78">
        <v>103333</v>
      </c>
      <c r="G78">
        <v>107055295</v>
      </c>
      <c r="H78">
        <v>0.95222221314907074</v>
      </c>
      <c r="I78">
        <v>0.96333333333333337</v>
      </c>
      <c r="J78">
        <v>20327425</v>
      </c>
      <c r="K78">
        <v>102554</v>
      </c>
      <c r="L78">
        <v>2</v>
      </c>
      <c r="M78">
        <v>208</v>
      </c>
      <c r="N78">
        <v>0.9622222222222222</v>
      </c>
      <c r="O78">
        <v>20617334.25</v>
      </c>
      <c r="P78">
        <v>103465</v>
      </c>
      <c r="Q78">
        <v>2</v>
      </c>
      <c r="R78">
        <v>209</v>
      </c>
      <c r="S78">
        <v>11.429342648459828</v>
      </c>
      <c r="T78">
        <v>0.9395061731338501</v>
      </c>
      <c r="W78">
        <f t="shared" si="4"/>
        <v>102554</v>
      </c>
      <c r="X78">
        <f t="shared" si="5"/>
        <v>0.95222221314907074</v>
      </c>
      <c r="Y78">
        <f t="shared" si="6"/>
        <v>0.9395061731338501</v>
      </c>
      <c r="Z78">
        <f t="shared" si="7"/>
        <v>11.429342648459828</v>
      </c>
    </row>
    <row r="79" spans="1:26" hidden="1" x14ac:dyDescent="0.25">
      <c r="A79" t="s">
        <v>106</v>
      </c>
      <c r="B79">
        <v>5</v>
      </c>
      <c r="C79">
        <v>5</v>
      </c>
      <c r="D79">
        <v>0</v>
      </c>
      <c r="E79" t="s">
        <v>128</v>
      </c>
      <c r="F79">
        <v>103076</v>
      </c>
      <c r="G79">
        <v>153009457</v>
      </c>
      <c r="H79">
        <v>0.96499998867511749</v>
      </c>
      <c r="I79">
        <v>0.97944444444444445</v>
      </c>
      <c r="J79">
        <v>23560629</v>
      </c>
      <c r="K79">
        <v>102554</v>
      </c>
      <c r="L79">
        <v>2</v>
      </c>
      <c r="M79">
        <v>208</v>
      </c>
      <c r="N79">
        <v>0.97833333333333328</v>
      </c>
      <c r="O79">
        <v>23749660.25</v>
      </c>
      <c r="P79">
        <v>103465</v>
      </c>
      <c r="Q79">
        <v>2</v>
      </c>
      <c r="R79">
        <v>209</v>
      </c>
      <c r="S79">
        <v>11.616701586351391</v>
      </c>
      <c r="T79">
        <v>0.96049382289250695</v>
      </c>
      <c r="W79">
        <f t="shared" si="4"/>
        <v>102554</v>
      </c>
      <c r="X79">
        <f t="shared" si="5"/>
        <v>0.96499998867511749</v>
      </c>
      <c r="Y79">
        <f t="shared" si="6"/>
        <v>0.96049382289250695</v>
      </c>
      <c r="Z79">
        <f t="shared" si="7"/>
        <v>11.616701586351391</v>
      </c>
    </row>
    <row r="80" spans="1:26" hidden="1" x14ac:dyDescent="0.25">
      <c r="A80" t="s">
        <v>106</v>
      </c>
      <c r="B80">
        <v>9</v>
      </c>
      <c r="C80">
        <v>2</v>
      </c>
      <c r="D80">
        <v>0</v>
      </c>
      <c r="E80" t="s">
        <v>292</v>
      </c>
      <c r="F80">
        <v>102721</v>
      </c>
      <c r="G80">
        <v>99534569.25</v>
      </c>
      <c r="H80">
        <v>0.9583333283662796</v>
      </c>
      <c r="I80">
        <v>0.97777777777777775</v>
      </c>
      <c r="J80">
        <v>22894556.75</v>
      </c>
      <c r="K80">
        <v>102554</v>
      </c>
      <c r="L80">
        <v>2</v>
      </c>
      <c r="M80">
        <v>208</v>
      </c>
      <c r="N80">
        <v>0.96388888888888891</v>
      </c>
      <c r="O80">
        <v>20062725.25</v>
      </c>
      <c r="P80">
        <v>103465</v>
      </c>
      <c r="Q80">
        <v>2</v>
      </c>
      <c r="R80">
        <v>209</v>
      </c>
      <c r="S80">
        <v>11.716788321167883</v>
      </c>
      <c r="T80">
        <v>0.9592592716217041</v>
      </c>
      <c r="W80">
        <f t="shared" si="4"/>
        <v>102554</v>
      </c>
      <c r="X80">
        <f t="shared" si="5"/>
        <v>0.9583333283662796</v>
      </c>
      <c r="Y80">
        <f t="shared" si="6"/>
        <v>0.9592592716217041</v>
      </c>
      <c r="Z80">
        <f t="shared" si="7"/>
        <v>11.716788321167883</v>
      </c>
    </row>
    <row r="81" spans="1:26" hidden="1" x14ac:dyDescent="0.25">
      <c r="A81" t="s">
        <v>106</v>
      </c>
      <c r="B81">
        <v>9</v>
      </c>
      <c r="C81">
        <v>3</v>
      </c>
      <c r="D81">
        <v>0</v>
      </c>
      <c r="E81" t="s">
        <v>258</v>
      </c>
      <c r="F81">
        <v>102637</v>
      </c>
      <c r="G81">
        <v>125638719.75</v>
      </c>
      <c r="H81">
        <v>0.94888888299465179</v>
      </c>
      <c r="I81">
        <v>0.95499999999999996</v>
      </c>
      <c r="J81">
        <v>22496763</v>
      </c>
      <c r="K81">
        <v>102554</v>
      </c>
      <c r="L81">
        <v>2</v>
      </c>
      <c r="M81">
        <v>208</v>
      </c>
      <c r="N81">
        <v>0.95222222222222219</v>
      </c>
      <c r="O81">
        <v>22876999</v>
      </c>
      <c r="P81">
        <v>103465</v>
      </c>
      <c r="Q81">
        <v>2</v>
      </c>
      <c r="R81">
        <v>209</v>
      </c>
      <c r="S81">
        <v>11.923010777344645</v>
      </c>
      <c r="T81">
        <v>0.96296298503875732</v>
      </c>
      <c r="W81">
        <f t="shared" si="4"/>
        <v>102554</v>
      </c>
      <c r="X81">
        <f t="shared" si="5"/>
        <v>0.94888888299465179</v>
      </c>
      <c r="Y81">
        <f t="shared" si="6"/>
        <v>0.96296298503875732</v>
      </c>
      <c r="Z81">
        <f t="shared" si="7"/>
        <v>11.923010777344645</v>
      </c>
    </row>
    <row r="82" spans="1:26" x14ac:dyDescent="0.25">
      <c r="A82" t="s">
        <v>106</v>
      </c>
      <c r="B82">
        <v>3</v>
      </c>
      <c r="C82">
        <v>2</v>
      </c>
      <c r="D82">
        <v>0</v>
      </c>
      <c r="E82" t="s">
        <v>111</v>
      </c>
      <c r="F82">
        <v>64054</v>
      </c>
      <c r="G82">
        <v>108650757.5</v>
      </c>
      <c r="H82">
        <v>0.97740741570790612</v>
      </c>
      <c r="I82">
        <v>0.97074074074074079</v>
      </c>
      <c r="J82">
        <v>23907105.833333332</v>
      </c>
      <c r="K82">
        <v>103465</v>
      </c>
      <c r="L82">
        <v>2</v>
      </c>
      <c r="M82">
        <v>209</v>
      </c>
      <c r="N82">
        <v>0.96962962962962962</v>
      </c>
      <c r="O82">
        <v>22792277.333333332</v>
      </c>
      <c r="P82">
        <v>104380</v>
      </c>
      <c r="Q82">
        <v>2</v>
      </c>
      <c r="R82">
        <v>210</v>
      </c>
      <c r="S82">
        <v>11.131818181818181</v>
      </c>
      <c r="T82">
        <v>0.97629629373550419</v>
      </c>
      <c r="W82">
        <f t="shared" si="4"/>
        <v>103465</v>
      </c>
      <c r="X82">
        <f t="shared" si="5"/>
        <v>0.97740741570790612</v>
      </c>
      <c r="Y82">
        <f t="shared" si="6"/>
        <v>0.97629629373550419</v>
      </c>
      <c r="Z82">
        <f t="shared" si="7"/>
        <v>11.131818181818181</v>
      </c>
    </row>
    <row r="83" spans="1:26" hidden="1" x14ac:dyDescent="0.25">
      <c r="A83" t="s">
        <v>106</v>
      </c>
      <c r="B83">
        <v>3</v>
      </c>
      <c r="C83">
        <v>4</v>
      </c>
      <c r="D83">
        <v>0</v>
      </c>
      <c r="E83" t="s">
        <v>241</v>
      </c>
      <c r="F83">
        <v>54844</v>
      </c>
      <c r="G83">
        <v>43336875.833333336</v>
      </c>
      <c r="H83">
        <v>0.96370370189348853</v>
      </c>
      <c r="I83">
        <v>0.95185185185185184</v>
      </c>
      <c r="J83">
        <v>12650780.333333334</v>
      </c>
      <c r="K83">
        <v>103465</v>
      </c>
      <c r="L83">
        <v>2</v>
      </c>
      <c r="M83">
        <v>209</v>
      </c>
      <c r="N83">
        <v>0.95444444444444443</v>
      </c>
      <c r="O83">
        <v>12760403.333333334</v>
      </c>
      <c r="P83">
        <v>104380</v>
      </c>
      <c r="Q83">
        <v>2</v>
      </c>
      <c r="R83">
        <v>210</v>
      </c>
      <c r="S83">
        <v>11.42185356932924</v>
      </c>
      <c r="T83">
        <v>0.98370370864868162</v>
      </c>
      <c r="W83">
        <f t="shared" si="4"/>
        <v>103465</v>
      </c>
      <c r="X83">
        <f t="shared" si="5"/>
        <v>0.96370370189348853</v>
      </c>
      <c r="Y83">
        <f t="shared" si="6"/>
        <v>0.98370370864868162</v>
      </c>
      <c r="Z83">
        <f t="shared" si="7"/>
        <v>11.42185356932924</v>
      </c>
    </row>
    <row r="84" spans="1:26" hidden="1" x14ac:dyDescent="0.25">
      <c r="A84" t="s">
        <v>106</v>
      </c>
      <c r="B84">
        <v>5</v>
      </c>
      <c r="C84">
        <v>3</v>
      </c>
      <c r="D84">
        <v>0</v>
      </c>
      <c r="E84" t="s">
        <v>243</v>
      </c>
      <c r="F84">
        <v>103984</v>
      </c>
      <c r="G84">
        <v>163973841.5</v>
      </c>
      <c r="H84">
        <v>0.94666667282581329</v>
      </c>
      <c r="I84">
        <v>0.95666666666666667</v>
      </c>
      <c r="J84">
        <v>23689504</v>
      </c>
      <c r="K84">
        <v>103465</v>
      </c>
      <c r="L84">
        <v>2</v>
      </c>
      <c r="M84">
        <v>209</v>
      </c>
      <c r="N84">
        <v>0.95166666666666666</v>
      </c>
      <c r="O84">
        <v>22046254.75</v>
      </c>
      <c r="P84">
        <v>104380</v>
      </c>
      <c r="Q84">
        <v>2</v>
      </c>
      <c r="R84">
        <v>210</v>
      </c>
      <c r="S84">
        <v>11.531228594557568</v>
      </c>
      <c r="T84">
        <v>0.980246901512146</v>
      </c>
      <c r="W84">
        <f t="shared" si="4"/>
        <v>103465</v>
      </c>
      <c r="X84">
        <f t="shared" si="5"/>
        <v>0.94666667282581329</v>
      </c>
      <c r="Y84">
        <f t="shared" si="6"/>
        <v>0.980246901512146</v>
      </c>
      <c r="Z84">
        <f t="shared" si="7"/>
        <v>11.531228594557568</v>
      </c>
    </row>
    <row r="85" spans="1:26" x14ac:dyDescent="0.25">
      <c r="A85" t="s">
        <v>106</v>
      </c>
      <c r="B85">
        <v>3</v>
      </c>
      <c r="C85">
        <v>2</v>
      </c>
      <c r="D85">
        <v>0</v>
      </c>
      <c r="E85" t="s">
        <v>112</v>
      </c>
      <c r="F85">
        <v>65240</v>
      </c>
      <c r="G85">
        <v>121536406.16666667</v>
      </c>
      <c r="H85">
        <v>0.97481482227643335</v>
      </c>
      <c r="I85">
        <v>0.97185185185185186</v>
      </c>
      <c r="J85">
        <v>23611875.666666668</v>
      </c>
      <c r="K85">
        <v>105299</v>
      </c>
      <c r="L85">
        <v>2</v>
      </c>
      <c r="M85">
        <v>211</v>
      </c>
      <c r="N85">
        <v>0.97444444444444445</v>
      </c>
      <c r="O85">
        <v>22675863.666666668</v>
      </c>
      <c r="P85">
        <v>106222</v>
      </c>
      <c r="Q85">
        <v>2</v>
      </c>
      <c r="R85">
        <v>212</v>
      </c>
      <c r="S85">
        <v>11.131429498620802</v>
      </c>
      <c r="T85">
        <v>0.97111109495162962</v>
      </c>
      <c r="W85">
        <f t="shared" si="4"/>
        <v>105299</v>
      </c>
      <c r="X85">
        <f t="shared" si="5"/>
        <v>0.97481482227643335</v>
      </c>
      <c r="Y85">
        <f t="shared" si="6"/>
        <v>0.97111109495162962</v>
      </c>
      <c r="Z85">
        <f t="shared" si="7"/>
        <v>11.131429498620802</v>
      </c>
    </row>
    <row r="86" spans="1:26" hidden="1" x14ac:dyDescent="0.25">
      <c r="A86" t="s">
        <v>106</v>
      </c>
      <c r="B86">
        <v>5</v>
      </c>
      <c r="C86">
        <v>4</v>
      </c>
      <c r="D86">
        <v>0</v>
      </c>
      <c r="E86" t="s">
        <v>192</v>
      </c>
      <c r="F86">
        <v>105750</v>
      </c>
      <c r="G86">
        <v>99415377.25</v>
      </c>
      <c r="H86">
        <v>0.95722222328186035</v>
      </c>
      <c r="I86">
        <v>0.97</v>
      </c>
      <c r="J86">
        <v>22756690.75</v>
      </c>
      <c r="K86">
        <v>105299</v>
      </c>
      <c r="L86">
        <v>2</v>
      </c>
      <c r="M86">
        <v>211</v>
      </c>
      <c r="N86">
        <v>0.96611111111111114</v>
      </c>
      <c r="O86">
        <v>22120236</v>
      </c>
      <c r="P86">
        <v>106222</v>
      </c>
      <c r="Q86">
        <v>2</v>
      </c>
      <c r="R86">
        <v>212</v>
      </c>
      <c r="S86">
        <v>11.582066776536655</v>
      </c>
      <c r="T86">
        <v>0.9592592716217041</v>
      </c>
      <c r="W86">
        <f t="shared" si="4"/>
        <v>105299</v>
      </c>
      <c r="X86">
        <f t="shared" si="5"/>
        <v>0.95722222328186035</v>
      </c>
      <c r="Y86">
        <f t="shared" si="6"/>
        <v>0.9592592716217041</v>
      </c>
      <c r="Z86">
        <f t="shared" si="7"/>
        <v>11.582066776536655</v>
      </c>
    </row>
    <row r="87" spans="1:26" hidden="1" x14ac:dyDescent="0.25">
      <c r="A87" t="s">
        <v>106</v>
      </c>
      <c r="B87">
        <v>3</v>
      </c>
      <c r="C87">
        <v>3</v>
      </c>
      <c r="D87">
        <v>0</v>
      </c>
      <c r="E87" t="s">
        <v>249</v>
      </c>
      <c r="F87">
        <v>60040</v>
      </c>
      <c r="G87">
        <v>61848799.399999999</v>
      </c>
      <c r="H87">
        <v>0.95600000619888303</v>
      </c>
      <c r="I87">
        <v>0.95111111111111113</v>
      </c>
      <c r="J87">
        <v>17680217.600000001</v>
      </c>
      <c r="K87">
        <v>106222</v>
      </c>
      <c r="L87">
        <v>2</v>
      </c>
      <c r="M87">
        <v>212</v>
      </c>
      <c r="N87">
        <v>0.94533333333333336</v>
      </c>
      <c r="O87">
        <v>16907113</v>
      </c>
      <c r="P87">
        <v>107149</v>
      </c>
      <c r="Q87">
        <v>2</v>
      </c>
      <c r="R87">
        <v>213</v>
      </c>
      <c r="S87">
        <v>11.283875338753388</v>
      </c>
      <c r="T87">
        <v>0.94629628956317902</v>
      </c>
      <c r="W87">
        <f t="shared" si="4"/>
        <v>106222</v>
      </c>
      <c r="X87">
        <f t="shared" si="5"/>
        <v>0.95600000619888303</v>
      </c>
      <c r="Y87">
        <f t="shared" si="6"/>
        <v>0.94629628956317902</v>
      </c>
      <c r="Z87">
        <f t="shared" si="7"/>
        <v>11.283875338753388</v>
      </c>
    </row>
    <row r="88" spans="1:26" hidden="1" x14ac:dyDescent="0.25">
      <c r="A88" t="s">
        <v>106</v>
      </c>
      <c r="B88">
        <v>3</v>
      </c>
      <c r="C88">
        <v>4</v>
      </c>
      <c r="D88">
        <v>0</v>
      </c>
      <c r="E88" t="s">
        <v>242</v>
      </c>
      <c r="F88">
        <v>56326</v>
      </c>
      <c r="G88">
        <v>43301787.166666664</v>
      </c>
      <c r="H88">
        <v>0.96222221851348877</v>
      </c>
      <c r="I88">
        <v>0.95296296296296301</v>
      </c>
      <c r="J88">
        <v>13168108.5</v>
      </c>
      <c r="K88">
        <v>106222</v>
      </c>
      <c r="L88">
        <v>2</v>
      </c>
      <c r="M88">
        <v>212</v>
      </c>
      <c r="N88">
        <v>0.95296296296296301</v>
      </c>
      <c r="O88">
        <v>13371323</v>
      </c>
      <c r="P88">
        <v>107149</v>
      </c>
      <c r="Q88">
        <v>2</v>
      </c>
      <c r="R88">
        <v>213</v>
      </c>
      <c r="S88">
        <v>11.420774303061958</v>
      </c>
      <c r="T88">
        <v>0.97259258031845097</v>
      </c>
      <c r="W88">
        <f t="shared" si="4"/>
        <v>106222</v>
      </c>
      <c r="X88">
        <f t="shared" si="5"/>
        <v>0.96222221851348877</v>
      </c>
      <c r="Y88">
        <f t="shared" si="6"/>
        <v>0.97259258031845097</v>
      </c>
      <c r="Z88">
        <f t="shared" si="7"/>
        <v>11.420774303061958</v>
      </c>
    </row>
    <row r="89" spans="1:26" x14ac:dyDescent="0.25">
      <c r="A89" t="s">
        <v>106</v>
      </c>
      <c r="B89">
        <v>3</v>
      </c>
      <c r="C89">
        <v>2</v>
      </c>
      <c r="D89">
        <v>0</v>
      </c>
      <c r="E89" t="s">
        <v>113</v>
      </c>
      <c r="F89">
        <v>66426</v>
      </c>
      <c r="G89">
        <v>119182220.5</v>
      </c>
      <c r="H89">
        <v>0.97148148218790686</v>
      </c>
      <c r="I89">
        <v>0.96888888888888891</v>
      </c>
      <c r="J89">
        <v>23694667.5</v>
      </c>
      <c r="K89">
        <v>107149</v>
      </c>
      <c r="L89">
        <v>2</v>
      </c>
      <c r="M89">
        <v>213</v>
      </c>
      <c r="N89">
        <v>0.97370370370370374</v>
      </c>
      <c r="O89">
        <v>24319083.666666668</v>
      </c>
      <c r="P89">
        <v>108080</v>
      </c>
      <c r="Q89">
        <v>2</v>
      </c>
      <c r="R89">
        <v>214</v>
      </c>
      <c r="S89">
        <v>11.130797924099904</v>
      </c>
      <c r="T89">
        <v>0.97481480836868284</v>
      </c>
      <c r="W89">
        <f t="shared" si="4"/>
        <v>107149</v>
      </c>
      <c r="X89">
        <f t="shared" si="5"/>
        <v>0.97148148218790686</v>
      </c>
      <c r="Y89">
        <f t="shared" si="6"/>
        <v>0.97481480836868284</v>
      </c>
      <c r="Z89">
        <f t="shared" si="7"/>
        <v>11.130797924099904</v>
      </c>
    </row>
    <row r="90" spans="1:26" hidden="1" x14ac:dyDescent="0.25">
      <c r="A90" t="s">
        <v>106</v>
      </c>
      <c r="B90">
        <v>9</v>
      </c>
      <c r="C90">
        <v>4</v>
      </c>
      <c r="D90">
        <v>0</v>
      </c>
      <c r="E90" t="s">
        <v>128</v>
      </c>
      <c r="F90">
        <v>107368</v>
      </c>
      <c r="G90">
        <v>163878817.25</v>
      </c>
      <c r="H90">
        <v>0.92722223699092865</v>
      </c>
      <c r="I90">
        <v>0.9522222222222223</v>
      </c>
      <c r="J90">
        <v>24434140.5</v>
      </c>
      <c r="K90">
        <v>107149</v>
      </c>
      <c r="L90">
        <v>2</v>
      </c>
      <c r="M90">
        <v>213</v>
      </c>
      <c r="N90">
        <v>0.94388888888888889</v>
      </c>
      <c r="O90">
        <v>22982586</v>
      </c>
      <c r="P90">
        <v>108080</v>
      </c>
      <c r="Q90">
        <v>2</v>
      </c>
      <c r="R90">
        <v>214</v>
      </c>
      <c r="S90">
        <v>12.150058813644765</v>
      </c>
      <c r="T90">
        <v>0.94936666666666669</v>
      </c>
      <c r="W90">
        <f t="shared" si="4"/>
        <v>107149</v>
      </c>
      <c r="X90">
        <f t="shared" si="5"/>
        <v>0.92722223699092865</v>
      </c>
      <c r="Y90">
        <f t="shared" si="6"/>
        <v>0.94936666666666669</v>
      </c>
      <c r="Z90">
        <f t="shared" si="7"/>
        <v>12.150058813644765</v>
      </c>
    </row>
    <row r="91" spans="1:26" hidden="1" x14ac:dyDescent="0.25">
      <c r="A91" t="s">
        <v>106</v>
      </c>
      <c r="B91">
        <v>5</v>
      </c>
      <c r="C91">
        <v>2</v>
      </c>
      <c r="D91">
        <v>0</v>
      </c>
      <c r="E91" t="s">
        <v>253</v>
      </c>
      <c r="F91">
        <v>108888</v>
      </c>
      <c r="G91">
        <v>99997468.25</v>
      </c>
      <c r="H91">
        <v>0.96444444358348846</v>
      </c>
      <c r="I91">
        <v>0.95833333333333337</v>
      </c>
      <c r="J91">
        <v>21742348.5</v>
      </c>
      <c r="K91">
        <v>108080</v>
      </c>
      <c r="L91">
        <v>2</v>
      </c>
      <c r="M91">
        <v>214</v>
      </c>
      <c r="N91">
        <v>0.96499999999999997</v>
      </c>
      <c r="O91">
        <v>21566324</v>
      </c>
      <c r="P91">
        <v>109015</v>
      </c>
      <c r="Q91">
        <v>2</v>
      </c>
      <c r="R91">
        <v>215</v>
      </c>
      <c r="S91">
        <v>11.429106609943489</v>
      </c>
      <c r="T91">
        <v>0.94197531541188562</v>
      </c>
      <c r="W91">
        <f t="shared" si="4"/>
        <v>108080</v>
      </c>
      <c r="X91">
        <f t="shared" si="5"/>
        <v>0.96444444358348846</v>
      </c>
      <c r="Y91">
        <f t="shared" si="6"/>
        <v>0.94197531541188562</v>
      </c>
      <c r="Z91">
        <f t="shared" si="7"/>
        <v>11.429106609943489</v>
      </c>
    </row>
    <row r="92" spans="1:26" x14ac:dyDescent="0.25">
      <c r="A92" t="s">
        <v>106</v>
      </c>
      <c r="B92">
        <v>3</v>
      </c>
      <c r="C92">
        <v>2</v>
      </c>
      <c r="D92">
        <v>0</v>
      </c>
      <c r="E92" t="s">
        <v>114</v>
      </c>
      <c r="F92">
        <v>67612</v>
      </c>
      <c r="G92">
        <v>117074581.83333333</v>
      </c>
      <c r="H92">
        <v>0.96962962547938025</v>
      </c>
      <c r="I92">
        <v>0.97037037037037044</v>
      </c>
      <c r="J92">
        <v>24513217.5</v>
      </c>
      <c r="K92">
        <v>109015</v>
      </c>
      <c r="L92">
        <v>2</v>
      </c>
      <c r="M92">
        <v>215</v>
      </c>
      <c r="N92">
        <v>0.97296296296296292</v>
      </c>
      <c r="O92">
        <v>23009815.666666668</v>
      </c>
      <c r="P92">
        <v>109954</v>
      </c>
      <c r="Q92">
        <v>2</v>
      </c>
      <c r="R92">
        <v>216</v>
      </c>
      <c r="S92">
        <v>11.129842762198088</v>
      </c>
      <c r="T92">
        <v>0.97481480836868284</v>
      </c>
      <c r="W92">
        <f t="shared" si="4"/>
        <v>109015</v>
      </c>
      <c r="X92">
        <f t="shared" si="5"/>
        <v>0.96962962547938025</v>
      </c>
      <c r="Y92">
        <f t="shared" si="6"/>
        <v>0.97481480836868284</v>
      </c>
      <c r="Z92">
        <f t="shared" si="7"/>
        <v>11.129842762198088</v>
      </c>
    </row>
    <row r="93" spans="1:26" hidden="1" x14ac:dyDescent="0.25">
      <c r="A93" t="s">
        <v>106</v>
      </c>
      <c r="B93">
        <v>3</v>
      </c>
      <c r="C93">
        <v>3</v>
      </c>
      <c r="D93">
        <v>0</v>
      </c>
      <c r="E93" t="s">
        <v>250</v>
      </c>
      <c r="F93">
        <v>61374</v>
      </c>
      <c r="G93">
        <v>104612372.5</v>
      </c>
      <c r="H93">
        <v>0.95925926168759668</v>
      </c>
      <c r="I93">
        <v>0.96111111111111114</v>
      </c>
      <c r="J93">
        <v>20265841</v>
      </c>
      <c r="K93">
        <v>109015</v>
      </c>
      <c r="L93">
        <v>2</v>
      </c>
      <c r="M93">
        <v>215</v>
      </c>
      <c r="N93">
        <v>0.96592592592592597</v>
      </c>
      <c r="O93">
        <v>20332348.833333332</v>
      </c>
      <c r="P93">
        <v>109954</v>
      </c>
      <c r="Q93">
        <v>2</v>
      </c>
      <c r="R93">
        <v>216</v>
      </c>
      <c r="S93">
        <v>11.283145221971408</v>
      </c>
      <c r="T93">
        <v>0.96370370388031001</v>
      </c>
      <c r="W93">
        <f t="shared" si="4"/>
        <v>109015</v>
      </c>
      <c r="X93">
        <f t="shared" si="5"/>
        <v>0.95925926168759668</v>
      </c>
      <c r="Y93">
        <f t="shared" si="6"/>
        <v>0.96370370388031001</v>
      </c>
      <c r="Z93">
        <f t="shared" si="7"/>
        <v>11.283145221971408</v>
      </c>
    </row>
    <row r="94" spans="1:26" hidden="1" x14ac:dyDescent="0.25">
      <c r="A94" t="s">
        <v>106</v>
      </c>
      <c r="B94">
        <v>3</v>
      </c>
      <c r="C94">
        <v>4</v>
      </c>
      <c r="D94">
        <v>0</v>
      </c>
      <c r="E94" t="s">
        <v>243</v>
      </c>
      <c r="F94">
        <v>57808</v>
      </c>
      <c r="G94">
        <v>56430113.166666664</v>
      </c>
      <c r="H94">
        <v>0.96259258190790808</v>
      </c>
      <c r="I94">
        <v>0.95333333333333337</v>
      </c>
      <c r="J94">
        <v>13491556.666666666</v>
      </c>
      <c r="K94">
        <v>109015</v>
      </c>
      <c r="L94">
        <v>2</v>
      </c>
      <c r="M94">
        <v>215</v>
      </c>
      <c r="N94">
        <v>0.95962962962962961</v>
      </c>
      <c r="O94">
        <v>13239654.5</v>
      </c>
      <c r="P94">
        <v>109954</v>
      </c>
      <c r="Q94">
        <v>2</v>
      </c>
      <c r="R94">
        <v>216</v>
      </c>
      <c r="S94">
        <v>11.420609541212556</v>
      </c>
      <c r="T94">
        <v>0.98370370864868162</v>
      </c>
      <c r="W94">
        <f t="shared" si="4"/>
        <v>109015</v>
      </c>
      <c r="X94">
        <f t="shared" si="5"/>
        <v>0.96259258190790808</v>
      </c>
      <c r="Y94">
        <f t="shared" si="6"/>
        <v>0.98370370864868162</v>
      </c>
      <c r="Z94">
        <f t="shared" si="7"/>
        <v>11.420609541212556</v>
      </c>
    </row>
    <row r="95" spans="1:26" hidden="1" x14ac:dyDescent="0.25">
      <c r="A95" t="s">
        <v>106</v>
      </c>
      <c r="B95">
        <v>9</v>
      </c>
      <c r="C95">
        <v>2</v>
      </c>
      <c r="D95">
        <v>0</v>
      </c>
      <c r="E95" t="s">
        <v>243</v>
      </c>
      <c r="F95">
        <v>109756</v>
      </c>
      <c r="G95">
        <v>103802188</v>
      </c>
      <c r="H95">
        <v>0.95166666805744171</v>
      </c>
      <c r="I95">
        <v>0.97555555555555551</v>
      </c>
      <c r="J95">
        <v>22173179.5</v>
      </c>
      <c r="K95">
        <v>109015</v>
      </c>
      <c r="L95">
        <v>2</v>
      </c>
      <c r="M95">
        <v>215</v>
      </c>
      <c r="N95">
        <v>0.97222222222222221</v>
      </c>
      <c r="O95">
        <v>22277813.25</v>
      </c>
      <c r="P95">
        <v>109954</v>
      </c>
      <c r="Q95">
        <v>2</v>
      </c>
      <c r="R95">
        <v>216</v>
      </c>
      <c r="S95">
        <v>11.716153891061941</v>
      </c>
      <c r="T95">
        <v>0.96296296517054236</v>
      </c>
      <c r="W95">
        <f t="shared" si="4"/>
        <v>109015</v>
      </c>
      <c r="X95">
        <f t="shared" si="5"/>
        <v>0.95166666805744171</v>
      </c>
      <c r="Y95">
        <f t="shared" si="6"/>
        <v>0.96296296517054236</v>
      </c>
      <c r="Z95">
        <f t="shared" si="7"/>
        <v>11.716153891061941</v>
      </c>
    </row>
    <row r="96" spans="1:26" hidden="1" x14ac:dyDescent="0.25">
      <c r="A96" t="s">
        <v>106</v>
      </c>
      <c r="B96">
        <v>9</v>
      </c>
      <c r="C96">
        <v>5</v>
      </c>
      <c r="D96">
        <v>0</v>
      </c>
      <c r="E96" t="s">
        <v>257</v>
      </c>
      <c r="F96">
        <v>109879</v>
      </c>
      <c r="G96">
        <v>195083555.5</v>
      </c>
      <c r="H96">
        <v>0.90833333134651184</v>
      </c>
      <c r="I96">
        <v>0.96111111111111114</v>
      </c>
      <c r="J96">
        <v>28667656.75</v>
      </c>
      <c r="K96">
        <v>109015</v>
      </c>
      <c r="L96">
        <v>2</v>
      </c>
      <c r="M96">
        <v>215</v>
      </c>
      <c r="N96">
        <v>0.96111111111111114</v>
      </c>
      <c r="O96">
        <v>29101758</v>
      </c>
      <c r="P96">
        <v>109954</v>
      </c>
      <c r="Q96">
        <v>2</v>
      </c>
      <c r="R96">
        <v>216</v>
      </c>
      <c r="S96">
        <v>12.182453245324533</v>
      </c>
      <c r="T96">
        <v>0.94069999999999998</v>
      </c>
      <c r="W96">
        <f t="shared" si="4"/>
        <v>109015</v>
      </c>
      <c r="X96">
        <f t="shared" si="5"/>
        <v>0.90833333134651184</v>
      </c>
      <c r="Y96">
        <f t="shared" si="6"/>
        <v>0.94069999999999998</v>
      </c>
      <c r="Z96">
        <f t="shared" si="7"/>
        <v>12.182453245324533</v>
      </c>
    </row>
    <row r="97" spans="1:26" hidden="1" x14ac:dyDescent="0.25">
      <c r="A97" t="s">
        <v>106</v>
      </c>
      <c r="B97">
        <v>5</v>
      </c>
      <c r="C97">
        <v>3</v>
      </c>
      <c r="D97">
        <v>0</v>
      </c>
      <c r="E97" t="s">
        <v>293</v>
      </c>
      <c r="F97">
        <v>110649</v>
      </c>
      <c r="G97">
        <v>134430553</v>
      </c>
      <c r="H97">
        <v>0.95000000298023224</v>
      </c>
      <c r="I97">
        <v>0.95499999999999996</v>
      </c>
      <c r="J97">
        <v>23126690.25</v>
      </c>
      <c r="K97">
        <v>109954</v>
      </c>
      <c r="L97">
        <v>2</v>
      </c>
      <c r="M97">
        <v>216</v>
      </c>
      <c r="N97">
        <v>0.95166666666666666</v>
      </c>
      <c r="O97">
        <v>22978476</v>
      </c>
      <c r="P97">
        <v>110897</v>
      </c>
      <c r="Q97">
        <v>2</v>
      </c>
      <c r="R97">
        <v>217</v>
      </c>
      <c r="S97">
        <v>11.530909543671791</v>
      </c>
      <c r="T97">
        <v>0.98271604379018151</v>
      </c>
      <c r="W97">
        <f t="shared" si="4"/>
        <v>109954</v>
      </c>
      <c r="X97">
        <f t="shared" si="5"/>
        <v>0.95000000298023224</v>
      </c>
      <c r="Y97">
        <f t="shared" si="6"/>
        <v>0.98271604379018151</v>
      </c>
      <c r="Z97">
        <f t="shared" si="7"/>
        <v>11.530909543671791</v>
      </c>
    </row>
    <row r="98" spans="1:26" hidden="1" x14ac:dyDescent="0.25">
      <c r="A98" t="s">
        <v>106</v>
      </c>
      <c r="B98">
        <v>9</v>
      </c>
      <c r="C98">
        <v>3</v>
      </c>
      <c r="D98">
        <v>0</v>
      </c>
      <c r="E98" t="s">
        <v>192</v>
      </c>
      <c r="F98">
        <v>110782</v>
      </c>
      <c r="G98">
        <v>133926868.25</v>
      </c>
      <c r="H98">
        <v>0.95444445312023163</v>
      </c>
      <c r="I98">
        <v>0.95333333333333337</v>
      </c>
      <c r="J98">
        <v>23533892</v>
      </c>
      <c r="K98">
        <v>109954</v>
      </c>
      <c r="L98">
        <v>2</v>
      </c>
      <c r="M98">
        <v>216</v>
      </c>
      <c r="N98">
        <v>0.94888888888888889</v>
      </c>
      <c r="O98">
        <v>22854040.5</v>
      </c>
      <c r="P98">
        <v>110897</v>
      </c>
      <c r="Q98">
        <v>2</v>
      </c>
      <c r="R98">
        <v>217</v>
      </c>
      <c r="S98">
        <v>11.922512608895003</v>
      </c>
      <c r="T98">
        <v>0.96913578112920129</v>
      </c>
      <c r="W98">
        <f t="shared" si="4"/>
        <v>109954</v>
      </c>
      <c r="X98">
        <f t="shared" si="5"/>
        <v>0.95444445312023163</v>
      </c>
      <c r="Y98">
        <f t="shared" si="6"/>
        <v>0.96913578112920129</v>
      </c>
      <c r="Z98">
        <f t="shared" si="7"/>
        <v>11.922512608895003</v>
      </c>
    </row>
    <row r="99" spans="1:26" x14ac:dyDescent="0.25">
      <c r="A99" t="s">
        <v>106</v>
      </c>
      <c r="B99">
        <v>3</v>
      </c>
      <c r="C99">
        <v>2</v>
      </c>
      <c r="D99">
        <v>0</v>
      </c>
      <c r="E99" t="s">
        <v>115</v>
      </c>
      <c r="F99">
        <v>68798</v>
      </c>
      <c r="G99">
        <v>127948029.16666667</v>
      </c>
      <c r="H99">
        <v>0.9707407454649607</v>
      </c>
      <c r="I99">
        <v>0.96777777777777785</v>
      </c>
      <c r="J99">
        <v>24750493.5</v>
      </c>
      <c r="K99">
        <v>110897</v>
      </c>
      <c r="L99">
        <v>2</v>
      </c>
      <c r="M99">
        <v>217</v>
      </c>
      <c r="N99">
        <v>0.97185185185185186</v>
      </c>
      <c r="O99">
        <v>22602028.833333332</v>
      </c>
      <c r="P99">
        <v>111844</v>
      </c>
      <c r="Q99">
        <v>2</v>
      </c>
      <c r="R99">
        <v>218</v>
      </c>
      <c r="S99">
        <v>11.129617627997408</v>
      </c>
      <c r="T99">
        <v>0.97851852178573606</v>
      </c>
      <c r="W99">
        <f t="shared" si="4"/>
        <v>110897</v>
      </c>
      <c r="X99">
        <f t="shared" si="5"/>
        <v>0.9707407454649607</v>
      </c>
      <c r="Y99">
        <f t="shared" si="6"/>
        <v>0.97851852178573606</v>
      </c>
      <c r="Z99">
        <f t="shared" si="7"/>
        <v>11.129617627997408</v>
      </c>
    </row>
    <row r="100" spans="1:26" hidden="1" x14ac:dyDescent="0.25">
      <c r="A100" t="s">
        <v>106</v>
      </c>
      <c r="B100">
        <v>3</v>
      </c>
      <c r="C100">
        <v>3</v>
      </c>
      <c r="D100">
        <v>0</v>
      </c>
      <c r="E100" t="s">
        <v>251</v>
      </c>
      <c r="F100">
        <v>62708</v>
      </c>
      <c r="G100">
        <v>101469877.83333333</v>
      </c>
      <c r="H100">
        <v>0.9651851852734884</v>
      </c>
      <c r="I100">
        <v>0.96481481481481479</v>
      </c>
      <c r="J100">
        <v>21420805.333333332</v>
      </c>
      <c r="K100">
        <v>110897</v>
      </c>
      <c r="L100">
        <v>2</v>
      </c>
      <c r="M100">
        <v>217</v>
      </c>
      <c r="N100">
        <v>0.95851851851851855</v>
      </c>
      <c r="O100">
        <v>20409100.166666668</v>
      </c>
      <c r="P100">
        <v>111844</v>
      </c>
      <c r="Q100">
        <v>2</v>
      </c>
      <c r="R100">
        <v>218</v>
      </c>
      <c r="S100">
        <v>11.282716606498195</v>
      </c>
      <c r="T100">
        <v>0.97111109495162962</v>
      </c>
      <c r="W100">
        <f t="shared" si="4"/>
        <v>110897</v>
      </c>
      <c r="X100">
        <f t="shared" si="5"/>
        <v>0.9651851852734884</v>
      </c>
      <c r="Y100">
        <f t="shared" si="6"/>
        <v>0.97111109495162962</v>
      </c>
      <c r="Z100">
        <f t="shared" si="7"/>
        <v>11.282716606498195</v>
      </c>
    </row>
    <row r="101" spans="1:26" hidden="1" x14ac:dyDescent="0.25">
      <c r="A101" t="s">
        <v>106</v>
      </c>
      <c r="B101">
        <v>3</v>
      </c>
      <c r="C101">
        <v>4</v>
      </c>
      <c r="D101">
        <v>0</v>
      </c>
      <c r="E101" t="s">
        <v>244</v>
      </c>
      <c r="F101">
        <v>59290</v>
      </c>
      <c r="G101">
        <v>54836184</v>
      </c>
      <c r="H101">
        <v>0.95444442828496301</v>
      </c>
      <c r="I101">
        <v>0.94851851851851854</v>
      </c>
      <c r="J101">
        <v>12542784.833333334</v>
      </c>
      <c r="K101">
        <v>111844</v>
      </c>
      <c r="L101">
        <v>2</v>
      </c>
      <c r="M101">
        <v>218</v>
      </c>
      <c r="N101">
        <v>0.95740740740740737</v>
      </c>
      <c r="O101">
        <v>13873041.5</v>
      </c>
      <c r="P101">
        <v>112795</v>
      </c>
      <c r="Q101">
        <v>2</v>
      </c>
      <c r="R101">
        <v>219</v>
      </c>
      <c r="S101">
        <v>11.419857785896014</v>
      </c>
      <c r="T101">
        <v>0.97555555105209346</v>
      </c>
      <c r="W101">
        <f t="shared" si="4"/>
        <v>111844</v>
      </c>
      <c r="X101">
        <f t="shared" si="5"/>
        <v>0.95444442828496301</v>
      </c>
      <c r="Y101">
        <f t="shared" si="6"/>
        <v>0.97555555105209346</v>
      </c>
      <c r="Z101">
        <f t="shared" si="7"/>
        <v>11.419857785896014</v>
      </c>
    </row>
    <row r="102" spans="1:26" hidden="1" x14ac:dyDescent="0.25">
      <c r="A102" t="s">
        <v>106</v>
      </c>
      <c r="B102">
        <v>5</v>
      </c>
      <c r="C102">
        <v>5</v>
      </c>
      <c r="D102">
        <v>0</v>
      </c>
      <c r="E102" t="s">
        <v>258</v>
      </c>
      <c r="F102">
        <v>111961</v>
      </c>
      <c r="G102">
        <v>140118842.75</v>
      </c>
      <c r="H102">
        <v>0.95333333313465118</v>
      </c>
      <c r="I102">
        <v>0.97722222222222221</v>
      </c>
      <c r="J102">
        <v>23794582.25</v>
      </c>
      <c r="K102">
        <v>111844</v>
      </c>
      <c r="L102">
        <v>2</v>
      </c>
      <c r="M102">
        <v>218</v>
      </c>
      <c r="N102">
        <v>0.97722222222222221</v>
      </c>
      <c r="O102">
        <v>25145811.75</v>
      </c>
      <c r="P102">
        <v>112795</v>
      </c>
      <c r="Q102">
        <v>2</v>
      </c>
      <c r="R102">
        <v>219</v>
      </c>
      <c r="S102">
        <v>11.616135017056676</v>
      </c>
      <c r="T102">
        <v>0.95432096719741821</v>
      </c>
      <c r="W102">
        <f t="shared" si="4"/>
        <v>111844</v>
      </c>
      <c r="X102">
        <f t="shared" si="5"/>
        <v>0.95333333313465118</v>
      </c>
      <c r="Y102">
        <f t="shared" si="6"/>
        <v>0.95432096719741821</v>
      </c>
      <c r="Z102">
        <f t="shared" si="7"/>
        <v>11.616135017056676</v>
      </c>
    </row>
    <row r="103" spans="1:26" x14ac:dyDescent="0.25">
      <c r="A103" t="s">
        <v>106</v>
      </c>
      <c r="B103">
        <v>3</v>
      </c>
      <c r="C103">
        <v>2</v>
      </c>
      <c r="D103">
        <v>0</v>
      </c>
      <c r="E103" t="s">
        <v>116</v>
      </c>
      <c r="F103">
        <v>69984</v>
      </c>
      <c r="G103">
        <v>126605027.66666667</v>
      </c>
      <c r="H103">
        <v>0.96555554866790771</v>
      </c>
      <c r="I103">
        <v>0.9655555555555555</v>
      </c>
      <c r="J103">
        <v>24760406.833333332</v>
      </c>
      <c r="K103">
        <v>112795</v>
      </c>
      <c r="L103">
        <v>2</v>
      </c>
      <c r="M103">
        <v>219</v>
      </c>
      <c r="N103">
        <v>0.97185185185185186</v>
      </c>
      <c r="O103">
        <v>23983544</v>
      </c>
      <c r="P103">
        <v>113750</v>
      </c>
      <c r="Q103">
        <v>2</v>
      </c>
      <c r="R103">
        <v>220</v>
      </c>
      <c r="S103">
        <v>11.12914979757085</v>
      </c>
      <c r="T103">
        <v>0.97629629373550419</v>
      </c>
      <c r="W103">
        <f t="shared" si="4"/>
        <v>112795</v>
      </c>
      <c r="X103">
        <f t="shared" si="5"/>
        <v>0.96555554866790771</v>
      </c>
      <c r="Y103">
        <f t="shared" si="6"/>
        <v>0.97629629373550419</v>
      </c>
      <c r="Z103">
        <f t="shared" si="7"/>
        <v>11.12914979757085</v>
      </c>
    </row>
    <row r="104" spans="1:26" hidden="1" x14ac:dyDescent="0.25">
      <c r="A104" t="s">
        <v>106</v>
      </c>
      <c r="B104">
        <v>5</v>
      </c>
      <c r="C104">
        <v>4</v>
      </c>
      <c r="D104">
        <v>0</v>
      </c>
      <c r="E104" t="s">
        <v>292</v>
      </c>
      <c r="F104">
        <v>113525</v>
      </c>
      <c r="G104">
        <v>107368156.5</v>
      </c>
      <c r="H104">
        <v>0.95500001311302185</v>
      </c>
      <c r="I104">
        <v>0.97055555555555562</v>
      </c>
      <c r="J104">
        <v>23854748.25</v>
      </c>
      <c r="K104">
        <v>112795</v>
      </c>
      <c r="L104">
        <v>2</v>
      </c>
      <c r="M104">
        <v>219</v>
      </c>
      <c r="N104">
        <v>0.96722222222222221</v>
      </c>
      <c r="O104">
        <v>23842158</v>
      </c>
      <c r="P104">
        <v>113750</v>
      </c>
      <c r="Q104">
        <v>2</v>
      </c>
      <c r="R104">
        <v>220</v>
      </c>
      <c r="S104">
        <v>11.581497528528711</v>
      </c>
      <c r="T104">
        <v>0.96172839403152466</v>
      </c>
      <c r="W104">
        <f t="shared" si="4"/>
        <v>112795</v>
      </c>
      <c r="X104">
        <f t="shared" si="5"/>
        <v>0.95500001311302185</v>
      </c>
      <c r="Y104">
        <f t="shared" si="6"/>
        <v>0.96172839403152466</v>
      </c>
      <c r="Z104">
        <f t="shared" si="7"/>
        <v>11.581497528528711</v>
      </c>
    </row>
    <row r="105" spans="1:26" hidden="1" x14ac:dyDescent="0.25">
      <c r="A105" t="s">
        <v>106</v>
      </c>
      <c r="B105">
        <v>3</v>
      </c>
      <c r="C105">
        <v>3</v>
      </c>
      <c r="D105">
        <v>0</v>
      </c>
      <c r="E105" t="s">
        <v>252</v>
      </c>
      <c r="F105">
        <v>64042</v>
      </c>
      <c r="G105">
        <v>95378322.5</v>
      </c>
      <c r="H105">
        <v>0.96666665871938073</v>
      </c>
      <c r="I105">
        <v>0.96370370370370373</v>
      </c>
      <c r="J105">
        <v>20690475.833333332</v>
      </c>
      <c r="K105">
        <v>113750</v>
      </c>
      <c r="L105">
        <v>2</v>
      </c>
      <c r="M105">
        <v>220</v>
      </c>
      <c r="N105">
        <v>0.95370370370370372</v>
      </c>
      <c r="O105">
        <v>20921187.666666668</v>
      </c>
      <c r="P105">
        <v>114709</v>
      </c>
      <c r="Q105">
        <v>2</v>
      </c>
      <c r="R105">
        <v>221</v>
      </c>
      <c r="S105">
        <v>11.28191249436175</v>
      </c>
      <c r="T105">
        <v>0.97259258031845097</v>
      </c>
      <c r="W105">
        <f t="shared" si="4"/>
        <v>113750</v>
      </c>
      <c r="X105">
        <f t="shared" si="5"/>
        <v>0.96666665871938073</v>
      </c>
      <c r="Y105">
        <f t="shared" si="6"/>
        <v>0.97259258031845097</v>
      </c>
      <c r="Z105">
        <f t="shared" si="7"/>
        <v>11.28191249436175</v>
      </c>
    </row>
    <row r="106" spans="1:26" hidden="1" x14ac:dyDescent="0.25">
      <c r="A106" t="s">
        <v>106</v>
      </c>
      <c r="B106">
        <v>5</v>
      </c>
      <c r="C106">
        <v>2</v>
      </c>
      <c r="D106">
        <v>0</v>
      </c>
      <c r="E106" t="s">
        <v>254</v>
      </c>
      <c r="F106">
        <v>114443</v>
      </c>
      <c r="G106">
        <v>107969541.5</v>
      </c>
      <c r="H106">
        <v>0.96944443881511688</v>
      </c>
      <c r="I106">
        <v>0.9588888888888889</v>
      </c>
      <c r="J106">
        <v>24342358.75</v>
      </c>
      <c r="K106">
        <v>113750</v>
      </c>
      <c r="L106">
        <v>2</v>
      </c>
      <c r="M106">
        <v>220</v>
      </c>
      <c r="N106">
        <v>0.96499999999999997</v>
      </c>
      <c r="O106">
        <v>20665143</v>
      </c>
      <c r="P106">
        <v>114709</v>
      </c>
      <c r="Q106">
        <v>2</v>
      </c>
      <c r="R106">
        <v>221</v>
      </c>
      <c r="S106">
        <v>11.428743731352759</v>
      </c>
      <c r="T106">
        <v>0.9506172935167948</v>
      </c>
      <c r="W106">
        <f t="shared" si="4"/>
        <v>113750</v>
      </c>
      <c r="X106">
        <f t="shared" si="5"/>
        <v>0.96944443881511688</v>
      </c>
      <c r="Y106">
        <f t="shared" si="6"/>
        <v>0.9506172935167948</v>
      </c>
      <c r="Z106">
        <f t="shared" si="7"/>
        <v>11.428743731352759</v>
      </c>
    </row>
    <row r="107" spans="1:26" x14ac:dyDescent="0.25">
      <c r="A107" t="s">
        <v>106</v>
      </c>
      <c r="B107">
        <v>3</v>
      </c>
      <c r="C107">
        <v>2</v>
      </c>
      <c r="D107">
        <v>0</v>
      </c>
      <c r="E107" t="s">
        <v>117</v>
      </c>
      <c r="F107">
        <v>71170</v>
      </c>
      <c r="G107">
        <v>120958726</v>
      </c>
      <c r="H107">
        <v>0.97185185551643372</v>
      </c>
      <c r="I107">
        <v>0.97074074074074079</v>
      </c>
      <c r="J107">
        <v>23310929</v>
      </c>
      <c r="K107">
        <v>114709</v>
      </c>
      <c r="L107">
        <v>2</v>
      </c>
      <c r="M107">
        <v>221</v>
      </c>
      <c r="N107">
        <v>0.9714814814814815</v>
      </c>
      <c r="O107">
        <v>23442068.333333332</v>
      </c>
      <c r="P107">
        <v>115672</v>
      </c>
      <c r="Q107">
        <v>2</v>
      </c>
      <c r="R107">
        <v>222</v>
      </c>
      <c r="S107">
        <v>11.12819682745225</v>
      </c>
      <c r="T107">
        <v>0.97111109495162962</v>
      </c>
      <c r="W107">
        <f t="shared" si="4"/>
        <v>114709</v>
      </c>
      <c r="X107">
        <f t="shared" si="5"/>
        <v>0.97185185551643372</v>
      </c>
      <c r="Y107">
        <f t="shared" si="6"/>
        <v>0.97111109495162962</v>
      </c>
      <c r="Z107">
        <f t="shared" si="7"/>
        <v>11.12819682745225</v>
      </c>
    </row>
    <row r="108" spans="1:26" hidden="1" x14ac:dyDescent="0.25">
      <c r="A108" t="s">
        <v>106</v>
      </c>
      <c r="B108">
        <v>3</v>
      </c>
      <c r="C108">
        <v>4</v>
      </c>
      <c r="D108">
        <v>0</v>
      </c>
      <c r="E108" t="s">
        <v>245</v>
      </c>
      <c r="F108">
        <v>60772</v>
      </c>
      <c r="G108">
        <v>55934171</v>
      </c>
      <c r="H108">
        <v>0.95888888835906982</v>
      </c>
      <c r="I108">
        <v>0.95222222222222219</v>
      </c>
      <c r="J108">
        <v>13740309.5</v>
      </c>
      <c r="K108">
        <v>114709</v>
      </c>
      <c r="L108">
        <v>2</v>
      </c>
      <c r="M108">
        <v>221</v>
      </c>
      <c r="N108">
        <v>0.9522222222222223</v>
      </c>
      <c r="O108">
        <v>13060008.833333334</v>
      </c>
      <c r="P108">
        <v>115672</v>
      </c>
      <c r="Q108">
        <v>2</v>
      </c>
      <c r="R108">
        <v>222</v>
      </c>
      <c r="S108">
        <v>11.419171829149006</v>
      </c>
      <c r="T108">
        <v>0.97333332300186159</v>
      </c>
      <c r="W108">
        <f t="shared" si="4"/>
        <v>114709</v>
      </c>
      <c r="X108">
        <f t="shared" si="5"/>
        <v>0.95888888835906982</v>
      </c>
      <c r="Y108">
        <f t="shared" si="6"/>
        <v>0.97333332300186159</v>
      </c>
      <c r="Z108">
        <f t="shared" si="7"/>
        <v>11.419171829149006</v>
      </c>
    </row>
    <row r="109" spans="1:26" hidden="1" x14ac:dyDescent="0.25">
      <c r="A109" t="s">
        <v>106</v>
      </c>
      <c r="B109">
        <v>3</v>
      </c>
      <c r="C109">
        <v>3</v>
      </c>
      <c r="D109">
        <v>0</v>
      </c>
      <c r="E109" t="s">
        <v>253</v>
      </c>
      <c r="F109">
        <v>65376</v>
      </c>
      <c r="G109">
        <v>98543844.5</v>
      </c>
      <c r="H109">
        <v>0.95592592159907019</v>
      </c>
      <c r="I109">
        <v>0.96703703703703703</v>
      </c>
      <c r="J109">
        <v>21485800</v>
      </c>
      <c r="K109">
        <v>115672</v>
      </c>
      <c r="L109">
        <v>2</v>
      </c>
      <c r="M109">
        <v>222</v>
      </c>
      <c r="N109">
        <v>0.96148148148148149</v>
      </c>
      <c r="O109">
        <v>21123884.666666668</v>
      </c>
      <c r="P109">
        <v>116639</v>
      </c>
      <c r="Q109">
        <v>2</v>
      </c>
      <c r="R109">
        <v>223</v>
      </c>
      <c r="S109">
        <v>11.281109107303877</v>
      </c>
      <c r="T109">
        <v>0.9703703641891479</v>
      </c>
      <c r="W109">
        <f t="shared" si="4"/>
        <v>115672</v>
      </c>
      <c r="X109">
        <f t="shared" si="5"/>
        <v>0.95592592159907019</v>
      </c>
      <c r="Y109">
        <f t="shared" si="6"/>
        <v>0.9703703641891479</v>
      </c>
      <c r="Z109">
        <f t="shared" si="7"/>
        <v>11.281109107303877</v>
      </c>
    </row>
    <row r="110" spans="1:26" hidden="1" x14ac:dyDescent="0.25">
      <c r="A110" t="s">
        <v>106</v>
      </c>
      <c r="B110">
        <v>9</v>
      </c>
      <c r="C110">
        <v>4</v>
      </c>
      <c r="D110">
        <v>0</v>
      </c>
      <c r="E110" t="s">
        <v>258</v>
      </c>
      <c r="F110">
        <v>116623</v>
      </c>
      <c r="G110">
        <v>252923586.5</v>
      </c>
      <c r="H110">
        <v>0.93166667222976685</v>
      </c>
      <c r="I110">
        <v>0.93944444444444442</v>
      </c>
      <c r="J110">
        <v>23942888.25</v>
      </c>
      <c r="K110">
        <v>115672</v>
      </c>
      <c r="L110">
        <v>2</v>
      </c>
      <c r="M110">
        <v>222</v>
      </c>
      <c r="N110">
        <v>0.95166666666666666</v>
      </c>
      <c r="O110">
        <v>25439221.25</v>
      </c>
      <c r="P110">
        <v>116639</v>
      </c>
      <c r="Q110">
        <v>2</v>
      </c>
      <c r="R110">
        <v>223</v>
      </c>
      <c r="S110">
        <v>12.150361202889624</v>
      </c>
      <c r="T110">
        <v>0.95930000000000004</v>
      </c>
      <c r="W110">
        <f t="shared" si="4"/>
        <v>115672</v>
      </c>
      <c r="X110">
        <f t="shared" si="5"/>
        <v>0.93166667222976685</v>
      </c>
      <c r="Y110">
        <f t="shared" si="6"/>
        <v>0.95930000000000004</v>
      </c>
      <c r="Z110">
        <f t="shared" si="7"/>
        <v>12.150361202889624</v>
      </c>
    </row>
    <row r="111" spans="1:26" x14ac:dyDescent="0.25">
      <c r="A111" t="s">
        <v>106</v>
      </c>
      <c r="B111">
        <v>3</v>
      </c>
      <c r="C111">
        <v>2</v>
      </c>
      <c r="D111">
        <v>0</v>
      </c>
      <c r="E111" t="s">
        <v>118</v>
      </c>
      <c r="F111">
        <v>72356</v>
      </c>
      <c r="G111">
        <v>228195095.63636363</v>
      </c>
      <c r="H111">
        <v>0.97474747354334046</v>
      </c>
      <c r="I111">
        <v>0.96989898989898993</v>
      </c>
      <c r="J111">
        <v>24203307.90909091</v>
      </c>
      <c r="K111">
        <v>116639</v>
      </c>
      <c r="L111">
        <v>2</v>
      </c>
      <c r="M111">
        <v>223</v>
      </c>
      <c r="N111">
        <v>0.97191919191919196</v>
      </c>
      <c r="O111">
        <v>23481315.545454547</v>
      </c>
      <c r="P111">
        <v>117610</v>
      </c>
      <c r="Q111">
        <v>2</v>
      </c>
      <c r="R111">
        <v>224</v>
      </c>
      <c r="S111">
        <v>11.129376566669363</v>
      </c>
      <c r="T111">
        <v>0.97962961792945857</v>
      </c>
      <c r="W111">
        <f t="shared" si="4"/>
        <v>116639</v>
      </c>
      <c r="X111">
        <f t="shared" si="5"/>
        <v>0.97474747354334046</v>
      </c>
      <c r="Y111">
        <f t="shared" si="6"/>
        <v>0.97962961792945857</v>
      </c>
      <c r="Z111">
        <f t="shared" si="7"/>
        <v>11.129376566669363</v>
      </c>
    </row>
    <row r="112" spans="1:26" hidden="1" x14ac:dyDescent="0.25">
      <c r="A112" t="s">
        <v>106</v>
      </c>
      <c r="B112">
        <v>5</v>
      </c>
      <c r="C112">
        <v>3</v>
      </c>
      <c r="D112">
        <v>0</v>
      </c>
      <c r="E112" t="s">
        <v>248</v>
      </c>
      <c r="F112">
        <v>117314</v>
      </c>
      <c r="G112">
        <v>166429839.75</v>
      </c>
      <c r="H112">
        <v>0.95499999821186066</v>
      </c>
      <c r="I112">
        <v>0.95</v>
      </c>
      <c r="J112">
        <v>22122972.5</v>
      </c>
      <c r="K112">
        <v>116639</v>
      </c>
      <c r="L112">
        <v>2</v>
      </c>
      <c r="M112">
        <v>223</v>
      </c>
      <c r="N112">
        <v>0.95555555555555549</v>
      </c>
      <c r="O112">
        <v>23774149.5</v>
      </c>
      <c r="P112">
        <v>117610</v>
      </c>
      <c r="Q112">
        <v>2</v>
      </c>
      <c r="R112">
        <v>224</v>
      </c>
      <c r="S112">
        <v>11.530715130391485</v>
      </c>
      <c r="T112">
        <v>0.98148149251937866</v>
      </c>
      <c r="W112">
        <f t="shared" si="4"/>
        <v>116639</v>
      </c>
      <c r="X112">
        <f t="shared" si="5"/>
        <v>0.95499999821186066</v>
      </c>
      <c r="Y112">
        <f t="shared" si="6"/>
        <v>0.98148149251937866</v>
      </c>
      <c r="Z112">
        <f t="shared" si="7"/>
        <v>11.530715130391485</v>
      </c>
    </row>
    <row r="113" spans="1:26" hidden="1" x14ac:dyDescent="0.25">
      <c r="A113" t="s">
        <v>106</v>
      </c>
      <c r="B113">
        <v>9</v>
      </c>
      <c r="C113">
        <v>2</v>
      </c>
      <c r="D113">
        <v>0</v>
      </c>
      <c r="E113" t="s">
        <v>293</v>
      </c>
      <c r="F113">
        <v>116791</v>
      </c>
      <c r="G113">
        <v>109777643.75</v>
      </c>
      <c r="H113">
        <v>0.95888888835906982</v>
      </c>
      <c r="I113">
        <v>0.97333333333333338</v>
      </c>
      <c r="J113">
        <v>23783233.75</v>
      </c>
      <c r="K113">
        <v>116639</v>
      </c>
      <c r="L113">
        <v>2</v>
      </c>
      <c r="M113">
        <v>223</v>
      </c>
      <c r="N113">
        <v>0.97611111111111115</v>
      </c>
      <c r="O113">
        <v>22580187.75</v>
      </c>
      <c r="P113">
        <v>117610</v>
      </c>
      <c r="Q113">
        <v>2</v>
      </c>
      <c r="R113">
        <v>224</v>
      </c>
      <c r="S113">
        <v>11.715578124088017</v>
      </c>
      <c r="T113">
        <v>0.9592592716217041</v>
      </c>
      <c r="W113">
        <f t="shared" si="4"/>
        <v>116639</v>
      </c>
      <c r="X113">
        <f t="shared" si="5"/>
        <v>0.95888888835906982</v>
      </c>
      <c r="Y113">
        <f t="shared" si="6"/>
        <v>0.9592592716217041</v>
      </c>
      <c r="Z113">
        <f t="shared" si="7"/>
        <v>11.715578124088017</v>
      </c>
    </row>
    <row r="114" spans="1:26" x14ac:dyDescent="0.25">
      <c r="A114" t="s">
        <v>106</v>
      </c>
      <c r="B114">
        <v>3</v>
      </c>
      <c r="C114">
        <v>2</v>
      </c>
      <c r="D114">
        <v>0</v>
      </c>
      <c r="E114" t="s">
        <v>180</v>
      </c>
      <c r="F114">
        <v>72844</v>
      </c>
      <c r="G114">
        <v>213000341.18181819</v>
      </c>
      <c r="H114">
        <v>0.97939393737099389</v>
      </c>
      <c r="I114">
        <v>0.96969696969696972</v>
      </c>
      <c r="J114">
        <v>24823771</v>
      </c>
      <c r="K114">
        <v>117610</v>
      </c>
      <c r="L114">
        <v>2</v>
      </c>
      <c r="M114">
        <v>224</v>
      </c>
      <c r="N114">
        <v>0.96666666666666667</v>
      </c>
      <c r="O114">
        <v>23464642.272727273</v>
      </c>
      <c r="P114">
        <v>118585</v>
      </c>
      <c r="Q114">
        <v>2</v>
      </c>
      <c r="R114">
        <v>225</v>
      </c>
      <c r="S114">
        <v>11.129988689610599</v>
      </c>
      <c r="T114">
        <v>0.97962961792945857</v>
      </c>
      <c r="W114">
        <f t="shared" si="4"/>
        <v>117610</v>
      </c>
      <c r="X114">
        <f t="shared" si="5"/>
        <v>0.97939393737099389</v>
      </c>
      <c r="Y114">
        <f t="shared" si="6"/>
        <v>0.97962961792945857</v>
      </c>
      <c r="Z114">
        <f t="shared" si="7"/>
        <v>11.129988689610599</v>
      </c>
    </row>
    <row r="115" spans="1:26" hidden="1" x14ac:dyDescent="0.25">
      <c r="A115" t="s">
        <v>106</v>
      </c>
      <c r="B115">
        <v>3</v>
      </c>
      <c r="C115">
        <v>3</v>
      </c>
      <c r="D115">
        <v>0</v>
      </c>
      <c r="E115" t="s">
        <v>107</v>
      </c>
      <c r="F115">
        <v>66710</v>
      </c>
      <c r="G115">
        <v>107032262.66666667</v>
      </c>
      <c r="H115">
        <v>0.96037036180496216</v>
      </c>
      <c r="I115">
        <v>0.96444444444444444</v>
      </c>
      <c r="J115">
        <v>20773437.166666668</v>
      </c>
      <c r="K115">
        <v>117610</v>
      </c>
      <c r="L115">
        <v>2</v>
      </c>
      <c r="M115">
        <v>224</v>
      </c>
      <c r="N115">
        <v>0.97037037037037044</v>
      </c>
      <c r="O115">
        <v>21639052</v>
      </c>
      <c r="P115">
        <v>118585</v>
      </c>
      <c r="Q115">
        <v>2</v>
      </c>
      <c r="R115">
        <v>225</v>
      </c>
      <c r="S115">
        <v>11.280156226528467</v>
      </c>
      <c r="T115">
        <v>0.96148148775100706</v>
      </c>
      <c r="W115">
        <f t="shared" si="4"/>
        <v>117610</v>
      </c>
      <c r="X115">
        <f t="shared" si="5"/>
        <v>0.96037036180496216</v>
      </c>
      <c r="Y115">
        <f t="shared" si="6"/>
        <v>0.96148148775100706</v>
      </c>
      <c r="Z115">
        <f t="shared" si="7"/>
        <v>11.280156226528467</v>
      </c>
    </row>
    <row r="116" spans="1:26" hidden="1" x14ac:dyDescent="0.25">
      <c r="A116" t="s">
        <v>106</v>
      </c>
      <c r="B116">
        <v>3</v>
      </c>
      <c r="C116">
        <v>4</v>
      </c>
      <c r="D116">
        <v>0</v>
      </c>
      <c r="E116" t="s">
        <v>246</v>
      </c>
      <c r="F116">
        <v>62254</v>
      </c>
      <c r="G116">
        <v>56595058.5</v>
      </c>
      <c r="H116">
        <v>0.9566666682561239</v>
      </c>
      <c r="I116">
        <v>0.95148148148148148</v>
      </c>
      <c r="J116">
        <v>13756008.166666666</v>
      </c>
      <c r="K116">
        <v>117610</v>
      </c>
      <c r="L116">
        <v>2</v>
      </c>
      <c r="M116">
        <v>224</v>
      </c>
      <c r="N116">
        <v>0.95333333333333337</v>
      </c>
      <c r="O116">
        <v>12538308.833333334</v>
      </c>
      <c r="P116">
        <v>118585</v>
      </c>
      <c r="Q116">
        <v>2</v>
      </c>
      <c r="R116">
        <v>225</v>
      </c>
      <c r="S116">
        <v>11.418356039371618</v>
      </c>
      <c r="T116">
        <v>0.98222223520278928</v>
      </c>
      <c r="W116">
        <f t="shared" si="4"/>
        <v>117610</v>
      </c>
      <c r="X116">
        <f t="shared" si="5"/>
        <v>0.9566666682561239</v>
      </c>
      <c r="Y116">
        <f t="shared" si="6"/>
        <v>0.98222223520278928</v>
      </c>
      <c r="Z116">
        <f t="shared" si="7"/>
        <v>11.418356039371618</v>
      </c>
    </row>
    <row r="117" spans="1:26" x14ac:dyDescent="0.25">
      <c r="A117" t="s">
        <v>106</v>
      </c>
      <c r="B117">
        <v>3</v>
      </c>
      <c r="C117">
        <v>2</v>
      </c>
      <c r="D117">
        <v>0</v>
      </c>
      <c r="E117" t="s">
        <v>119</v>
      </c>
      <c r="F117">
        <v>73542</v>
      </c>
      <c r="G117">
        <v>241049471</v>
      </c>
      <c r="H117">
        <v>0.97222221891085303</v>
      </c>
      <c r="I117">
        <v>0.95740740740740737</v>
      </c>
      <c r="J117">
        <v>22984288</v>
      </c>
      <c r="K117">
        <v>118585</v>
      </c>
      <c r="L117">
        <v>2</v>
      </c>
      <c r="M117">
        <v>225</v>
      </c>
      <c r="N117">
        <v>0.9622222222222222</v>
      </c>
      <c r="O117">
        <v>23047206.833333332</v>
      </c>
      <c r="P117">
        <v>119564</v>
      </c>
      <c r="Q117">
        <v>2</v>
      </c>
      <c r="R117">
        <v>226</v>
      </c>
      <c r="S117">
        <v>11.130652454780362</v>
      </c>
      <c r="T117">
        <v>0.98074074983596804</v>
      </c>
      <c r="W117">
        <f t="shared" si="4"/>
        <v>118585</v>
      </c>
      <c r="X117">
        <f t="shared" si="5"/>
        <v>0.97222221891085303</v>
      </c>
      <c r="Y117">
        <f t="shared" si="6"/>
        <v>0.98074074983596804</v>
      </c>
      <c r="Z117">
        <f t="shared" si="7"/>
        <v>11.130652454780362</v>
      </c>
    </row>
    <row r="118" spans="1:26" hidden="1" x14ac:dyDescent="0.25">
      <c r="A118" t="s">
        <v>106</v>
      </c>
      <c r="B118">
        <v>9</v>
      </c>
      <c r="C118">
        <v>3</v>
      </c>
      <c r="D118">
        <v>0</v>
      </c>
      <c r="E118" t="s">
        <v>292</v>
      </c>
      <c r="F118">
        <v>118927</v>
      </c>
      <c r="G118">
        <v>135821704.75</v>
      </c>
      <c r="H118">
        <v>0.95777776837348938</v>
      </c>
      <c r="I118">
        <v>0.9572222222222222</v>
      </c>
      <c r="J118">
        <v>22880035.5</v>
      </c>
      <c r="K118">
        <v>118585</v>
      </c>
      <c r="L118">
        <v>2</v>
      </c>
      <c r="M118">
        <v>225</v>
      </c>
      <c r="N118">
        <v>0.96277777777777773</v>
      </c>
      <c r="O118">
        <v>25613072.5</v>
      </c>
      <c r="P118">
        <v>119564</v>
      </c>
      <c r="Q118">
        <v>2</v>
      </c>
      <c r="R118">
        <v>226</v>
      </c>
      <c r="S118">
        <v>11.922014668805868</v>
      </c>
      <c r="T118">
        <v>0.96419751644134521</v>
      </c>
      <c r="W118">
        <f t="shared" si="4"/>
        <v>118585</v>
      </c>
      <c r="X118">
        <f t="shared" si="5"/>
        <v>0.95777776837348938</v>
      </c>
      <c r="Y118">
        <f t="shared" si="6"/>
        <v>0.96419751644134521</v>
      </c>
      <c r="Z118">
        <f t="shared" si="7"/>
        <v>11.922014668805868</v>
      </c>
    </row>
    <row r="119" spans="1:26" x14ac:dyDescent="0.25">
      <c r="A119" t="s">
        <v>106</v>
      </c>
      <c r="B119">
        <v>3</v>
      </c>
      <c r="C119">
        <v>2</v>
      </c>
      <c r="D119">
        <v>0</v>
      </c>
      <c r="E119" t="s">
        <v>181</v>
      </c>
      <c r="F119">
        <v>74062</v>
      </c>
      <c r="G119">
        <v>236136446.27272728</v>
      </c>
      <c r="H119">
        <v>0.97656564820896496</v>
      </c>
      <c r="I119">
        <v>0.97070707070707074</v>
      </c>
      <c r="J119">
        <v>23774726.181818184</v>
      </c>
      <c r="K119">
        <v>119564</v>
      </c>
      <c r="L119">
        <v>2</v>
      </c>
      <c r="M119">
        <v>226</v>
      </c>
      <c r="N119">
        <v>0.96868686868686871</v>
      </c>
      <c r="O119">
        <v>24429912.90909091</v>
      </c>
      <c r="P119">
        <v>120547</v>
      </c>
      <c r="Q119">
        <v>2</v>
      </c>
      <c r="R119">
        <v>227</v>
      </c>
      <c r="S119">
        <v>11.132876159741832</v>
      </c>
      <c r="T119">
        <v>0.97888889312744143</v>
      </c>
      <c r="W119">
        <f t="shared" si="4"/>
        <v>119564</v>
      </c>
      <c r="X119">
        <f t="shared" si="5"/>
        <v>0.97656564820896496</v>
      </c>
      <c r="Y119">
        <f t="shared" si="6"/>
        <v>0.97888889312744143</v>
      </c>
      <c r="Z119">
        <f t="shared" si="7"/>
        <v>11.132876159741832</v>
      </c>
    </row>
    <row r="120" spans="1:26" hidden="1" x14ac:dyDescent="0.25">
      <c r="A120" t="s">
        <v>106</v>
      </c>
      <c r="B120">
        <v>5</v>
      </c>
      <c r="C120">
        <v>2</v>
      </c>
      <c r="D120">
        <v>0</v>
      </c>
      <c r="E120" t="s">
        <v>111</v>
      </c>
      <c r="F120">
        <v>119998</v>
      </c>
      <c r="G120">
        <v>101696669</v>
      </c>
      <c r="H120">
        <v>0.96777775883674622</v>
      </c>
      <c r="I120">
        <v>0.95611111111111113</v>
      </c>
      <c r="J120">
        <v>22270972.75</v>
      </c>
      <c r="K120">
        <v>119564</v>
      </c>
      <c r="L120">
        <v>2</v>
      </c>
      <c r="M120">
        <v>226</v>
      </c>
      <c r="N120">
        <v>0.96333333333333337</v>
      </c>
      <c r="O120">
        <v>22877464.75</v>
      </c>
      <c r="P120">
        <v>120547</v>
      </c>
      <c r="Q120">
        <v>2</v>
      </c>
      <c r="R120">
        <v>227</v>
      </c>
      <c r="S120">
        <v>11.428063717712762</v>
      </c>
      <c r="T120">
        <v>0.94444443782170617</v>
      </c>
      <c r="W120">
        <f t="shared" si="4"/>
        <v>119564</v>
      </c>
      <c r="X120">
        <f t="shared" si="5"/>
        <v>0.96777775883674622</v>
      </c>
      <c r="Y120">
        <f t="shared" si="6"/>
        <v>0.94444443782170617</v>
      </c>
      <c r="Z120">
        <f t="shared" si="7"/>
        <v>11.428063717712762</v>
      </c>
    </row>
    <row r="121" spans="1:26" hidden="1" x14ac:dyDescent="0.25">
      <c r="A121" t="s">
        <v>106</v>
      </c>
      <c r="B121">
        <v>9</v>
      </c>
      <c r="C121">
        <v>5</v>
      </c>
      <c r="D121">
        <v>0</v>
      </c>
      <c r="E121" t="s">
        <v>128</v>
      </c>
      <c r="F121">
        <v>120244</v>
      </c>
      <c r="G121">
        <v>217111264.25</v>
      </c>
      <c r="H121">
        <v>0.91388890147209167</v>
      </c>
      <c r="I121">
        <v>0.96444444444444444</v>
      </c>
      <c r="J121">
        <v>29861520.75</v>
      </c>
      <c r="K121">
        <v>119564</v>
      </c>
      <c r="L121">
        <v>2</v>
      </c>
      <c r="M121">
        <v>226</v>
      </c>
      <c r="N121">
        <v>0.95277777777777783</v>
      </c>
      <c r="O121">
        <v>29751556.5</v>
      </c>
      <c r="P121">
        <v>120547</v>
      </c>
      <c r="Q121">
        <v>2</v>
      </c>
      <c r="R121">
        <v>227</v>
      </c>
      <c r="S121">
        <v>12.181808183018038</v>
      </c>
      <c r="T121">
        <v>0.92959999999999998</v>
      </c>
      <c r="W121">
        <f t="shared" si="4"/>
        <v>119564</v>
      </c>
      <c r="X121">
        <f t="shared" si="5"/>
        <v>0.91388890147209167</v>
      </c>
      <c r="Y121">
        <f t="shared" si="6"/>
        <v>0.92959999999999998</v>
      </c>
      <c r="Z121">
        <f t="shared" si="7"/>
        <v>12.181808183018038</v>
      </c>
    </row>
    <row r="122" spans="1:26" x14ac:dyDescent="0.25">
      <c r="A122" t="s">
        <v>106</v>
      </c>
      <c r="B122">
        <v>3</v>
      </c>
      <c r="C122">
        <v>2</v>
      </c>
      <c r="D122">
        <v>0</v>
      </c>
      <c r="E122" t="s">
        <v>120</v>
      </c>
      <c r="F122">
        <v>74728</v>
      </c>
      <c r="G122">
        <v>269659825.33333331</v>
      </c>
      <c r="H122">
        <v>0.96555554866790771</v>
      </c>
      <c r="I122">
        <v>0.96666666666666667</v>
      </c>
      <c r="J122">
        <v>23882453.333333332</v>
      </c>
      <c r="K122">
        <v>120547</v>
      </c>
      <c r="L122">
        <v>2</v>
      </c>
      <c r="M122">
        <v>227</v>
      </c>
      <c r="N122">
        <v>0.95518518518518514</v>
      </c>
      <c r="O122">
        <v>23045597.333333332</v>
      </c>
      <c r="P122">
        <v>121534</v>
      </c>
      <c r="Q122">
        <v>2</v>
      </c>
      <c r="R122">
        <v>228</v>
      </c>
      <c r="S122">
        <v>11.134585920490283</v>
      </c>
      <c r="T122">
        <v>0.98148149251937866</v>
      </c>
      <c r="W122">
        <f t="shared" si="4"/>
        <v>120547</v>
      </c>
      <c r="X122">
        <f t="shared" si="5"/>
        <v>0.96555554866790771</v>
      </c>
      <c r="Y122">
        <f t="shared" si="6"/>
        <v>0.98148149251937866</v>
      </c>
      <c r="Z122">
        <f t="shared" si="7"/>
        <v>11.134585920490283</v>
      </c>
    </row>
    <row r="123" spans="1:26" hidden="1" x14ac:dyDescent="0.25">
      <c r="A123" t="s">
        <v>106</v>
      </c>
      <c r="B123">
        <v>3</v>
      </c>
      <c r="C123">
        <v>3</v>
      </c>
      <c r="D123">
        <v>0</v>
      </c>
      <c r="E123" t="s">
        <v>108</v>
      </c>
      <c r="F123">
        <v>68044</v>
      </c>
      <c r="G123">
        <v>97930614.666666672</v>
      </c>
      <c r="H123">
        <v>0.9588888784249624</v>
      </c>
      <c r="I123">
        <v>0.95703703703703713</v>
      </c>
      <c r="J123">
        <v>18572332.5</v>
      </c>
      <c r="K123">
        <v>120547</v>
      </c>
      <c r="L123">
        <v>2</v>
      </c>
      <c r="M123">
        <v>227</v>
      </c>
      <c r="N123">
        <v>0.96111111111111103</v>
      </c>
      <c r="O123">
        <v>21813492.5</v>
      </c>
      <c r="P123">
        <v>121534</v>
      </c>
      <c r="Q123">
        <v>2</v>
      </c>
      <c r="R123">
        <v>228</v>
      </c>
      <c r="S123">
        <v>11.279054054054054</v>
      </c>
      <c r="T123">
        <v>0.96888887882232666</v>
      </c>
      <c r="W123">
        <f t="shared" si="4"/>
        <v>120547</v>
      </c>
      <c r="X123">
        <f t="shared" si="5"/>
        <v>0.9588888784249624</v>
      </c>
      <c r="Y123">
        <f t="shared" si="6"/>
        <v>0.96888887882232666</v>
      </c>
      <c r="Z123">
        <f t="shared" si="7"/>
        <v>11.279054054054054</v>
      </c>
    </row>
    <row r="124" spans="1:26" hidden="1" x14ac:dyDescent="0.25">
      <c r="A124" t="s">
        <v>106</v>
      </c>
      <c r="B124">
        <v>3</v>
      </c>
      <c r="C124">
        <v>4</v>
      </c>
      <c r="D124">
        <v>0</v>
      </c>
      <c r="E124" t="s">
        <v>247</v>
      </c>
      <c r="F124">
        <v>63736</v>
      </c>
      <c r="G124">
        <v>55844337.666666664</v>
      </c>
      <c r="H124">
        <v>0.95740740497907006</v>
      </c>
      <c r="I124">
        <v>0.95481481481481478</v>
      </c>
      <c r="J124">
        <v>13764983.166666666</v>
      </c>
      <c r="K124">
        <v>120547</v>
      </c>
      <c r="L124">
        <v>2</v>
      </c>
      <c r="M124">
        <v>227</v>
      </c>
      <c r="N124">
        <v>0.95074074074074078</v>
      </c>
      <c r="O124">
        <v>14350911.333333334</v>
      </c>
      <c r="P124">
        <v>121534</v>
      </c>
      <c r="Q124">
        <v>2</v>
      </c>
      <c r="R124">
        <v>228</v>
      </c>
      <c r="S124">
        <v>11.417866684042483</v>
      </c>
      <c r="T124">
        <v>0.98074073791503902</v>
      </c>
      <c r="W124">
        <f t="shared" si="4"/>
        <v>120547</v>
      </c>
      <c r="X124">
        <f t="shared" si="5"/>
        <v>0.95740740497907006</v>
      </c>
      <c r="Y124">
        <f t="shared" si="6"/>
        <v>0.98074073791503902</v>
      </c>
      <c r="Z124">
        <f t="shared" si="7"/>
        <v>11.417866684042483</v>
      </c>
    </row>
    <row r="125" spans="1:26" hidden="1" x14ac:dyDescent="0.25">
      <c r="A125" t="s">
        <v>106</v>
      </c>
      <c r="B125">
        <v>5</v>
      </c>
      <c r="C125">
        <v>4</v>
      </c>
      <c r="D125">
        <v>0</v>
      </c>
      <c r="E125" t="s">
        <v>243</v>
      </c>
      <c r="F125">
        <v>121300</v>
      </c>
      <c r="G125">
        <v>135962524.75</v>
      </c>
      <c r="H125">
        <v>0.95722223818302155</v>
      </c>
      <c r="I125">
        <v>0.96722222222222221</v>
      </c>
      <c r="J125">
        <v>24740033.5</v>
      </c>
      <c r="K125">
        <v>120547</v>
      </c>
      <c r="L125">
        <v>2</v>
      </c>
      <c r="M125">
        <v>227</v>
      </c>
      <c r="N125">
        <v>0.96666666666666667</v>
      </c>
      <c r="O125">
        <v>24111265</v>
      </c>
      <c r="P125">
        <v>121534</v>
      </c>
      <c r="Q125">
        <v>2</v>
      </c>
      <c r="R125">
        <v>228</v>
      </c>
      <c r="S125">
        <v>11.581355621987676</v>
      </c>
      <c r="T125">
        <v>0.97037037213643396</v>
      </c>
      <c r="W125">
        <f t="shared" si="4"/>
        <v>120547</v>
      </c>
      <c r="X125">
        <f t="shared" si="5"/>
        <v>0.95722223818302155</v>
      </c>
      <c r="Y125">
        <f t="shared" si="6"/>
        <v>0.97037037213643396</v>
      </c>
      <c r="Z125">
        <f t="shared" si="7"/>
        <v>11.581355621987676</v>
      </c>
    </row>
    <row r="126" spans="1:26" hidden="1" x14ac:dyDescent="0.25">
      <c r="A126" t="s">
        <v>106</v>
      </c>
      <c r="B126">
        <v>5</v>
      </c>
      <c r="C126">
        <v>5</v>
      </c>
      <c r="D126">
        <v>0</v>
      </c>
      <c r="E126" t="s">
        <v>192</v>
      </c>
      <c r="F126">
        <v>120846</v>
      </c>
      <c r="G126">
        <v>173161402.5</v>
      </c>
      <c r="H126">
        <v>0.95722220838069916</v>
      </c>
      <c r="I126">
        <v>0.97833333333333328</v>
      </c>
      <c r="J126">
        <v>23902085.5</v>
      </c>
      <c r="K126">
        <v>120547</v>
      </c>
      <c r="L126">
        <v>2</v>
      </c>
      <c r="M126">
        <v>227</v>
      </c>
      <c r="N126">
        <v>0.97888888888888892</v>
      </c>
      <c r="O126">
        <v>25361181</v>
      </c>
      <c r="P126">
        <v>121534</v>
      </c>
      <c r="Q126">
        <v>2</v>
      </c>
      <c r="R126">
        <v>228</v>
      </c>
      <c r="S126">
        <v>11.616107221923054</v>
      </c>
      <c r="T126">
        <v>0.95308641592661536</v>
      </c>
      <c r="W126">
        <f t="shared" si="4"/>
        <v>120547</v>
      </c>
      <c r="X126">
        <f t="shared" si="5"/>
        <v>0.95722220838069916</v>
      </c>
      <c r="Y126">
        <f t="shared" si="6"/>
        <v>0.95308641592661536</v>
      </c>
      <c r="Z126">
        <f t="shared" si="7"/>
        <v>11.616107221923054</v>
      </c>
    </row>
    <row r="127" spans="1:26" x14ac:dyDescent="0.25">
      <c r="A127" t="s">
        <v>106</v>
      </c>
      <c r="B127">
        <v>3</v>
      </c>
      <c r="C127">
        <v>2</v>
      </c>
      <c r="D127">
        <v>0</v>
      </c>
      <c r="E127" t="s">
        <v>182</v>
      </c>
      <c r="F127">
        <v>75280</v>
      </c>
      <c r="G127">
        <v>232480170.90909091</v>
      </c>
      <c r="H127">
        <v>0.97555553913116455</v>
      </c>
      <c r="I127">
        <v>0.97010101010101013</v>
      </c>
      <c r="J127">
        <v>23334118.727272727</v>
      </c>
      <c r="K127">
        <v>121534</v>
      </c>
      <c r="L127">
        <v>2</v>
      </c>
      <c r="M127">
        <v>228</v>
      </c>
      <c r="N127">
        <v>0.96929292929292932</v>
      </c>
      <c r="O127">
        <v>23347804.181818184</v>
      </c>
      <c r="P127">
        <v>122525</v>
      </c>
      <c r="Q127">
        <v>2</v>
      </c>
      <c r="R127">
        <v>229</v>
      </c>
      <c r="S127">
        <v>11.135352884305512</v>
      </c>
      <c r="T127">
        <v>0.98259258270263672</v>
      </c>
      <c r="W127">
        <f t="shared" si="4"/>
        <v>121534</v>
      </c>
      <c r="X127">
        <f t="shared" si="5"/>
        <v>0.97555553913116455</v>
      </c>
      <c r="Y127">
        <f t="shared" si="6"/>
        <v>0.98259258270263672</v>
      </c>
      <c r="Z127">
        <f t="shared" si="7"/>
        <v>11.135352884305512</v>
      </c>
    </row>
    <row r="128" spans="1:26" x14ac:dyDescent="0.25">
      <c r="A128" t="s">
        <v>106</v>
      </c>
      <c r="B128">
        <v>3</v>
      </c>
      <c r="C128">
        <v>2</v>
      </c>
      <c r="D128">
        <v>0</v>
      </c>
      <c r="E128" t="s">
        <v>121</v>
      </c>
      <c r="F128">
        <v>75914</v>
      </c>
      <c r="G128">
        <v>300817589.54545456</v>
      </c>
      <c r="H128">
        <v>0.97434342991222034</v>
      </c>
      <c r="I128">
        <v>0.9622222222222222</v>
      </c>
      <c r="J128">
        <v>24121759.363636363</v>
      </c>
      <c r="K128">
        <v>122525</v>
      </c>
      <c r="L128">
        <v>2</v>
      </c>
      <c r="M128">
        <v>229</v>
      </c>
      <c r="N128">
        <v>0.96444444444444444</v>
      </c>
      <c r="O128">
        <v>23641170.181818184</v>
      </c>
      <c r="P128">
        <v>123520</v>
      </c>
      <c r="Q128">
        <v>2</v>
      </c>
      <c r="R128">
        <v>230</v>
      </c>
      <c r="S128">
        <v>11.138211382113822</v>
      </c>
      <c r="T128">
        <v>0.98222222328186037</v>
      </c>
      <c r="W128">
        <f t="shared" si="4"/>
        <v>122525</v>
      </c>
      <c r="X128">
        <f t="shared" si="5"/>
        <v>0.97434342991222034</v>
      </c>
      <c r="Y128">
        <f t="shared" si="6"/>
        <v>0.98222222328186037</v>
      </c>
      <c r="Z128">
        <f t="shared" si="7"/>
        <v>11.138211382113822</v>
      </c>
    </row>
    <row r="129" spans="1:26" hidden="1" x14ac:dyDescent="0.25">
      <c r="A129" t="s">
        <v>106</v>
      </c>
      <c r="B129">
        <v>3</v>
      </c>
      <c r="C129">
        <v>3</v>
      </c>
      <c r="D129">
        <v>0</v>
      </c>
      <c r="E129" t="s">
        <v>109</v>
      </c>
      <c r="F129">
        <v>69378</v>
      </c>
      <c r="G129">
        <v>103424576.83333333</v>
      </c>
      <c r="H129">
        <v>0.95851850509643555</v>
      </c>
      <c r="I129">
        <v>0.96518518518518515</v>
      </c>
      <c r="J129">
        <v>20965258.333333332</v>
      </c>
      <c r="K129">
        <v>122525</v>
      </c>
      <c r="L129">
        <v>2</v>
      </c>
      <c r="M129">
        <v>229</v>
      </c>
      <c r="N129">
        <v>0.96592592592592597</v>
      </c>
      <c r="O129">
        <v>21995897.833333332</v>
      </c>
      <c r="P129">
        <v>123520</v>
      </c>
      <c r="Q129">
        <v>2</v>
      </c>
      <c r="R129">
        <v>230</v>
      </c>
      <c r="S129">
        <v>11.278253039171544</v>
      </c>
      <c r="T129">
        <v>0.9666666626930237</v>
      </c>
      <c r="W129">
        <f t="shared" si="4"/>
        <v>122525</v>
      </c>
      <c r="X129">
        <f t="shared" si="5"/>
        <v>0.95851850509643555</v>
      </c>
      <c r="Y129">
        <f t="shared" si="6"/>
        <v>0.9666666626930237</v>
      </c>
      <c r="Z129">
        <f t="shared" si="7"/>
        <v>11.278253039171544</v>
      </c>
    </row>
    <row r="130" spans="1:26" x14ac:dyDescent="0.25">
      <c r="A130" t="s">
        <v>106</v>
      </c>
      <c r="B130">
        <v>3</v>
      </c>
      <c r="C130">
        <v>2</v>
      </c>
      <c r="D130">
        <v>0</v>
      </c>
      <c r="E130" t="s">
        <v>183</v>
      </c>
      <c r="F130">
        <v>76498</v>
      </c>
      <c r="G130">
        <v>224785749.54545453</v>
      </c>
      <c r="H130">
        <v>0.97555556080558081</v>
      </c>
      <c r="I130">
        <v>0.96969696969696972</v>
      </c>
      <c r="J130">
        <v>24167206.363636363</v>
      </c>
      <c r="K130">
        <v>123520</v>
      </c>
      <c r="L130">
        <v>2</v>
      </c>
      <c r="M130">
        <v>230</v>
      </c>
      <c r="N130">
        <v>0.96969696969696972</v>
      </c>
      <c r="O130">
        <v>23902142</v>
      </c>
      <c r="P130">
        <v>124519</v>
      </c>
      <c r="Q130">
        <v>2</v>
      </c>
      <c r="R130">
        <v>231</v>
      </c>
      <c r="S130">
        <v>11.138652082998231</v>
      </c>
      <c r="T130">
        <v>0.97629629373550419</v>
      </c>
      <c r="W130">
        <f t="shared" si="4"/>
        <v>123520</v>
      </c>
      <c r="X130">
        <f t="shared" si="5"/>
        <v>0.97555556080558081</v>
      </c>
      <c r="Y130">
        <f t="shared" si="6"/>
        <v>0.97629629373550419</v>
      </c>
      <c r="Z130">
        <f t="shared" si="7"/>
        <v>11.138652082998231</v>
      </c>
    </row>
    <row r="131" spans="1:26" hidden="1" x14ac:dyDescent="0.25">
      <c r="A131" t="s">
        <v>106</v>
      </c>
      <c r="B131">
        <v>3</v>
      </c>
      <c r="C131">
        <v>4</v>
      </c>
      <c r="D131">
        <v>0</v>
      </c>
      <c r="E131" t="s">
        <v>248</v>
      </c>
      <c r="F131">
        <v>65218</v>
      </c>
      <c r="G131">
        <v>54510378</v>
      </c>
      <c r="H131">
        <v>0.95407407482465112</v>
      </c>
      <c r="I131">
        <v>0.95185185185185184</v>
      </c>
      <c r="J131">
        <v>12943079.5</v>
      </c>
      <c r="K131">
        <v>123520</v>
      </c>
      <c r="L131">
        <v>2</v>
      </c>
      <c r="M131">
        <v>230</v>
      </c>
      <c r="N131">
        <v>0.95592592592592596</v>
      </c>
      <c r="O131">
        <v>14389901</v>
      </c>
      <c r="P131">
        <v>124519</v>
      </c>
      <c r="Q131">
        <v>2</v>
      </c>
      <c r="R131">
        <v>231</v>
      </c>
      <c r="S131">
        <v>11.417117175796262</v>
      </c>
      <c r="T131">
        <v>0.987407386302948</v>
      </c>
      <c r="W131">
        <f t="shared" ref="W131:W194" si="8">K131</f>
        <v>123520</v>
      </c>
      <c r="X131">
        <f t="shared" ref="X131:X194" si="9">H131</f>
        <v>0.95407407482465112</v>
      </c>
      <c r="Y131">
        <f t="shared" ref="Y131:Y194" si="10">T131</f>
        <v>0.987407386302948</v>
      </c>
      <c r="Z131">
        <f t="shared" ref="Z131:Z194" si="11">S131</f>
        <v>11.417117175796262</v>
      </c>
    </row>
    <row r="132" spans="1:26" hidden="1" x14ac:dyDescent="0.25">
      <c r="A132" t="s">
        <v>106</v>
      </c>
      <c r="B132">
        <v>5</v>
      </c>
      <c r="C132">
        <v>3</v>
      </c>
      <c r="D132">
        <v>0</v>
      </c>
      <c r="E132" t="s">
        <v>294</v>
      </c>
      <c r="F132">
        <v>123979</v>
      </c>
      <c r="G132">
        <v>176799529.5</v>
      </c>
      <c r="H132">
        <v>0.95666666328907013</v>
      </c>
      <c r="I132">
        <v>0.94944444444444442</v>
      </c>
      <c r="J132">
        <v>24282609.5</v>
      </c>
      <c r="K132">
        <v>123520</v>
      </c>
      <c r="L132">
        <v>2</v>
      </c>
      <c r="M132">
        <v>230</v>
      </c>
      <c r="N132">
        <v>0.95277777777777772</v>
      </c>
      <c r="O132">
        <v>26079044.25</v>
      </c>
      <c r="P132">
        <v>124519</v>
      </c>
      <c r="Q132">
        <v>2</v>
      </c>
      <c r="R132">
        <v>231</v>
      </c>
      <c r="S132">
        <v>11.530645261651422</v>
      </c>
      <c r="T132">
        <v>0.98518520593643188</v>
      </c>
      <c r="W132">
        <f t="shared" si="8"/>
        <v>123520</v>
      </c>
      <c r="X132">
        <f t="shared" si="9"/>
        <v>0.95666666328907013</v>
      </c>
      <c r="Y132">
        <f t="shared" si="10"/>
        <v>0.98518520593643188</v>
      </c>
      <c r="Z132">
        <f t="shared" si="11"/>
        <v>11.530645261651422</v>
      </c>
    </row>
    <row r="133" spans="1:26" hidden="1" x14ac:dyDescent="0.25">
      <c r="A133" t="s">
        <v>106</v>
      </c>
      <c r="B133">
        <v>9</v>
      </c>
      <c r="C133">
        <v>2</v>
      </c>
      <c r="D133">
        <v>0</v>
      </c>
      <c r="E133" t="s">
        <v>248</v>
      </c>
      <c r="F133">
        <v>123826</v>
      </c>
      <c r="G133">
        <v>108172579.75</v>
      </c>
      <c r="H133">
        <v>0.96111111342906952</v>
      </c>
      <c r="I133">
        <v>0.97500000000000009</v>
      </c>
      <c r="J133">
        <v>24648501.25</v>
      </c>
      <c r="K133">
        <v>123520</v>
      </c>
      <c r="L133">
        <v>2</v>
      </c>
      <c r="M133">
        <v>230</v>
      </c>
      <c r="N133">
        <v>0.97499999999999998</v>
      </c>
      <c r="O133">
        <v>24024130.75</v>
      </c>
      <c r="P133">
        <v>124519</v>
      </c>
      <c r="Q133">
        <v>2</v>
      </c>
      <c r="R133">
        <v>231</v>
      </c>
      <c r="S133">
        <v>11.714944272626481</v>
      </c>
      <c r="T133">
        <v>0.96172839403152466</v>
      </c>
      <c r="W133">
        <f t="shared" si="8"/>
        <v>123520</v>
      </c>
      <c r="X133">
        <f t="shared" si="9"/>
        <v>0.96111111342906952</v>
      </c>
      <c r="Y133">
        <f t="shared" si="10"/>
        <v>0.96172839403152466</v>
      </c>
      <c r="Z133">
        <f t="shared" si="11"/>
        <v>11.714944272626481</v>
      </c>
    </row>
    <row r="134" spans="1:26" x14ac:dyDescent="0.25">
      <c r="A134" t="s">
        <v>106</v>
      </c>
      <c r="B134">
        <v>3</v>
      </c>
      <c r="C134">
        <v>2</v>
      </c>
      <c r="D134">
        <v>0</v>
      </c>
      <c r="E134" t="s">
        <v>122</v>
      </c>
      <c r="F134">
        <v>77100</v>
      </c>
      <c r="G134">
        <v>285248354.63636363</v>
      </c>
      <c r="H134">
        <v>0.97090909697792749</v>
      </c>
      <c r="I134">
        <v>0.96323232323232322</v>
      </c>
      <c r="J134">
        <v>24656815.90909091</v>
      </c>
      <c r="K134">
        <v>124519</v>
      </c>
      <c r="L134">
        <v>2</v>
      </c>
      <c r="M134">
        <v>231</v>
      </c>
      <c r="N134">
        <v>0.96686868686868688</v>
      </c>
      <c r="O134">
        <v>23998332.818181816</v>
      </c>
      <c r="P134">
        <v>125522</v>
      </c>
      <c r="Q134">
        <v>2</v>
      </c>
      <c r="R134">
        <v>232</v>
      </c>
      <c r="S134">
        <v>11.140297308155885</v>
      </c>
      <c r="T134">
        <v>0.97222221493721006</v>
      </c>
      <c r="W134">
        <f t="shared" si="8"/>
        <v>124519</v>
      </c>
      <c r="X134">
        <f t="shared" si="9"/>
        <v>0.97090909697792749</v>
      </c>
      <c r="Y134">
        <f t="shared" si="10"/>
        <v>0.97222221493721006</v>
      </c>
      <c r="Z134">
        <f t="shared" si="11"/>
        <v>11.140297308155885</v>
      </c>
    </row>
    <row r="135" spans="1:26" x14ac:dyDescent="0.25">
      <c r="A135" t="s">
        <v>106</v>
      </c>
      <c r="B135">
        <v>3</v>
      </c>
      <c r="C135">
        <v>2</v>
      </c>
      <c r="D135">
        <v>0</v>
      </c>
      <c r="E135" t="s">
        <v>153</v>
      </c>
      <c r="F135">
        <v>77910</v>
      </c>
      <c r="G135">
        <v>246446815.4375</v>
      </c>
      <c r="H135">
        <v>0.97999999672174454</v>
      </c>
      <c r="I135">
        <v>0.97277777777777774</v>
      </c>
      <c r="J135">
        <v>21437966.1875</v>
      </c>
      <c r="K135">
        <v>125522</v>
      </c>
      <c r="L135">
        <v>2</v>
      </c>
      <c r="M135">
        <v>232</v>
      </c>
      <c r="N135">
        <v>0.9752777777777778</v>
      </c>
      <c r="O135">
        <v>22077212.625</v>
      </c>
      <c r="P135">
        <v>126529</v>
      </c>
      <c r="Q135">
        <v>2</v>
      </c>
      <c r="R135">
        <v>233</v>
      </c>
      <c r="S135">
        <v>11.144691437284328</v>
      </c>
      <c r="T135">
        <v>0.98271605173746746</v>
      </c>
      <c r="W135">
        <f t="shared" si="8"/>
        <v>125522</v>
      </c>
      <c r="X135">
        <f t="shared" si="9"/>
        <v>0.97999999672174454</v>
      </c>
      <c r="Y135">
        <f t="shared" si="10"/>
        <v>0.98271605173746746</v>
      </c>
      <c r="Z135">
        <f t="shared" si="11"/>
        <v>11.144691437284328</v>
      </c>
    </row>
    <row r="136" spans="1:26" hidden="1" x14ac:dyDescent="0.25">
      <c r="A136" t="s">
        <v>106</v>
      </c>
      <c r="B136">
        <v>3</v>
      </c>
      <c r="C136">
        <v>3</v>
      </c>
      <c r="D136">
        <v>0</v>
      </c>
      <c r="E136" t="s">
        <v>110</v>
      </c>
      <c r="F136">
        <v>70712</v>
      </c>
      <c r="G136">
        <v>100935472.16666667</v>
      </c>
      <c r="H136">
        <v>0.96333331863085425</v>
      </c>
      <c r="I136">
        <v>0.96185185185185185</v>
      </c>
      <c r="J136">
        <v>21240980</v>
      </c>
      <c r="K136">
        <v>125522</v>
      </c>
      <c r="L136">
        <v>2</v>
      </c>
      <c r="M136">
        <v>232</v>
      </c>
      <c r="N136">
        <v>0.96148148148148149</v>
      </c>
      <c r="O136">
        <v>21912287.833333332</v>
      </c>
      <c r="P136">
        <v>126529</v>
      </c>
      <c r="Q136">
        <v>2</v>
      </c>
      <c r="R136">
        <v>233</v>
      </c>
      <c r="S136">
        <v>11.277302730273027</v>
      </c>
      <c r="T136">
        <v>0.96814812421798702</v>
      </c>
      <c r="W136">
        <f t="shared" si="8"/>
        <v>125522</v>
      </c>
      <c r="X136">
        <f t="shared" si="9"/>
        <v>0.96333331863085425</v>
      </c>
      <c r="Y136">
        <f t="shared" si="10"/>
        <v>0.96814812421798702</v>
      </c>
      <c r="Z136">
        <f t="shared" si="11"/>
        <v>11.277302730273027</v>
      </c>
    </row>
    <row r="137" spans="1:26" hidden="1" x14ac:dyDescent="0.25">
      <c r="A137" t="s">
        <v>106</v>
      </c>
      <c r="B137">
        <v>5</v>
      </c>
      <c r="C137">
        <v>2</v>
      </c>
      <c r="D137">
        <v>0</v>
      </c>
      <c r="E137" t="s">
        <v>255</v>
      </c>
      <c r="F137">
        <v>125553</v>
      </c>
      <c r="G137">
        <v>112494028.5</v>
      </c>
      <c r="H137">
        <v>0.96666665375232697</v>
      </c>
      <c r="I137">
        <v>0.95944444444444443</v>
      </c>
      <c r="J137">
        <v>21252877.5</v>
      </c>
      <c r="K137">
        <v>125522</v>
      </c>
      <c r="L137">
        <v>2</v>
      </c>
      <c r="M137">
        <v>232</v>
      </c>
      <c r="N137">
        <v>0.96</v>
      </c>
      <c r="O137">
        <v>23053717.75</v>
      </c>
      <c r="P137">
        <v>126529</v>
      </c>
      <c r="Q137">
        <v>2</v>
      </c>
      <c r="R137">
        <v>233</v>
      </c>
      <c r="S137">
        <v>11.427384049235455</v>
      </c>
      <c r="T137">
        <v>0.95679012934366858</v>
      </c>
      <c r="W137">
        <f t="shared" si="8"/>
        <v>125522</v>
      </c>
      <c r="X137">
        <f t="shared" si="9"/>
        <v>0.96666665375232697</v>
      </c>
      <c r="Y137">
        <f t="shared" si="10"/>
        <v>0.95679012934366858</v>
      </c>
      <c r="Z137">
        <f t="shared" si="11"/>
        <v>11.427384049235455</v>
      </c>
    </row>
    <row r="138" spans="1:26" hidden="1" x14ac:dyDescent="0.25">
      <c r="A138" t="s">
        <v>106</v>
      </c>
      <c r="B138">
        <v>9</v>
      </c>
      <c r="C138">
        <v>4</v>
      </c>
      <c r="D138">
        <v>0</v>
      </c>
      <c r="E138" t="s">
        <v>192</v>
      </c>
      <c r="F138">
        <v>125878</v>
      </c>
      <c r="G138">
        <v>243932309.75</v>
      </c>
      <c r="H138">
        <v>0.93555556237697601</v>
      </c>
      <c r="I138">
        <v>0.94722222222222219</v>
      </c>
      <c r="J138">
        <v>25346177.5</v>
      </c>
      <c r="K138">
        <v>125522</v>
      </c>
      <c r="L138">
        <v>2</v>
      </c>
      <c r="M138">
        <v>232</v>
      </c>
      <c r="N138">
        <v>0.9538888888888889</v>
      </c>
      <c r="O138">
        <v>24862829.25</v>
      </c>
      <c r="P138">
        <v>126529</v>
      </c>
      <c r="Q138">
        <v>2</v>
      </c>
      <c r="R138">
        <v>233</v>
      </c>
      <c r="S138">
        <v>12.150439505066906</v>
      </c>
      <c r="T138">
        <v>0.95433333333333337</v>
      </c>
      <c r="W138">
        <f t="shared" si="8"/>
        <v>125522</v>
      </c>
      <c r="X138">
        <f t="shared" si="9"/>
        <v>0.93555556237697601</v>
      </c>
      <c r="Y138">
        <f t="shared" si="10"/>
        <v>0.95433333333333337</v>
      </c>
      <c r="Z138">
        <f t="shared" si="11"/>
        <v>12.150439505066906</v>
      </c>
    </row>
    <row r="139" spans="1:26" x14ac:dyDescent="0.25">
      <c r="A139" t="s">
        <v>106</v>
      </c>
      <c r="B139">
        <v>3</v>
      </c>
      <c r="C139">
        <v>2</v>
      </c>
      <c r="D139">
        <v>0</v>
      </c>
      <c r="E139" t="s">
        <v>218</v>
      </c>
      <c r="F139">
        <v>78226</v>
      </c>
      <c r="G139">
        <v>312463695.75</v>
      </c>
      <c r="H139">
        <v>0.97319444268941879</v>
      </c>
      <c r="I139">
        <v>0.96569444444444441</v>
      </c>
      <c r="J139">
        <v>23536041.8125</v>
      </c>
      <c r="K139">
        <v>126529</v>
      </c>
      <c r="L139">
        <v>2</v>
      </c>
      <c r="M139">
        <v>233</v>
      </c>
      <c r="N139">
        <v>0.96750000000000003</v>
      </c>
      <c r="O139">
        <v>22946995.5625</v>
      </c>
      <c r="P139">
        <v>127540</v>
      </c>
      <c r="Q139">
        <v>2</v>
      </c>
      <c r="R139">
        <v>234</v>
      </c>
      <c r="S139">
        <v>11.150436803718843</v>
      </c>
      <c r="T139">
        <v>0.97308641274770102</v>
      </c>
      <c r="W139">
        <f t="shared" si="8"/>
        <v>126529</v>
      </c>
      <c r="X139">
        <f t="shared" si="9"/>
        <v>0.97319444268941879</v>
      </c>
      <c r="Y139">
        <f t="shared" si="10"/>
        <v>0.97308641274770102</v>
      </c>
      <c r="Z139">
        <f t="shared" si="11"/>
        <v>11.150436803718843</v>
      </c>
    </row>
    <row r="140" spans="1:26" hidden="1" x14ac:dyDescent="0.25">
      <c r="A140" t="s">
        <v>106</v>
      </c>
      <c r="B140">
        <v>3</v>
      </c>
      <c r="C140">
        <v>4</v>
      </c>
      <c r="D140">
        <v>0</v>
      </c>
      <c r="E140" t="s">
        <v>249</v>
      </c>
      <c r="F140">
        <v>66700</v>
      </c>
      <c r="G140">
        <v>56775205.333333336</v>
      </c>
      <c r="H140">
        <v>0.94555555780728662</v>
      </c>
      <c r="I140">
        <v>0.94888888888888889</v>
      </c>
      <c r="J140">
        <v>14358696.166666666</v>
      </c>
      <c r="K140">
        <v>126529</v>
      </c>
      <c r="L140">
        <v>2</v>
      </c>
      <c r="M140">
        <v>233</v>
      </c>
      <c r="N140">
        <v>0.9555555555555556</v>
      </c>
      <c r="O140">
        <v>13703372.5</v>
      </c>
      <c r="P140">
        <v>127540</v>
      </c>
      <c r="Q140">
        <v>2</v>
      </c>
      <c r="R140">
        <v>234</v>
      </c>
      <c r="S140">
        <v>11.416303144735986</v>
      </c>
      <c r="T140">
        <v>0.98148149251937866</v>
      </c>
      <c r="W140">
        <f t="shared" si="8"/>
        <v>126529</v>
      </c>
      <c r="X140">
        <f t="shared" si="9"/>
        <v>0.94555555780728662</v>
      </c>
      <c r="Y140">
        <f t="shared" si="10"/>
        <v>0.98148149251937866</v>
      </c>
      <c r="Z140">
        <f t="shared" si="11"/>
        <v>11.416303144735986</v>
      </c>
    </row>
    <row r="141" spans="1:26" hidden="1" x14ac:dyDescent="0.25">
      <c r="A141" t="s">
        <v>106</v>
      </c>
      <c r="B141">
        <v>9</v>
      </c>
      <c r="C141">
        <v>3</v>
      </c>
      <c r="D141">
        <v>0</v>
      </c>
      <c r="E141" t="s">
        <v>243</v>
      </c>
      <c r="F141">
        <v>127072</v>
      </c>
      <c r="G141">
        <v>163959214.5</v>
      </c>
      <c r="H141">
        <v>0.94777779281139374</v>
      </c>
      <c r="I141">
        <v>0.96111111111111114</v>
      </c>
      <c r="J141">
        <v>24386173.75</v>
      </c>
      <c r="K141">
        <v>126529</v>
      </c>
      <c r="L141">
        <v>2</v>
      </c>
      <c r="M141">
        <v>233</v>
      </c>
      <c r="N141">
        <v>0.95666666666666667</v>
      </c>
      <c r="O141">
        <v>25479906.5</v>
      </c>
      <c r="P141">
        <v>127540</v>
      </c>
      <c r="Q141">
        <v>2</v>
      </c>
      <c r="R141">
        <v>234</v>
      </c>
      <c r="S141">
        <v>11.921459670027497</v>
      </c>
      <c r="T141">
        <v>0.96419753630956018</v>
      </c>
      <c r="W141">
        <f t="shared" si="8"/>
        <v>126529</v>
      </c>
      <c r="X141">
        <f t="shared" si="9"/>
        <v>0.94777779281139374</v>
      </c>
      <c r="Y141">
        <f t="shared" si="10"/>
        <v>0.96419753630956018</v>
      </c>
      <c r="Z141">
        <f t="shared" si="11"/>
        <v>11.921459670027497</v>
      </c>
    </row>
    <row r="142" spans="1:26" x14ac:dyDescent="0.25">
      <c r="A142" t="s">
        <v>106</v>
      </c>
      <c r="B142">
        <v>3</v>
      </c>
      <c r="C142">
        <v>2</v>
      </c>
      <c r="D142">
        <v>0</v>
      </c>
      <c r="E142" t="s">
        <v>154</v>
      </c>
      <c r="F142">
        <v>79096</v>
      </c>
      <c r="G142">
        <v>187047362.16666666</v>
      </c>
      <c r="H142">
        <v>0.98555554946263635</v>
      </c>
      <c r="I142">
        <v>0.98037037037037034</v>
      </c>
      <c r="J142">
        <v>15993705.333333334</v>
      </c>
      <c r="K142">
        <v>127540</v>
      </c>
      <c r="L142">
        <v>2</v>
      </c>
      <c r="M142">
        <v>234</v>
      </c>
      <c r="N142">
        <v>0.97703703703703704</v>
      </c>
      <c r="O142">
        <v>16410730.666666666</v>
      </c>
      <c r="P142">
        <v>128555</v>
      </c>
      <c r="Q142">
        <v>2</v>
      </c>
      <c r="R142">
        <v>235</v>
      </c>
      <c r="S142">
        <v>11.151966674677562</v>
      </c>
      <c r="T142">
        <v>0.98370372056961064</v>
      </c>
      <c r="W142">
        <f t="shared" si="8"/>
        <v>127540</v>
      </c>
      <c r="X142">
        <f t="shared" si="9"/>
        <v>0.98555554946263635</v>
      </c>
      <c r="Y142">
        <f t="shared" si="10"/>
        <v>0.98370372056961064</v>
      </c>
      <c r="Z142">
        <f t="shared" si="11"/>
        <v>11.151966674677562</v>
      </c>
    </row>
    <row r="143" spans="1:26" hidden="1" x14ac:dyDescent="0.25">
      <c r="A143" t="s">
        <v>106</v>
      </c>
      <c r="B143">
        <v>3</v>
      </c>
      <c r="C143">
        <v>3</v>
      </c>
      <c r="D143">
        <v>0</v>
      </c>
      <c r="E143" t="s">
        <v>111</v>
      </c>
      <c r="F143">
        <v>72046</v>
      </c>
      <c r="G143">
        <v>103645255.83333333</v>
      </c>
      <c r="H143">
        <v>0.95962962508201599</v>
      </c>
      <c r="I143">
        <v>0.96296296296296291</v>
      </c>
      <c r="J143">
        <v>22699158.666666668</v>
      </c>
      <c r="K143">
        <v>127540</v>
      </c>
      <c r="L143">
        <v>2</v>
      </c>
      <c r="M143">
        <v>234</v>
      </c>
      <c r="N143">
        <v>0.95925925925925926</v>
      </c>
      <c r="O143">
        <v>21463028.333333332</v>
      </c>
      <c r="P143">
        <v>128555</v>
      </c>
      <c r="Q143">
        <v>2</v>
      </c>
      <c r="R143">
        <v>235</v>
      </c>
      <c r="S143">
        <v>11.276053381316538</v>
      </c>
      <c r="T143">
        <v>0.96296296119689939</v>
      </c>
      <c r="W143">
        <f t="shared" si="8"/>
        <v>127540</v>
      </c>
      <c r="X143">
        <f t="shared" si="9"/>
        <v>0.95962962508201599</v>
      </c>
      <c r="Y143">
        <f t="shared" si="10"/>
        <v>0.96296296119689939</v>
      </c>
      <c r="Z143">
        <f t="shared" si="11"/>
        <v>11.276053381316538</v>
      </c>
    </row>
    <row r="144" spans="1:26" x14ac:dyDescent="0.25">
      <c r="A144" t="s">
        <v>106</v>
      </c>
      <c r="B144">
        <v>3</v>
      </c>
      <c r="C144">
        <v>2</v>
      </c>
      <c r="D144">
        <v>0</v>
      </c>
      <c r="E144" t="s">
        <v>219</v>
      </c>
      <c r="F144">
        <v>79508</v>
      </c>
      <c r="G144">
        <v>282252749.4285714</v>
      </c>
      <c r="H144">
        <v>0.97492063613164992</v>
      </c>
      <c r="I144">
        <v>0.96412698412698417</v>
      </c>
      <c r="J144">
        <v>24870225.761904761</v>
      </c>
      <c r="K144">
        <v>128555</v>
      </c>
      <c r="L144">
        <v>2</v>
      </c>
      <c r="M144">
        <v>235</v>
      </c>
      <c r="N144">
        <v>0.95978835978835975</v>
      </c>
      <c r="O144">
        <v>24371190.095238097</v>
      </c>
      <c r="P144">
        <v>129574</v>
      </c>
      <c r="Q144">
        <v>2</v>
      </c>
      <c r="R144">
        <v>236</v>
      </c>
      <c r="S144">
        <v>11.157069737683941</v>
      </c>
      <c r="T144">
        <v>0.9796296298503876</v>
      </c>
      <c r="W144">
        <f t="shared" si="8"/>
        <v>128555</v>
      </c>
      <c r="X144">
        <f t="shared" si="9"/>
        <v>0.97492063613164992</v>
      </c>
      <c r="Y144">
        <f t="shared" si="10"/>
        <v>0.9796296298503876</v>
      </c>
      <c r="Z144">
        <f t="shared" si="11"/>
        <v>11.157069737683941</v>
      </c>
    </row>
    <row r="145" spans="1:26" hidden="1" x14ac:dyDescent="0.25">
      <c r="A145" t="s">
        <v>106</v>
      </c>
      <c r="B145">
        <v>3</v>
      </c>
      <c r="C145">
        <v>4</v>
      </c>
      <c r="D145">
        <v>0</v>
      </c>
      <c r="E145" t="s">
        <v>250</v>
      </c>
      <c r="F145">
        <v>68182</v>
      </c>
      <c r="G145">
        <v>54798761.833333336</v>
      </c>
      <c r="H145">
        <v>0.94888888796170556</v>
      </c>
      <c r="I145">
        <v>0.95925925925925926</v>
      </c>
      <c r="J145">
        <v>14454612.333333334</v>
      </c>
      <c r="K145">
        <v>128555</v>
      </c>
      <c r="L145">
        <v>2</v>
      </c>
      <c r="M145">
        <v>235</v>
      </c>
      <c r="N145">
        <v>0.9588888888888889</v>
      </c>
      <c r="O145">
        <v>13601940</v>
      </c>
      <c r="P145">
        <v>129574</v>
      </c>
      <c r="Q145">
        <v>2</v>
      </c>
      <c r="R145">
        <v>236</v>
      </c>
      <c r="S145">
        <v>11.415294500488123</v>
      </c>
      <c r="T145">
        <v>0.97777777910232544</v>
      </c>
      <c r="W145">
        <f t="shared" si="8"/>
        <v>128555</v>
      </c>
      <c r="X145">
        <f t="shared" si="9"/>
        <v>0.94888888796170556</v>
      </c>
      <c r="Y145">
        <f t="shared" si="10"/>
        <v>0.97777777910232544</v>
      </c>
      <c r="Z145">
        <f t="shared" si="11"/>
        <v>11.415294500488123</v>
      </c>
    </row>
    <row r="146" spans="1:26" hidden="1" x14ac:dyDescent="0.25">
      <c r="A146" t="s">
        <v>106</v>
      </c>
      <c r="B146">
        <v>5</v>
      </c>
      <c r="C146">
        <v>4</v>
      </c>
      <c r="D146">
        <v>0</v>
      </c>
      <c r="E146" t="s">
        <v>293</v>
      </c>
      <c r="F146">
        <v>129075</v>
      </c>
      <c r="G146">
        <v>143225580.75</v>
      </c>
      <c r="H146">
        <v>0.96166665852069855</v>
      </c>
      <c r="I146">
        <v>0.97055555555555562</v>
      </c>
      <c r="J146">
        <v>24262314.5</v>
      </c>
      <c r="K146">
        <v>128555</v>
      </c>
      <c r="L146">
        <v>2</v>
      </c>
      <c r="M146">
        <v>235</v>
      </c>
      <c r="N146">
        <v>0.96499999999999997</v>
      </c>
      <c r="O146">
        <v>24881095.25</v>
      </c>
      <c r="P146">
        <v>129574</v>
      </c>
      <c r="Q146">
        <v>2</v>
      </c>
      <c r="R146">
        <v>236</v>
      </c>
      <c r="S146">
        <v>11.581091796279354</v>
      </c>
      <c r="T146">
        <v>0.97037037213643396</v>
      </c>
      <c r="W146">
        <f t="shared" si="8"/>
        <v>128555</v>
      </c>
      <c r="X146">
        <f t="shared" si="9"/>
        <v>0.96166665852069855</v>
      </c>
      <c r="Y146">
        <f t="shared" si="10"/>
        <v>0.97037037213643396</v>
      </c>
      <c r="Z146">
        <f t="shared" si="11"/>
        <v>11.581091796279354</v>
      </c>
    </row>
    <row r="147" spans="1:26" x14ac:dyDescent="0.25">
      <c r="A147" t="s">
        <v>106</v>
      </c>
      <c r="B147">
        <v>3</v>
      </c>
      <c r="C147">
        <v>2</v>
      </c>
      <c r="D147">
        <v>0</v>
      </c>
      <c r="E147" t="s">
        <v>155</v>
      </c>
      <c r="F147">
        <v>80282</v>
      </c>
      <c r="G147">
        <v>184229205.33333334</v>
      </c>
      <c r="H147">
        <v>0.98592593272527063</v>
      </c>
      <c r="I147">
        <v>0.97296296296296292</v>
      </c>
      <c r="J147">
        <v>16570111.333333334</v>
      </c>
      <c r="K147">
        <v>129574</v>
      </c>
      <c r="L147">
        <v>2</v>
      </c>
      <c r="M147">
        <v>236</v>
      </c>
      <c r="N147">
        <v>0.97592592592592586</v>
      </c>
      <c r="O147">
        <v>15944441.166666666</v>
      </c>
      <c r="P147">
        <v>130597</v>
      </c>
      <c r="Q147">
        <v>2</v>
      </c>
      <c r="R147">
        <v>237</v>
      </c>
      <c r="S147">
        <v>11.158033573141488</v>
      </c>
      <c r="T147">
        <v>0.98888887166976924</v>
      </c>
      <c r="W147">
        <f t="shared" si="8"/>
        <v>129574</v>
      </c>
      <c r="X147">
        <f t="shared" si="9"/>
        <v>0.98592593272527063</v>
      </c>
      <c r="Y147">
        <f t="shared" si="10"/>
        <v>0.98888887166976924</v>
      </c>
      <c r="Z147">
        <f t="shared" si="11"/>
        <v>11.158033573141488</v>
      </c>
    </row>
    <row r="148" spans="1:26" hidden="1" x14ac:dyDescent="0.25">
      <c r="A148" t="s">
        <v>106</v>
      </c>
      <c r="B148">
        <v>3</v>
      </c>
      <c r="C148">
        <v>3</v>
      </c>
      <c r="D148">
        <v>0</v>
      </c>
      <c r="E148" t="s">
        <v>112</v>
      </c>
      <c r="F148">
        <v>73380</v>
      </c>
      <c r="G148">
        <v>105581348.16666667</v>
      </c>
      <c r="H148">
        <v>0.96037037173906958</v>
      </c>
      <c r="I148">
        <v>0.97</v>
      </c>
      <c r="J148">
        <v>22797313.833333332</v>
      </c>
      <c r="K148">
        <v>129574</v>
      </c>
      <c r="L148">
        <v>2</v>
      </c>
      <c r="M148">
        <v>236</v>
      </c>
      <c r="N148">
        <v>0.96037037037037032</v>
      </c>
      <c r="O148">
        <v>22401576.166666668</v>
      </c>
      <c r="P148">
        <v>130597</v>
      </c>
      <c r="Q148">
        <v>2</v>
      </c>
      <c r="R148">
        <v>237</v>
      </c>
      <c r="S148">
        <v>11.274955035971223</v>
      </c>
      <c r="T148">
        <v>0.96074074506759644</v>
      </c>
      <c r="W148">
        <f t="shared" si="8"/>
        <v>129574</v>
      </c>
      <c r="X148">
        <f t="shared" si="9"/>
        <v>0.96037037173906958</v>
      </c>
      <c r="Y148">
        <f t="shared" si="10"/>
        <v>0.96074074506759644</v>
      </c>
      <c r="Z148">
        <f t="shared" si="11"/>
        <v>11.274955035971223</v>
      </c>
    </row>
    <row r="149" spans="1:26" hidden="1" x14ac:dyDescent="0.25">
      <c r="A149" t="s">
        <v>106</v>
      </c>
      <c r="B149">
        <v>5</v>
      </c>
      <c r="C149">
        <v>5</v>
      </c>
      <c r="D149">
        <v>0</v>
      </c>
      <c r="E149" t="s">
        <v>292</v>
      </c>
      <c r="F149">
        <v>129731</v>
      </c>
      <c r="G149">
        <v>206393957</v>
      </c>
      <c r="H149">
        <v>0.95055556297302246</v>
      </c>
      <c r="I149">
        <v>0.97611111111111115</v>
      </c>
      <c r="J149">
        <v>24180226.5</v>
      </c>
      <c r="K149">
        <v>129574</v>
      </c>
      <c r="L149">
        <v>2</v>
      </c>
      <c r="M149">
        <v>236</v>
      </c>
      <c r="N149">
        <v>0.97722222222222221</v>
      </c>
      <c r="O149">
        <v>24929832.5</v>
      </c>
      <c r="P149">
        <v>130597</v>
      </c>
      <c r="Q149">
        <v>2</v>
      </c>
      <c r="R149">
        <v>237</v>
      </c>
      <c r="S149">
        <v>11.616139259436501</v>
      </c>
      <c r="T149">
        <v>0.95802468061447144</v>
      </c>
      <c r="W149">
        <f t="shared" si="8"/>
        <v>129574</v>
      </c>
      <c r="X149">
        <f t="shared" si="9"/>
        <v>0.95055556297302246</v>
      </c>
      <c r="Y149">
        <f t="shared" si="10"/>
        <v>0.95802468061447144</v>
      </c>
      <c r="Z149">
        <f t="shared" si="11"/>
        <v>11.616139259436501</v>
      </c>
    </row>
    <row r="150" spans="1:26" x14ac:dyDescent="0.25">
      <c r="A150" t="s">
        <v>106</v>
      </c>
      <c r="B150">
        <v>3</v>
      </c>
      <c r="C150">
        <v>2</v>
      </c>
      <c r="D150">
        <v>0</v>
      </c>
      <c r="E150" t="s">
        <v>220</v>
      </c>
      <c r="F150">
        <v>80790</v>
      </c>
      <c r="G150">
        <v>312949379.4285714</v>
      </c>
      <c r="H150">
        <v>0.97470899139131817</v>
      </c>
      <c r="I150">
        <v>0.95788359788359789</v>
      </c>
      <c r="J150">
        <v>25178131.523809522</v>
      </c>
      <c r="K150">
        <v>130597</v>
      </c>
      <c r="L150">
        <v>2</v>
      </c>
      <c r="M150">
        <v>237</v>
      </c>
      <c r="N150">
        <v>0.96179894179894176</v>
      </c>
      <c r="O150">
        <v>25399785.380952381</v>
      </c>
      <c r="P150">
        <v>131624</v>
      </c>
      <c r="Q150">
        <v>2</v>
      </c>
      <c r="R150">
        <v>238</v>
      </c>
      <c r="S150">
        <v>11.162955869443779</v>
      </c>
      <c r="T150">
        <v>0.98037037253379822</v>
      </c>
      <c r="W150">
        <f t="shared" si="8"/>
        <v>130597</v>
      </c>
      <c r="X150">
        <f t="shared" si="9"/>
        <v>0.97470899139131817</v>
      </c>
      <c r="Y150">
        <f t="shared" si="10"/>
        <v>0.98037037253379822</v>
      </c>
      <c r="Z150">
        <f t="shared" si="11"/>
        <v>11.162955869443779</v>
      </c>
    </row>
    <row r="151" spans="1:26" hidden="1" x14ac:dyDescent="0.25">
      <c r="A151" t="s">
        <v>106</v>
      </c>
      <c r="B151">
        <v>5</v>
      </c>
      <c r="C151">
        <v>2</v>
      </c>
      <c r="D151">
        <v>0</v>
      </c>
      <c r="E151" t="s">
        <v>116</v>
      </c>
      <c r="F151">
        <v>131108</v>
      </c>
      <c r="G151">
        <v>131014096.5</v>
      </c>
      <c r="H151">
        <v>0.96888887882232666</v>
      </c>
      <c r="I151">
        <v>0.9655555555555555</v>
      </c>
      <c r="J151">
        <v>21024401.25</v>
      </c>
      <c r="K151">
        <v>130597</v>
      </c>
      <c r="L151">
        <v>2</v>
      </c>
      <c r="M151">
        <v>237</v>
      </c>
      <c r="N151">
        <v>0.95944444444444443</v>
      </c>
      <c r="O151">
        <v>23532483</v>
      </c>
      <c r="P151">
        <v>131624</v>
      </c>
      <c r="Q151">
        <v>2</v>
      </c>
      <c r="R151">
        <v>238</v>
      </c>
      <c r="S151">
        <v>11.427021883920077</v>
      </c>
      <c r="T151">
        <v>0.94444443782170617</v>
      </c>
      <c r="W151">
        <f t="shared" si="8"/>
        <v>130597</v>
      </c>
      <c r="X151">
        <f t="shared" si="9"/>
        <v>0.96888887882232666</v>
      </c>
      <c r="Y151">
        <f t="shared" si="10"/>
        <v>0.94444443782170617</v>
      </c>
      <c r="Z151">
        <f t="shared" si="11"/>
        <v>11.427021883920077</v>
      </c>
    </row>
    <row r="152" spans="1:26" hidden="1" x14ac:dyDescent="0.25">
      <c r="A152" t="s">
        <v>106</v>
      </c>
      <c r="B152">
        <v>5</v>
      </c>
      <c r="C152">
        <v>3</v>
      </c>
      <c r="D152">
        <v>0</v>
      </c>
      <c r="E152" t="s">
        <v>253</v>
      </c>
      <c r="F152">
        <v>130644</v>
      </c>
      <c r="G152">
        <v>179081395.5</v>
      </c>
      <c r="H152">
        <v>0.95999999344348907</v>
      </c>
      <c r="I152">
        <v>0.94888888888888889</v>
      </c>
      <c r="J152">
        <v>24753017</v>
      </c>
      <c r="K152">
        <v>130597</v>
      </c>
      <c r="L152">
        <v>2</v>
      </c>
      <c r="M152">
        <v>237</v>
      </c>
      <c r="N152">
        <v>0.95500000000000007</v>
      </c>
      <c r="O152">
        <v>25560084.25</v>
      </c>
      <c r="P152">
        <v>131624</v>
      </c>
      <c r="Q152">
        <v>2</v>
      </c>
      <c r="R152">
        <v>238</v>
      </c>
      <c r="S152">
        <v>11.530326594090202</v>
      </c>
      <c r="T152">
        <v>0.98765430847803748</v>
      </c>
      <c r="W152">
        <f t="shared" si="8"/>
        <v>130597</v>
      </c>
      <c r="X152">
        <f t="shared" si="9"/>
        <v>0.95999999344348907</v>
      </c>
      <c r="Y152">
        <f t="shared" si="10"/>
        <v>0.98765430847803748</v>
      </c>
      <c r="Z152">
        <f t="shared" si="11"/>
        <v>11.530326594090202</v>
      </c>
    </row>
    <row r="153" spans="1:26" hidden="1" x14ac:dyDescent="0.25">
      <c r="A153" t="s">
        <v>106</v>
      </c>
      <c r="B153">
        <v>9</v>
      </c>
      <c r="C153">
        <v>2</v>
      </c>
      <c r="D153">
        <v>0</v>
      </c>
      <c r="E153" t="s">
        <v>294</v>
      </c>
      <c r="F153">
        <v>130861</v>
      </c>
      <c r="G153">
        <v>119332925.5</v>
      </c>
      <c r="H153">
        <v>0.96499998867511749</v>
      </c>
      <c r="I153">
        <v>0.97722222222222221</v>
      </c>
      <c r="J153">
        <v>24598682.25</v>
      </c>
      <c r="K153">
        <v>130597</v>
      </c>
      <c r="L153">
        <v>2</v>
      </c>
      <c r="M153">
        <v>237</v>
      </c>
      <c r="N153">
        <v>0.9605555555555555</v>
      </c>
      <c r="O153">
        <v>23464285</v>
      </c>
      <c r="P153">
        <v>131624</v>
      </c>
      <c r="Q153">
        <v>2</v>
      </c>
      <c r="R153">
        <v>238</v>
      </c>
      <c r="S153">
        <v>11.714310716994341</v>
      </c>
      <c r="T153">
        <v>0.96049382289250695</v>
      </c>
      <c r="W153">
        <f t="shared" si="8"/>
        <v>130597</v>
      </c>
      <c r="X153">
        <f t="shared" si="9"/>
        <v>0.96499998867511749</v>
      </c>
      <c r="Y153">
        <f t="shared" si="10"/>
        <v>0.96049382289250695</v>
      </c>
      <c r="Z153">
        <f t="shared" si="11"/>
        <v>11.714310716994341</v>
      </c>
    </row>
    <row r="154" spans="1:26" hidden="1" x14ac:dyDescent="0.25">
      <c r="A154" t="s">
        <v>106</v>
      </c>
      <c r="B154">
        <v>9</v>
      </c>
      <c r="C154">
        <v>5</v>
      </c>
      <c r="D154">
        <v>0</v>
      </c>
      <c r="E154" t="s">
        <v>258</v>
      </c>
      <c r="F154">
        <v>130609</v>
      </c>
      <c r="G154">
        <v>229421849.5</v>
      </c>
      <c r="H154">
        <v>0.90944443643093109</v>
      </c>
      <c r="I154">
        <v>0.96055555555555561</v>
      </c>
      <c r="J154">
        <v>30884155.5</v>
      </c>
      <c r="K154">
        <v>130597</v>
      </c>
      <c r="L154">
        <v>2</v>
      </c>
      <c r="M154">
        <v>237</v>
      </c>
      <c r="N154">
        <v>0.9622222222222222</v>
      </c>
      <c r="O154">
        <v>32249616.25</v>
      </c>
      <c r="P154">
        <v>131624</v>
      </c>
      <c r="Q154">
        <v>2</v>
      </c>
      <c r="R154">
        <v>238</v>
      </c>
      <c r="S154">
        <v>12.181108423136134</v>
      </c>
      <c r="T154">
        <v>0.92959999999999998</v>
      </c>
      <c r="W154">
        <f t="shared" si="8"/>
        <v>130597</v>
      </c>
      <c r="X154">
        <f t="shared" si="9"/>
        <v>0.90944443643093109</v>
      </c>
      <c r="Y154">
        <f t="shared" si="10"/>
        <v>0.92959999999999998</v>
      </c>
      <c r="Z154">
        <f t="shared" si="11"/>
        <v>12.181108423136134</v>
      </c>
    </row>
    <row r="155" spans="1:26" x14ac:dyDescent="0.25">
      <c r="A155" t="s">
        <v>106</v>
      </c>
      <c r="B155">
        <v>3</v>
      </c>
      <c r="C155">
        <v>2</v>
      </c>
      <c r="D155">
        <v>0</v>
      </c>
      <c r="E155" t="s">
        <v>156</v>
      </c>
      <c r="F155">
        <v>81468</v>
      </c>
      <c r="G155">
        <v>220098972.83333334</v>
      </c>
      <c r="H155">
        <v>0.98370370268821716</v>
      </c>
      <c r="I155">
        <v>0.97555555555555551</v>
      </c>
      <c r="J155">
        <v>16427012.333333334</v>
      </c>
      <c r="K155">
        <v>131624</v>
      </c>
      <c r="L155">
        <v>2</v>
      </c>
      <c r="M155">
        <v>238</v>
      </c>
      <c r="N155">
        <v>0.97666666666666668</v>
      </c>
      <c r="O155">
        <v>17571945.5</v>
      </c>
      <c r="P155">
        <v>132655</v>
      </c>
      <c r="Q155">
        <v>2</v>
      </c>
      <c r="R155">
        <v>239</v>
      </c>
      <c r="S155">
        <v>11.164154103852596</v>
      </c>
      <c r="T155">
        <v>0.9859259366989136</v>
      </c>
      <c r="W155">
        <f t="shared" si="8"/>
        <v>131624</v>
      </c>
      <c r="X155">
        <f t="shared" si="9"/>
        <v>0.98370370268821716</v>
      </c>
      <c r="Y155">
        <f t="shared" si="10"/>
        <v>0.9859259366989136</v>
      </c>
      <c r="Z155">
        <f t="shared" si="11"/>
        <v>11.164154103852596</v>
      </c>
    </row>
    <row r="156" spans="1:26" hidden="1" x14ac:dyDescent="0.25">
      <c r="A156" t="s">
        <v>106</v>
      </c>
      <c r="B156">
        <v>3</v>
      </c>
      <c r="C156">
        <v>4</v>
      </c>
      <c r="D156">
        <v>0</v>
      </c>
      <c r="E156" t="s">
        <v>251</v>
      </c>
      <c r="F156">
        <v>69664</v>
      </c>
      <c r="G156">
        <v>55133838.333333336</v>
      </c>
      <c r="H156">
        <v>0.9466666579246521</v>
      </c>
      <c r="I156">
        <v>0.96407407407407408</v>
      </c>
      <c r="J156">
        <v>15115618.333333334</v>
      </c>
      <c r="K156">
        <v>131624</v>
      </c>
      <c r="L156">
        <v>2</v>
      </c>
      <c r="M156">
        <v>238</v>
      </c>
      <c r="N156">
        <v>0.96037037037037032</v>
      </c>
      <c r="O156">
        <v>14417571</v>
      </c>
      <c r="P156">
        <v>132655</v>
      </c>
      <c r="Q156">
        <v>2</v>
      </c>
      <c r="R156">
        <v>239</v>
      </c>
      <c r="S156">
        <v>11.414156528527746</v>
      </c>
      <c r="T156">
        <v>0.982962965965271</v>
      </c>
      <c r="W156">
        <f t="shared" si="8"/>
        <v>131624</v>
      </c>
      <c r="X156">
        <f t="shared" si="9"/>
        <v>0.9466666579246521</v>
      </c>
      <c r="Y156">
        <f t="shared" si="10"/>
        <v>0.982962965965271</v>
      </c>
      <c r="Z156">
        <f t="shared" si="11"/>
        <v>11.414156528527746</v>
      </c>
    </row>
    <row r="157" spans="1:26" hidden="1" x14ac:dyDescent="0.25">
      <c r="A157" t="s">
        <v>106</v>
      </c>
      <c r="B157">
        <v>5</v>
      </c>
      <c r="C157">
        <v>2</v>
      </c>
      <c r="D157">
        <v>0</v>
      </c>
      <c r="E157" t="s">
        <v>147</v>
      </c>
      <c r="F157">
        <v>132618</v>
      </c>
      <c r="G157">
        <v>206035492.25</v>
      </c>
      <c r="H157">
        <v>0.96444442868232727</v>
      </c>
      <c r="I157">
        <v>0.96333333333333337</v>
      </c>
      <c r="J157">
        <v>21386639</v>
      </c>
      <c r="K157">
        <v>131624</v>
      </c>
      <c r="L157">
        <v>2</v>
      </c>
      <c r="M157">
        <v>238</v>
      </c>
      <c r="N157">
        <v>0.96388888888888891</v>
      </c>
      <c r="O157">
        <v>23421909.75</v>
      </c>
      <c r="P157">
        <v>132655</v>
      </c>
      <c r="Q157">
        <v>2</v>
      </c>
      <c r="R157">
        <v>239</v>
      </c>
      <c r="S157">
        <v>11.427103811275288</v>
      </c>
      <c r="T157">
        <v>0.95185184478759766</v>
      </c>
      <c r="W157">
        <f t="shared" si="8"/>
        <v>131624</v>
      </c>
      <c r="X157">
        <f t="shared" si="9"/>
        <v>0.96444442868232727</v>
      </c>
      <c r="Y157">
        <f t="shared" si="10"/>
        <v>0.95185184478759766</v>
      </c>
      <c r="Z157">
        <f t="shared" si="11"/>
        <v>11.427103811275288</v>
      </c>
    </row>
    <row r="158" spans="1:26" x14ac:dyDescent="0.25">
      <c r="A158" t="s">
        <v>106</v>
      </c>
      <c r="B158">
        <v>3</v>
      </c>
      <c r="C158">
        <v>2</v>
      </c>
      <c r="D158">
        <v>0</v>
      </c>
      <c r="E158" t="s">
        <v>221</v>
      </c>
      <c r="F158">
        <v>82072</v>
      </c>
      <c r="G158">
        <v>318458659.52380955</v>
      </c>
      <c r="H158">
        <v>0.97396825608753024</v>
      </c>
      <c r="I158">
        <v>0.96010582010582013</v>
      </c>
      <c r="J158">
        <v>25308501.761904761</v>
      </c>
      <c r="K158">
        <v>132655</v>
      </c>
      <c r="L158">
        <v>2</v>
      </c>
      <c r="M158">
        <v>239</v>
      </c>
      <c r="N158">
        <v>0.95957671957671953</v>
      </c>
      <c r="O158">
        <v>24891124.476190478</v>
      </c>
      <c r="P158">
        <v>133690</v>
      </c>
      <c r="Q158">
        <v>2</v>
      </c>
      <c r="R158">
        <v>240</v>
      </c>
      <c r="S158">
        <v>11.168577799012581</v>
      </c>
      <c r="T158">
        <v>0.98185185194015501</v>
      </c>
      <c r="W158">
        <f t="shared" si="8"/>
        <v>132655</v>
      </c>
      <c r="X158">
        <f t="shared" si="9"/>
        <v>0.97396825608753024</v>
      </c>
      <c r="Y158">
        <f t="shared" si="10"/>
        <v>0.98185185194015501</v>
      </c>
      <c r="Z158">
        <f t="shared" si="11"/>
        <v>11.168577799012581</v>
      </c>
    </row>
    <row r="159" spans="1:26" hidden="1" x14ac:dyDescent="0.25">
      <c r="A159" t="s">
        <v>106</v>
      </c>
      <c r="B159">
        <v>3</v>
      </c>
      <c r="C159">
        <v>3</v>
      </c>
      <c r="D159">
        <v>0</v>
      </c>
      <c r="E159" t="s">
        <v>113</v>
      </c>
      <c r="F159">
        <v>74714</v>
      </c>
      <c r="G159">
        <v>111977772.16666667</v>
      </c>
      <c r="H159">
        <v>0.96259259184201562</v>
      </c>
      <c r="I159">
        <v>0.96333333333333337</v>
      </c>
      <c r="J159">
        <v>23343561.333333332</v>
      </c>
      <c r="K159">
        <v>132655</v>
      </c>
      <c r="L159">
        <v>2</v>
      </c>
      <c r="M159">
        <v>239</v>
      </c>
      <c r="N159">
        <v>0.96518518518518515</v>
      </c>
      <c r="O159">
        <v>21924374.5</v>
      </c>
      <c r="P159">
        <v>133690</v>
      </c>
      <c r="Q159">
        <v>2</v>
      </c>
      <c r="R159">
        <v>240</v>
      </c>
      <c r="S159">
        <v>11.274007490636704</v>
      </c>
      <c r="T159">
        <v>0.96888886690139775</v>
      </c>
      <c r="W159">
        <f t="shared" si="8"/>
        <v>132655</v>
      </c>
      <c r="X159">
        <f t="shared" si="9"/>
        <v>0.96259259184201562</v>
      </c>
      <c r="Y159">
        <f t="shared" si="10"/>
        <v>0.96888886690139775</v>
      </c>
      <c r="Z159">
        <f t="shared" si="11"/>
        <v>11.274007490636704</v>
      </c>
    </row>
    <row r="160" spans="1:26" x14ac:dyDescent="0.25">
      <c r="A160" t="s">
        <v>106</v>
      </c>
      <c r="B160">
        <v>3</v>
      </c>
      <c r="C160">
        <v>2</v>
      </c>
      <c r="D160">
        <v>0</v>
      </c>
      <c r="E160" t="s">
        <v>157</v>
      </c>
      <c r="F160">
        <v>82654</v>
      </c>
      <c r="G160">
        <v>190871135.33333334</v>
      </c>
      <c r="H160">
        <v>0.98888888955116272</v>
      </c>
      <c r="I160">
        <v>0.97444444444444445</v>
      </c>
      <c r="J160">
        <v>17537461.5</v>
      </c>
      <c r="K160">
        <v>133690</v>
      </c>
      <c r="L160">
        <v>2</v>
      </c>
      <c r="M160">
        <v>240</v>
      </c>
      <c r="N160">
        <v>0.97555555555555551</v>
      </c>
      <c r="O160">
        <v>16725080.166666666</v>
      </c>
      <c r="P160">
        <v>134729</v>
      </c>
      <c r="Q160">
        <v>2</v>
      </c>
      <c r="R160">
        <v>241</v>
      </c>
      <c r="S160">
        <v>11.169770773638968</v>
      </c>
      <c r="T160">
        <v>0.98222223520278928</v>
      </c>
      <c r="W160">
        <f t="shared" si="8"/>
        <v>133690</v>
      </c>
      <c r="X160">
        <f t="shared" si="9"/>
        <v>0.98888888955116272</v>
      </c>
      <c r="Y160">
        <f t="shared" si="10"/>
        <v>0.98222223520278928</v>
      </c>
      <c r="Z160">
        <f t="shared" si="11"/>
        <v>11.169770773638968</v>
      </c>
    </row>
    <row r="161" spans="1:26" x14ac:dyDescent="0.25">
      <c r="A161" t="s">
        <v>106</v>
      </c>
      <c r="B161">
        <v>3</v>
      </c>
      <c r="C161">
        <v>2</v>
      </c>
      <c r="D161">
        <v>0</v>
      </c>
      <c r="E161" t="s">
        <v>222</v>
      </c>
      <c r="F161">
        <v>83354</v>
      </c>
      <c r="G161">
        <v>325572722.76190478</v>
      </c>
      <c r="H161">
        <v>0.9739682589258466</v>
      </c>
      <c r="I161">
        <v>0.96031746031746035</v>
      </c>
      <c r="J161">
        <v>25050264.142857142</v>
      </c>
      <c r="K161">
        <v>134729</v>
      </c>
      <c r="L161">
        <v>2</v>
      </c>
      <c r="M161">
        <v>241</v>
      </c>
      <c r="N161">
        <v>0.96095238095238089</v>
      </c>
      <c r="O161">
        <v>24774004.095238097</v>
      </c>
      <c r="P161">
        <v>135772</v>
      </c>
      <c r="Q161">
        <v>2</v>
      </c>
      <c r="R161">
        <v>242</v>
      </c>
      <c r="S161">
        <v>11.174016686531585</v>
      </c>
      <c r="T161">
        <v>0.97981482148170473</v>
      </c>
      <c r="W161">
        <f t="shared" si="8"/>
        <v>134729</v>
      </c>
      <c r="X161">
        <f t="shared" si="9"/>
        <v>0.9739682589258466</v>
      </c>
      <c r="Y161">
        <f t="shared" si="10"/>
        <v>0.97981482148170473</v>
      </c>
      <c r="Z161">
        <f t="shared" si="11"/>
        <v>11.174016686531585</v>
      </c>
    </row>
    <row r="162" spans="1:26" hidden="1" x14ac:dyDescent="0.25">
      <c r="A162" t="s">
        <v>106</v>
      </c>
      <c r="B162">
        <v>3</v>
      </c>
      <c r="C162">
        <v>3</v>
      </c>
      <c r="D162">
        <v>0</v>
      </c>
      <c r="E162" t="s">
        <v>114</v>
      </c>
      <c r="F162">
        <v>76048</v>
      </c>
      <c r="G162">
        <v>110310313.5</v>
      </c>
      <c r="H162">
        <v>0.95925925175348914</v>
      </c>
      <c r="I162">
        <v>0.96370370370370373</v>
      </c>
      <c r="J162">
        <v>21874368.166666668</v>
      </c>
      <c r="K162">
        <v>134729</v>
      </c>
      <c r="L162">
        <v>2</v>
      </c>
      <c r="M162">
        <v>241</v>
      </c>
      <c r="N162">
        <v>0.96592592592592597</v>
      </c>
      <c r="O162">
        <v>22640620.666666668</v>
      </c>
      <c r="P162">
        <v>135772</v>
      </c>
      <c r="Q162">
        <v>2</v>
      </c>
      <c r="R162">
        <v>242</v>
      </c>
      <c r="S162">
        <v>11.272686433063791</v>
      </c>
      <c r="T162">
        <v>0.97185183763504024</v>
      </c>
      <c r="W162">
        <f t="shared" si="8"/>
        <v>134729</v>
      </c>
      <c r="X162">
        <f t="shared" si="9"/>
        <v>0.95925925175348914</v>
      </c>
      <c r="Y162">
        <f t="shared" si="10"/>
        <v>0.97185183763504024</v>
      </c>
      <c r="Z162">
        <f t="shared" si="11"/>
        <v>11.272686433063791</v>
      </c>
    </row>
    <row r="163" spans="1:26" hidden="1" x14ac:dyDescent="0.25">
      <c r="A163" t="s">
        <v>106</v>
      </c>
      <c r="B163">
        <v>3</v>
      </c>
      <c r="C163">
        <v>4</v>
      </c>
      <c r="D163">
        <v>0</v>
      </c>
      <c r="E163" t="s">
        <v>252</v>
      </c>
      <c r="F163">
        <v>71146</v>
      </c>
      <c r="G163">
        <v>68382442.666666672</v>
      </c>
      <c r="H163">
        <v>0.95703703165054321</v>
      </c>
      <c r="I163">
        <v>0.95407407407407407</v>
      </c>
      <c r="J163">
        <v>14803479.333333334</v>
      </c>
      <c r="K163">
        <v>134729</v>
      </c>
      <c r="L163">
        <v>2</v>
      </c>
      <c r="M163">
        <v>241</v>
      </c>
      <c r="N163">
        <v>0.95407407407407407</v>
      </c>
      <c r="O163">
        <v>14557460</v>
      </c>
      <c r="P163">
        <v>135772</v>
      </c>
      <c r="Q163">
        <v>2</v>
      </c>
      <c r="R163">
        <v>242</v>
      </c>
      <c r="S163">
        <v>11.413474669961632</v>
      </c>
      <c r="T163">
        <v>0.982962965965271</v>
      </c>
      <c r="W163">
        <f t="shared" si="8"/>
        <v>134729</v>
      </c>
      <c r="X163">
        <f t="shared" si="9"/>
        <v>0.95703703165054321</v>
      </c>
      <c r="Y163">
        <f t="shared" si="10"/>
        <v>0.982962965965271</v>
      </c>
      <c r="Z163">
        <f t="shared" si="11"/>
        <v>11.413474669961632</v>
      </c>
    </row>
    <row r="164" spans="1:26" hidden="1" x14ac:dyDescent="0.25">
      <c r="A164" t="s">
        <v>106</v>
      </c>
      <c r="B164">
        <v>9</v>
      </c>
      <c r="C164">
        <v>3</v>
      </c>
      <c r="D164">
        <v>0</v>
      </c>
      <c r="E164" t="s">
        <v>293</v>
      </c>
      <c r="F164">
        <v>135217</v>
      </c>
      <c r="G164">
        <v>172114864.25</v>
      </c>
      <c r="H164">
        <v>0.95222222805023193</v>
      </c>
      <c r="I164">
        <v>0.9588888888888889</v>
      </c>
      <c r="J164">
        <v>27022173.75</v>
      </c>
      <c r="K164">
        <v>134729</v>
      </c>
      <c r="L164">
        <v>2</v>
      </c>
      <c r="M164">
        <v>241</v>
      </c>
      <c r="N164">
        <v>0.95111111111111113</v>
      </c>
      <c r="O164">
        <v>25967464.5</v>
      </c>
      <c r="P164">
        <v>135772</v>
      </c>
      <c r="Q164">
        <v>2</v>
      </c>
      <c r="R164">
        <v>242</v>
      </c>
      <c r="S164">
        <v>11.920675830469644</v>
      </c>
      <c r="T164">
        <v>0.96296296517054236</v>
      </c>
      <c r="W164">
        <f t="shared" si="8"/>
        <v>134729</v>
      </c>
      <c r="X164">
        <f t="shared" si="9"/>
        <v>0.95222222805023193</v>
      </c>
      <c r="Y164">
        <f t="shared" si="10"/>
        <v>0.96296296517054236</v>
      </c>
      <c r="Z164">
        <f t="shared" si="11"/>
        <v>11.920675830469644</v>
      </c>
    </row>
    <row r="165" spans="1:26" hidden="1" x14ac:dyDescent="0.25">
      <c r="A165" t="s">
        <v>106</v>
      </c>
      <c r="B165">
        <v>9</v>
      </c>
      <c r="C165">
        <v>4</v>
      </c>
      <c r="D165">
        <v>0</v>
      </c>
      <c r="E165" t="s">
        <v>292</v>
      </c>
      <c r="F165">
        <v>135133</v>
      </c>
      <c r="G165">
        <v>216320171.75</v>
      </c>
      <c r="H165">
        <v>0.93611112236976624</v>
      </c>
      <c r="I165">
        <v>0.9538888888888889</v>
      </c>
      <c r="J165">
        <v>25796342.25</v>
      </c>
      <c r="K165">
        <v>134729</v>
      </c>
      <c r="L165">
        <v>2</v>
      </c>
      <c r="M165">
        <v>241</v>
      </c>
      <c r="N165">
        <v>0.95444444444444443</v>
      </c>
      <c r="O165">
        <v>24267841.5</v>
      </c>
      <c r="P165">
        <v>135772</v>
      </c>
      <c r="Q165">
        <v>2</v>
      </c>
      <c r="R165">
        <v>242</v>
      </c>
      <c r="S165">
        <v>12.150013993842709</v>
      </c>
      <c r="T165">
        <v>0.95310000000000006</v>
      </c>
      <c r="W165">
        <f t="shared" si="8"/>
        <v>134729</v>
      </c>
      <c r="X165">
        <f t="shared" si="9"/>
        <v>0.93611112236976624</v>
      </c>
      <c r="Y165">
        <f t="shared" si="10"/>
        <v>0.95310000000000006</v>
      </c>
      <c r="Z165">
        <f t="shared" si="11"/>
        <v>12.150013993842709</v>
      </c>
    </row>
    <row r="166" spans="1:26" x14ac:dyDescent="0.25">
      <c r="A166" t="s">
        <v>106</v>
      </c>
      <c r="B166">
        <v>3</v>
      </c>
      <c r="C166">
        <v>2</v>
      </c>
      <c r="D166">
        <v>0</v>
      </c>
      <c r="E166" t="s">
        <v>158</v>
      </c>
      <c r="F166">
        <v>83840</v>
      </c>
      <c r="G166">
        <v>205073294.16666666</v>
      </c>
      <c r="H166">
        <v>0.98703703284263611</v>
      </c>
      <c r="I166">
        <v>0.97888888888888892</v>
      </c>
      <c r="J166">
        <v>17790642.166666668</v>
      </c>
      <c r="K166">
        <v>135772</v>
      </c>
      <c r="L166">
        <v>2</v>
      </c>
      <c r="M166">
        <v>242</v>
      </c>
      <c r="N166">
        <v>0.97888888888888892</v>
      </c>
      <c r="O166">
        <v>16951024.166666668</v>
      </c>
      <c r="P166">
        <v>136819</v>
      </c>
      <c r="Q166">
        <v>2</v>
      </c>
      <c r="R166">
        <v>243</v>
      </c>
      <c r="S166">
        <v>11.174569136684934</v>
      </c>
      <c r="T166">
        <v>0.98740739822387691</v>
      </c>
      <c r="W166">
        <f t="shared" si="8"/>
        <v>135772</v>
      </c>
      <c r="X166">
        <f t="shared" si="9"/>
        <v>0.98703703284263611</v>
      </c>
      <c r="Y166">
        <f t="shared" si="10"/>
        <v>0.98740739822387691</v>
      </c>
      <c r="Z166">
        <f t="shared" si="11"/>
        <v>11.174569136684934</v>
      </c>
    </row>
    <row r="167" spans="1:26" hidden="1" x14ac:dyDescent="0.25">
      <c r="A167" t="s">
        <v>106</v>
      </c>
      <c r="B167">
        <v>5</v>
      </c>
      <c r="C167">
        <v>2</v>
      </c>
      <c r="D167">
        <v>0</v>
      </c>
      <c r="E167" t="s">
        <v>256</v>
      </c>
      <c r="F167">
        <v>136663</v>
      </c>
      <c r="G167">
        <v>357170294</v>
      </c>
      <c r="H167">
        <v>0.9605555534362793</v>
      </c>
      <c r="I167">
        <v>0.9622222222222222</v>
      </c>
      <c r="J167">
        <v>24663388.75</v>
      </c>
      <c r="K167">
        <v>135772</v>
      </c>
      <c r="L167">
        <v>2</v>
      </c>
      <c r="M167">
        <v>242</v>
      </c>
      <c r="N167">
        <v>0.9655555555555555</v>
      </c>
      <c r="O167">
        <v>24194403</v>
      </c>
      <c r="P167">
        <v>136819</v>
      </c>
      <c r="Q167">
        <v>2</v>
      </c>
      <c r="R167">
        <v>243</v>
      </c>
      <c r="S167">
        <v>11.428453686679768</v>
      </c>
      <c r="T167">
        <v>0.96172839403152466</v>
      </c>
      <c r="W167">
        <f t="shared" si="8"/>
        <v>135772</v>
      </c>
      <c r="X167">
        <f t="shared" si="9"/>
        <v>0.9605555534362793</v>
      </c>
      <c r="Y167">
        <f t="shared" si="10"/>
        <v>0.96172839403152466</v>
      </c>
      <c r="Z167">
        <f t="shared" si="11"/>
        <v>11.428453686679768</v>
      </c>
    </row>
    <row r="168" spans="1:26" x14ac:dyDescent="0.25">
      <c r="A168" t="s">
        <v>106</v>
      </c>
      <c r="B168">
        <v>3</v>
      </c>
      <c r="C168">
        <v>2</v>
      </c>
      <c r="D168">
        <v>0</v>
      </c>
      <c r="E168" t="s">
        <v>206</v>
      </c>
      <c r="F168">
        <v>84894</v>
      </c>
      <c r="G168">
        <v>327770093.28571427</v>
      </c>
      <c r="H168">
        <v>0.97164020935694373</v>
      </c>
      <c r="I168">
        <v>0.95947089947089947</v>
      </c>
      <c r="J168">
        <v>26170881.571428571</v>
      </c>
      <c r="K168">
        <v>136819</v>
      </c>
      <c r="L168">
        <v>2</v>
      </c>
      <c r="M168">
        <v>243</v>
      </c>
      <c r="N168">
        <v>0.96074074074074078</v>
      </c>
      <c r="O168">
        <v>26999536.380952381</v>
      </c>
      <c r="P168">
        <v>137870</v>
      </c>
      <c r="Q168">
        <v>2</v>
      </c>
      <c r="R168">
        <v>244</v>
      </c>
      <c r="S168">
        <v>11.179273707580082</v>
      </c>
      <c r="T168">
        <v>0.97981480956077571</v>
      </c>
      <c r="W168">
        <f t="shared" si="8"/>
        <v>136819</v>
      </c>
      <c r="X168">
        <f t="shared" si="9"/>
        <v>0.97164020935694373</v>
      </c>
      <c r="Y168">
        <f t="shared" si="10"/>
        <v>0.97981480956077571</v>
      </c>
      <c r="Z168">
        <f t="shared" si="11"/>
        <v>11.179273707580082</v>
      </c>
    </row>
    <row r="169" spans="1:26" hidden="1" x14ac:dyDescent="0.25">
      <c r="A169" t="s">
        <v>106</v>
      </c>
      <c r="B169">
        <v>3</v>
      </c>
      <c r="C169">
        <v>3</v>
      </c>
      <c r="D169">
        <v>0</v>
      </c>
      <c r="E169" t="s">
        <v>115</v>
      </c>
      <c r="F169">
        <v>77382</v>
      </c>
      <c r="G169">
        <v>116228540.33333333</v>
      </c>
      <c r="H169">
        <v>0.95703704158465064</v>
      </c>
      <c r="I169">
        <v>0.96666666666666667</v>
      </c>
      <c r="J169">
        <v>23970971.5</v>
      </c>
      <c r="K169">
        <v>136819</v>
      </c>
      <c r="L169">
        <v>2</v>
      </c>
      <c r="M169">
        <v>243</v>
      </c>
      <c r="N169">
        <v>0.96407407407407408</v>
      </c>
      <c r="O169">
        <v>22969397.333333332</v>
      </c>
      <c r="P169">
        <v>137870</v>
      </c>
      <c r="Q169">
        <v>2</v>
      </c>
      <c r="R169">
        <v>244</v>
      </c>
      <c r="S169">
        <v>11.271815596467595</v>
      </c>
      <c r="T169">
        <v>0.97111109495162962</v>
      </c>
      <c r="W169">
        <f t="shared" si="8"/>
        <v>136819</v>
      </c>
      <c r="X169">
        <f t="shared" si="9"/>
        <v>0.95703704158465064</v>
      </c>
      <c r="Y169">
        <f t="shared" si="10"/>
        <v>0.97111109495162962</v>
      </c>
      <c r="Z169">
        <f t="shared" si="11"/>
        <v>11.271815596467595</v>
      </c>
    </row>
    <row r="170" spans="1:26" hidden="1" x14ac:dyDescent="0.25">
      <c r="A170" t="s">
        <v>106</v>
      </c>
      <c r="B170">
        <v>5</v>
      </c>
      <c r="C170">
        <v>3</v>
      </c>
      <c r="D170">
        <v>0</v>
      </c>
      <c r="E170" t="s">
        <v>254</v>
      </c>
      <c r="F170">
        <v>137309</v>
      </c>
      <c r="G170">
        <v>193262826</v>
      </c>
      <c r="H170">
        <v>0.95722222328186035</v>
      </c>
      <c r="I170">
        <v>0.9538888888888889</v>
      </c>
      <c r="J170">
        <v>26772505.5</v>
      </c>
      <c r="K170">
        <v>136819</v>
      </c>
      <c r="L170">
        <v>2</v>
      </c>
      <c r="M170">
        <v>243</v>
      </c>
      <c r="N170">
        <v>0.95500000000000007</v>
      </c>
      <c r="O170">
        <v>26562205</v>
      </c>
      <c r="P170">
        <v>137870</v>
      </c>
      <c r="Q170">
        <v>2</v>
      </c>
      <c r="R170">
        <v>244</v>
      </c>
      <c r="S170">
        <v>11.529759313390135</v>
      </c>
      <c r="T170">
        <v>0.98888885974884033</v>
      </c>
      <c r="W170">
        <f t="shared" si="8"/>
        <v>136819</v>
      </c>
      <c r="X170">
        <f t="shared" si="9"/>
        <v>0.95722222328186035</v>
      </c>
      <c r="Y170">
        <f t="shared" si="10"/>
        <v>0.98888885974884033</v>
      </c>
      <c r="Z170">
        <f t="shared" si="11"/>
        <v>11.529759313390135</v>
      </c>
    </row>
    <row r="171" spans="1:26" hidden="1" x14ac:dyDescent="0.25">
      <c r="A171" t="s">
        <v>106</v>
      </c>
      <c r="B171">
        <v>5</v>
      </c>
      <c r="C171">
        <v>4</v>
      </c>
      <c r="D171">
        <v>0</v>
      </c>
      <c r="E171" t="s">
        <v>248</v>
      </c>
      <c r="F171">
        <v>136850</v>
      </c>
      <c r="G171">
        <v>157279302.5</v>
      </c>
      <c r="H171">
        <v>0.96333332359790802</v>
      </c>
      <c r="I171">
        <v>0.97111111111111115</v>
      </c>
      <c r="J171">
        <v>26269845</v>
      </c>
      <c r="K171">
        <v>136819</v>
      </c>
      <c r="L171">
        <v>2</v>
      </c>
      <c r="M171">
        <v>243</v>
      </c>
      <c r="N171">
        <v>0.96444444444444444</v>
      </c>
      <c r="O171">
        <v>24704182.75</v>
      </c>
      <c r="P171">
        <v>137870</v>
      </c>
      <c r="Q171">
        <v>2</v>
      </c>
      <c r="R171">
        <v>244</v>
      </c>
      <c r="S171">
        <v>11.580950057930362</v>
      </c>
      <c r="T171">
        <v>0.97530863682428992</v>
      </c>
      <c r="W171">
        <f t="shared" si="8"/>
        <v>136819</v>
      </c>
      <c r="X171">
        <f t="shared" si="9"/>
        <v>0.96333332359790802</v>
      </c>
      <c r="Y171">
        <f t="shared" si="10"/>
        <v>0.97530863682428992</v>
      </c>
      <c r="Z171">
        <f t="shared" si="11"/>
        <v>11.580950057930362</v>
      </c>
    </row>
    <row r="172" spans="1:26" x14ac:dyDescent="0.25">
      <c r="A172" t="s">
        <v>106</v>
      </c>
      <c r="B172">
        <v>3</v>
      </c>
      <c r="C172">
        <v>2</v>
      </c>
      <c r="D172">
        <v>0</v>
      </c>
      <c r="E172" t="s">
        <v>159</v>
      </c>
      <c r="F172">
        <v>85026</v>
      </c>
      <c r="G172">
        <v>267500104.18181819</v>
      </c>
      <c r="H172">
        <v>0.98121211745522241</v>
      </c>
      <c r="I172">
        <v>0.97333333333333338</v>
      </c>
      <c r="J172">
        <v>22342492.454545453</v>
      </c>
      <c r="K172">
        <v>137870</v>
      </c>
      <c r="L172">
        <v>2</v>
      </c>
      <c r="M172">
        <v>244</v>
      </c>
      <c r="N172">
        <v>0.97535353535353531</v>
      </c>
      <c r="O172">
        <v>20514998.727272727</v>
      </c>
      <c r="P172">
        <v>138925</v>
      </c>
      <c r="Q172">
        <v>2</v>
      </c>
      <c r="R172">
        <v>245</v>
      </c>
      <c r="S172">
        <v>11.182444743721778</v>
      </c>
      <c r="T172">
        <v>0.98148147463798519</v>
      </c>
      <c r="W172">
        <f t="shared" si="8"/>
        <v>137870</v>
      </c>
      <c r="X172">
        <f t="shared" si="9"/>
        <v>0.98121211745522241</v>
      </c>
      <c r="Y172">
        <f t="shared" si="10"/>
        <v>0.98148147463798519</v>
      </c>
      <c r="Z172">
        <f t="shared" si="11"/>
        <v>11.182444743721778</v>
      </c>
    </row>
    <row r="173" spans="1:26" hidden="1" x14ac:dyDescent="0.25">
      <c r="A173" t="s">
        <v>106</v>
      </c>
      <c r="B173">
        <v>3</v>
      </c>
      <c r="C173">
        <v>4</v>
      </c>
      <c r="D173">
        <v>0</v>
      </c>
      <c r="E173" t="s">
        <v>253</v>
      </c>
      <c r="F173">
        <v>72628</v>
      </c>
      <c r="G173">
        <v>70487732.166666672</v>
      </c>
      <c r="H173">
        <v>0.95592593153317773</v>
      </c>
      <c r="I173">
        <v>0.95592592592592596</v>
      </c>
      <c r="J173">
        <v>14748534.166666666</v>
      </c>
      <c r="K173">
        <v>137870</v>
      </c>
      <c r="L173">
        <v>2</v>
      </c>
      <c r="M173">
        <v>244</v>
      </c>
      <c r="N173">
        <v>0.95111111111111113</v>
      </c>
      <c r="O173">
        <v>15090088.5</v>
      </c>
      <c r="P173">
        <v>138925</v>
      </c>
      <c r="Q173">
        <v>2</v>
      </c>
      <c r="R173">
        <v>245</v>
      </c>
      <c r="S173">
        <v>11.412663329649613</v>
      </c>
      <c r="T173">
        <v>0.98074074983596804</v>
      </c>
      <c r="W173">
        <f t="shared" si="8"/>
        <v>137870</v>
      </c>
      <c r="X173">
        <f t="shared" si="9"/>
        <v>0.95592593153317773</v>
      </c>
      <c r="Y173">
        <f t="shared" si="10"/>
        <v>0.98074074983596804</v>
      </c>
      <c r="Z173">
        <f t="shared" si="11"/>
        <v>11.412663329649613</v>
      </c>
    </row>
    <row r="174" spans="1:26" hidden="1" x14ac:dyDescent="0.25">
      <c r="A174" t="s">
        <v>106</v>
      </c>
      <c r="B174">
        <v>5</v>
      </c>
      <c r="C174">
        <v>2</v>
      </c>
      <c r="D174">
        <v>0</v>
      </c>
      <c r="E174" t="s">
        <v>262</v>
      </c>
      <c r="F174">
        <v>138173</v>
      </c>
      <c r="G174">
        <v>291275441.85714287</v>
      </c>
      <c r="H174">
        <v>0.97015872171946937</v>
      </c>
      <c r="I174">
        <v>0.95904761904761904</v>
      </c>
      <c r="J174">
        <v>25696249.714285713</v>
      </c>
      <c r="K174">
        <v>137870</v>
      </c>
      <c r="L174">
        <v>2</v>
      </c>
      <c r="M174">
        <v>244</v>
      </c>
      <c r="N174">
        <v>0.96</v>
      </c>
      <c r="O174">
        <v>23696310.714285713</v>
      </c>
      <c r="P174">
        <v>138925</v>
      </c>
      <c r="Q174">
        <v>2</v>
      </c>
      <c r="R174">
        <v>245</v>
      </c>
      <c r="S174">
        <v>11.429847908745247</v>
      </c>
      <c r="T174">
        <v>0.94999998807907104</v>
      </c>
      <c r="W174">
        <f t="shared" si="8"/>
        <v>137870</v>
      </c>
      <c r="X174">
        <f t="shared" si="9"/>
        <v>0.97015872171946937</v>
      </c>
      <c r="Y174">
        <f t="shared" si="10"/>
        <v>0.94999998807907104</v>
      </c>
      <c r="Z174">
        <f t="shared" si="11"/>
        <v>11.429847908745247</v>
      </c>
    </row>
    <row r="175" spans="1:26" hidden="1" x14ac:dyDescent="0.25">
      <c r="A175" t="s">
        <v>106</v>
      </c>
      <c r="B175">
        <v>5</v>
      </c>
      <c r="C175">
        <v>5</v>
      </c>
      <c r="D175">
        <v>0</v>
      </c>
      <c r="E175" t="s">
        <v>243</v>
      </c>
      <c r="F175">
        <v>138616</v>
      </c>
      <c r="G175">
        <v>191389628</v>
      </c>
      <c r="H175">
        <v>0.96611110866069794</v>
      </c>
      <c r="I175">
        <v>0.97</v>
      </c>
      <c r="J175">
        <v>26507267.5</v>
      </c>
      <c r="K175">
        <v>137870</v>
      </c>
      <c r="L175">
        <v>2</v>
      </c>
      <c r="M175">
        <v>244</v>
      </c>
      <c r="N175">
        <v>0.97833333333333328</v>
      </c>
      <c r="O175">
        <v>26207621.5</v>
      </c>
      <c r="P175">
        <v>138925</v>
      </c>
      <c r="Q175">
        <v>2</v>
      </c>
      <c r="R175">
        <v>245</v>
      </c>
      <c r="S175">
        <v>11.615872256443993</v>
      </c>
      <c r="T175">
        <v>0.96049384276072181</v>
      </c>
      <c r="W175">
        <f t="shared" si="8"/>
        <v>137870</v>
      </c>
      <c r="X175">
        <f t="shared" si="9"/>
        <v>0.96611110866069794</v>
      </c>
      <c r="Y175">
        <f t="shared" si="10"/>
        <v>0.96049384276072181</v>
      </c>
      <c r="Z175">
        <f t="shared" si="11"/>
        <v>11.615872256443993</v>
      </c>
    </row>
    <row r="176" spans="1:26" hidden="1" x14ac:dyDescent="0.25">
      <c r="A176" t="s">
        <v>106</v>
      </c>
      <c r="B176">
        <v>9</v>
      </c>
      <c r="C176">
        <v>2</v>
      </c>
      <c r="D176">
        <v>0</v>
      </c>
      <c r="E176" t="s">
        <v>253</v>
      </c>
      <c r="F176">
        <v>137896</v>
      </c>
      <c r="G176">
        <v>135946991.75</v>
      </c>
      <c r="H176">
        <v>0.96555554866790771</v>
      </c>
      <c r="I176">
        <v>0.97055555555555562</v>
      </c>
      <c r="J176">
        <v>25387403.25</v>
      </c>
      <c r="K176">
        <v>137870</v>
      </c>
      <c r="L176">
        <v>2</v>
      </c>
      <c r="M176">
        <v>244</v>
      </c>
      <c r="N176">
        <v>0.96666666666666667</v>
      </c>
      <c r="O176">
        <v>24824455</v>
      </c>
      <c r="P176">
        <v>138925</v>
      </c>
      <c r="Q176">
        <v>2</v>
      </c>
      <c r="R176">
        <v>245</v>
      </c>
      <c r="S176">
        <v>11.713735783027122</v>
      </c>
      <c r="T176">
        <v>0.9592592716217041</v>
      </c>
      <c r="W176">
        <f t="shared" si="8"/>
        <v>137870</v>
      </c>
      <c r="X176">
        <f t="shared" si="9"/>
        <v>0.96555554866790771</v>
      </c>
      <c r="Y176">
        <f t="shared" si="10"/>
        <v>0.9592592716217041</v>
      </c>
      <c r="Z176">
        <f t="shared" si="11"/>
        <v>11.713735783027122</v>
      </c>
    </row>
    <row r="177" spans="1:26" x14ac:dyDescent="0.25">
      <c r="A177" t="s">
        <v>106</v>
      </c>
      <c r="B177">
        <v>3</v>
      </c>
      <c r="C177">
        <v>2</v>
      </c>
      <c r="D177">
        <v>0</v>
      </c>
      <c r="E177" t="s">
        <v>207</v>
      </c>
      <c r="F177">
        <v>86144</v>
      </c>
      <c r="G177">
        <v>347150276.90909094</v>
      </c>
      <c r="H177">
        <v>0.9765656590461731</v>
      </c>
      <c r="I177">
        <v>0.9624242424242424</v>
      </c>
      <c r="J177">
        <v>25569820.90909091</v>
      </c>
      <c r="K177">
        <v>138925</v>
      </c>
      <c r="L177">
        <v>2</v>
      </c>
      <c r="M177">
        <v>245</v>
      </c>
      <c r="N177">
        <v>0.95898989898989895</v>
      </c>
      <c r="O177">
        <v>26148042</v>
      </c>
      <c r="P177">
        <v>139984</v>
      </c>
      <c r="Q177">
        <v>2</v>
      </c>
      <c r="R177">
        <v>246</v>
      </c>
      <c r="S177">
        <v>11.185135349058097</v>
      </c>
      <c r="T177">
        <v>0.98555555343627932</v>
      </c>
      <c r="W177">
        <f t="shared" si="8"/>
        <v>138925</v>
      </c>
      <c r="X177">
        <f t="shared" si="9"/>
        <v>0.9765656590461731</v>
      </c>
      <c r="Y177">
        <f t="shared" si="10"/>
        <v>0.98555555343627932</v>
      </c>
      <c r="Z177">
        <f t="shared" si="11"/>
        <v>11.185135349058097</v>
      </c>
    </row>
    <row r="178" spans="1:26" hidden="1" x14ac:dyDescent="0.25">
      <c r="A178" t="s">
        <v>106</v>
      </c>
      <c r="B178">
        <v>3</v>
      </c>
      <c r="C178">
        <v>3</v>
      </c>
      <c r="D178">
        <v>0</v>
      </c>
      <c r="E178" t="s">
        <v>116</v>
      </c>
      <c r="F178">
        <v>78716</v>
      </c>
      <c r="G178">
        <v>112986124.5</v>
      </c>
      <c r="H178">
        <v>0.96888888875643409</v>
      </c>
      <c r="I178">
        <v>0.9622222222222222</v>
      </c>
      <c r="J178">
        <v>23552894.333333332</v>
      </c>
      <c r="K178">
        <v>138925</v>
      </c>
      <c r="L178">
        <v>2</v>
      </c>
      <c r="M178">
        <v>245</v>
      </c>
      <c r="N178">
        <v>0.96333333333333337</v>
      </c>
      <c r="O178">
        <v>23894042.166666668</v>
      </c>
      <c r="P178">
        <v>139984</v>
      </c>
      <c r="Q178">
        <v>2</v>
      </c>
      <c r="R178">
        <v>246</v>
      </c>
      <c r="S178">
        <v>11.270721125074806</v>
      </c>
      <c r="T178">
        <v>0.97259258031845097</v>
      </c>
      <c r="W178">
        <f t="shared" si="8"/>
        <v>138925</v>
      </c>
      <c r="X178">
        <f t="shared" si="9"/>
        <v>0.96888888875643409</v>
      </c>
      <c r="Y178">
        <f t="shared" si="10"/>
        <v>0.97259258031845097</v>
      </c>
      <c r="Z178">
        <f t="shared" si="11"/>
        <v>11.270721125074806</v>
      </c>
    </row>
    <row r="179" spans="1:26" x14ac:dyDescent="0.25">
      <c r="A179" t="s">
        <v>106</v>
      </c>
      <c r="B179">
        <v>3</v>
      </c>
      <c r="C179">
        <v>2</v>
      </c>
      <c r="D179">
        <v>0</v>
      </c>
      <c r="E179" t="s">
        <v>160</v>
      </c>
      <c r="F179">
        <v>86212</v>
      </c>
      <c r="G179">
        <v>281641157.0625</v>
      </c>
      <c r="H179">
        <v>0.9826388880610466</v>
      </c>
      <c r="I179">
        <v>0.96375</v>
      </c>
      <c r="J179">
        <v>22557342.875</v>
      </c>
      <c r="K179">
        <v>139984</v>
      </c>
      <c r="L179">
        <v>2</v>
      </c>
      <c r="M179">
        <v>246</v>
      </c>
      <c r="N179">
        <v>0.96347222222222217</v>
      </c>
      <c r="O179">
        <v>20955887.5625</v>
      </c>
      <c r="P179">
        <v>141047</v>
      </c>
      <c r="Q179">
        <v>2</v>
      </c>
      <c r="R179">
        <v>247</v>
      </c>
      <c r="S179">
        <v>11.188616600790514</v>
      </c>
      <c r="T179">
        <v>0.98172840277353923</v>
      </c>
      <c r="W179">
        <f t="shared" si="8"/>
        <v>139984</v>
      </c>
      <c r="X179">
        <f t="shared" si="9"/>
        <v>0.9826388880610466</v>
      </c>
      <c r="Y179">
        <f t="shared" si="10"/>
        <v>0.98172840277353923</v>
      </c>
      <c r="Z179">
        <f t="shared" si="11"/>
        <v>11.188616600790514</v>
      </c>
    </row>
    <row r="180" spans="1:26" hidden="1" x14ac:dyDescent="0.25">
      <c r="A180" t="s">
        <v>106</v>
      </c>
      <c r="B180">
        <v>3</v>
      </c>
      <c r="C180">
        <v>4</v>
      </c>
      <c r="D180">
        <v>0</v>
      </c>
      <c r="E180" t="s">
        <v>107</v>
      </c>
      <c r="F180">
        <v>74110</v>
      </c>
      <c r="G180">
        <v>68337071.833333328</v>
      </c>
      <c r="H180">
        <v>0.96259259184201562</v>
      </c>
      <c r="I180">
        <v>0.95407407407407407</v>
      </c>
      <c r="J180">
        <v>15505753.333333334</v>
      </c>
      <c r="K180">
        <v>139984</v>
      </c>
      <c r="L180">
        <v>2</v>
      </c>
      <c r="M180">
        <v>246</v>
      </c>
      <c r="N180">
        <v>0.95777777777777773</v>
      </c>
      <c r="O180">
        <v>14923640</v>
      </c>
      <c r="P180">
        <v>141047</v>
      </c>
      <c r="Q180">
        <v>2</v>
      </c>
      <c r="R180">
        <v>247</v>
      </c>
      <c r="S180">
        <v>11.412112547923842</v>
      </c>
      <c r="T180">
        <v>0.98148149251937866</v>
      </c>
      <c r="W180">
        <f t="shared" si="8"/>
        <v>139984</v>
      </c>
      <c r="X180">
        <f t="shared" si="9"/>
        <v>0.96259259184201562</v>
      </c>
      <c r="Y180">
        <f t="shared" si="10"/>
        <v>0.98148149251937866</v>
      </c>
      <c r="Z180">
        <f t="shared" si="11"/>
        <v>11.412112547923842</v>
      </c>
    </row>
    <row r="181" spans="1:26" hidden="1" x14ac:dyDescent="0.25">
      <c r="A181" t="s">
        <v>106</v>
      </c>
      <c r="B181">
        <v>5</v>
      </c>
      <c r="C181">
        <v>2</v>
      </c>
      <c r="D181">
        <v>0</v>
      </c>
      <c r="E181" t="s">
        <v>201</v>
      </c>
      <c r="F181">
        <v>140302</v>
      </c>
      <c r="G181">
        <v>508344488.25</v>
      </c>
      <c r="H181">
        <v>0.96166665852069855</v>
      </c>
      <c r="I181">
        <v>0.96111111111111103</v>
      </c>
      <c r="J181">
        <v>26718261.5</v>
      </c>
      <c r="K181">
        <v>139984</v>
      </c>
      <c r="L181">
        <v>2</v>
      </c>
      <c r="M181">
        <v>246</v>
      </c>
      <c r="N181">
        <v>0.9588888888888889</v>
      </c>
      <c r="O181">
        <v>25110241.5</v>
      </c>
      <c r="P181">
        <v>141047</v>
      </c>
      <c r="Q181">
        <v>2</v>
      </c>
      <c r="R181">
        <v>247</v>
      </c>
      <c r="S181">
        <v>11.432336543335023</v>
      </c>
      <c r="T181">
        <v>0.95308641592661536</v>
      </c>
      <c r="W181">
        <f t="shared" si="8"/>
        <v>139984</v>
      </c>
      <c r="X181">
        <f t="shared" si="9"/>
        <v>0.96166665852069855</v>
      </c>
      <c r="Y181">
        <f t="shared" si="10"/>
        <v>0.95308641592661536</v>
      </c>
      <c r="Z181">
        <f t="shared" si="11"/>
        <v>11.432336543335023</v>
      </c>
    </row>
    <row r="182" spans="1:26" hidden="1" x14ac:dyDescent="0.25">
      <c r="A182" t="s">
        <v>106</v>
      </c>
      <c r="B182">
        <v>9</v>
      </c>
      <c r="C182">
        <v>5</v>
      </c>
      <c r="D182">
        <v>0</v>
      </c>
      <c r="E182" t="s">
        <v>192</v>
      </c>
      <c r="F182">
        <v>140974</v>
      </c>
      <c r="G182">
        <v>260529539.75</v>
      </c>
      <c r="H182">
        <v>0.91611111164093018</v>
      </c>
      <c r="I182">
        <v>0.96666666666666667</v>
      </c>
      <c r="J182">
        <v>31177831.75</v>
      </c>
      <c r="K182">
        <v>139984</v>
      </c>
      <c r="L182">
        <v>2</v>
      </c>
      <c r="M182">
        <v>246</v>
      </c>
      <c r="N182">
        <v>0.96277777777777773</v>
      </c>
      <c r="O182">
        <v>32207042.75</v>
      </c>
      <c r="P182">
        <v>141047</v>
      </c>
      <c r="Q182">
        <v>2</v>
      </c>
      <c r="R182">
        <v>247</v>
      </c>
      <c r="S182">
        <v>12.180518909410729</v>
      </c>
      <c r="T182">
        <v>0.92589999999999995</v>
      </c>
      <c r="W182">
        <f t="shared" si="8"/>
        <v>139984</v>
      </c>
      <c r="X182">
        <f t="shared" si="9"/>
        <v>0.91611111164093018</v>
      </c>
      <c r="Y182">
        <f t="shared" si="10"/>
        <v>0.92589999999999995</v>
      </c>
      <c r="Z182">
        <f t="shared" si="11"/>
        <v>12.180518909410729</v>
      </c>
    </row>
    <row r="183" spans="1:26" x14ac:dyDescent="0.25">
      <c r="A183" t="s">
        <v>106</v>
      </c>
      <c r="B183">
        <v>3</v>
      </c>
      <c r="C183">
        <v>2</v>
      </c>
      <c r="D183">
        <v>0</v>
      </c>
      <c r="E183" t="s">
        <v>161</v>
      </c>
      <c r="F183">
        <v>87398</v>
      </c>
      <c r="G183">
        <v>338855748.09090906</v>
      </c>
      <c r="H183">
        <v>0.97272728248076001</v>
      </c>
      <c r="I183">
        <v>0.95858585858585854</v>
      </c>
      <c r="J183">
        <v>27039183.727272727</v>
      </c>
      <c r="K183">
        <v>141047</v>
      </c>
      <c r="L183">
        <v>2</v>
      </c>
      <c r="M183">
        <v>247</v>
      </c>
      <c r="N183">
        <v>0.95838383838383834</v>
      </c>
      <c r="O183">
        <v>27237620.454545453</v>
      </c>
      <c r="P183">
        <v>142114</v>
      </c>
      <c r="Q183">
        <v>2</v>
      </c>
      <c r="R183">
        <v>248</v>
      </c>
      <c r="S183">
        <v>11.190032382908143</v>
      </c>
      <c r="T183">
        <v>0.9822222054004669</v>
      </c>
      <c r="W183">
        <f t="shared" si="8"/>
        <v>141047</v>
      </c>
      <c r="X183">
        <f t="shared" si="9"/>
        <v>0.97272728248076001</v>
      </c>
      <c r="Y183">
        <f t="shared" si="10"/>
        <v>0.9822222054004669</v>
      </c>
      <c r="Z183">
        <f t="shared" si="11"/>
        <v>11.190032382908143</v>
      </c>
    </row>
    <row r="184" spans="1:26" hidden="1" x14ac:dyDescent="0.25">
      <c r="A184" t="s">
        <v>106</v>
      </c>
      <c r="B184">
        <v>3</v>
      </c>
      <c r="C184">
        <v>3</v>
      </c>
      <c r="D184">
        <v>0</v>
      </c>
      <c r="E184" t="s">
        <v>147</v>
      </c>
      <c r="F184">
        <v>79626</v>
      </c>
      <c r="G184">
        <v>135925560.66666666</v>
      </c>
      <c r="H184">
        <v>0.96851851542790734</v>
      </c>
      <c r="I184">
        <v>0.95777777777777773</v>
      </c>
      <c r="J184">
        <v>23756855.666666668</v>
      </c>
      <c r="K184">
        <v>141047</v>
      </c>
      <c r="L184">
        <v>2</v>
      </c>
      <c r="M184">
        <v>247</v>
      </c>
      <c r="N184">
        <v>0.95851851851851855</v>
      </c>
      <c r="O184">
        <v>23073146.333333332</v>
      </c>
      <c r="P184">
        <v>142114</v>
      </c>
      <c r="Q184">
        <v>2</v>
      </c>
      <c r="R184">
        <v>248</v>
      </c>
      <c r="S184">
        <v>11.27022581127561</v>
      </c>
      <c r="T184">
        <v>0.96740739345550542</v>
      </c>
      <c r="W184">
        <f t="shared" si="8"/>
        <v>141047</v>
      </c>
      <c r="X184">
        <f t="shared" si="9"/>
        <v>0.96851851542790734</v>
      </c>
      <c r="Y184">
        <f t="shared" si="10"/>
        <v>0.96740739345550542</v>
      </c>
      <c r="Z184">
        <f t="shared" si="11"/>
        <v>11.27022581127561</v>
      </c>
    </row>
    <row r="185" spans="1:26" hidden="1" x14ac:dyDescent="0.25">
      <c r="A185" t="s">
        <v>106</v>
      </c>
      <c r="B185">
        <v>3</v>
      </c>
      <c r="C185">
        <v>3</v>
      </c>
      <c r="D185">
        <v>0</v>
      </c>
      <c r="E185" t="s">
        <v>117</v>
      </c>
      <c r="F185">
        <v>80050</v>
      </c>
      <c r="G185">
        <v>209747995</v>
      </c>
      <c r="H185">
        <v>0.97703704237937927</v>
      </c>
      <c r="I185">
        <v>0.9622222222222222</v>
      </c>
      <c r="J185">
        <v>23582960.166666668</v>
      </c>
      <c r="K185">
        <v>142114</v>
      </c>
      <c r="L185">
        <v>2</v>
      </c>
      <c r="M185">
        <v>248</v>
      </c>
      <c r="N185">
        <v>0.96185185185185185</v>
      </c>
      <c r="O185">
        <v>23008727</v>
      </c>
      <c r="P185">
        <v>143185</v>
      </c>
      <c r="Q185">
        <v>2</v>
      </c>
      <c r="R185">
        <v>249</v>
      </c>
      <c r="S185">
        <v>11.271748878923766</v>
      </c>
      <c r="T185">
        <v>0.97555555105209346</v>
      </c>
      <c r="W185">
        <f t="shared" si="8"/>
        <v>142114</v>
      </c>
      <c r="X185">
        <f t="shared" si="9"/>
        <v>0.97703704237937927</v>
      </c>
      <c r="Y185">
        <f t="shared" si="10"/>
        <v>0.97555555105209346</v>
      </c>
      <c r="Z185">
        <f t="shared" si="11"/>
        <v>11.271748878923766</v>
      </c>
    </row>
    <row r="186" spans="1:26" hidden="1" x14ac:dyDescent="0.25">
      <c r="A186" t="s">
        <v>106</v>
      </c>
      <c r="B186">
        <v>5</v>
      </c>
      <c r="C186">
        <v>2</v>
      </c>
      <c r="D186">
        <v>0</v>
      </c>
      <c r="E186" t="s">
        <v>121</v>
      </c>
      <c r="F186">
        <v>142218</v>
      </c>
      <c r="G186">
        <v>485045227.25</v>
      </c>
      <c r="H186">
        <v>0.96388888359069824</v>
      </c>
      <c r="I186">
        <v>0.9622222222222222</v>
      </c>
      <c r="J186">
        <v>27437423.5</v>
      </c>
      <c r="K186">
        <v>142114</v>
      </c>
      <c r="L186">
        <v>2</v>
      </c>
      <c r="M186">
        <v>248</v>
      </c>
      <c r="N186">
        <v>0.9622222222222222</v>
      </c>
      <c r="O186">
        <v>25442114</v>
      </c>
      <c r="P186">
        <v>143185</v>
      </c>
      <c r="Q186">
        <v>2</v>
      </c>
      <c r="R186">
        <v>249</v>
      </c>
      <c r="S186">
        <v>11.434633899163922</v>
      </c>
      <c r="T186">
        <v>0.9580247004826864</v>
      </c>
      <c r="W186">
        <f t="shared" si="8"/>
        <v>142114</v>
      </c>
      <c r="X186">
        <f t="shared" si="9"/>
        <v>0.96388888359069824</v>
      </c>
      <c r="Y186">
        <f t="shared" si="10"/>
        <v>0.9580247004826864</v>
      </c>
      <c r="Z186">
        <f t="shared" si="11"/>
        <v>11.434633899163922</v>
      </c>
    </row>
    <row r="187" spans="1:26" x14ac:dyDescent="0.25">
      <c r="A187" t="s">
        <v>106</v>
      </c>
      <c r="B187">
        <v>3</v>
      </c>
      <c r="C187">
        <v>2</v>
      </c>
      <c r="D187">
        <v>0</v>
      </c>
      <c r="E187" t="s">
        <v>162</v>
      </c>
      <c r="F187">
        <v>88584</v>
      </c>
      <c r="G187">
        <v>303100948.07692307</v>
      </c>
      <c r="H187">
        <v>0.97897435839359581</v>
      </c>
      <c r="I187">
        <v>0.96410256410256412</v>
      </c>
      <c r="J187">
        <v>24388158.923076924</v>
      </c>
      <c r="K187">
        <v>143185</v>
      </c>
      <c r="L187">
        <v>2</v>
      </c>
      <c r="M187">
        <v>249</v>
      </c>
      <c r="N187">
        <v>0.96504273504273508</v>
      </c>
      <c r="O187">
        <v>24201603.846153848</v>
      </c>
      <c r="P187">
        <v>144260</v>
      </c>
      <c r="Q187">
        <v>2</v>
      </c>
      <c r="R187">
        <v>250</v>
      </c>
      <c r="S187">
        <v>11.194451012847797</v>
      </c>
      <c r="T187">
        <v>0.98059258937835692</v>
      </c>
      <c r="W187">
        <f t="shared" si="8"/>
        <v>143185</v>
      </c>
      <c r="X187">
        <f t="shared" si="9"/>
        <v>0.97897435839359581</v>
      </c>
      <c r="Y187">
        <f t="shared" si="10"/>
        <v>0.98059258937835692</v>
      </c>
      <c r="Z187">
        <f t="shared" si="11"/>
        <v>11.194451012847797</v>
      </c>
    </row>
    <row r="188" spans="1:26" hidden="1" x14ac:dyDescent="0.25">
      <c r="A188" t="s">
        <v>106</v>
      </c>
      <c r="B188">
        <v>3</v>
      </c>
      <c r="C188">
        <v>3</v>
      </c>
      <c r="D188">
        <v>0</v>
      </c>
      <c r="E188" t="s">
        <v>148</v>
      </c>
      <c r="F188">
        <v>80960</v>
      </c>
      <c r="G188">
        <v>157655371</v>
      </c>
      <c r="H188">
        <v>0.96925925215085351</v>
      </c>
      <c r="I188">
        <v>0.96407407407407408</v>
      </c>
      <c r="J188">
        <v>21392134</v>
      </c>
      <c r="K188">
        <v>143185</v>
      </c>
      <c r="L188">
        <v>2</v>
      </c>
      <c r="M188">
        <v>249</v>
      </c>
      <c r="N188">
        <v>0.9588888888888889</v>
      </c>
      <c r="O188">
        <v>23505533.833333332</v>
      </c>
      <c r="P188">
        <v>144260</v>
      </c>
      <c r="Q188">
        <v>2</v>
      </c>
      <c r="R188">
        <v>250</v>
      </c>
      <c r="S188">
        <v>11.271328253399073</v>
      </c>
      <c r="T188">
        <v>0.97407406568527222</v>
      </c>
      <c r="W188">
        <f t="shared" si="8"/>
        <v>143185</v>
      </c>
      <c r="X188">
        <f t="shared" si="9"/>
        <v>0.96925925215085351</v>
      </c>
      <c r="Y188">
        <f t="shared" si="10"/>
        <v>0.97407406568527222</v>
      </c>
      <c r="Z188">
        <f t="shared" si="11"/>
        <v>11.271328253399073</v>
      </c>
    </row>
    <row r="189" spans="1:26" hidden="1" x14ac:dyDescent="0.25">
      <c r="A189" t="s">
        <v>106</v>
      </c>
      <c r="B189">
        <v>3</v>
      </c>
      <c r="C189">
        <v>4</v>
      </c>
      <c r="D189">
        <v>0</v>
      </c>
      <c r="E189" t="s">
        <v>108</v>
      </c>
      <c r="F189">
        <v>75592</v>
      </c>
      <c r="G189">
        <v>73001114.166666672</v>
      </c>
      <c r="H189">
        <v>0.95666667819023132</v>
      </c>
      <c r="I189">
        <v>0.95518518518518525</v>
      </c>
      <c r="J189">
        <v>16000863.666666666</v>
      </c>
      <c r="K189">
        <v>143185</v>
      </c>
      <c r="L189">
        <v>2</v>
      </c>
      <c r="M189">
        <v>249</v>
      </c>
      <c r="N189">
        <v>0.95814814814814819</v>
      </c>
      <c r="O189">
        <v>15925004.666666666</v>
      </c>
      <c r="P189">
        <v>144260</v>
      </c>
      <c r="Q189">
        <v>2</v>
      </c>
      <c r="R189">
        <v>250</v>
      </c>
      <c r="S189">
        <v>11.411822020136407</v>
      </c>
      <c r="T189">
        <v>0.97629629373550419</v>
      </c>
      <c r="W189">
        <f t="shared" si="8"/>
        <v>143185</v>
      </c>
      <c r="X189">
        <f t="shared" si="9"/>
        <v>0.95666667819023132</v>
      </c>
      <c r="Y189">
        <f t="shared" si="10"/>
        <v>0.97629629373550419</v>
      </c>
      <c r="Z189">
        <f t="shared" si="11"/>
        <v>11.411822020136407</v>
      </c>
    </row>
    <row r="190" spans="1:26" hidden="1" x14ac:dyDescent="0.25">
      <c r="A190" t="s">
        <v>106</v>
      </c>
      <c r="B190">
        <v>5</v>
      </c>
      <c r="C190">
        <v>2</v>
      </c>
      <c r="D190">
        <v>0</v>
      </c>
      <c r="E190" t="s">
        <v>152</v>
      </c>
      <c r="F190">
        <v>143728</v>
      </c>
      <c r="G190">
        <v>270537762</v>
      </c>
      <c r="H190">
        <v>0.96444442442485268</v>
      </c>
      <c r="I190">
        <v>0.960952380952381</v>
      </c>
      <c r="J190">
        <v>25658400.142857142</v>
      </c>
      <c r="K190">
        <v>143185</v>
      </c>
      <c r="L190">
        <v>2</v>
      </c>
      <c r="M190">
        <v>249</v>
      </c>
      <c r="N190">
        <v>0.96158730158730155</v>
      </c>
      <c r="O190">
        <v>26115080.285714287</v>
      </c>
      <c r="P190">
        <v>144260</v>
      </c>
      <c r="Q190">
        <v>2</v>
      </c>
      <c r="R190">
        <v>250</v>
      </c>
      <c r="S190">
        <v>11.435201012978791</v>
      </c>
      <c r="T190">
        <v>0.94938271244366967</v>
      </c>
      <c r="W190">
        <f t="shared" si="8"/>
        <v>143185</v>
      </c>
      <c r="X190">
        <f t="shared" si="9"/>
        <v>0.96444442442485268</v>
      </c>
      <c r="Y190">
        <f t="shared" si="10"/>
        <v>0.94938271244366967</v>
      </c>
      <c r="Z190">
        <f t="shared" si="11"/>
        <v>11.435201012978791</v>
      </c>
    </row>
    <row r="191" spans="1:26" hidden="1" x14ac:dyDescent="0.25">
      <c r="A191" t="s">
        <v>106</v>
      </c>
      <c r="B191">
        <v>5</v>
      </c>
      <c r="C191">
        <v>3</v>
      </c>
      <c r="D191">
        <v>0</v>
      </c>
      <c r="E191" t="s">
        <v>111</v>
      </c>
      <c r="F191">
        <v>143974</v>
      </c>
      <c r="G191">
        <v>198882452.5</v>
      </c>
      <c r="H191">
        <v>0.9583333432674408</v>
      </c>
      <c r="I191">
        <v>0.96166666666666667</v>
      </c>
      <c r="J191">
        <v>28493374</v>
      </c>
      <c r="K191">
        <v>143185</v>
      </c>
      <c r="L191">
        <v>2</v>
      </c>
      <c r="M191">
        <v>249</v>
      </c>
      <c r="N191">
        <v>0.95611111111111113</v>
      </c>
      <c r="O191">
        <v>26943614.5</v>
      </c>
      <c r="P191">
        <v>144260</v>
      </c>
      <c r="Q191">
        <v>2</v>
      </c>
      <c r="R191">
        <v>250</v>
      </c>
      <c r="S191">
        <v>11.529254492321085</v>
      </c>
      <c r="T191">
        <v>0.990123450756073</v>
      </c>
      <c r="W191">
        <f t="shared" si="8"/>
        <v>143185</v>
      </c>
      <c r="X191">
        <f t="shared" si="9"/>
        <v>0.9583333432674408</v>
      </c>
      <c r="Y191">
        <f t="shared" si="10"/>
        <v>0.990123450756073</v>
      </c>
      <c r="Z191">
        <f t="shared" si="11"/>
        <v>11.529254492321085</v>
      </c>
    </row>
    <row r="192" spans="1:26" hidden="1" x14ac:dyDescent="0.25">
      <c r="A192" t="s">
        <v>106</v>
      </c>
      <c r="B192">
        <v>9</v>
      </c>
      <c r="C192">
        <v>3</v>
      </c>
      <c r="D192">
        <v>0</v>
      </c>
      <c r="E192" t="s">
        <v>248</v>
      </c>
      <c r="F192">
        <v>143362</v>
      </c>
      <c r="G192">
        <v>171758596</v>
      </c>
      <c r="H192">
        <v>0.95722223818302155</v>
      </c>
      <c r="I192">
        <v>0.96444444444444444</v>
      </c>
      <c r="J192">
        <v>26232335</v>
      </c>
      <c r="K192">
        <v>143185</v>
      </c>
      <c r="L192">
        <v>2</v>
      </c>
      <c r="M192">
        <v>249</v>
      </c>
      <c r="N192">
        <v>0.95277777777777783</v>
      </c>
      <c r="O192">
        <v>26533521.25</v>
      </c>
      <c r="P192">
        <v>144260</v>
      </c>
      <c r="Q192">
        <v>2</v>
      </c>
      <c r="R192">
        <v>250</v>
      </c>
      <c r="S192">
        <v>11.919835089326615</v>
      </c>
      <c r="T192">
        <v>0.96296298503875732</v>
      </c>
      <c r="W192">
        <f t="shared" si="8"/>
        <v>143185</v>
      </c>
      <c r="X192">
        <f t="shared" si="9"/>
        <v>0.95722223818302155</v>
      </c>
      <c r="Y192">
        <f t="shared" si="10"/>
        <v>0.96296298503875732</v>
      </c>
      <c r="Z192">
        <f t="shared" si="11"/>
        <v>11.919835089326615</v>
      </c>
    </row>
    <row r="193" spans="1:26" hidden="1" x14ac:dyDescent="0.25">
      <c r="A193" t="s">
        <v>106</v>
      </c>
      <c r="B193">
        <v>3</v>
      </c>
      <c r="C193">
        <v>3</v>
      </c>
      <c r="D193">
        <v>0</v>
      </c>
      <c r="E193" t="s">
        <v>118</v>
      </c>
      <c r="F193">
        <v>81384</v>
      </c>
      <c r="G193">
        <v>279007079.22222221</v>
      </c>
      <c r="H193">
        <v>0.96246912744310165</v>
      </c>
      <c r="I193">
        <v>0.96543209876543212</v>
      </c>
      <c r="J193">
        <v>24195782.666666668</v>
      </c>
      <c r="K193">
        <v>144260</v>
      </c>
      <c r="L193">
        <v>2</v>
      </c>
      <c r="M193">
        <v>250</v>
      </c>
      <c r="N193">
        <v>0.96123456790123452</v>
      </c>
      <c r="O193">
        <v>24719839.111111112</v>
      </c>
      <c r="P193">
        <v>145339</v>
      </c>
      <c r="Q193">
        <v>2</v>
      </c>
      <c r="R193">
        <v>251</v>
      </c>
      <c r="S193">
        <v>11.272340425531915</v>
      </c>
      <c r="T193">
        <v>0.96620369702577591</v>
      </c>
      <c r="W193">
        <f t="shared" si="8"/>
        <v>144260</v>
      </c>
      <c r="X193">
        <f t="shared" si="9"/>
        <v>0.96246912744310165</v>
      </c>
      <c r="Y193">
        <f t="shared" si="10"/>
        <v>0.96620369702577591</v>
      </c>
      <c r="Z193">
        <f t="shared" si="11"/>
        <v>11.272340425531915</v>
      </c>
    </row>
    <row r="194" spans="1:26" hidden="1" x14ac:dyDescent="0.25">
      <c r="A194" t="s">
        <v>106</v>
      </c>
      <c r="B194">
        <v>5</v>
      </c>
      <c r="C194">
        <v>4</v>
      </c>
      <c r="D194">
        <v>0</v>
      </c>
      <c r="E194" t="s">
        <v>294</v>
      </c>
      <c r="F194">
        <v>144625</v>
      </c>
      <c r="G194">
        <v>174118925.5</v>
      </c>
      <c r="H194">
        <v>0.96111111342906952</v>
      </c>
      <c r="I194">
        <v>0.96777777777777774</v>
      </c>
      <c r="J194">
        <v>26661128</v>
      </c>
      <c r="K194">
        <v>144260</v>
      </c>
      <c r="L194">
        <v>2</v>
      </c>
      <c r="M194">
        <v>250</v>
      </c>
      <c r="N194">
        <v>0.97222222222222221</v>
      </c>
      <c r="O194">
        <v>25241959.25</v>
      </c>
      <c r="P194">
        <v>145339</v>
      </c>
      <c r="Q194">
        <v>2</v>
      </c>
      <c r="R194">
        <v>251</v>
      </c>
      <c r="S194">
        <v>11.580442601963055</v>
      </c>
      <c r="T194">
        <v>0.96666663885116577</v>
      </c>
      <c r="W194">
        <f t="shared" si="8"/>
        <v>144260</v>
      </c>
      <c r="X194">
        <f t="shared" si="9"/>
        <v>0.96111111342906952</v>
      </c>
      <c r="Y194">
        <f t="shared" si="10"/>
        <v>0.96666663885116577</v>
      </c>
      <c r="Z194">
        <f t="shared" si="11"/>
        <v>11.580442601963055</v>
      </c>
    </row>
    <row r="195" spans="1:26" hidden="1" x14ac:dyDescent="0.25">
      <c r="A195" t="s">
        <v>106</v>
      </c>
      <c r="B195">
        <v>9</v>
      </c>
      <c r="C195">
        <v>2</v>
      </c>
      <c r="D195">
        <v>0</v>
      </c>
      <c r="E195" t="s">
        <v>254</v>
      </c>
      <c r="F195">
        <v>144931</v>
      </c>
      <c r="G195">
        <v>130217395.75</v>
      </c>
      <c r="H195">
        <v>0.96666666865348816</v>
      </c>
      <c r="I195">
        <v>0.96944444444444444</v>
      </c>
      <c r="J195">
        <v>24918595.75</v>
      </c>
      <c r="K195">
        <v>144260</v>
      </c>
      <c r="L195">
        <v>2</v>
      </c>
      <c r="M195">
        <v>250</v>
      </c>
      <c r="N195">
        <v>0.97666666666666668</v>
      </c>
      <c r="O195">
        <v>25947031.25</v>
      </c>
      <c r="P195">
        <v>145339</v>
      </c>
      <c r="Q195">
        <v>2</v>
      </c>
      <c r="R195">
        <v>251</v>
      </c>
      <c r="S195">
        <v>11.713102804828269</v>
      </c>
      <c r="T195">
        <v>0.96172841389973962</v>
      </c>
      <c r="W195">
        <f t="shared" ref="W195:W258" si="12">K195</f>
        <v>144260</v>
      </c>
      <c r="X195">
        <f t="shared" ref="X195:X258" si="13">H195</f>
        <v>0.96666666865348816</v>
      </c>
      <c r="Y195">
        <f t="shared" ref="Y195:Y258" si="14">T195</f>
        <v>0.96172841389973962</v>
      </c>
      <c r="Z195">
        <f t="shared" ref="Z195:Z258" si="15">S195</f>
        <v>11.713102804828269</v>
      </c>
    </row>
    <row r="196" spans="1:26" hidden="1" x14ac:dyDescent="0.25">
      <c r="A196" t="s">
        <v>106</v>
      </c>
      <c r="B196">
        <v>9</v>
      </c>
      <c r="C196">
        <v>4</v>
      </c>
      <c r="D196">
        <v>0</v>
      </c>
      <c r="E196" t="s">
        <v>243</v>
      </c>
      <c r="F196">
        <v>144388</v>
      </c>
      <c r="G196">
        <v>265557714.5</v>
      </c>
      <c r="H196">
        <v>0.93666666746139526</v>
      </c>
      <c r="I196">
        <v>0.95</v>
      </c>
      <c r="J196">
        <v>27304984.75</v>
      </c>
      <c r="K196">
        <v>144260</v>
      </c>
      <c r="L196">
        <v>2</v>
      </c>
      <c r="M196">
        <v>250</v>
      </c>
      <c r="N196">
        <v>0.95166666666666666</v>
      </c>
      <c r="O196">
        <v>27262226</v>
      </c>
      <c r="P196">
        <v>145339</v>
      </c>
      <c r="Q196">
        <v>2</v>
      </c>
      <c r="R196">
        <v>251</v>
      </c>
      <c r="S196">
        <v>12.149812524483742</v>
      </c>
      <c r="T196">
        <v>0.94936666666666669</v>
      </c>
      <c r="W196">
        <f t="shared" si="12"/>
        <v>144260</v>
      </c>
      <c r="X196">
        <f t="shared" si="13"/>
        <v>0.93666666746139526</v>
      </c>
      <c r="Y196">
        <f t="shared" si="14"/>
        <v>0.94936666666666669</v>
      </c>
      <c r="Z196">
        <f t="shared" si="15"/>
        <v>12.149812524483742</v>
      </c>
    </row>
    <row r="197" spans="1:26" x14ac:dyDescent="0.25">
      <c r="A197" t="s">
        <v>106</v>
      </c>
      <c r="B197">
        <v>3</v>
      </c>
      <c r="C197">
        <v>2</v>
      </c>
      <c r="D197">
        <v>0</v>
      </c>
      <c r="E197" t="s">
        <v>163</v>
      </c>
      <c r="F197">
        <v>89770</v>
      </c>
      <c r="G197">
        <v>290636192.15384614</v>
      </c>
      <c r="H197">
        <v>0.97888888762547421</v>
      </c>
      <c r="I197">
        <v>0.96136752136752135</v>
      </c>
      <c r="J197">
        <v>24196675.076923076</v>
      </c>
      <c r="K197">
        <v>145339</v>
      </c>
      <c r="L197">
        <v>2</v>
      </c>
      <c r="M197">
        <v>251</v>
      </c>
      <c r="N197">
        <v>0.96239316239316242</v>
      </c>
      <c r="O197">
        <v>23896639.769230768</v>
      </c>
      <c r="P197">
        <v>146422</v>
      </c>
      <c r="Q197">
        <v>2</v>
      </c>
      <c r="R197">
        <v>252</v>
      </c>
      <c r="S197">
        <v>11.197278376465036</v>
      </c>
      <c r="T197">
        <v>0.98118518352508544</v>
      </c>
      <c r="W197">
        <f t="shared" si="12"/>
        <v>145339</v>
      </c>
      <c r="X197">
        <f t="shared" si="13"/>
        <v>0.97888888762547421</v>
      </c>
      <c r="Y197">
        <f t="shared" si="14"/>
        <v>0.98118518352508544</v>
      </c>
      <c r="Z197">
        <f t="shared" si="15"/>
        <v>11.197278376465036</v>
      </c>
    </row>
    <row r="198" spans="1:26" hidden="1" x14ac:dyDescent="0.25">
      <c r="A198" t="s">
        <v>106</v>
      </c>
      <c r="B198">
        <v>3</v>
      </c>
      <c r="C198">
        <v>3</v>
      </c>
      <c r="D198">
        <v>0</v>
      </c>
      <c r="E198" t="s">
        <v>149</v>
      </c>
      <c r="F198">
        <v>82294</v>
      </c>
      <c r="G198">
        <v>172560202.5</v>
      </c>
      <c r="H198">
        <v>0.96629629532496131</v>
      </c>
      <c r="I198">
        <v>0.96740740740740738</v>
      </c>
      <c r="J198">
        <v>23951542.166666668</v>
      </c>
      <c r="K198">
        <v>145339</v>
      </c>
      <c r="L198">
        <v>2</v>
      </c>
      <c r="M198">
        <v>251</v>
      </c>
      <c r="N198">
        <v>0.94740740740740736</v>
      </c>
      <c r="O198">
        <v>24183844.333333332</v>
      </c>
      <c r="P198">
        <v>146422</v>
      </c>
      <c r="Q198">
        <v>2</v>
      </c>
      <c r="R198">
        <v>252</v>
      </c>
      <c r="S198">
        <v>11.271845384672785</v>
      </c>
      <c r="T198">
        <v>0.96814812421798702</v>
      </c>
      <c r="W198">
        <f t="shared" si="12"/>
        <v>145339</v>
      </c>
      <c r="X198">
        <f t="shared" si="13"/>
        <v>0.96629629532496131</v>
      </c>
      <c r="Y198">
        <f t="shared" si="14"/>
        <v>0.96814812421798702</v>
      </c>
      <c r="Z198">
        <f t="shared" si="15"/>
        <v>11.271845384672785</v>
      </c>
    </row>
    <row r="199" spans="1:26" hidden="1" x14ac:dyDescent="0.25">
      <c r="A199" t="s">
        <v>106</v>
      </c>
      <c r="B199">
        <v>3</v>
      </c>
      <c r="C199">
        <v>4</v>
      </c>
      <c r="D199">
        <v>0</v>
      </c>
      <c r="E199" t="s">
        <v>109</v>
      </c>
      <c r="F199">
        <v>77074</v>
      </c>
      <c r="G199">
        <v>68245449.166666672</v>
      </c>
      <c r="H199">
        <v>0.96074074506759644</v>
      </c>
      <c r="I199">
        <v>0.95518518518518525</v>
      </c>
      <c r="J199">
        <v>16648692.166666666</v>
      </c>
      <c r="K199">
        <v>145339</v>
      </c>
      <c r="L199">
        <v>2</v>
      </c>
      <c r="M199">
        <v>251</v>
      </c>
      <c r="N199">
        <v>0.95296296296296301</v>
      </c>
      <c r="O199">
        <v>16728014.166666666</v>
      </c>
      <c r="P199">
        <v>146422</v>
      </c>
      <c r="Q199">
        <v>2</v>
      </c>
      <c r="R199">
        <v>252</v>
      </c>
      <c r="S199">
        <v>11.411336926173625</v>
      </c>
      <c r="T199">
        <v>0.97703703641891482</v>
      </c>
      <c r="W199">
        <f t="shared" si="12"/>
        <v>145339</v>
      </c>
      <c r="X199">
        <f t="shared" si="13"/>
        <v>0.96074074506759644</v>
      </c>
      <c r="Y199">
        <f t="shared" si="14"/>
        <v>0.97703703641891482</v>
      </c>
      <c r="Z199">
        <f t="shared" si="15"/>
        <v>11.411336926173625</v>
      </c>
    </row>
    <row r="200" spans="1:26" hidden="1" x14ac:dyDescent="0.25">
      <c r="A200" t="s">
        <v>106</v>
      </c>
      <c r="B200">
        <v>5</v>
      </c>
      <c r="C200">
        <v>2</v>
      </c>
      <c r="D200">
        <v>0</v>
      </c>
      <c r="E200" t="s">
        <v>274</v>
      </c>
      <c r="F200">
        <v>146157</v>
      </c>
      <c r="G200">
        <v>411016662.71428573</v>
      </c>
      <c r="H200">
        <v>0.96317459855760845</v>
      </c>
      <c r="I200">
        <v>0.96412698412698417</v>
      </c>
      <c r="J200">
        <v>26219866.142857142</v>
      </c>
      <c r="K200">
        <v>145339</v>
      </c>
      <c r="L200">
        <v>2</v>
      </c>
      <c r="M200">
        <v>251</v>
      </c>
      <c r="N200">
        <v>0.95873015873015877</v>
      </c>
      <c r="O200">
        <v>26652229.714285713</v>
      </c>
      <c r="P200">
        <v>146422</v>
      </c>
      <c r="Q200">
        <v>2</v>
      </c>
      <c r="R200">
        <v>252</v>
      </c>
      <c r="S200">
        <v>11.437349702569295</v>
      </c>
      <c r="T200">
        <v>0.97283949454625451</v>
      </c>
      <c r="W200">
        <f t="shared" si="12"/>
        <v>145339</v>
      </c>
      <c r="X200">
        <f t="shared" si="13"/>
        <v>0.96317459855760845</v>
      </c>
      <c r="Y200">
        <f t="shared" si="14"/>
        <v>0.97283949454625451</v>
      </c>
      <c r="Z200">
        <f t="shared" si="15"/>
        <v>11.437349702569295</v>
      </c>
    </row>
    <row r="201" spans="1:26" x14ac:dyDescent="0.25">
      <c r="A201" t="s">
        <v>106</v>
      </c>
      <c r="B201">
        <v>3</v>
      </c>
      <c r="C201">
        <v>2</v>
      </c>
      <c r="D201">
        <v>0</v>
      </c>
      <c r="E201" t="s">
        <v>238</v>
      </c>
      <c r="F201">
        <v>90820</v>
      </c>
      <c r="G201">
        <v>290016313.26923078</v>
      </c>
      <c r="H201">
        <v>0.97897436068608212</v>
      </c>
      <c r="I201">
        <v>0.96307692307692305</v>
      </c>
      <c r="J201">
        <v>24628659.153846152</v>
      </c>
      <c r="K201">
        <v>146422</v>
      </c>
      <c r="L201">
        <v>2</v>
      </c>
      <c r="M201">
        <v>252</v>
      </c>
      <c r="N201">
        <v>0.96076923076923082</v>
      </c>
      <c r="O201">
        <v>24467669</v>
      </c>
      <c r="P201">
        <v>147509</v>
      </c>
      <c r="Q201">
        <v>2</v>
      </c>
      <c r="R201">
        <v>253</v>
      </c>
      <c r="S201">
        <v>11.200486694403015</v>
      </c>
      <c r="T201">
        <v>0.98207406759262084</v>
      </c>
      <c r="W201">
        <f t="shared" si="12"/>
        <v>146422</v>
      </c>
      <c r="X201">
        <f t="shared" si="13"/>
        <v>0.97897436068608212</v>
      </c>
      <c r="Y201">
        <f t="shared" si="14"/>
        <v>0.98207406759262084</v>
      </c>
      <c r="Z201">
        <f t="shared" si="15"/>
        <v>11.200486694403015</v>
      </c>
    </row>
    <row r="202" spans="1:26" hidden="1" x14ac:dyDescent="0.25">
      <c r="A202" t="s">
        <v>106</v>
      </c>
      <c r="B202">
        <v>3</v>
      </c>
      <c r="C202">
        <v>3</v>
      </c>
      <c r="D202">
        <v>0</v>
      </c>
      <c r="E202" t="s">
        <v>119</v>
      </c>
      <c r="F202">
        <v>82718</v>
      </c>
      <c r="G202">
        <v>252634822.52941176</v>
      </c>
      <c r="H202">
        <v>0.97215686124913836</v>
      </c>
      <c r="I202">
        <v>0.96196078431372545</v>
      </c>
      <c r="J202">
        <v>25545376.294117648</v>
      </c>
      <c r="K202">
        <v>146422</v>
      </c>
      <c r="L202">
        <v>2</v>
      </c>
      <c r="M202">
        <v>252</v>
      </c>
      <c r="N202">
        <v>0.96418300653594768</v>
      </c>
      <c r="O202">
        <v>25687478.05882353</v>
      </c>
      <c r="P202">
        <v>147509</v>
      </c>
      <c r="Q202">
        <v>2</v>
      </c>
      <c r="R202">
        <v>253</v>
      </c>
      <c r="S202">
        <v>11.273811298256074</v>
      </c>
      <c r="T202">
        <v>0.97245370596647263</v>
      </c>
      <c r="W202">
        <f t="shared" si="12"/>
        <v>146422</v>
      </c>
      <c r="X202">
        <f t="shared" si="13"/>
        <v>0.97215686124913836</v>
      </c>
      <c r="Y202">
        <f t="shared" si="14"/>
        <v>0.97245370596647263</v>
      </c>
      <c r="Z202">
        <f t="shared" si="15"/>
        <v>11.273811298256074</v>
      </c>
    </row>
    <row r="203" spans="1:26" hidden="1" x14ac:dyDescent="0.25">
      <c r="A203" t="s">
        <v>106</v>
      </c>
      <c r="B203">
        <v>5</v>
      </c>
      <c r="C203">
        <v>5</v>
      </c>
      <c r="D203">
        <v>0</v>
      </c>
      <c r="E203" t="s">
        <v>293</v>
      </c>
      <c r="F203">
        <v>147501</v>
      </c>
      <c r="G203">
        <v>201081845.75</v>
      </c>
      <c r="H203">
        <v>0.95388887822628021</v>
      </c>
      <c r="I203">
        <v>0.97666666666666668</v>
      </c>
      <c r="J203">
        <v>27270872.5</v>
      </c>
      <c r="K203">
        <v>146422</v>
      </c>
      <c r="L203">
        <v>2</v>
      </c>
      <c r="M203">
        <v>252</v>
      </c>
      <c r="N203">
        <v>0.97944444444444445</v>
      </c>
      <c r="O203">
        <v>27208314.25</v>
      </c>
      <c r="P203">
        <v>147509</v>
      </c>
      <c r="Q203">
        <v>2</v>
      </c>
      <c r="R203">
        <v>253</v>
      </c>
      <c r="S203">
        <v>11.6152466367713</v>
      </c>
      <c r="T203">
        <v>0.95432098706563318</v>
      </c>
      <c r="W203">
        <f t="shared" si="12"/>
        <v>146422</v>
      </c>
      <c r="X203">
        <f t="shared" si="13"/>
        <v>0.95388887822628021</v>
      </c>
      <c r="Y203">
        <f t="shared" si="14"/>
        <v>0.95432098706563318</v>
      </c>
      <c r="Z203">
        <f t="shared" si="15"/>
        <v>11.6152466367713</v>
      </c>
    </row>
    <row r="204" spans="1:26" x14ac:dyDescent="0.25">
      <c r="A204" t="s">
        <v>106</v>
      </c>
      <c r="B204">
        <v>3</v>
      </c>
      <c r="C204">
        <v>2</v>
      </c>
      <c r="D204">
        <v>0</v>
      </c>
      <c r="E204" t="s">
        <v>164</v>
      </c>
      <c r="F204">
        <v>90956</v>
      </c>
      <c r="G204">
        <v>343843154.83333331</v>
      </c>
      <c r="H204">
        <v>0.97111112872759497</v>
      </c>
      <c r="I204">
        <v>0.94333333333333336</v>
      </c>
      <c r="J204">
        <v>27980432.666666668</v>
      </c>
      <c r="K204">
        <v>147509</v>
      </c>
      <c r="L204">
        <v>2</v>
      </c>
      <c r="M204">
        <v>253</v>
      </c>
      <c r="N204">
        <v>0.94444444444444442</v>
      </c>
      <c r="O204">
        <v>25525136.166666668</v>
      </c>
      <c r="P204">
        <v>148600</v>
      </c>
      <c r="Q204">
        <v>2</v>
      </c>
      <c r="R204">
        <v>254</v>
      </c>
      <c r="S204">
        <v>11.201726167124363</v>
      </c>
      <c r="T204">
        <v>0.98000000715255742</v>
      </c>
      <c r="W204">
        <f t="shared" si="12"/>
        <v>147509</v>
      </c>
      <c r="X204">
        <f t="shared" si="13"/>
        <v>0.97111112872759497</v>
      </c>
      <c r="Y204">
        <f t="shared" si="14"/>
        <v>0.98000000715255742</v>
      </c>
      <c r="Z204">
        <f t="shared" si="15"/>
        <v>11.201726167124363</v>
      </c>
    </row>
    <row r="205" spans="1:26" hidden="1" x14ac:dyDescent="0.25">
      <c r="A205" t="s">
        <v>106</v>
      </c>
      <c r="B205">
        <v>3</v>
      </c>
      <c r="C205">
        <v>3</v>
      </c>
      <c r="D205">
        <v>0</v>
      </c>
      <c r="E205" t="s">
        <v>150</v>
      </c>
      <c r="F205">
        <v>83628</v>
      </c>
      <c r="G205">
        <v>161316353.33333334</v>
      </c>
      <c r="H205">
        <v>0.96629628539085388</v>
      </c>
      <c r="I205">
        <v>0.96629629629629621</v>
      </c>
      <c r="J205">
        <v>23421760.5</v>
      </c>
      <c r="K205">
        <v>147509</v>
      </c>
      <c r="L205">
        <v>2</v>
      </c>
      <c r="M205">
        <v>253</v>
      </c>
      <c r="N205">
        <v>0.9655555555555555</v>
      </c>
      <c r="O205">
        <v>21456577</v>
      </c>
      <c r="P205">
        <v>148600</v>
      </c>
      <c r="Q205">
        <v>2</v>
      </c>
      <c r="R205">
        <v>254</v>
      </c>
      <c r="S205">
        <v>11.273092967818831</v>
      </c>
      <c r="T205">
        <v>0.96888887882232666</v>
      </c>
      <c r="W205">
        <f t="shared" si="12"/>
        <v>147509</v>
      </c>
      <c r="X205">
        <f t="shared" si="13"/>
        <v>0.96629628539085388</v>
      </c>
      <c r="Y205">
        <f t="shared" si="14"/>
        <v>0.96888887882232666</v>
      </c>
      <c r="Z205">
        <f t="shared" si="15"/>
        <v>11.273092967818831</v>
      </c>
    </row>
    <row r="206" spans="1:26" hidden="1" x14ac:dyDescent="0.25">
      <c r="A206" t="s">
        <v>106</v>
      </c>
      <c r="B206">
        <v>5</v>
      </c>
      <c r="C206">
        <v>2</v>
      </c>
      <c r="D206">
        <v>0</v>
      </c>
      <c r="E206" t="s">
        <v>185</v>
      </c>
      <c r="F206">
        <v>147870</v>
      </c>
      <c r="G206">
        <v>443585141</v>
      </c>
      <c r="H206">
        <v>0.97388887405395508</v>
      </c>
      <c r="I206">
        <v>0.96388888888888891</v>
      </c>
      <c r="J206">
        <v>26300822.75</v>
      </c>
      <c r="K206">
        <v>147509</v>
      </c>
      <c r="L206">
        <v>2</v>
      </c>
      <c r="M206">
        <v>253</v>
      </c>
      <c r="N206">
        <v>0.95444444444444443</v>
      </c>
      <c r="O206">
        <v>27011652.75</v>
      </c>
      <c r="P206">
        <v>148600</v>
      </c>
      <c r="Q206">
        <v>2</v>
      </c>
      <c r="R206">
        <v>254</v>
      </c>
      <c r="S206">
        <v>11.439137036568392</v>
      </c>
      <c r="T206">
        <v>0.97654320796330774</v>
      </c>
      <c r="W206">
        <f t="shared" si="12"/>
        <v>147509</v>
      </c>
      <c r="X206">
        <f t="shared" si="13"/>
        <v>0.97388887405395508</v>
      </c>
      <c r="Y206">
        <f t="shared" si="14"/>
        <v>0.97654320796330774</v>
      </c>
      <c r="Z206">
        <f t="shared" si="15"/>
        <v>11.439137036568392</v>
      </c>
    </row>
    <row r="207" spans="1:26" x14ac:dyDescent="0.25">
      <c r="A207" t="s">
        <v>106</v>
      </c>
      <c r="B207">
        <v>3</v>
      </c>
      <c r="C207">
        <v>2</v>
      </c>
      <c r="D207">
        <v>0</v>
      </c>
      <c r="E207" t="s">
        <v>132</v>
      </c>
      <c r="F207">
        <v>92142</v>
      </c>
      <c r="G207">
        <v>335507867.14285713</v>
      </c>
      <c r="H207">
        <v>0.97936507917585824</v>
      </c>
      <c r="I207">
        <v>0.96317460317460313</v>
      </c>
      <c r="J207">
        <v>23996707.952380951</v>
      </c>
      <c r="K207">
        <v>148600</v>
      </c>
      <c r="L207">
        <v>2</v>
      </c>
      <c r="M207">
        <v>254</v>
      </c>
      <c r="N207">
        <v>0.9676190476190476</v>
      </c>
      <c r="O207">
        <v>24438549.619047619</v>
      </c>
      <c r="P207">
        <v>149695</v>
      </c>
      <c r="Q207">
        <v>2</v>
      </c>
      <c r="R207">
        <v>255</v>
      </c>
      <c r="S207">
        <v>11.206642644524518</v>
      </c>
      <c r="T207">
        <v>0.98370369970798488</v>
      </c>
      <c r="W207">
        <f t="shared" si="12"/>
        <v>148600</v>
      </c>
      <c r="X207">
        <f t="shared" si="13"/>
        <v>0.97936507917585824</v>
      </c>
      <c r="Y207">
        <f t="shared" si="14"/>
        <v>0.98370369970798488</v>
      </c>
      <c r="Z207">
        <f t="shared" si="15"/>
        <v>11.206642644524518</v>
      </c>
    </row>
    <row r="208" spans="1:26" hidden="1" x14ac:dyDescent="0.25">
      <c r="A208" t="s">
        <v>106</v>
      </c>
      <c r="B208">
        <v>3</v>
      </c>
      <c r="C208">
        <v>3</v>
      </c>
      <c r="D208">
        <v>0</v>
      </c>
      <c r="E208" t="s">
        <v>120</v>
      </c>
      <c r="F208">
        <v>84052</v>
      </c>
      <c r="G208">
        <v>242452835.05882353</v>
      </c>
      <c r="H208">
        <v>0.97084966827841368</v>
      </c>
      <c r="I208">
        <v>0.9611764705882353</v>
      </c>
      <c r="J208">
        <v>25809436.705882352</v>
      </c>
      <c r="K208">
        <v>148600</v>
      </c>
      <c r="L208">
        <v>2</v>
      </c>
      <c r="M208">
        <v>254</v>
      </c>
      <c r="N208">
        <v>0.96274509803921571</v>
      </c>
      <c r="O208">
        <v>25822782.117647059</v>
      </c>
      <c r="P208">
        <v>149695</v>
      </c>
      <c r="Q208">
        <v>2</v>
      </c>
      <c r="R208">
        <v>255</v>
      </c>
      <c r="S208">
        <v>11.274607544081542</v>
      </c>
      <c r="T208">
        <v>0.97314814478158951</v>
      </c>
      <c r="W208">
        <f t="shared" si="12"/>
        <v>148600</v>
      </c>
      <c r="X208">
        <f t="shared" si="13"/>
        <v>0.97084966827841368</v>
      </c>
      <c r="Y208">
        <f t="shared" si="14"/>
        <v>0.97314814478158951</v>
      </c>
      <c r="Z208">
        <f t="shared" si="15"/>
        <v>11.274607544081542</v>
      </c>
    </row>
    <row r="209" spans="1:26" hidden="1" x14ac:dyDescent="0.25">
      <c r="A209" t="s">
        <v>106</v>
      </c>
      <c r="B209">
        <v>3</v>
      </c>
      <c r="C209">
        <v>4</v>
      </c>
      <c r="D209">
        <v>0</v>
      </c>
      <c r="E209" t="s">
        <v>110</v>
      </c>
      <c r="F209">
        <v>78556</v>
      </c>
      <c r="G209">
        <v>71341177.5</v>
      </c>
      <c r="H209">
        <v>0.96074072519938147</v>
      </c>
      <c r="I209">
        <v>0.95592592592592596</v>
      </c>
      <c r="J209">
        <v>16283857</v>
      </c>
      <c r="K209">
        <v>148600</v>
      </c>
      <c r="L209">
        <v>2</v>
      </c>
      <c r="M209">
        <v>254</v>
      </c>
      <c r="N209">
        <v>0.95444444444444443</v>
      </c>
      <c r="O209">
        <v>17224788.666666668</v>
      </c>
      <c r="P209">
        <v>149695</v>
      </c>
      <c r="Q209">
        <v>2</v>
      </c>
      <c r="R209">
        <v>255</v>
      </c>
      <c r="S209">
        <v>11.410527682222366</v>
      </c>
      <c r="T209">
        <v>0.98370372056961064</v>
      </c>
      <c r="W209">
        <f t="shared" si="12"/>
        <v>148600</v>
      </c>
      <c r="X209">
        <f t="shared" si="13"/>
        <v>0.96074072519938147</v>
      </c>
      <c r="Y209">
        <f t="shared" si="14"/>
        <v>0.98370372056961064</v>
      </c>
      <c r="Z209">
        <f t="shared" si="15"/>
        <v>11.410527682222366</v>
      </c>
    </row>
    <row r="210" spans="1:26" hidden="1" x14ac:dyDescent="0.25">
      <c r="A210" t="s">
        <v>106</v>
      </c>
      <c r="B210">
        <v>5</v>
      </c>
      <c r="C210">
        <v>2</v>
      </c>
      <c r="D210">
        <v>0</v>
      </c>
      <c r="E210" t="s">
        <v>263</v>
      </c>
      <c r="F210">
        <v>149283</v>
      </c>
      <c r="G210">
        <v>443031697</v>
      </c>
      <c r="H210">
        <v>0.96857141596930363</v>
      </c>
      <c r="I210">
        <v>0.96190476190476193</v>
      </c>
      <c r="J210">
        <v>26796054.857142858</v>
      </c>
      <c r="K210">
        <v>148600</v>
      </c>
      <c r="L210">
        <v>2</v>
      </c>
      <c r="M210">
        <v>254</v>
      </c>
      <c r="N210">
        <v>0.95746031746031746</v>
      </c>
      <c r="O210">
        <v>27006023.142857142</v>
      </c>
      <c r="P210">
        <v>149695</v>
      </c>
      <c r="Q210">
        <v>2</v>
      </c>
      <c r="R210">
        <v>255</v>
      </c>
      <c r="S210">
        <v>11.441725162840701</v>
      </c>
      <c r="T210">
        <v>0.96481481194496155</v>
      </c>
      <c r="W210">
        <f t="shared" si="12"/>
        <v>148600</v>
      </c>
      <c r="X210">
        <f t="shared" si="13"/>
        <v>0.96857141596930363</v>
      </c>
      <c r="Y210">
        <f t="shared" si="14"/>
        <v>0.96481481194496155</v>
      </c>
      <c r="Z210">
        <f t="shared" si="15"/>
        <v>11.441725162840701</v>
      </c>
    </row>
    <row r="211" spans="1:26" x14ac:dyDescent="0.25">
      <c r="A211" t="s">
        <v>106</v>
      </c>
      <c r="B211">
        <v>3</v>
      </c>
      <c r="C211">
        <v>2</v>
      </c>
      <c r="D211">
        <v>0</v>
      </c>
      <c r="E211" t="s">
        <v>190</v>
      </c>
      <c r="F211">
        <v>92332</v>
      </c>
      <c r="G211">
        <v>335430278.27272725</v>
      </c>
      <c r="H211">
        <v>0.97292929887771606</v>
      </c>
      <c r="I211">
        <v>0.95353535353535357</v>
      </c>
      <c r="J211">
        <v>28583955.636363637</v>
      </c>
      <c r="K211">
        <v>149695</v>
      </c>
      <c r="L211">
        <v>2</v>
      </c>
      <c r="M211">
        <v>255</v>
      </c>
      <c r="N211">
        <v>0.95272727272727276</v>
      </c>
      <c r="O211">
        <v>28581930.09090909</v>
      </c>
      <c r="P211">
        <v>150794</v>
      </c>
      <c r="Q211">
        <v>2</v>
      </c>
      <c r="R211">
        <v>256</v>
      </c>
      <c r="S211">
        <v>11.207638725835485</v>
      </c>
      <c r="T211">
        <v>0.98518518209457395</v>
      </c>
      <c r="W211">
        <f t="shared" si="12"/>
        <v>149695</v>
      </c>
      <c r="X211">
        <f t="shared" si="13"/>
        <v>0.97292929887771606</v>
      </c>
      <c r="Y211">
        <f t="shared" si="14"/>
        <v>0.98518518209457395</v>
      </c>
      <c r="Z211">
        <f t="shared" si="15"/>
        <v>11.207638725835485</v>
      </c>
    </row>
    <row r="212" spans="1:26" hidden="1" x14ac:dyDescent="0.25">
      <c r="A212" t="s">
        <v>106</v>
      </c>
      <c r="B212">
        <v>3</v>
      </c>
      <c r="C212">
        <v>3</v>
      </c>
      <c r="D212">
        <v>0</v>
      </c>
      <c r="E212" t="s">
        <v>182</v>
      </c>
      <c r="F212">
        <v>84672</v>
      </c>
      <c r="G212">
        <v>238640354.84210527</v>
      </c>
      <c r="H212">
        <v>0.97087719252235016</v>
      </c>
      <c r="I212">
        <v>0.96187134502923977</v>
      </c>
      <c r="J212">
        <v>26262503.47368421</v>
      </c>
      <c r="K212">
        <v>149695</v>
      </c>
      <c r="L212">
        <v>2</v>
      </c>
      <c r="M212">
        <v>255</v>
      </c>
      <c r="N212">
        <v>0.95789473684210524</v>
      </c>
      <c r="O212">
        <v>26103830.368421052</v>
      </c>
      <c r="P212">
        <v>150794</v>
      </c>
      <c r="Q212">
        <v>2</v>
      </c>
      <c r="R212">
        <v>256</v>
      </c>
      <c r="S212">
        <v>11.275482912332839</v>
      </c>
      <c r="T212">
        <v>0.97839505142635774</v>
      </c>
      <c r="W212">
        <f t="shared" si="12"/>
        <v>149695</v>
      </c>
      <c r="X212">
        <f t="shared" si="13"/>
        <v>0.97087719252235016</v>
      </c>
      <c r="Y212">
        <f t="shared" si="14"/>
        <v>0.97839505142635774</v>
      </c>
      <c r="Z212">
        <f t="shared" si="15"/>
        <v>11.275482912332839</v>
      </c>
    </row>
    <row r="213" spans="1:26" hidden="1" x14ac:dyDescent="0.25">
      <c r="A213" t="s">
        <v>106</v>
      </c>
      <c r="B213">
        <v>5</v>
      </c>
      <c r="C213">
        <v>2</v>
      </c>
      <c r="D213">
        <v>0</v>
      </c>
      <c r="E213" t="s">
        <v>281</v>
      </c>
      <c r="F213">
        <v>150149</v>
      </c>
      <c r="G213">
        <v>503408877.25</v>
      </c>
      <c r="H213">
        <v>0.96611110866069794</v>
      </c>
      <c r="I213">
        <v>0.95833333333333337</v>
      </c>
      <c r="J213">
        <v>25965891.5</v>
      </c>
      <c r="K213">
        <v>149695</v>
      </c>
      <c r="L213">
        <v>2</v>
      </c>
      <c r="M213">
        <v>255</v>
      </c>
      <c r="N213">
        <v>0.95777777777777784</v>
      </c>
      <c r="O213">
        <v>26252427.5</v>
      </c>
      <c r="P213">
        <v>150794</v>
      </c>
      <c r="Q213">
        <v>2</v>
      </c>
      <c r="R213">
        <v>256</v>
      </c>
      <c r="S213">
        <v>11.443636593538598</v>
      </c>
      <c r="T213">
        <v>0.96172839403152466</v>
      </c>
      <c r="W213">
        <f t="shared" si="12"/>
        <v>149695</v>
      </c>
      <c r="X213">
        <f t="shared" si="13"/>
        <v>0.96611110866069794</v>
      </c>
      <c r="Y213">
        <f t="shared" si="14"/>
        <v>0.96172839403152466</v>
      </c>
      <c r="Z213">
        <f t="shared" si="15"/>
        <v>11.443636593538598</v>
      </c>
    </row>
    <row r="214" spans="1:26" hidden="1" x14ac:dyDescent="0.25">
      <c r="A214" t="s">
        <v>106</v>
      </c>
      <c r="B214">
        <v>5</v>
      </c>
      <c r="C214">
        <v>3</v>
      </c>
      <c r="D214">
        <v>0</v>
      </c>
      <c r="E214" t="s">
        <v>255</v>
      </c>
      <c r="F214">
        <v>150639</v>
      </c>
      <c r="G214">
        <v>192862031</v>
      </c>
      <c r="H214">
        <v>0.96166667342185974</v>
      </c>
      <c r="I214">
        <v>0.96333333333333337</v>
      </c>
      <c r="J214">
        <v>28020582.75</v>
      </c>
      <c r="K214">
        <v>149695</v>
      </c>
      <c r="L214">
        <v>2</v>
      </c>
      <c r="M214">
        <v>255</v>
      </c>
      <c r="N214">
        <v>0.95500000000000007</v>
      </c>
      <c r="O214">
        <v>28846726.75</v>
      </c>
      <c r="P214">
        <v>150794</v>
      </c>
      <c r="Q214">
        <v>2</v>
      </c>
      <c r="R214">
        <v>256</v>
      </c>
      <c r="S214">
        <v>11.528936408279977</v>
      </c>
      <c r="T214">
        <v>0.990123450756073</v>
      </c>
      <c r="W214">
        <f t="shared" si="12"/>
        <v>149695</v>
      </c>
      <c r="X214">
        <f t="shared" si="13"/>
        <v>0.96166667342185974</v>
      </c>
      <c r="Y214">
        <f t="shared" si="14"/>
        <v>0.990123450756073</v>
      </c>
      <c r="Z214">
        <f t="shared" si="15"/>
        <v>11.528936408279977</v>
      </c>
    </row>
    <row r="215" spans="1:26" x14ac:dyDescent="0.25">
      <c r="A215" t="s">
        <v>106</v>
      </c>
      <c r="B215">
        <v>3</v>
      </c>
      <c r="C215">
        <v>2</v>
      </c>
      <c r="D215">
        <v>0</v>
      </c>
      <c r="E215" t="s">
        <v>133</v>
      </c>
      <c r="F215">
        <v>93328</v>
      </c>
      <c r="G215">
        <v>289504230.25</v>
      </c>
      <c r="H215">
        <v>0.98041666299104691</v>
      </c>
      <c r="I215">
        <v>0.96736111111111112</v>
      </c>
      <c r="J215">
        <v>23442087.75</v>
      </c>
      <c r="K215">
        <v>150794</v>
      </c>
      <c r="L215">
        <v>2</v>
      </c>
      <c r="M215">
        <v>256</v>
      </c>
      <c r="N215">
        <v>0.96875</v>
      </c>
      <c r="O215">
        <v>22725121.3125</v>
      </c>
      <c r="P215">
        <v>151897</v>
      </c>
      <c r="Q215">
        <v>2</v>
      </c>
      <c r="R215">
        <v>257</v>
      </c>
      <c r="S215">
        <v>11.209802235597593</v>
      </c>
      <c r="T215">
        <v>0.97950617074966428</v>
      </c>
      <c r="W215">
        <f t="shared" si="12"/>
        <v>150794</v>
      </c>
      <c r="X215">
        <f t="shared" si="13"/>
        <v>0.98041666299104691</v>
      </c>
      <c r="Y215">
        <f t="shared" si="14"/>
        <v>0.97950617074966428</v>
      </c>
      <c r="Z215">
        <f t="shared" si="15"/>
        <v>11.209802235597593</v>
      </c>
    </row>
    <row r="216" spans="1:26" hidden="1" x14ac:dyDescent="0.25">
      <c r="A216" t="s">
        <v>106</v>
      </c>
      <c r="B216">
        <v>3</v>
      </c>
      <c r="C216">
        <v>3</v>
      </c>
      <c r="D216">
        <v>0</v>
      </c>
      <c r="E216" t="s">
        <v>121</v>
      </c>
      <c r="F216">
        <v>85386</v>
      </c>
      <c r="G216">
        <v>230580450.66666666</v>
      </c>
      <c r="H216">
        <v>0.96938271654976738</v>
      </c>
      <c r="I216">
        <v>0.96395061728395059</v>
      </c>
      <c r="J216">
        <v>27407102.333333332</v>
      </c>
      <c r="K216">
        <v>150794</v>
      </c>
      <c r="L216">
        <v>2</v>
      </c>
      <c r="M216">
        <v>256</v>
      </c>
      <c r="N216">
        <v>0.96469135802469141</v>
      </c>
      <c r="O216">
        <v>26641860.444444444</v>
      </c>
      <c r="P216">
        <v>151897</v>
      </c>
      <c r="Q216">
        <v>2</v>
      </c>
      <c r="R216">
        <v>257</v>
      </c>
      <c r="S216">
        <v>11.275521568045141</v>
      </c>
      <c r="T216">
        <v>0.96574073284864426</v>
      </c>
      <c r="W216">
        <f t="shared" si="12"/>
        <v>150794</v>
      </c>
      <c r="X216">
        <f t="shared" si="13"/>
        <v>0.96938271654976738</v>
      </c>
      <c r="Y216">
        <f t="shared" si="14"/>
        <v>0.96574073284864426</v>
      </c>
      <c r="Z216">
        <f t="shared" si="15"/>
        <v>11.275521568045141</v>
      </c>
    </row>
    <row r="217" spans="1:26" hidden="1" x14ac:dyDescent="0.25">
      <c r="A217" t="s">
        <v>106</v>
      </c>
      <c r="B217">
        <v>9</v>
      </c>
      <c r="C217">
        <v>3</v>
      </c>
      <c r="D217">
        <v>0</v>
      </c>
      <c r="E217" t="s">
        <v>294</v>
      </c>
      <c r="F217">
        <v>151507</v>
      </c>
      <c r="G217">
        <v>185857761.5</v>
      </c>
      <c r="H217">
        <v>0.95500001311302185</v>
      </c>
      <c r="I217">
        <v>0.96166666666666667</v>
      </c>
      <c r="J217">
        <v>27487600.25</v>
      </c>
      <c r="K217">
        <v>150794</v>
      </c>
      <c r="L217">
        <v>2</v>
      </c>
      <c r="M217">
        <v>256</v>
      </c>
      <c r="N217">
        <v>0.95333333333333337</v>
      </c>
      <c r="O217">
        <v>28691084</v>
      </c>
      <c r="P217">
        <v>151897</v>
      </c>
      <c r="Q217">
        <v>2</v>
      </c>
      <c r="R217">
        <v>257</v>
      </c>
      <c r="S217">
        <v>11.919395465994961</v>
      </c>
      <c r="T217">
        <v>0.96666665871938073</v>
      </c>
      <c r="W217">
        <f t="shared" si="12"/>
        <v>150794</v>
      </c>
      <c r="X217">
        <f t="shared" si="13"/>
        <v>0.95500001311302185</v>
      </c>
      <c r="Y217">
        <f t="shared" si="14"/>
        <v>0.96666665871938073</v>
      </c>
      <c r="Z217">
        <f t="shared" si="15"/>
        <v>11.919395465994961</v>
      </c>
    </row>
    <row r="218" spans="1:26" hidden="1" x14ac:dyDescent="0.25">
      <c r="A218" t="s">
        <v>106</v>
      </c>
      <c r="B218">
        <v>9</v>
      </c>
      <c r="C218">
        <v>5</v>
      </c>
      <c r="D218">
        <v>0</v>
      </c>
      <c r="E218" t="s">
        <v>292</v>
      </c>
      <c r="F218">
        <v>151339</v>
      </c>
      <c r="G218">
        <v>280208359.25</v>
      </c>
      <c r="H218">
        <v>0.90833334624767303</v>
      </c>
      <c r="I218">
        <v>0.96500000000000008</v>
      </c>
      <c r="J218">
        <v>34019988.75</v>
      </c>
      <c r="K218">
        <v>150794</v>
      </c>
      <c r="L218">
        <v>2</v>
      </c>
      <c r="M218">
        <v>256</v>
      </c>
      <c r="N218">
        <v>0.9622222222222222</v>
      </c>
      <c r="O218">
        <v>33791153.25</v>
      </c>
      <c r="P218">
        <v>151897</v>
      </c>
      <c r="Q218">
        <v>2</v>
      </c>
      <c r="R218">
        <v>257</v>
      </c>
      <c r="S218">
        <v>12.179984612002638</v>
      </c>
      <c r="T218">
        <v>0.91973333333333329</v>
      </c>
      <c r="W218">
        <f t="shared" si="12"/>
        <v>150794</v>
      </c>
      <c r="X218">
        <f t="shared" si="13"/>
        <v>0.90833334624767303</v>
      </c>
      <c r="Y218">
        <f t="shared" si="14"/>
        <v>0.91973333333333329</v>
      </c>
      <c r="Z218">
        <f t="shared" si="15"/>
        <v>12.179984612002638</v>
      </c>
    </row>
    <row r="219" spans="1:26" x14ac:dyDescent="0.25">
      <c r="A219" t="s">
        <v>106</v>
      </c>
      <c r="B219">
        <v>3</v>
      </c>
      <c r="C219">
        <v>2</v>
      </c>
      <c r="D219">
        <v>0</v>
      </c>
      <c r="E219" t="s">
        <v>191</v>
      </c>
      <c r="F219">
        <v>93550</v>
      </c>
      <c r="G219">
        <v>330769388.63636363</v>
      </c>
      <c r="H219">
        <v>0.97838383913040161</v>
      </c>
      <c r="I219">
        <v>0.95313131313131305</v>
      </c>
      <c r="J219">
        <v>28835815.727272727</v>
      </c>
      <c r="K219">
        <v>151897</v>
      </c>
      <c r="L219">
        <v>2</v>
      </c>
      <c r="M219">
        <v>257</v>
      </c>
      <c r="N219">
        <v>0.95797979797979793</v>
      </c>
      <c r="O219">
        <v>27336595.545454547</v>
      </c>
      <c r="P219">
        <v>153004</v>
      </c>
      <c r="Q219">
        <v>2</v>
      </c>
      <c r="R219">
        <v>258</v>
      </c>
      <c r="S219">
        <v>11.209387691346453</v>
      </c>
      <c r="T219">
        <v>0.98370369672775271</v>
      </c>
      <c r="W219">
        <f t="shared" si="12"/>
        <v>151897</v>
      </c>
      <c r="X219">
        <f t="shared" si="13"/>
        <v>0.97838383913040161</v>
      </c>
      <c r="Y219">
        <f t="shared" si="14"/>
        <v>0.98370369672775271</v>
      </c>
      <c r="Z219">
        <f t="shared" si="15"/>
        <v>11.209387691346453</v>
      </c>
    </row>
    <row r="220" spans="1:26" hidden="1" x14ac:dyDescent="0.25">
      <c r="A220" t="s">
        <v>106</v>
      </c>
      <c r="B220">
        <v>3</v>
      </c>
      <c r="C220">
        <v>3</v>
      </c>
      <c r="D220">
        <v>0</v>
      </c>
      <c r="E220" t="s">
        <v>183</v>
      </c>
      <c r="F220">
        <v>86042</v>
      </c>
      <c r="G220">
        <v>238726805.14285713</v>
      </c>
      <c r="H220">
        <v>0.96476190005029949</v>
      </c>
      <c r="I220">
        <v>0.95698412698412705</v>
      </c>
      <c r="J220">
        <v>25246413</v>
      </c>
      <c r="K220">
        <v>151897</v>
      </c>
      <c r="L220">
        <v>2</v>
      </c>
      <c r="M220">
        <v>257</v>
      </c>
      <c r="N220">
        <v>0.96412698412698417</v>
      </c>
      <c r="O220">
        <v>25132804.642857142</v>
      </c>
      <c r="P220">
        <v>153004</v>
      </c>
      <c r="Q220">
        <v>2</v>
      </c>
      <c r="R220">
        <v>258</v>
      </c>
      <c r="S220">
        <v>11.276273826299786</v>
      </c>
      <c r="T220">
        <v>0.96780625214943516</v>
      </c>
      <c r="W220">
        <f t="shared" si="12"/>
        <v>151897</v>
      </c>
      <c r="X220">
        <f t="shared" si="13"/>
        <v>0.96476190005029949</v>
      </c>
      <c r="Y220">
        <f t="shared" si="14"/>
        <v>0.96780625214943516</v>
      </c>
      <c r="Z220">
        <f t="shared" si="15"/>
        <v>11.276273826299786</v>
      </c>
    </row>
    <row r="221" spans="1:26" hidden="1" x14ac:dyDescent="0.25">
      <c r="A221" t="s">
        <v>106</v>
      </c>
      <c r="B221">
        <v>3</v>
      </c>
      <c r="C221">
        <v>4</v>
      </c>
      <c r="D221">
        <v>0</v>
      </c>
      <c r="E221" t="s">
        <v>111</v>
      </c>
      <c r="F221">
        <v>80038</v>
      </c>
      <c r="G221">
        <v>71097350.333333328</v>
      </c>
      <c r="H221">
        <v>0.96185184518496192</v>
      </c>
      <c r="I221">
        <v>0.9588888888888889</v>
      </c>
      <c r="J221">
        <v>16493921.666666666</v>
      </c>
      <c r="K221">
        <v>151897</v>
      </c>
      <c r="L221">
        <v>2</v>
      </c>
      <c r="M221">
        <v>257</v>
      </c>
      <c r="N221">
        <v>0.95814814814814819</v>
      </c>
      <c r="O221">
        <v>16453866.5</v>
      </c>
      <c r="P221">
        <v>153004</v>
      </c>
      <c r="Q221">
        <v>2</v>
      </c>
      <c r="R221">
        <v>258</v>
      </c>
      <c r="S221">
        <v>11.409978589502368</v>
      </c>
      <c r="T221">
        <v>0.9799999952316284</v>
      </c>
      <c r="W221">
        <f t="shared" si="12"/>
        <v>151897</v>
      </c>
      <c r="X221">
        <f t="shared" si="13"/>
        <v>0.96185184518496192</v>
      </c>
      <c r="Y221">
        <f t="shared" si="14"/>
        <v>0.9799999952316284</v>
      </c>
      <c r="Z221">
        <f t="shared" si="15"/>
        <v>11.409978589502368</v>
      </c>
    </row>
    <row r="222" spans="1:26" hidden="1" x14ac:dyDescent="0.25">
      <c r="A222" t="s">
        <v>106</v>
      </c>
      <c r="B222">
        <v>5</v>
      </c>
      <c r="C222">
        <v>2</v>
      </c>
      <c r="D222">
        <v>0</v>
      </c>
      <c r="E222" t="s">
        <v>205</v>
      </c>
      <c r="F222">
        <v>152012</v>
      </c>
      <c r="G222">
        <v>419833735</v>
      </c>
      <c r="H222">
        <v>0.96277777850627899</v>
      </c>
      <c r="I222">
        <v>0.95944444444444443</v>
      </c>
      <c r="J222">
        <v>26273911.25</v>
      </c>
      <c r="K222">
        <v>151897</v>
      </c>
      <c r="L222">
        <v>2</v>
      </c>
      <c r="M222">
        <v>257</v>
      </c>
      <c r="N222">
        <v>0.9605555555555555</v>
      </c>
      <c r="O222">
        <v>27055802.25</v>
      </c>
      <c r="P222">
        <v>153004</v>
      </c>
      <c r="Q222">
        <v>2</v>
      </c>
      <c r="R222">
        <v>258</v>
      </c>
      <c r="S222">
        <v>11.444662157891409</v>
      </c>
      <c r="T222">
        <v>0.95925925175348914</v>
      </c>
      <c r="W222">
        <f t="shared" si="12"/>
        <v>151897</v>
      </c>
      <c r="X222">
        <f t="shared" si="13"/>
        <v>0.96277777850627899</v>
      </c>
      <c r="Y222">
        <f t="shared" si="14"/>
        <v>0.95925925175348914</v>
      </c>
      <c r="Z222">
        <f t="shared" si="15"/>
        <v>11.444662157891409</v>
      </c>
    </row>
    <row r="223" spans="1:26" hidden="1" x14ac:dyDescent="0.25">
      <c r="A223" t="s">
        <v>106</v>
      </c>
      <c r="B223">
        <v>5</v>
      </c>
      <c r="C223">
        <v>4</v>
      </c>
      <c r="D223">
        <v>0</v>
      </c>
      <c r="E223" t="s">
        <v>253</v>
      </c>
      <c r="F223">
        <v>152400</v>
      </c>
      <c r="G223">
        <v>171865136.5</v>
      </c>
      <c r="H223">
        <v>0.96333333849906921</v>
      </c>
      <c r="I223">
        <v>0.97</v>
      </c>
      <c r="J223">
        <v>26746946.5</v>
      </c>
      <c r="K223">
        <v>151897</v>
      </c>
      <c r="L223">
        <v>2</v>
      </c>
      <c r="M223">
        <v>257</v>
      </c>
      <c r="N223">
        <v>0.96722222222222221</v>
      </c>
      <c r="O223">
        <v>26333077.75</v>
      </c>
      <c r="P223">
        <v>153004</v>
      </c>
      <c r="Q223">
        <v>2</v>
      </c>
      <c r="R223">
        <v>258</v>
      </c>
      <c r="S223">
        <v>11.579569695861522</v>
      </c>
      <c r="T223">
        <v>0.96666665871938073</v>
      </c>
      <c r="W223">
        <f t="shared" si="12"/>
        <v>151897</v>
      </c>
      <c r="X223">
        <f t="shared" si="13"/>
        <v>0.96333333849906921</v>
      </c>
      <c r="Y223">
        <f t="shared" si="14"/>
        <v>0.96666665871938073</v>
      </c>
      <c r="Z223">
        <f t="shared" si="15"/>
        <v>11.579569695861522</v>
      </c>
    </row>
    <row r="224" spans="1:26" hidden="1" x14ac:dyDescent="0.25">
      <c r="A224" t="s">
        <v>106</v>
      </c>
      <c r="B224">
        <v>9</v>
      </c>
      <c r="C224">
        <v>2</v>
      </c>
      <c r="D224">
        <v>0</v>
      </c>
      <c r="E224" t="s">
        <v>111</v>
      </c>
      <c r="F224">
        <v>151966</v>
      </c>
      <c r="G224">
        <v>140448686</v>
      </c>
      <c r="H224">
        <v>0.9677777886390686</v>
      </c>
      <c r="I224">
        <v>0.96944444444444444</v>
      </c>
      <c r="J224">
        <v>25360330</v>
      </c>
      <c r="K224">
        <v>151897</v>
      </c>
      <c r="L224">
        <v>2</v>
      </c>
      <c r="M224">
        <v>257</v>
      </c>
      <c r="N224">
        <v>0.97888888888888892</v>
      </c>
      <c r="O224">
        <v>25672047</v>
      </c>
      <c r="P224">
        <v>153004</v>
      </c>
      <c r="Q224">
        <v>2</v>
      </c>
      <c r="R224">
        <v>258</v>
      </c>
      <c r="S224">
        <v>11.712470121844575</v>
      </c>
      <c r="T224">
        <v>0.96790122985839844</v>
      </c>
      <c r="W224">
        <f t="shared" si="12"/>
        <v>151897</v>
      </c>
      <c r="X224">
        <f t="shared" si="13"/>
        <v>0.9677777886390686</v>
      </c>
      <c r="Y224">
        <f t="shared" si="14"/>
        <v>0.96790122985839844</v>
      </c>
      <c r="Z224">
        <f t="shared" si="15"/>
        <v>11.712470121844575</v>
      </c>
    </row>
    <row r="225" spans="1:26" x14ac:dyDescent="0.25">
      <c r="A225" t="s">
        <v>106</v>
      </c>
      <c r="B225">
        <v>3</v>
      </c>
      <c r="C225">
        <v>2</v>
      </c>
      <c r="D225">
        <v>0</v>
      </c>
      <c r="E225" t="s">
        <v>134</v>
      </c>
      <c r="F225">
        <v>94514</v>
      </c>
      <c r="G225">
        <v>280401863.5</v>
      </c>
      <c r="H225">
        <v>0.98152777925133705</v>
      </c>
      <c r="I225">
        <v>0.96875</v>
      </c>
      <c r="J225">
        <v>23000265.375</v>
      </c>
      <c r="K225">
        <v>153004</v>
      </c>
      <c r="L225">
        <v>2</v>
      </c>
      <c r="M225">
        <v>258</v>
      </c>
      <c r="N225">
        <v>0.96875</v>
      </c>
      <c r="O225">
        <v>24100762.6875</v>
      </c>
      <c r="P225">
        <v>154115</v>
      </c>
      <c r="Q225">
        <v>2</v>
      </c>
      <c r="R225">
        <v>259</v>
      </c>
      <c r="S225">
        <v>11.212012480499221</v>
      </c>
      <c r="T225">
        <v>0.97802468935648601</v>
      </c>
      <c r="W225">
        <f t="shared" si="12"/>
        <v>153004</v>
      </c>
      <c r="X225">
        <f t="shared" si="13"/>
        <v>0.98152777925133705</v>
      </c>
      <c r="Y225">
        <f t="shared" si="14"/>
        <v>0.97802468935648601</v>
      </c>
      <c r="Z225">
        <f t="shared" si="15"/>
        <v>11.212012480499221</v>
      </c>
    </row>
    <row r="226" spans="1:26" hidden="1" x14ac:dyDescent="0.25">
      <c r="A226" t="s">
        <v>106</v>
      </c>
      <c r="B226">
        <v>3</v>
      </c>
      <c r="C226">
        <v>3</v>
      </c>
      <c r="D226">
        <v>0</v>
      </c>
      <c r="E226" t="s">
        <v>122</v>
      </c>
      <c r="F226">
        <v>86720</v>
      </c>
      <c r="G226">
        <v>274590261.45454544</v>
      </c>
      <c r="H226">
        <v>0.96959595788608899</v>
      </c>
      <c r="I226">
        <v>0.962020202020202</v>
      </c>
      <c r="J226">
        <v>26811697.954545453</v>
      </c>
      <c r="K226">
        <v>153004</v>
      </c>
      <c r="L226">
        <v>2</v>
      </c>
      <c r="M226">
        <v>258</v>
      </c>
      <c r="N226">
        <v>0.96353535353535347</v>
      </c>
      <c r="O226">
        <v>26269677.954545453</v>
      </c>
      <c r="P226">
        <v>154115</v>
      </c>
      <c r="Q226">
        <v>2</v>
      </c>
      <c r="R226">
        <v>259</v>
      </c>
      <c r="S226">
        <v>11.279674194742688</v>
      </c>
      <c r="T226">
        <v>0.9749558936981928</v>
      </c>
      <c r="W226">
        <f t="shared" si="12"/>
        <v>153004</v>
      </c>
      <c r="X226">
        <f t="shared" si="13"/>
        <v>0.96959595788608899</v>
      </c>
      <c r="Y226">
        <f t="shared" si="14"/>
        <v>0.9749558936981928</v>
      </c>
      <c r="Z226">
        <f t="shared" si="15"/>
        <v>11.279674194742688</v>
      </c>
    </row>
    <row r="227" spans="1:26" hidden="1" x14ac:dyDescent="0.25">
      <c r="A227" t="s">
        <v>106</v>
      </c>
      <c r="B227">
        <v>5</v>
      </c>
      <c r="C227">
        <v>2</v>
      </c>
      <c r="D227">
        <v>0</v>
      </c>
      <c r="E227" t="s">
        <v>269</v>
      </c>
      <c r="F227">
        <v>153575</v>
      </c>
      <c r="G227">
        <v>406733781</v>
      </c>
      <c r="H227">
        <v>0.96666665375232697</v>
      </c>
      <c r="I227">
        <v>0.96611111111111114</v>
      </c>
      <c r="J227">
        <v>25960898.5</v>
      </c>
      <c r="K227">
        <v>153004</v>
      </c>
      <c r="L227">
        <v>2</v>
      </c>
      <c r="M227">
        <v>258</v>
      </c>
      <c r="N227">
        <v>0.96111111111111103</v>
      </c>
      <c r="O227">
        <v>26806274.75</v>
      </c>
      <c r="P227">
        <v>154115</v>
      </c>
      <c r="Q227">
        <v>2</v>
      </c>
      <c r="R227">
        <v>259</v>
      </c>
      <c r="S227">
        <v>11.445813586097946</v>
      </c>
      <c r="T227">
        <v>0.95555555820465088</v>
      </c>
      <c r="W227">
        <f t="shared" si="12"/>
        <v>153004</v>
      </c>
      <c r="X227">
        <f t="shared" si="13"/>
        <v>0.96666665375232697</v>
      </c>
      <c r="Y227">
        <f t="shared" si="14"/>
        <v>0.95555555820465088</v>
      </c>
      <c r="Z227">
        <f t="shared" si="15"/>
        <v>11.445813586097946</v>
      </c>
    </row>
    <row r="228" spans="1:26" hidden="1" x14ac:dyDescent="0.25">
      <c r="A228" t="s">
        <v>106</v>
      </c>
      <c r="B228">
        <v>9</v>
      </c>
      <c r="C228">
        <v>4</v>
      </c>
      <c r="D228">
        <v>0</v>
      </c>
      <c r="E228" t="s">
        <v>293</v>
      </c>
      <c r="F228">
        <v>153643</v>
      </c>
      <c r="G228">
        <v>290183151.5</v>
      </c>
      <c r="H228">
        <v>0.93944445252418518</v>
      </c>
      <c r="I228">
        <v>0.94388888888888889</v>
      </c>
      <c r="J228">
        <v>28463935.25</v>
      </c>
      <c r="K228">
        <v>153004</v>
      </c>
      <c r="L228">
        <v>2</v>
      </c>
      <c r="M228">
        <v>258</v>
      </c>
      <c r="N228">
        <v>0.95111111111111102</v>
      </c>
      <c r="O228">
        <v>28217897</v>
      </c>
      <c r="P228">
        <v>154115</v>
      </c>
      <c r="Q228">
        <v>2</v>
      </c>
      <c r="R228">
        <v>259</v>
      </c>
      <c r="S228">
        <v>12.149946847199686</v>
      </c>
      <c r="T228">
        <v>0.9506</v>
      </c>
      <c r="W228">
        <f t="shared" si="12"/>
        <v>153004</v>
      </c>
      <c r="X228">
        <f t="shared" si="13"/>
        <v>0.93944445252418518</v>
      </c>
      <c r="Y228">
        <f t="shared" si="14"/>
        <v>0.9506</v>
      </c>
      <c r="Z228">
        <f t="shared" si="15"/>
        <v>12.149946847199686</v>
      </c>
    </row>
    <row r="229" spans="1:26" hidden="1" x14ac:dyDescent="0.25">
      <c r="A229" t="s">
        <v>106</v>
      </c>
      <c r="B229">
        <v>3</v>
      </c>
      <c r="C229">
        <v>3</v>
      </c>
      <c r="D229">
        <v>0</v>
      </c>
      <c r="E229" t="s">
        <v>202</v>
      </c>
      <c r="F229">
        <v>87050</v>
      </c>
      <c r="G229">
        <v>257539880.96296296</v>
      </c>
      <c r="H229">
        <v>0.96296296075538357</v>
      </c>
      <c r="I229">
        <v>0.95530864197530863</v>
      </c>
      <c r="J229">
        <v>26831526.925925925</v>
      </c>
      <c r="K229">
        <v>154115</v>
      </c>
      <c r="L229">
        <v>2</v>
      </c>
      <c r="M229">
        <v>259</v>
      </c>
      <c r="N229">
        <v>0.9597530864197531</v>
      </c>
      <c r="O229">
        <v>26876078.592592593</v>
      </c>
      <c r="P229">
        <v>155230</v>
      </c>
      <c r="Q229">
        <v>2</v>
      </c>
      <c r="R229">
        <v>260</v>
      </c>
      <c r="S229">
        <v>11.28177652970736</v>
      </c>
      <c r="T229">
        <v>0.97450142640333914</v>
      </c>
      <c r="W229">
        <f t="shared" si="12"/>
        <v>154115</v>
      </c>
      <c r="X229">
        <f t="shared" si="13"/>
        <v>0.96296296075538357</v>
      </c>
      <c r="Y229">
        <f t="shared" si="14"/>
        <v>0.97450142640333914</v>
      </c>
      <c r="Z229">
        <f t="shared" si="15"/>
        <v>11.28177652970736</v>
      </c>
    </row>
    <row r="230" spans="1:26" hidden="1" x14ac:dyDescent="0.25">
      <c r="A230" t="s">
        <v>106</v>
      </c>
      <c r="B230">
        <v>3</v>
      </c>
      <c r="C230">
        <v>4</v>
      </c>
      <c r="D230">
        <v>0</v>
      </c>
      <c r="E230" t="s">
        <v>112</v>
      </c>
      <c r="F230">
        <v>81520</v>
      </c>
      <c r="G230">
        <v>71868134.5</v>
      </c>
      <c r="H230">
        <v>0.96074073513348901</v>
      </c>
      <c r="I230">
        <v>0.95518518518518525</v>
      </c>
      <c r="J230">
        <v>16798520.5</v>
      </c>
      <c r="K230">
        <v>154115</v>
      </c>
      <c r="L230">
        <v>2</v>
      </c>
      <c r="M230">
        <v>259</v>
      </c>
      <c r="N230">
        <v>0.96148148148148149</v>
      </c>
      <c r="O230">
        <v>17191268.333333332</v>
      </c>
      <c r="P230">
        <v>155230</v>
      </c>
      <c r="Q230">
        <v>2</v>
      </c>
      <c r="R230">
        <v>260</v>
      </c>
      <c r="S230">
        <v>11.408716518580972</v>
      </c>
      <c r="T230">
        <v>0.987407386302948</v>
      </c>
      <c r="W230">
        <f t="shared" si="12"/>
        <v>154115</v>
      </c>
      <c r="X230">
        <f t="shared" si="13"/>
        <v>0.96074073513348901</v>
      </c>
      <c r="Y230">
        <f t="shared" si="14"/>
        <v>0.987407386302948</v>
      </c>
      <c r="Z230">
        <f t="shared" si="15"/>
        <v>11.408716518580972</v>
      </c>
    </row>
    <row r="231" spans="1:26" hidden="1" x14ac:dyDescent="0.25">
      <c r="A231" t="s">
        <v>106</v>
      </c>
      <c r="B231">
        <v>5</v>
      </c>
      <c r="C231">
        <v>2</v>
      </c>
      <c r="D231">
        <v>0</v>
      </c>
      <c r="E231" t="s">
        <v>157</v>
      </c>
      <c r="F231">
        <v>154838</v>
      </c>
      <c r="G231">
        <v>556428129.25</v>
      </c>
      <c r="H231">
        <v>0.96277777850627899</v>
      </c>
      <c r="I231">
        <v>0.9655555555555555</v>
      </c>
      <c r="J231">
        <v>25963012.75</v>
      </c>
      <c r="K231">
        <v>154115</v>
      </c>
      <c r="L231">
        <v>2</v>
      </c>
      <c r="M231">
        <v>259</v>
      </c>
      <c r="N231">
        <v>0.96166666666666667</v>
      </c>
      <c r="O231">
        <v>26403256.5</v>
      </c>
      <c r="P231">
        <v>155230</v>
      </c>
      <c r="Q231">
        <v>2</v>
      </c>
      <c r="R231">
        <v>260</v>
      </c>
      <c r="S231">
        <v>11.448417461621075</v>
      </c>
      <c r="T231">
        <v>0.96666665871938073</v>
      </c>
      <c r="W231">
        <f t="shared" si="12"/>
        <v>154115</v>
      </c>
      <c r="X231">
        <f t="shared" si="13"/>
        <v>0.96277777850627899</v>
      </c>
      <c r="Y231">
        <f t="shared" si="14"/>
        <v>0.96666665871938073</v>
      </c>
      <c r="Z231">
        <f t="shared" si="15"/>
        <v>11.448417461621075</v>
      </c>
    </row>
    <row r="232" spans="1:26" x14ac:dyDescent="0.25">
      <c r="A232" t="s">
        <v>106</v>
      </c>
      <c r="B232">
        <v>3</v>
      </c>
      <c r="C232">
        <v>2</v>
      </c>
      <c r="D232">
        <v>0</v>
      </c>
      <c r="E232" t="s">
        <v>135</v>
      </c>
      <c r="F232">
        <v>95700</v>
      </c>
      <c r="G232">
        <v>328794169.61538464</v>
      </c>
      <c r="H232">
        <v>0.97769230604171753</v>
      </c>
      <c r="I232">
        <v>0.96162393162393167</v>
      </c>
      <c r="J232">
        <v>25354726.5</v>
      </c>
      <c r="K232">
        <v>155230</v>
      </c>
      <c r="L232">
        <v>2</v>
      </c>
      <c r="M232">
        <v>260</v>
      </c>
      <c r="N232">
        <v>0.96162393162393167</v>
      </c>
      <c r="O232">
        <v>25535173.576923076</v>
      </c>
      <c r="P232">
        <v>156349</v>
      </c>
      <c r="Q232">
        <v>2</v>
      </c>
      <c r="R232">
        <v>261</v>
      </c>
      <c r="S232">
        <v>11.217032539311848</v>
      </c>
      <c r="T232">
        <v>0.97896295785903931</v>
      </c>
      <c r="W232">
        <f t="shared" si="12"/>
        <v>155230</v>
      </c>
      <c r="X232">
        <f t="shared" si="13"/>
        <v>0.97769230604171753</v>
      </c>
      <c r="Y232">
        <f t="shared" si="14"/>
        <v>0.97896295785903931</v>
      </c>
      <c r="Z232">
        <f t="shared" si="15"/>
        <v>11.217032539311848</v>
      </c>
    </row>
    <row r="233" spans="1:26" hidden="1" x14ac:dyDescent="0.25">
      <c r="A233" t="s">
        <v>106</v>
      </c>
      <c r="B233">
        <v>3</v>
      </c>
      <c r="C233">
        <v>3</v>
      </c>
      <c r="D233">
        <v>0</v>
      </c>
      <c r="E233" t="s">
        <v>153</v>
      </c>
      <c r="F233">
        <v>87630</v>
      </c>
      <c r="G233">
        <v>255030894.7142857</v>
      </c>
      <c r="H233">
        <v>0.96412697860172814</v>
      </c>
      <c r="I233">
        <v>0.96301587301587299</v>
      </c>
      <c r="J233">
        <v>27557855.642857142</v>
      </c>
      <c r="K233">
        <v>155230</v>
      </c>
      <c r="L233">
        <v>2</v>
      </c>
      <c r="M233">
        <v>260</v>
      </c>
      <c r="N233">
        <v>0.96412698412698417</v>
      </c>
      <c r="O233">
        <v>26269947.857142858</v>
      </c>
      <c r="P233">
        <v>156349</v>
      </c>
      <c r="Q233">
        <v>2</v>
      </c>
      <c r="R233">
        <v>261</v>
      </c>
      <c r="S233">
        <v>11.283109404990403</v>
      </c>
      <c r="T233">
        <v>0.97407407485521758</v>
      </c>
      <c r="W233">
        <f t="shared" si="12"/>
        <v>155230</v>
      </c>
      <c r="X233">
        <f t="shared" si="13"/>
        <v>0.96412697860172814</v>
      </c>
      <c r="Y233">
        <f t="shared" si="14"/>
        <v>0.97407407485521758</v>
      </c>
      <c r="Z233">
        <f t="shared" si="15"/>
        <v>11.283109404990403</v>
      </c>
    </row>
    <row r="234" spans="1:26" hidden="1" x14ac:dyDescent="0.25">
      <c r="A234" t="s">
        <v>106</v>
      </c>
      <c r="B234">
        <v>5</v>
      </c>
      <c r="C234">
        <v>2</v>
      </c>
      <c r="D234">
        <v>0</v>
      </c>
      <c r="E234" t="s">
        <v>222</v>
      </c>
      <c r="F234">
        <v>156154</v>
      </c>
      <c r="G234">
        <v>552643805</v>
      </c>
      <c r="H234">
        <v>0.96571428435189388</v>
      </c>
      <c r="I234">
        <v>0.95841269841269838</v>
      </c>
      <c r="J234">
        <v>27900342.285714287</v>
      </c>
      <c r="K234">
        <v>155230</v>
      </c>
      <c r="L234">
        <v>2</v>
      </c>
      <c r="M234">
        <v>260</v>
      </c>
      <c r="N234">
        <v>0.96476190476190482</v>
      </c>
      <c r="O234">
        <v>27737503.142857142</v>
      </c>
      <c r="P234">
        <v>156349</v>
      </c>
      <c r="Q234">
        <v>2</v>
      </c>
      <c r="R234">
        <v>261</v>
      </c>
      <c r="S234">
        <v>11.452323819146249</v>
      </c>
      <c r="T234">
        <v>0.97407406568527222</v>
      </c>
      <c r="W234">
        <f t="shared" si="12"/>
        <v>155230</v>
      </c>
      <c r="X234">
        <f t="shared" si="13"/>
        <v>0.96571428435189388</v>
      </c>
      <c r="Y234">
        <f t="shared" si="14"/>
        <v>0.97407406568527222</v>
      </c>
      <c r="Z234">
        <f t="shared" si="15"/>
        <v>11.452323819146249</v>
      </c>
    </row>
    <row r="235" spans="1:26" x14ac:dyDescent="0.25">
      <c r="A235" t="s">
        <v>106</v>
      </c>
      <c r="B235">
        <v>3</v>
      </c>
      <c r="C235">
        <v>2</v>
      </c>
      <c r="D235">
        <v>0</v>
      </c>
      <c r="E235" t="s">
        <v>136</v>
      </c>
      <c r="F235">
        <v>96886</v>
      </c>
      <c r="G235">
        <v>326726679.42307693</v>
      </c>
      <c r="H235">
        <v>0.97769230604171753</v>
      </c>
      <c r="I235">
        <v>0.96435897435897433</v>
      </c>
      <c r="J235">
        <v>25773622.884615384</v>
      </c>
      <c r="K235">
        <v>156349</v>
      </c>
      <c r="L235">
        <v>2</v>
      </c>
      <c r="M235">
        <v>261</v>
      </c>
      <c r="N235">
        <v>0.96606837606837603</v>
      </c>
      <c r="O235">
        <v>25446151.192307692</v>
      </c>
      <c r="P235">
        <v>157472</v>
      </c>
      <c r="Q235">
        <v>2</v>
      </c>
      <c r="R235">
        <v>262</v>
      </c>
      <c r="S235">
        <v>11.219002486016159</v>
      </c>
      <c r="T235">
        <v>0.98207407236099242</v>
      </c>
      <c r="W235">
        <f t="shared" si="12"/>
        <v>156349</v>
      </c>
      <c r="X235">
        <f t="shared" si="13"/>
        <v>0.97769230604171753</v>
      </c>
      <c r="Y235">
        <f t="shared" si="14"/>
        <v>0.98207407236099242</v>
      </c>
      <c r="Z235">
        <f t="shared" si="15"/>
        <v>11.219002486016159</v>
      </c>
    </row>
    <row r="236" spans="1:26" hidden="1" x14ac:dyDescent="0.25">
      <c r="A236" t="s">
        <v>106</v>
      </c>
      <c r="B236">
        <v>3</v>
      </c>
      <c r="C236">
        <v>3</v>
      </c>
      <c r="D236">
        <v>0</v>
      </c>
      <c r="E236" t="s">
        <v>203</v>
      </c>
      <c r="F236">
        <v>88456</v>
      </c>
      <c r="G236">
        <v>258564783.53333333</v>
      </c>
      <c r="H236">
        <v>0.97185184558232629</v>
      </c>
      <c r="I236">
        <v>0.95629629629629631</v>
      </c>
      <c r="J236">
        <v>27363795.433333334</v>
      </c>
      <c r="K236">
        <v>156349</v>
      </c>
      <c r="L236">
        <v>2</v>
      </c>
      <c r="M236">
        <v>261</v>
      </c>
      <c r="N236">
        <v>0.9575555555555556</v>
      </c>
      <c r="O236">
        <v>27811045.433333334</v>
      </c>
      <c r="P236">
        <v>157472</v>
      </c>
      <c r="Q236">
        <v>2</v>
      </c>
      <c r="R236">
        <v>262</v>
      </c>
      <c r="S236">
        <v>11.285651149086624</v>
      </c>
      <c r="T236">
        <v>0.97509577767602329</v>
      </c>
      <c r="W236">
        <f t="shared" si="12"/>
        <v>156349</v>
      </c>
      <c r="X236">
        <f t="shared" si="13"/>
        <v>0.97185184558232629</v>
      </c>
      <c r="Y236">
        <f t="shared" si="14"/>
        <v>0.97509577767602329</v>
      </c>
      <c r="Z236">
        <f t="shared" si="15"/>
        <v>11.285651149086624</v>
      </c>
    </row>
    <row r="237" spans="1:26" hidden="1" x14ac:dyDescent="0.25">
      <c r="A237" t="s">
        <v>106</v>
      </c>
      <c r="B237">
        <v>5</v>
      </c>
      <c r="C237">
        <v>3</v>
      </c>
      <c r="D237">
        <v>0</v>
      </c>
      <c r="E237" t="s">
        <v>116</v>
      </c>
      <c r="F237">
        <v>157304</v>
      </c>
      <c r="G237">
        <v>202621229.25</v>
      </c>
      <c r="H237">
        <v>0.96333332359790802</v>
      </c>
      <c r="I237">
        <v>0.95944444444444443</v>
      </c>
      <c r="J237">
        <v>28931788.25</v>
      </c>
      <c r="K237">
        <v>156349</v>
      </c>
      <c r="L237">
        <v>2</v>
      </c>
      <c r="M237">
        <v>261</v>
      </c>
      <c r="N237">
        <v>0.95444444444444443</v>
      </c>
      <c r="O237">
        <v>29336733.25</v>
      </c>
      <c r="P237">
        <v>157472</v>
      </c>
      <c r="Q237">
        <v>2</v>
      </c>
      <c r="R237">
        <v>262</v>
      </c>
      <c r="S237">
        <v>11.528556335839911</v>
      </c>
      <c r="T237">
        <v>0.98765432834625244</v>
      </c>
      <c r="W237">
        <f t="shared" si="12"/>
        <v>156349</v>
      </c>
      <c r="X237">
        <f t="shared" si="13"/>
        <v>0.96333332359790802</v>
      </c>
      <c r="Y237">
        <f t="shared" si="14"/>
        <v>0.98765432834625244</v>
      </c>
      <c r="Z237">
        <f t="shared" si="15"/>
        <v>11.528556335839911</v>
      </c>
    </row>
    <row r="238" spans="1:26" hidden="1" x14ac:dyDescent="0.25">
      <c r="A238" t="s">
        <v>106</v>
      </c>
      <c r="B238">
        <v>5</v>
      </c>
      <c r="C238">
        <v>5</v>
      </c>
      <c r="D238">
        <v>0</v>
      </c>
      <c r="E238" t="s">
        <v>248</v>
      </c>
      <c r="F238">
        <v>156386</v>
      </c>
      <c r="G238">
        <v>220275809.5</v>
      </c>
      <c r="H238">
        <v>0.94611109793186188</v>
      </c>
      <c r="I238">
        <v>0.98166666666666669</v>
      </c>
      <c r="J238">
        <v>27584248.75</v>
      </c>
      <c r="K238">
        <v>156349</v>
      </c>
      <c r="L238">
        <v>2</v>
      </c>
      <c r="M238">
        <v>261</v>
      </c>
      <c r="N238">
        <v>0.97722222222222221</v>
      </c>
      <c r="O238">
        <v>28317442.5</v>
      </c>
      <c r="P238">
        <v>157472</v>
      </c>
      <c r="Q238">
        <v>2</v>
      </c>
      <c r="R238">
        <v>262</v>
      </c>
      <c r="S238">
        <v>11.614800645585511</v>
      </c>
      <c r="T238">
        <v>0.95555555820465088</v>
      </c>
      <c r="W238">
        <f t="shared" si="12"/>
        <v>156349</v>
      </c>
      <c r="X238">
        <f t="shared" si="13"/>
        <v>0.94611109793186188</v>
      </c>
      <c r="Y238">
        <f t="shared" si="14"/>
        <v>0.95555555820465088</v>
      </c>
      <c r="Z238">
        <f t="shared" si="15"/>
        <v>11.614800645585511</v>
      </c>
    </row>
    <row r="239" spans="1:26" x14ac:dyDescent="0.25">
      <c r="A239" t="s">
        <v>106</v>
      </c>
      <c r="B239">
        <v>3</v>
      </c>
      <c r="C239">
        <v>2</v>
      </c>
      <c r="D239">
        <v>0</v>
      </c>
      <c r="E239" t="s">
        <v>168</v>
      </c>
      <c r="F239">
        <v>97204</v>
      </c>
      <c r="G239">
        <v>409610238.16666669</v>
      </c>
      <c r="H239">
        <v>0.97444443901379907</v>
      </c>
      <c r="I239">
        <v>0.95962962962962961</v>
      </c>
      <c r="J239">
        <v>28214358.5</v>
      </c>
      <c r="K239">
        <v>157472</v>
      </c>
      <c r="L239">
        <v>2</v>
      </c>
      <c r="M239">
        <v>262</v>
      </c>
      <c r="N239">
        <v>0.96148148148148149</v>
      </c>
      <c r="O239">
        <v>29590268</v>
      </c>
      <c r="P239">
        <v>158599</v>
      </c>
      <c r="Q239">
        <v>2</v>
      </c>
      <c r="R239">
        <v>263</v>
      </c>
      <c r="S239">
        <v>11.219521664854792</v>
      </c>
      <c r="T239">
        <v>0.98962961435317998</v>
      </c>
      <c r="W239">
        <f t="shared" si="12"/>
        <v>157472</v>
      </c>
      <c r="X239">
        <f t="shared" si="13"/>
        <v>0.97444443901379907</v>
      </c>
      <c r="Y239">
        <f t="shared" si="14"/>
        <v>0.98962961435317998</v>
      </c>
      <c r="Z239">
        <f t="shared" si="15"/>
        <v>11.219521664854792</v>
      </c>
    </row>
    <row r="240" spans="1:26" hidden="1" x14ac:dyDescent="0.25">
      <c r="A240" t="s">
        <v>106</v>
      </c>
      <c r="B240">
        <v>3</v>
      </c>
      <c r="C240">
        <v>3</v>
      </c>
      <c r="D240">
        <v>0</v>
      </c>
      <c r="E240" t="s">
        <v>154</v>
      </c>
      <c r="F240">
        <v>88964</v>
      </c>
      <c r="G240">
        <v>266790951.2857143</v>
      </c>
      <c r="H240">
        <v>0.9660317472049168</v>
      </c>
      <c r="I240">
        <v>0.96349206349206351</v>
      </c>
      <c r="J240">
        <v>27030101.5</v>
      </c>
      <c r="K240">
        <v>157472</v>
      </c>
      <c r="L240">
        <v>2</v>
      </c>
      <c r="M240">
        <v>262</v>
      </c>
      <c r="N240">
        <v>0.96126984126984127</v>
      </c>
      <c r="O240">
        <v>26862572.928571429</v>
      </c>
      <c r="P240">
        <v>158599</v>
      </c>
      <c r="Q240">
        <v>2</v>
      </c>
      <c r="R240">
        <v>263</v>
      </c>
      <c r="S240">
        <v>11.286534216335541</v>
      </c>
      <c r="T240">
        <v>0.9774928734852717</v>
      </c>
      <c r="W240">
        <f t="shared" si="12"/>
        <v>157472</v>
      </c>
      <c r="X240">
        <f t="shared" si="13"/>
        <v>0.9660317472049168</v>
      </c>
      <c r="Y240">
        <f t="shared" si="14"/>
        <v>0.9774928734852717</v>
      </c>
      <c r="Z240">
        <f t="shared" si="15"/>
        <v>11.286534216335541</v>
      </c>
    </row>
    <row r="241" spans="1:26" hidden="1" x14ac:dyDescent="0.25">
      <c r="A241" t="s">
        <v>106</v>
      </c>
      <c r="B241">
        <v>3</v>
      </c>
      <c r="C241">
        <v>4</v>
      </c>
      <c r="D241">
        <v>0</v>
      </c>
      <c r="E241" t="s">
        <v>113</v>
      </c>
      <c r="F241">
        <v>83002</v>
      </c>
      <c r="G241">
        <v>70607792.333333328</v>
      </c>
      <c r="H241">
        <v>0.95777776837348938</v>
      </c>
      <c r="I241">
        <v>0.95296296296296301</v>
      </c>
      <c r="J241">
        <v>18549301</v>
      </c>
      <c r="K241">
        <v>157472</v>
      </c>
      <c r="L241">
        <v>2</v>
      </c>
      <c r="M241">
        <v>262</v>
      </c>
      <c r="N241">
        <v>0.95185185185185184</v>
      </c>
      <c r="O241">
        <v>17037054.666666668</v>
      </c>
      <c r="P241">
        <v>158599</v>
      </c>
      <c r="Q241">
        <v>2</v>
      </c>
      <c r="R241">
        <v>263</v>
      </c>
      <c r="S241">
        <v>11.407909238249594</v>
      </c>
      <c r="T241">
        <v>0.98148149251937866</v>
      </c>
      <c r="W241">
        <f t="shared" si="12"/>
        <v>157472</v>
      </c>
      <c r="X241">
        <f t="shared" si="13"/>
        <v>0.95777776837348938</v>
      </c>
      <c r="Y241">
        <f t="shared" si="14"/>
        <v>0.98148149251937866</v>
      </c>
      <c r="Z241">
        <f t="shared" si="15"/>
        <v>11.407909238249594</v>
      </c>
    </row>
    <row r="242" spans="1:26" hidden="1" x14ac:dyDescent="0.25">
      <c r="A242" t="s">
        <v>106</v>
      </c>
      <c r="B242">
        <v>5</v>
      </c>
      <c r="C242">
        <v>2</v>
      </c>
      <c r="D242">
        <v>0</v>
      </c>
      <c r="E242" t="s">
        <v>275</v>
      </c>
      <c r="F242">
        <v>157867</v>
      </c>
      <c r="G242">
        <v>612394017.75</v>
      </c>
      <c r="H242">
        <v>0.96666666865348816</v>
      </c>
      <c r="I242">
        <v>0.9622222222222222</v>
      </c>
      <c r="J242">
        <v>28577048</v>
      </c>
      <c r="K242">
        <v>157472</v>
      </c>
      <c r="L242">
        <v>2</v>
      </c>
      <c r="M242">
        <v>262</v>
      </c>
      <c r="N242">
        <v>0.96055555555555561</v>
      </c>
      <c r="O242">
        <v>28400350.25</v>
      </c>
      <c r="P242">
        <v>158599</v>
      </c>
      <c r="Q242">
        <v>2</v>
      </c>
      <c r="R242">
        <v>263</v>
      </c>
      <c r="S242">
        <v>11.454734848484849</v>
      </c>
      <c r="T242">
        <v>0.9716049234072367</v>
      </c>
      <c r="W242">
        <f t="shared" si="12"/>
        <v>157472</v>
      </c>
      <c r="X242">
        <f t="shared" si="13"/>
        <v>0.96666666865348816</v>
      </c>
      <c r="Y242">
        <f t="shared" si="14"/>
        <v>0.9716049234072367</v>
      </c>
      <c r="Z242">
        <f t="shared" si="15"/>
        <v>11.454734848484849</v>
      </c>
    </row>
    <row r="243" spans="1:26" x14ac:dyDescent="0.25">
      <c r="A243" t="s">
        <v>106</v>
      </c>
      <c r="B243">
        <v>3</v>
      </c>
      <c r="C243">
        <v>2</v>
      </c>
      <c r="D243">
        <v>0</v>
      </c>
      <c r="E243" t="s">
        <v>137</v>
      </c>
      <c r="F243">
        <v>98072</v>
      </c>
      <c r="G243">
        <v>318720305.09523809</v>
      </c>
      <c r="H243">
        <v>0.97957672107787364</v>
      </c>
      <c r="I243">
        <v>0.96275132275132269</v>
      </c>
      <c r="J243">
        <v>25297594.952380951</v>
      </c>
      <c r="K243">
        <v>158599</v>
      </c>
      <c r="L243">
        <v>2</v>
      </c>
      <c r="M243">
        <v>263</v>
      </c>
      <c r="N243">
        <v>0.9645502645502646</v>
      </c>
      <c r="O243">
        <v>24298195.571428571</v>
      </c>
      <c r="P243">
        <v>159730</v>
      </c>
      <c r="Q243">
        <v>2</v>
      </c>
      <c r="R243">
        <v>264</v>
      </c>
      <c r="S243">
        <v>11.224125901232654</v>
      </c>
      <c r="T243">
        <v>0.97981481552124028</v>
      </c>
      <c r="W243">
        <f t="shared" si="12"/>
        <v>158599</v>
      </c>
      <c r="X243">
        <f t="shared" si="13"/>
        <v>0.97957672107787364</v>
      </c>
      <c r="Y243">
        <f t="shared" si="14"/>
        <v>0.97981481552124028</v>
      </c>
      <c r="Z243">
        <f t="shared" si="15"/>
        <v>11.224125901232654</v>
      </c>
    </row>
    <row r="244" spans="1:26" hidden="1" x14ac:dyDescent="0.25">
      <c r="A244" t="s">
        <v>106</v>
      </c>
      <c r="B244">
        <v>3</v>
      </c>
      <c r="C244">
        <v>3</v>
      </c>
      <c r="D244">
        <v>0</v>
      </c>
      <c r="E244" t="s">
        <v>204</v>
      </c>
      <c r="F244">
        <v>89862</v>
      </c>
      <c r="G244">
        <v>279245033.39999998</v>
      </c>
      <c r="H244">
        <v>0.96862221479415889</v>
      </c>
      <c r="I244">
        <v>0.95848888888888895</v>
      </c>
      <c r="J244">
        <v>27665851.879999999</v>
      </c>
      <c r="K244">
        <v>158599</v>
      </c>
      <c r="L244">
        <v>2</v>
      </c>
      <c r="M244">
        <v>263</v>
      </c>
      <c r="N244">
        <v>0.96151111111111109</v>
      </c>
      <c r="O244">
        <v>27656722.879999999</v>
      </c>
      <c r="P244">
        <v>159730</v>
      </c>
      <c r="Q244">
        <v>2</v>
      </c>
      <c r="R244">
        <v>264</v>
      </c>
      <c r="S244">
        <v>11.289533602644143</v>
      </c>
      <c r="T244">
        <v>0.97006172190109885</v>
      </c>
      <c r="W244">
        <f t="shared" si="12"/>
        <v>158599</v>
      </c>
      <c r="X244">
        <f t="shared" si="13"/>
        <v>0.96862221479415889</v>
      </c>
      <c r="Y244">
        <f t="shared" si="14"/>
        <v>0.97006172190109885</v>
      </c>
      <c r="Z244">
        <f t="shared" si="15"/>
        <v>11.289533602644143</v>
      </c>
    </row>
    <row r="245" spans="1:26" hidden="1" x14ac:dyDescent="0.25">
      <c r="A245" t="s">
        <v>106</v>
      </c>
      <c r="B245">
        <v>5</v>
      </c>
      <c r="C245">
        <v>2</v>
      </c>
      <c r="D245">
        <v>0</v>
      </c>
      <c r="E245" t="s">
        <v>186</v>
      </c>
      <c r="F245">
        <v>159280</v>
      </c>
      <c r="G245">
        <v>424145430.25</v>
      </c>
      <c r="H245">
        <v>0.95499999821186066</v>
      </c>
      <c r="I245">
        <v>0.96166666666666667</v>
      </c>
      <c r="J245">
        <v>26760072.5</v>
      </c>
      <c r="K245">
        <v>158599</v>
      </c>
      <c r="L245">
        <v>2</v>
      </c>
      <c r="M245">
        <v>263</v>
      </c>
      <c r="N245">
        <v>0.95944444444444443</v>
      </c>
      <c r="O245">
        <v>27605128.25</v>
      </c>
      <c r="P245">
        <v>159730</v>
      </c>
      <c r="Q245">
        <v>2</v>
      </c>
      <c r="R245">
        <v>264</v>
      </c>
      <c r="S245">
        <v>11.455945468316083</v>
      </c>
      <c r="T245">
        <v>0.97037037213643396</v>
      </c>
      <c r="W245">
        <f t="shared" si="12"/>
        <v>158599</v>
      </c>
      <c r="X245">
        <f t="shared" si="13"/>
        <v>0.95499999821186066</v>
      </c>
      <c r="Y245">
        <f t="shared" si="14"/>
        <v>0.97037037213643396</v>
      </c>
      <c r="Z245">
        <f t="shared" si="15"/>
        <v>11.455945468316083</v>
      </c>
    </row>
    <row r="246" spans="1:26" hidden="1" x14ac:dyDescent="0.25">
      <c r="A246" t="s">
        <v>106</v>
      </c>
      <c r="B246">
        <v>5</v>
      </c>
      <c r="C246">
        <v>3</v>
      </c>
      <c r="D246">
        <v>0</v>
      </c>
      <c r="E246" t="s">
        <v>147</v>
      </c>
      <c r="F246">
        <v>159114</v>
      </c>
      <c r="G246">
        <v>274945724.5</v>
      </c>
      <c r="H246">
        <v>0.95388889312744141</v>
      </c>
      <c r="I246">
        <v>0.96</v>
      </c>
      <c r="J246">
        <v>29711807</v>
      </c>
      <c r="K246">
        <v>158599</v>
      </c>
      <c r="L246">
        <v>2</v>
      </c>
      <c r="M246">
        <v>263</v>
      </c>
      <c r="N246">
        <v>0.96277777777777773</v>
      </c>
      <c r="O246">
        <v>30720022.75</v>
      </c>
      <c r="P246">
        <v>159730</v>
      </c>
      <c r="Q246">
        <v>2</v>
      </c>
      <c r="R246">
        <v>264</v>
      </c>
      <c r="S246">
        <v>11.528735632183908</v>
      </c>
      <c r="T246">
        <v>0.98765430847803748</v>
      </c>
      <c r="W246">
        <f t="shared" si="12"/>
        <v>158599</v>
      </c>
      <c r="X246">
        <f t="shared" si="13"/>
        <v>0.95388889312744141</v>
      </c>
      <c r="Y246">
        <f t="shared" si="14"/>
        <v>0.98765430847803748</v>
      </c>
      <c r="Z246">
        <f t="shared" si="15"/>
        <v>11.528735632183908</v>
      </c>
    </row>
    <row r="247" spans="1:26" hidden="1" x14ac:dyDescent="0.25">
      <c r="A247" t="s">
        <v>106</v>
      </c>
      <c r="B247">
        <v>9</v>
      </c>
      <c r="C247">
        <v>2</v>
      </c>
      <c r="D247">
        <v>0</v>
      </c>
      <c r="E247" t="s">
        <v>255</v>
      </c>
      <c r="F247">
        <v>159001</v>
      </c>
      <c r="G247">
        <v>160266743.25</v>
      </c>
      <c r="H247">
        <v>0.95722222328186035</v>
      </c>
      <c r="I247">
        <v>0.96944444444444444</v>
      </c>
      <c r="J247">
        <v>26635878.25</v>
      </c>
      <c r="K247">
        <v>158599</v>
      </c>
      <c r="L247">
        <v>2</v>
      </c>
      <c r="M247">
        <v>263</v>
      </c>
      <c r="N247">
        <v>0.97222222222222221</v>
      </c>
      <c r="O247">
        <v>27032834.25</v>
      </c>
      <c r="P247">
        <v>159730</v>
      </c>
      <c r="Q247">
        <v>2</v>
      </c>
      <c r="R247">
        <v>264</v>
      </c>
      <c r="S247">
        <v>11.712070874861572</v>
      </c>
      <c r="T247">
        <v>0.96296296517054236</v>
      </c>
      <c r="W247">
        <f t="shared" si="12"/>
        <v>158599</v>
      </c>
      <c r="X247">
        <f t="shared" si="13"/>
        <v>0.95722222328186035</v>
      </c>
      <c r="Y247">
        <f t="shared" si="14"/>
        <v>0.96296296517054236</v>
      </c>
      <c r="Z247">
        <f t="shared" si="15"/>
        <v>11.712070874861572</v>
      </c>
    </row>
    <row r="248" spans="1:26" hidden="1" x14ac:dyDescent="0.25">
      <c r="A248" t="s">
        <v>106</v>
      </c>
      <c r="B248">
        <v>9</v>
      </c>
      <c r="C248">
        <v>3</v>
      </c>
      <c r="D248">
        <v>0</v>
      </c>
      <c r="E248" t="s">
        <v>253</v>
      </c>
      <c r="F248">
        <v>159652</v>
      </c>
      <c r="G248">
        <v>269226115.25</v>
      </c>
      <c r="H248">
        <v>0.95277780294418335</v>
      </c>
      <c r="I248">
        <v>0.95277777777777772</v>
      </c>
      <c r="J248">
        <v>27520402</v>
      </c>
      <c r="K248">
        <v>158599</v>
      </c>
      <c r="L248">
        <v>2</v>
      </c>
      <c r="M248">
        <v>263</v>
      </c>
      <c r="N248">
        <v>0.95555555555555549</v>
      </c>
      <c r="O248">
        <v>29700427</v>
      </c>
      <c r="P248">
        <v>159730</v>
      </c>
      <c r="Q248">
        <v>2</v>
      </c>
      <c r="R248">
        <v>264</v>
      </c>
      <c r="S248">
        <v>11.91941391941392</v>
      </c>
      <c r="T248">
        <v>0.96790122985839844</v>
      </c>
      <c r="W248">
        <f t="shared" si="12"/>
        <v>158599</v>
      </c>
      <c r="X248">
        <f t="shared" si="13"/>
        <v>0.95277780294418335</v>
      </c>
      <c r="Y248">
        <f t="shared" si="14"/>
        <v>0.96790122985839844</v>
      </c>
      <c r="Z248">
        <f t="shared" si="15"/>
        <v>11.91941391941392</v>
      </c>
    </row>
    <row r="249" spans="1:26" x14ac:dyDescent="0.25">
      <c r="A249" t="s">
        <v>106</v>
      </c>
      <c r="B249">
        <v>3</v>
      </c>
      <c r="C249">
        <v>2</v>
      </c>
      <c r="D249">
        <v>0</v>
      </c>
      <c r="E249" t="s">
        <v>169</v>
      </c>
      <c r="F249">
        <v>98422</v>
      </c>
      <c r="G249">
        <v>393991337.83333331</v>
      </c>
      <c r="H249">
        <v>0.96814815203348792</v>
      </c>
      <c r="I249">
        <v>0.9622222222222222</v>
      </c>
      <c r="J249">
        <v>29003058</v>
      </c>
      <c r="K249">
        <v>159730</v>
      </c>
      <c r="L249">
        <v>2</v>
      </c>
      <c r="M249">
        <v>264</v>
      </c>
      <c r="N249">
        <v>0.9622222222222222</v>
      </c>
      <c r="O249">
        <v>29035465</v>
      </c>
      <c r="P249">
        <v>160865</v>
      </c>
      <c r="Q249">
        <v>2</v>
      </c>
      <c r="R249">
        <v>265</v>
      </c>
      <c r="S249">
        <v>11.224486633087951</v>
      </c>
      <c r="T249">
        <v>0.98518517017364504</v>
      </c>
      <c r="W249">
        <f t="shared" si="12"/>
        <v>159730</v>
      </c>
      <c r="X249">
        <f t="shared" si="13"/>
        <v>0.96814815203348792</v>
      </c>
      <c r="Y249">
        <f t="shared" si="14"/>
        <v>0.98518517017364504</v>
      </c>
      <c r="Z249">
        <f t="shared" si="15"/>
        <v>11.224486633087951</v>
      </c>
    </row>
    <row r="250" spans="1:26" hidden="1" x14ac:dyDescent="0.25">
      <c r="A250" t="s">
        <v>106</v>
      </c>
      <c r="B250">
        <v>3</v>
      </c>
      <c r="C250">
        <v>3</v>
      </c>
      <c r="D250">
        <v>0</v>
      </c>
      <c r="E250" t="s">
        <v>155</v>
      </c>
      <c r="F250">
        <v>90298</v>
      </c>
      <c r="G250">
        <v>310769132.66666669</v>
      </c>
      <c r="H250">
        <v>0.96938271434218792</v>
      </c>
      <c r="I250">
        <v>0.95572016460905351</v>
      </c>
      <c r="J250">
        <v>28407163.333333332</v>
      </c>
      <c r="K250">
        <v>159730</v>
      </c>
      <c r="L250">
        <v>2</v>
      </c>
      <c r="M250">
        <v>264</v>
      </c>
      <c r="N250">
        <v>0.95621399176954736</v>
      </c>
      <c r="O250">
        <v>28144180.111111112</v>
      </c>
      <c r="P250">
        <v>160865</v>
      </c>
      <c r="Q250">
        <v>2</v>
      </c>
      <c r="R250">
        <v>265</v>
      </c>
      <c r="S250">
        <v>11.292992229878317</v>
      </c>
      <c r="T250">
        <v>0.98376068014364981</v>
      </c>
      <c r="W250">
        <f t="shared" si="12"/>
        <v>159730</v>
      </c>
      <c r="X250">
        <f t="shared" si="13"/>
        <v>0.96938271434218792</v>
      </c>
      <c r="Y250">
        <f t="shared" si="14"/>
        <v>0.98376068014364981</v>
      </c>
      <c r="Z250">
        <f t="shared" si="15"/>
        <v>11.292992229878317</v>
      </c>
    </row>
    <row r="251" spans="1:26" hidden="1" x14ac:dyDescent="0.25">
      <c r="A251" t="s">
        <v>106</v>
      </c>
      <c r="B251">
        <v>3</v>
      </c>
      <c r="C251">
        <v>4</v>
      </c>
      <c r="D251">
        <v>0</v>
      </c>
      <c r="E251" t="s">
        <v>114</v>
      </c>
      <c r="F251">
        <v>84484</v>
      </c>
      <c r="G251">
        <v>76972948.5</v>
      </c>
      <c r="H251">
        <v>0.95777776837348938</v>
      </c>
      <c r="I251">
        <v>0.94851851851851854</v>
      </c>
      <c r="J251">
        <v>17700876.666666668</v>
      </c>
      <c r="K251">
        <v>159730</v>
      </c>
      <c r="L251">
        <v>2</v>
      </c>
      <c r="M251">
        <v>264</v>
      </c>
      <c r="N251">
        <v>0.96074074074074067</v>
      </c>
      <c r="O251">
        <v>17518715.333333332</v>
      </c>
      <c r="P251">
        <v>160865</v>
      </c>
      <c r="Q251">
        <v>2</v>
      </c>
      <c r="R251">
        <v>265</v>
      </c>
      <c r="S251">
        <v>11.407361804160455</v>
      </c>
      <c r="T251">
        <v>0.97777777910232544</v>
      </c>
      <c r="W251">
        <f t="shared" si="12"/>
        <v>159730</v>
      </c>
      <c r="X251">
        <f t="shared" si="13"/>
        <v>0.95777776837348938</v>
      </c>
      <c r="Y251">
        <f t="shared" si="14"/>
        <v>0.97777777910232544</v>
      </c>
      <c r="Z251">
        <f t="shared" si="15"/>
        <v>11.407361804160455</v>
      </c>
    </row>
    <row r="252" spans="1:26" hidden="1" x14ac:dyDescent="0.25">
      <c r="A252" t="s">
        <v>106</v>
      </c>
      <c r="B252">
        <v>5</v>
      </c>
      <c r="C252">
        <v>2</v>
      </c>
      <c r="D252">
        <v>0</v>
      </c>
      <c r="E252" t="s">
        <v>264</v>
      </c>
      <c r="F252">
        <v>160393</v>
      </c>
      <c r="G252">
        <v>498384551.75</v>
      </c>
      <c r="H252">
        <v>0.96166665852069855</v>
      </c>
      <c r="I252">
        <v>0.96333333333333337</v>
      </c>
      <c r="J252">
        <v>26810227</v>
      </c>
      <c r="K252">
        <v>159730</v>
      </c>
      <c r="L252">
        <v>2</v>
      </c>
      <c r="M252">
        <v>264</v>
      </c>
      <c r="N252">
        <v>0.95833333333333337</v>
      </c>
      <c r="O252">
        <v>26426688.25</v>
      </c>
      <c r="P252">
        <v>160865</v>
      </c>
      <c r="Q252">
        <v>2</v>
      </c>
      <c r="R252">
        <v>265</v>
      </c>
      <c r="S252">
        <v>11.457786471479052</v>
      </c>
      <c r="T252">
        <v>0.95308641592661536</v>
      </c>
      <c r="W252">
        <f t="shared" si="12"/>
        <v>159730</v>
      </c>
      <c r="X252">
        <f t="shared" si="13"/>
        <v>0.96166665852069855</v>
      </c>
      <c r="Y252">
        <f t="shared" si="14"/>
        <v>0.95308641592661536</v>
      </c>
      <c r="Z252">
        <f t="shared" si="15"/>
        <v>11.457786471479052</v>
      </c>
    </row>
    <row r="253" spans="1:26" hidden="1" x14ac:dyDescent="0.25">
      <c r="A253" t="s">
        <v>106</v>
      </c>
      <c r="B253">
        <v>5</v>
      </c>
      <c r="C253">
        <v>4</v>
      </c>
      <c r="D253">
        <v>0</v>
      </c>
      <c r="E253" t="s">
        <v>254</v>
      </c>
      <c r="F253">
        <v>160175</v>
      </c>
      <c r="G253">
        <v>159383962.75</v>
      </c>
      <c r="H253">
        <v>0.95944446325302124</v>
      </c>
      <c r="I253">
        <v>0.96777777777777785</v>
      </c>
      <c r="J253">
        <v>27726401.5</v>
      </c>
      <c r="K253">
        <v>159730</v>
      </c>
      <c r="L253">
        <v>2</v>
      </c>
      <c r="M253">
        <v>264</v>
      </c>
      <c r="N253">
        <v>0.97444444444444445</v>
      </c>
      <c r="O253">
        <v>28343737.75</v>
      </c>
      <c r="P253">
        <v>160865</v>
      </c>
      <c r="Q253">
        <v>2</v>
      </c>
      <c r="R253">
        <v>265</v>
      </c>
      <c r="S253">
        <v>11.578758150021327</v>
      </c>
      <c r="T253">
        <v>0.95555555820465088</v>
      </c>
      <c r="W253">
        <f t="shared" si="12"/>
        <v>159730</v>
      </c>
      <c r="X253">
        <f t="shared" si="13"/>
        <v>0.95944446325302124</v>
      </c>
      <c r="Y253">
        <f t="shared" si="14"/>
        <v>0.95555555820465088</v>
      </c>
      <c r="Z253">
        <f t="shared" si="15"/>
        <v>11.578758150021327</v>
      </c>
    </row>
    <row r="254" spans="1:26" x14ac:dyDescent="0.25">
      <c r="A254" t="s">
        <v>106</v>
      </c>
      <c r="B254">
        <v>3</v>
      </c>
      <c r="C254">
        <v>2</v>
      </c>
      <c r="D254">
        <v>0</v>
      </c>
      <c r="E254" t="s">
        <v>138</v>
      </c>
      <c r="F254">
        <v>99258</v>
      </c>
      <c r="G254">
        <v>326496195.90476191</v>
      </c>
      <c r="H254">
        <v>0.97597883145014441</v>
      </c>
      <c r="I254">
        <v>0.96317460317460313</v>
      </c>
      <c r="J254">
        <v>24127535.571428571</v>
      </c>
      <c r="K254">
        <v>160865</v>
      </c>
      <c r="L254">
        <v>2</v>
      </c>
      <c r="M254">
        <v>265</v>
      </c>
      <c r="N254">
        <v>0.96539682539682536</v>
      </c>
      <c r="O254">
        <v>24529472</v>
      </c>
      <c r="P254">
        <v>162004</v>
      </c>
      <c r="Q254">
        <v>2</v>
      </c>
      <c r="R254">
        <v>266</v>
      </c>
      <c r="S254">
        <v>11.228376914745475</v>
      </c>
      <c r="T254">
        <v>0.97666666507720945</v>
      </c>
      <c r="W254">
        <f t="shared" si="12"/>
        <v>160865</v>
      </c>
      <c r="X254">
        <f t="shared" si="13"/>
        <v>0.97597883145014441</v>
      </c>
      <c r="Y254">
        <f t="shared" si="14"/>
        <v>0.97666666507720945</v>
      </c>
      <c r="Z254">
        <f t="shared" si="15"/>
        <v>11.228376914745475</v>
      </c>
    </row>
    <row r="255" spans="1:26" hidden="1" x14ac:dyDescent="0.25">
      <c r="A255" t="s">
        <v>106</v>
      </c>
      <c r="B255">
        <v>3</v>
      </c>
      <c r="C255">
        <v>3</v>
      </c>
      <c r="D255">
        <v>0</v>
      </c>
      <c r="E255" t="s">
        <v>220</v>
      </c>
      <c r="F255">
        <v>90870</v>
      </c>
      <c r="G255">
        <v>301527816.27999997</v>
      </c>
      <c r="H255">
        <v>0.97075555562973026</v>
      </c>
      <c r="I255">
        <v>0.96044444444444443</v>
      </c>
      <c r="J255">
        <v>26349593.920000002</v>
      </c>
      <c r="K255">
        <v>160865</v>
      </c>
      <c r="L255">
        <v>2</v>
      </c>
      <c r="M255">
        <v>265</v>
      </c>
      <c r="N255">
        <v>0.95991111111111116</v>
      </c>
      <c r="O255">
        <v>27293007.359999999</v>
      </c>
      <c r="P255">
        <v>162004</v>
      </c>
      <c r="Q255">
        <v>2</v>
      </c>
      <c r="R255">
        <v>266</v>
      </c>
      <c r="S255">
        <v>11.296992756274237</v>
      </c>
      <c r="T255">
        <v>0.97546296566724777</v>
      </c>
      <c r="W255">
        <f t="shared" si="12"/>
        <v>160865</v>
      </c>
      <c r="X255">
        <f t="shared" si="13"/>
        <v>0.97075555562973026</v>
      </c>
      <c r="Y255">
        <f t="shared" si="14"/>
        <v>0.97546296566724777</v>
      </c>
      <c r="Z255">
        <f t="shared" si="15"/>
        <v>11.296992756274237</v>
      </c>
    </row>
    <row r="256" spans="1:26" hidden="1" x14ac:dyDescent="0.25">
      <c r="A256" t="s">
        <v>106</v>
      </c>
      <c r="B256">
        <v>9</v>
      </c>
      <c r="C256">
        <v>5</v>
      </c>
      <c r="D256">
        <v>0</v>
      </c>
      <c r="E256" t="s">
        <v>243</v>
      </c>
      <c r="F256">
        <v>161704</v>
      </c>
      <c r="G256">
        <v>261896481.75</v>
      </c>
      <c r="H256">
        <v>0.93222221732139587</v>
      </c>
      <c r="I256">
        <v>0.9588888888888889</v>
      </c>
      <c r="J256">
        <v>35416800.75</v>
      </c>
      <c r="K256">
        <v>160865</v>
      </c>
      <c r="L256">
        <v>2</v>
      </c>
      <c r="M256">
        <v>265</v>
      </c>
      <c r="N256">
        <v>0.96166666666666667</v>
      </c>
      <c r="O256">
        <v>35550668.5</v>
      </c>
      <c r="P256">
        <v>162004</v>
      </c>
      <c r="Q256">
        <v>2</v>
      </c>
      <c r="R256">
        <v>266</v>
      </c>
      <c r="S256">
        <v>12.179120879120878</v>
      </c>
      <c r="T256">
        <v>0.94073333333333331</v>
      </c>
      <c r="W256">
        <f t="shared" si="12"/>
        <v>160865</v>
      </c>
      <c r="X256">
        <f t="shared" si="13"/>
        <v>0.93222221732139587</v>
      </c>
      <c r="Y256">
        <f t="shared" si="14"/>
        <v>0.94073333333333331</v>
      </c>
      <c r="Z256">
        <f t="shared" si="15"/>
        <v>12.179120879120878</v>
      </c>
    </row>
    <row r="257" spans="1:26" x14ac:dyDescent="0.25">
      <c r="A257" t="s">
        <v>106</v>
      </c>
      <c r="B257">
        <v>3</v>
      </c>
      <c r="C257">
        <v>2</v>
      </c>
      <c r="D257">
        <v>0</v>
      </c>
      <c r="E257" t="s">
        <v>139</v>
      </c>
      <c r="F257">
        <v>100444</v>
      </c>
      <c r="G257">
        <v>370724572</v>
      </c>
      <c r="H257">
        <v>0.9703030315312472</v>
      </c>
      <c r="I257">
        <v>0.95878787878787874</v>
      </c>
      <c r="J257">
        <v>27197326.272727273</v>
      </c>
      <c r="K257">
        <v>162004</v>
      </c>
      <c r="L257">
        <v>2</v>
      </c>
      <c r="M257">
        <v>266</v>
      </c>
      <c r="N257">
        <v>0.96060606060606057</v>
      </c>
      <c r="O257">
        <v>28116843.09090909</v>
      </c>
      <c r="P257">
        <v>163147</v>
      </c>
      <c r="Q257">
        <v>2</v>
      </c>
      <c r="R257">
        <v>267</v>
      </c>
      <c r="S257">
        <v>11.229419494473216</v>
      </c>
      <c r="T257">
        <v>0.98444444537162779</v>
      </c>
      <c r="W257">
        <f t="shared" si="12"/>
        <v>162004</v>
      </c>
      <c r="X257">
        <f t="shared" si="13"/>
        <v>0.9703030315312472</v>
      </c>
      <c r="Y257">
        <f t="shared" si="14"/>
        <v>0.98444444537162779</v>
      </c>
      <c r="Z257">
        <f t="shared" si="15"/>
        <v>11.229419494473216</v>
      </c>
    </row>
    <row r="258" spans="1:26" hidden="1" x14ac:dyDescent="0.25">
      <c r="A258" t="s">
        <v>106</v>
      </c>
      <c r="B258">
        <v>3</v>
      </c>
      <c r="C258">
        <v>3</v>
      </c>
      <c r="D258">
        <v>0</v>
      </c>
      <c r="E258" t="s">
        <v>156</v>
      </c>
      <c r="F258">
        <v>91632</v>
      </c>
      <c r="G258">
        <v>314808734.28571427</v>
      </c>
      <c r="H258">
        <v>0.96523809858730858</v>
      </c>
      <c r="I258">
        <v>0.95269841269841271</v>
      </c>
      <c r="J258">
        <v>28569753.5</v>
      </c>
      <c r="K258">
        <v>162004</v>
      </c>
      <c r="L258">
        <v>2</v>
      </c>
      <c r="M258">
        <v>266</v>
      </c>
      <c r="N258">
        <v>0.95222222222222219</v>
      </c>
      <c r="O258">
        <v>29044081</v>
      </c>
      <c r="P258">
        <v>163147</v>
      </c>
      <c r="Q258">
        <v>2</v>
      </c>
      <c r="R258">
        <v>267</v>
      </c>
      <c r="S258">
        <v>11.299174036985601</v>
      </c>
      <c r="T258">
        <v>0.98518518759654117</v>
      </c>
      <c r="W258">
        <f t="shared" si="12"/>
        <v>162004</v>
      </c>
      <c r="X258">
        <f t="shared" si="13"/>
        <v>0.96523809858730858</v>
      </c>
      <c r="Y258">
        <f t="shared" si="14"/>
        <v>0.98518518759654117</v>
      </c>
      <c r="Z258">
        <f t="shared" si="15"/>
        <v>11.299174036985601</v>
      </c>
    </row>
    <row r="259" spans="1:26" hidden="1" x14ac:dyDescent="0.25">
      <c r="A259" t="s">
        <v>106</v>
      </c>
      <c r="B259">
        <v>5</v>
      </c>
      <c r="C259">
        <v>2</v>
      </c>
      <c r="D259">
        <v>0</v>
      </c>
      <c r="E259" t="s">
        <v>282</v>
      </c>
      <c r="F259">
        <v>162159</v>
      </c>
      <c r="G259">
        <v>597631030.28571427</v>
      </c>
      <c r="H259">
        <v>0.96825395311628071</v>
      </c>
      <c r="I259">
        <v>0.96</v>
      </c>
      <c r="J259">
        <v>28036980.428571429</v>
      </c>
      <c r="K259">
        <v>162004</v>
      </c>
      <c r="L259">
        <v>2</v>
      </c>
      <c r="M259">
        <v>266</v>
      </c>
      <c r="N259">
        <v>0.95936507936507931</v>
      </c>
      <c r="O259">
        <v>26871933.571428571</v>
      </c>
      <c r="P259">
        <v>163147</v>
      </c>
      <c r="Q259">
        <v>2</v>
      </c>
      <c r="R259">
        <v>267</v>
      </c>
      <c r="S259">
        <v>11.462125512456637</v>
      </c>
      <c r="T259">
        <v>0.96358023087183631</v>
      </c>
      <c r="W259">
        <f t="shared" ref="W259:W322" si="16">K259</f>
        <v>162004</v>
      </c>
      <c r="X259">
        <f t="shared" ref="X259:X322" si="17">H259</f>
        <v>0.96825395311628071</v>
      </c>
      <c r="Y259">
        <f t="shared" ref="Y259:Y322" si="18">T259</f>
        <v>0.96358023087183631</v>
      </c>
      <c r="Z259">
        <f t="shared" ref="Z259:Z322" si="19">S259</f>
        <v>11.462125512456637</v>
      </c>
    </row>
    <row r="260" spans="1:26" hidden="1" x14ac:dyDescent="0.25">
      <c r="A260" t="s">
        <v>106</v>
      </c>
      <c r="B260">
        <v>9</v>
      </c>
      <c r="C260">
        <v>4</v>
      </c>
      <c r="D260">
        <v>0</v>
      </c>
      <c r="E260" t="s">
        <v>248</v>
      </c>
      <c r="F260">
        <v>162898</v>
      </c>
      <c r="G260">
        <v>320124786.5</v>
      </c>
      <c r="H260">
        <v>0.94222220778465271</v>
      </c>
      <c r="I260">
        <v>0.94499999999999995</v>
      </c>
      <c r="J260">
        <v>29009896.5</v>
      </c>
      <c r="K260">
        <v>162004</v>
      </c>
      <c r="L260">
        <v>2</v>
      </c>
      <c r="M260">
        <v>266</v>
      </c>
      <c r="N260">
        <v>0.95222222222222219</v>
      </c>
      <c r="O260">
        <v>28731274</v>
      </c>
      <c r="P260">
        <v>163147</v>
      </c>
      <c r="Q260">
        <v>2</v>
      </c>
      <c r="R260">
        <v>267</v>
      </c>
      <c r="S260">
        <v>12.150137047603065</v>
      </c>
      <c r="T260">
        <v>0.95186666666666664</v>
      </c>
      <c r="W260">
        <f t="shared" si="16"/>
        <v>162004</v>
      </c>
      <c r="X260">
        <f t="shared" si="17"/>
        <v>0.94222220778465271</v>
      </c>
      <c r="Y260">
        <f t="shared" si="18"/>
        <v>0.95186666666666664</v>
      </c>
      <c r="Z260">
        <f t="shared" si="19"/>
        <v>12.150137047603065</v>
      </c>
    </row>
    <row r="261" spans="1:26" x14ac:dyDescent="0.25">
      <c r="A261" t="s">
        <v>106</v>
      </c>
      <c r="B261">
        <v>3</v>
      </c>
      <c r="C261">
        <v>2</v>
      </c>
      <c r="D261">
        <v>0</v>
      </c>
      <c r="E261" t="s">
        <v>170</v>
      </c>
      <c r="F261">
        <v>100858</v>
      </c>
      <c r="G261">
        <v>328064237.04761904</v>
      </c>
      <c r="H261">
        <v>0.97830687818073092</v>
      </c>
      <c r="I261">
        <v>0.96529100529100531</v>
      </c>
      <c r="J261">
        <v>24189347.761904761</v>
      </c>
      <c r="K261">
        <v>163147</v>
      </c>
      <c r="L261">
        <v>2</v>
      </c>
      <c r="M261">
        <v>267</v>
      </c>
      <c r="N261">
        <v>0.96571428571428575</v>
      </c>
      <c r="O261">
        <v>25318789.476190478</v>
      </c>
      <c r="P261">
        <v>164294</v>
      </c>
      <c r="Q261">
        <v>2</v>
      </c>
      <c r="R261">
        <v>268</v>
      </c>
      <c r="S261">
        <v>11.23221176107424</v>
      </c>
      <c r="T261">
        <v>0.97999999821186068</v>
      </c>
      <c r="W261">
        <f t="shared" si="16"/>
        <v>163147</v>
      </c>
      <c r="X261">
        <f t="shared" si="17"/>
        <v>0.97830687818073092</v>
      </c>
      <c r="Y261">
        <f t="shared" si="18"/>
        <v>0.97999999821186068</v>
      </c>
      <c r="Z261">
        <f t="shared" si="19"/>
        <v>11.23221176107424</v>
      </c>
    </row>
    <row r="262" spans="1:26" hidden="1" x14ac:dyDescent="0.25">
      <c r="A262" t="s">
        <v>106</v>
      </c>
      <c r="B262">
        <v>3</v>
      </c>
      <c r="C262">
        <v>3</v>
      </c>
      <c r="D262">
        <v>0</v>
      </c>
      <c r="E262" t="s">
        <v>221</v>
      </c>
      <c r="F262">
        <v>92312</v>
      </c>
      <c r="G262">
        <v>291673399.47368419</v>
      </c>
      <c r="H262">
        <v>0.97076023252386801</v>
      </c>
      <c r="I262">
        <v>0.95929824561403509</v>
      </c>
      <c r="J262">
        <v>27875170.263157893</v>
      </c>
      <c r="K262">
        <v>163147</v>
      </c>
      <c r="L262">
        <v>2</v>
      </c>
      <c r="M262">
        <v>267</v>
      </c>
      <c r="N262">
        <v>0.95947368421052637</v>
      </c>
      <c r="O262">
        <v>27639861.289473683</v>
      </c>
      <c r="P262">
        <v>164294</v>
      </c>
      <c r="Q262">
        <v>2</v>
      </c>
      <c r="R262">
        <v>268</v>
      </c>
      <c r="S262">
        <v>11.303301989940957</v>
      </c>
      <c r="T262">
        <v>0.97487486858625672</v>
      </c>
      <c r="W262">
        <f t="shared" si="16"/>
        <v>163147</v>
      </c>
      <c r="X262">
        <f t="shared" si="17"/>
        <v>0.97076023252386801</v>
      </c>
      <c r="Y262">
        <f t="shared" si="18"/>
        <v>0.97487486858625672</v>
      </c>
      <c r="Z262">
        <f t="shared" si="19"/>
        <v>11.303301989940957</v>
      </c>
    </row>
    <row r="263" spans="1:26" hidden="1" x14ac:dyDescent="0.25">
      <c r="A263" t="s">
        <v>106</v>
      </c>
      <c r="B263">
        <v>3</v>
      </c>
      <c r="C263">
        <v>4</v>
      </c>
      <c r="D263">
        <v>0</v>
      </c>
      <c r="E263" t="s">
        <v>115</v>
      </c>
      <c r="F263">
        <v>85966</v>
      </c>
      <c r="G263">
        <v>84805069.333333328</v>
      </c>
      <c r="H263">
        <v>0.95370370149612427</v>
      </c>
      <c r="I263">
        <v>0.95851851851851855</v>
      </c>
      <c r="J263">
        <v>17891241.666666668</v>
      </c>
      <c r="K263">
        <v>163147</v>
      </c>
      <c r="L263">
        <v>2</v>
      </c>
      <c r="M263">
        <v>267</v>
      </c>
      <c r="N263">
        <v>0.95629629629629631</v>
      </c>
      <c r="O263">
        <v>17957302.333333332</v>
      </c>
      <c r="P263">
        <v>164294</v>
      </c>
      <c r="Q263">
        <v>2</v>
      </c>
      <c r="R263">
        <v>268</v>
      </c>
      <c r="S263">
        <v>11.40681479562091</v>
      </c>
      <c r="T263">
        <v>0.97629629373550419</v>
      </c>
      <c r="W263">
        <f t="shared" si="16"/>
        <v>163147</v>
      </c>
      <c r="X263">
        <f t="shared" si="17"/>
        <v>0.95370370149612427</v>
      </c>
      <c r="Y263">
        <f t="shared" si="18"/>
        <v>0.97629629373550419</v>
      </c>
      <c r="Z263">
        <f t="shared" si="19"/>
        <v>11.40681479562091</v>
      </c>
    </row>
    <row r="264" spans="1:26" hidden="1" x14ac:dyDescent="0.25">
      <c r="A264" t="s">
        <v>106</v>
      </c>
      <c r="B264">
        <v>5</v>
      </c>
      <c r="C264">
        <v>2</v>
      </c>
      <c r="D264">
        <v>0</v>
      </c>
      <c r="E264" t="s">
        <v>208</v>
      </c>
      <c r="F264">
        <v>163722</v>
      </c>
      <c r="G264">
        <v>626827642.5</v>
      </c>
      <c r="H264">
        <v>0.9627777636051178</v>
      </c>
      <c r="I264">
        <v>0.9622222222222222</v>
      </c>
      <c r="J264">
        <v>29395541.5</v>
      </c>
      <c r="K264">
        <v>163147</v>
      </c>
      <c r="L264">
        <v>2</v>
      </c>
      <c r="M264">
        <v>267</v>
      </c>
      <c r="N264">
        <v>0.9588888888888889</v>
      </c>
      <c r="O264">
        <v>28895525.25</v>
      </c>
      <c r="P264">
        <v>164294</v>
      </c>
      <c r="Q264">
        <v>2</v>
      </c>
      <c r="R264">
        <v>268</v>
      </c>
      <c r="S264">
        <v>11.464720348067344</v>
      </c>
      <c r="T264">
        <v>0.96296296517054236</v>
      </c>
      <c r="W264">
        <f t="shared" si="16"/>
        <v>163147</v>
      </c>
      <c r="X264">
        <f t="shared" si="17"/>
        <v>0.9627777636051178</v>
      </c>
      <c r="Y264">
        <f t="shared" si="18"/>
        <v>0.96296296517054236</v>
      </c>
      <c r="Z264">
        <f t="shared" si="19"/>
        <v>11.464720348067344</v>
      </c>
    </row>
    <row r="265" spans="1:26" hidden="1" x14ac:dyDescent="0.25">
      <c r="A265" t="s">
        <v>106</v>
      </c>
      <c r="B265">
        <v>5</v>
      </c>
      <c r="C265">
        <v>3</v>
      </c>
      <c r="D265">
        <v>0</v>
      </c>
      <c r="E265" t="s">
        <v>256</v>
      </c>
      <c r="F265">
        <v>163969</v>
      </c>
      <c r="G265">
        <v>410336623.25</v>
      </c>
      <c r="H265">
        <v>0.95388889312744141</v>
      </c>
      <c r="I265">
        <v>0.9572222222222222</v>
      </c>
      <c r="J265">
        <v>29721787.5</v>
      </c>
      <c r="K265">
        <v>163147</v>
      </c>
      <c r="L265">
        <v>2</v>
      </c>
      <c r="M265">
        <v>267</v>
      </c>
      <c r="N265">
        <v>0.95444444444444443</v>
      </c>
      <c r="O265">
        <v>29582706</v>
      </c>
      <c r="P265">
        <v>164294</v>
      </c>
      <c r="Q265">
        <v>2</v>
      </c>
      <c r="R265">
        <v>268</v>
      </c>
      <c r="S265">
        <v>11.529598111683956</v>
      </c>
      <c r="T265">
        <v>0.98765430847803748</v>
      </c>
      <c r="W265">
        <f t="shared" si="16"/>
        <v>163147</v>
      </c>
      <c r="X265">
        <f t="shared" si="17"/>
        <v>0.95388889312744141</v>
      </c>
      <c r="Y265">
        <f t="shared" si="18"/>
        <v>0.98765430847803748</v>
      </c>
      <c r="Z265">
        <f t="shared" si="19"/>
        <v>11.529598111683956</v>
      </c>
    </row>
    <row r="266" spans="1:26" x14ac:dyDescent="0.25">
      <c r="A266" t="s">
        <v>106</v>
      </c>
      <c r="B266">
        <v>3</v>
      </c>
      <c r="C266">
        <v>2</v>
      </c>
      <c r="D266">
        <v>0</v>
      </c>
      <c r="E266" t="s">
        <v>140</v>
      </c>
      <c r="F266">
        <v>101630</v>
      </c>
      <c r="G266">
        <v>403635963.72727275</v>
      </c>
      <c r="H266">
        <v>0.9773737300526012</v>
      </c>
      <c r="I266">
        <v>0.96707070707070708</v>
      </c>
      <c r="J266">
        <v>26523508.545454547</v>
      </c>
      <c r="K266">
        <v>164294</v>
      </c>
      <c r="L266">
        <v>2</v>
      </c>
      <c r="M266">
        <v>268</v>
      </c>
      <c r="N266">
        <v>0.97111111111111115</v>
      </c>
      <c r="O266">
        <v>27331341.272727273</v>
      </c>
      <c r="P266">
        <v>165445</v>
      </c>
      <c r="Q266">
        <v>2</v>
      </c>
      <c r="R266">
        <v>269</v>
      </c>
      <c r="S266">
        <v>11.234559333795975</v>
      </c>
      <c r="T266">
        <v>0.97000000476837156</v>
      </c>
      <c r="W266">
        <f t="shared" si="16"/>
        <v>164294</v>
      </c>
      <c r="X266">
        <f t="shared" si="17"/>
        <v>0.9773737300526012</v>
      </c>
      <c r="Y266">
        <f t="shared" si="18"/>
        <v>0.97000000476837156</v>
      </c>
      <c r="Z266">
        <f t="shared" si="19"/>
        <v>11.234559333795975</v>
      </c>
    </row>
    <row r="267" spans="1:26" hidden="1" x14ac:dyDescent="0.25">
      <c r="A267" t="s">
        <v>106</v>
      </c>
      <c r="B267">
        <v>3</v>
      </c>
      <c r="C267">
        <v>3</v>
      </c>
      <c r="D267">
        <v>0</v>
      </c>
      <c r="E267" t="s">
        <v>157</v>
      </c>
      <c r="F267">
        <v>92966</v>
      </c>
      <c r="G267">
        <v>286432716.9285714</v>
      </c>
      <c r="H267">
        <v>0.96793650729315617</v>
      </c>
      <c r="I267">
        <v>0.9514285714285714</v>
      </c>
      <c r="J267">
        <v>28246284.5</v>
      </c>
      <c r="K267">
        <v>164294</v>
      </c>
      <c r="L267">
        <v>2</v>
      </c>
      <c r="M267">
        <v>268</v>
      </c>
      <c r="N267">
        <v>0.95380952380952377</v>
      </c>
      <c r="O267">
        <v>29390000.857142858</v>
      </c>
      <c r="P267">
        <v>165445</v>
      </c>
      <c r="Q267">
        <v>2</v>
      </c>
      <c r="R267">
        <v>269</v>
      </c>
      <c r="S267">
        <v>11.304521954416369</v>
      </c>
      <c r="T267">
        <v>0.98233617727573097</v>
      </c>
      <c r="W267">
        <f t="shared" si="16"/>
        <v>164294</v>
      </c>
      <c r="X267">
        <f t="shared" si="17"/>
        <v>0.96793650729315617</v>
      </c>
      <c r="Y267">
        <f t="shared" si="18"/>
        <v>0.98233617727573097</v>
      </c>
      <c r="Z267">
        <f t="shared" si="19"/>
        <v>11.304521954416369</v>
      </c>
    </row>
    <row r="268" spans="1:26" hidden="1" x14ac:dyDescent="0.25">
      <c r="A268" t="s">
        <v>106</v>
      </c>
      <c r="B268">
        <v>5</v>
      </c>
      <c r="C268">
        <v>2</v>
      </c>
      <c r="D268">
        <v>0</v>
      </c>
      <c r="E268" t="s">
        <v>270</v>
      </c>
      <c r="F268">
        <v>164985</v>
      </c>
      <c r="G268">
        <v>608358240.25</v>
      </c>
      <c r="H268">
        <v>0.96111111342906952</v>
      </c>
      <c r="I268">
        <v>0.96722222222222221</v>
      </c>
      <c r="J268">
        <v>29436343.75</v>
      </c>
      <c r="K268">
        <v>164294</v>
      </c>
      <c r="L268">
        <v>2</v>
      </c>
      <c r="M268">
        <v>268</v>
      </c>
      <c r="N268">
        <v>0.95666666666666667</v>
      </c>
      <c r="O268">
        <v>28039721.5</v>
      </c>
      <c r="P268">
        <v>165445</v>
      </c>
      <c r="Q268">
        <v>2</v>
      </c>
      <c r="R268">
        <v>269</v>
      </c>
      <c r="S268">
        <v>11.467439954611359</v>
      </c>
      <c r="T268">
        <v>0.96913578112920129</v>
      </c>
      <c r="W268">
        <f t="shared" si="16"/>
        <v>164294</v>
      </c>
      <c r="X268">
        <f t="shared" si="17"/>
        <v>0.96111111342906952</v>
      </c>
      <c r="Y268">
        <f t="shared" si="18"/>
        <v>0.96913578112920129</v>
      </c>
      <c r="Z268">
        <f t="shared" si="19"/>
        <v>11.467439954611359</v>
      </c>
    </row>
    <row r="269" spans="1:26" hidden="1" x14ac:dyDescent="0.25">
      <c r="A269" t="s">
        <v>106</v>
      </c>
      <c r="B269">
        <v>5</v>
      </c>
      <c r="C269">
        <v>5</v>
      </c>
      <c r="D269">
        <v>0</v>
      </c>
      <c r="E269" t="s">
        <v>294</v>
      </c>
      <c r="F269">
        <v>165271</v>
      </c>
      <c r="G269">
        <v>219385689.5</v>
      </c>
      <c r="H269">
        <v>0.95999999344348907</v>
      </c>
      <c r="I269">
        <v>0.98111111111111104</v>
      </c>
      <c r="J269">
        <v>29151654</v>
      </c>
      <c r="K269">
        <v>164294</v>
      </c>
      <c r="L269">
        <v>2</v>
      </c>
      <c r="M269">
        <v>268</v>
      </c>
      <c r="N269">
        <v>0.98388888888888892</v>
      </c>
      <c r="O269">
        <v>29641624</v>
      </c>
      <c r="P269">
        <v>165445</v>
      </c>
      <c r="Q269">
        <v>2</v>
      </c>
      <c r="R269">
        <v>269</v>
      </c>
      <c r="S269">
        <v>11.614354867626846</v>
      </c>
      <c r="T269">
        <v>0.95679012934366858</v>
      </c>
      <c r="W269">
        <f t="shared" si="16"/>
        <v>164294</v>
      </c>
      <c r="X269">
        <f t="shared" si="17"/>
        <v>0.95999999344348907</v>
      </c>
      <c r="Y269">
        <f t="shared" si="18"/>
        <v>0.95679012934366858</v>
      </c>
      <c r="Z269">
        <f t="shared" si="19"/>
        <v>11.614354867626846</v>
      </c>
    </row>
    <row r="270" spans="1:26" x14ac:dyDescent="0.25">
      <c r="A270" t="s">
        <v>106</v>
      </c>
      <c r="B270">
        <v>3</v>
      </c>
      <c r="C270">
        <v>2</v>
      </c>
      <c r="D270">
        <v>0</v>
      </c>
      <c r="E270" t="s">
        <v>171</v>
      </c>
      <c r="F270">
        <v>102076</v>
      </c>
      <c r="G270">
        <v>326908834.25</v>
      </c>
      <c r="H270">
        <v>0.9756944365799427</v>
      </c>
      <c r="I270">
        <v>0.96388888888888891</v>
      </c>
      <c r="J270">
        <v>25299556.25</v>
      </c>
      <c r="K270">
        <v>165445</v>
      </c>
      <c r="L270">
        <v>2</v>
      </c>
      <c r="M270">
        <v>269</v>
      </c>
      <c r="N270">
        <v>0.96499999999999997</v>
      </c>
      <c r="O270">
        <v>26121532.3125</v>
      </c>
      <c r="P270">
        <v>166600</v>
      </c>
      <c r="Q270">
        <v>2</v>
      </c>
      <c r="R270">
        <v>270</v>
      </c>
      <c r="S270">
        <v>11.236118598382749</v>
      </c>
      <c r="T270">
        <v>0.97604938745498659</v>
      </c>
      <c r="W270">
        <f t="shared" si="16"/>
        <v>165445</v>
      </c>
      <c r="X270">
        <f t="shared" si="17"/>
        <v>0.9756944365799427</v>
      </c>
      <c r="Y270">
        <f t="shared" si="18"/>
        <v>0.97604938745498659</v>
      </c>
      <c r="Z270">
        <f t="shared" si="19"/>
        <v>11.236118598382749</v>
      </c>
    </row>
    <row r="271" spans="1:26" hidden="1" x14ac:dyDescent="0.25">
      <c r="A271" t="s">
        <v>106</v>
      </c>
      <c r="B271">
        <v>3</v>
      </c>
      <c r="C271">
        <v>3</v>
      </c>
      <c r="D271">
        <v>0</v>
      </c>
      <c r="E271" t="s">
        <v>222</v>
      </c>
      <c r="F271">
        <v>93754</v>
      </c>
      <c r="G271">
        <v>296927512.5</v>
      </c>
      <c r="H271">
        <v>0.9688888867696126</v>
      </c>
      <c r="I271">
        <v>0.96</v>
      </c>
      <c r="J271">
        <v>27547915.399999999</v>
      </c>
      <c r="K271">
        <v>165445</v>
      </c>
      <c r="L271">
        <v>2</v>
      </c>
      <c r="M271">
        <v>269</v>
      </c>
      <c r="N271">
        <v>0.95955555555555561</v>
      </c>
      <c r="O271">
        <v>27204198.366666667</v>
      </c>
      <c r="P271">
        <v>166600</v>
      </c>
      <c r="Q271">
        <v>2</v>
      </c>
      <c r="R271">
        <v>270</v>
      </c>
      <c r="S271">
        <v>11.308726295139142</v>
      </c>
      <c r="T271">
        <v>0.97535121029820937</v>
      </c>
      <c r="W271">
        <f t="shared" si="16"/>
        <v>165445</v>
      </c>
      <c r="X271">
        <f t="shared" si="17"/>
        <v>0.9688888867696126</v>
      </c>
      <c r="Y271">
        <f t="shared" si="18"/>
        <v>0.97535121029820937</v>
      </c>
      <c r="Z271">
        <f t="shared" si="19"/>
        <v>11.308726295139142</v>
      </c>
    </row>
    <row r="272" spans="1:26" hidden="1" x14ac:dyDescent="0.25">
      <c r="A272" t="s">
        <v>106</v>
      </c>
      <c r="B272">
        <v>3</v>
      </c>
      <c r="C272">
        <v>4</v>
      </c>
      <c r="D272">
        <v>0</v>
      </c>
      <c r="E272" t="s">
        <v>116</v>
      </c>
      <c r="F272">
        <v>87448</v>
      </c>
      <c r="G272">
        <v>72624364.166666672</v>
      </c>
      <c r="H272">
        <v>0.95629628499348962</v>
      </c>
      <c r="I272">
        <v>0.9588888888888889</v>
      </c>
      <c r="J272">
        <v>18791229</v>
      </c>
      <c r="K272">
        <v>165445</v>
      </c>
      <c r="L272">
        <v>2</v>
      </c>
      <c r="M272">
        <v>269</v>
      </c>
      <c r="N272">
        <v>0.95481481481481478</v>
      </c>
      <c r="O272">
        <v>18005796.5</v>
      </c>
      <c r="P272">
        <v>166600</v>
      </c>
      <c r="Q272">
        <v>2</v>
      </c>
      <c r="R272">
        <v>270</v>
      </c>
      <c r="S272">
        <v>11.405685423816616</v>
      </c>
      <c r="T272">
        <v>0.97703703641891482</v>
      </c>
      <c r="W272">
        <f t="shared" si="16"/>
        <v>165445</v>
      </c>
      <c r="X272">
        <f t="shared" si="17"/>
        <v>0.95629628499348962</v>
      </c>
      <c r="Y272">
        <f t="shared" si="18"/>
        <v>0.97703703641891482</v>
      </c>
      <c r="Z272">
        <f t="shared" si="19"/>
        <v>11.405685423816616</v>
      </c>
    </row>
    <row r="273" spans="1:26" hidden="1" x14ac:dyDescent="0.25">
      <c r="A273" t="s">
        <v>106</v>
      </c>
      <c r="B273">
        <v>5</v>
      </c>
      <c r="C273">
        <v>2</v>
      </c>
      <c r="D273">
        <v>0</v>
      </c>
      <c r="E273" t="s">
        <v>162</v>
      </c>
      <c r="F273">
        <v>165948</v>
      </c>
      <c r="G273">
        <v>509181814</v>
      </c>
      <c r="H273">
        <v>0.96222223341464996</v>
      </c>
      <c r="I273">
        <v>0.96166666666666667</v>
      </c>
      <c r="J273">
        <v>28154839</v>
      </c>
      <c r="K273">
        <v>165445</v>
      </c>
      <c r="L273">
        <v>2</v>
      </c>
      <c r="M273">
        <v>269</v>
      </c>
      <c r="N273">
        <v>0.9622222222222222</v>
      </c>
      <c r="O273">
        <v>27562133</v>
      </c>
      <c r="P273">
        <v>166600</v>
      </c>
      <c r="Q273">
        <v>2</v>
      </c>
      <c r="R273">
        <v>270</v>
      </c>
      <c r="S273">
        <v>11.469212831663201</v>
      </c>
      <c r="T273">
        <v>0.96296296517054236</v>
      </c>
      <c r="W273">
        <f t="shared" si="16"/>
        <v>165445</v>
      </c>
      <c r="X273">
        <f t="shared" si="17"/>
        <v>0.96222223341464996</v>
      </c>
      <c r="Y273">
        <f t="shared" si="18"/>
        <v>0.96296296517054236</v>
      </c>
      <c r="Z273">
        <f t="shared" si="19"/>
        <v>11.469212831663201</v>
      </c>
    </row>
    <row r="274" spans="1:26" hidden="1" x14ac:dyDescent="0.25">
      <c r="A274" t="s">
        <v>106</v>
      </c>
      <c r="B274">
        <v>5</v>
      </c>
      <c r="C274">
        <v>3</v>
      </c>
      <c r="D274">
        <v>0</v>
      </c>
      <c r="E274" t="s">
        <v>262</v>
      </c>
      <c r="F274">
        <v>165779</v>
      </c>
      <c r="G274">
        <v>336876565.4285714</v>
      </c>
      <c r="H274">
        <v>0.96190476417541504</v>
      </c>
      <c r="I274">
        <v>0.9568253968253968</v>
      </c>
      <c r="J274">
        <v>28395392</v>
      </c>
      <c r="K274">
        <v>165445</v>
      </c>
      <c r="L274">
        <v>2</v>
      </c>
      <c r="M274">
        <v>269</v>
      </c>
      <c r="N274">
        <v>0.95936507936507931</v>
      </c>
      <c r="O274">
        <v>29837383.857142858</v>
      </c>
      <c r="P274">
        <v>166600</v>
      </c>
      <c r="Q274">
        <v>2</v>
      </c>
      <c r="R274">
        <v>270</v>
      </c>
      <c r="S274">
        <v>11.53017509002856</v>
      </c>
      <c r="T274">
        <v>0.97469136118888855</v>
      </c>
      <c r="W274">
        <f t="shared" si="16"/>
        <v>165445</v>
      </c>
      <c r="X274">
        <f t="shared" si="17"/>
        <v>0.96190476417541504</v>
      </c>
      <c r="Y274">
        <f t="shared" si="18"/>
        <v>0.97469136118888855</v>
      </c>
      <c r="Z274">
        <f t="shared" si="19"/>
        <v>11.53017509002856</v>
      </c>
    </row>
    <row r="275" spans="1:26" hidden="1" x14ac:dyDescent="0.25">
      <c r="A275" t="s">
        <v>106</v>
      </c>
      <c r="B275">
        <v>9</v>
      </c>
      <c r="C275">
        <v>2</v>
      </c>
      <c r="D275">
        <v>0</v>
      </c>
      <c r="E275" t="s">
        <v>116</v>
      </c>
      <c r="F275">
        <v>166036</v>
      </c>
      <c r="G275">
        <v>210097497</v>
      </c>
      <c r="H275">
        <v>0.95037039120992028</v>
      </c>
      <c r="I275">
        <v>0.96962962962962962</v>
      </c>
      <c r="J275">
        <v>27131387.333333332</v>
      </c>
      <c r="K275">
        <v>165445</v>
      </c>
      <c r="L275">
        <v>2</v>
      </c>
      <c r="M275">
        <v>269</v>
      </c>
      <c r="N275">
        <v>0.96740740740740738</v>
      </c>
      <c r="O275">
        <v>27995784.333333332</v>
      </c>
      <c r="P275">
        <v>166600</v>
      </c>
      <c r="Q275">
        <v>2</v>
      </c>
      <c r="R275">
        <v>270</v>
      </c>
      <c r="S275">
        <v>11.712062937062937</v>
      </c>
      <c r="T275">
        <v>0.96296298503875732</v>
      </c>
      <c r="W275">
        <f t="shared" si="16"/>
        <v>165445</v>
      </c>
      <c r="X275">
        <f t="shared" si="17"/>
        <v>0.95037039120992028</v>
      </c>
      <c r="Y275">
        <f t="shared" si="18"/>
        <v>0.96296298503875732</v>
      </c>
      <c r="Z275">
        <f t="shared" si="19"/>
        <v>11.712062937062937</v>
      </c>
    </row>
    <row r="276" spans="1:26" x14ac:dyDescent="0.25">
      <c r="A276" t="s">
        <v>106</v>
      </c>
      <c r="B276">
        <v>3</v>
      </c>
      <c r="C276">
        <v>2</v>
      </c>
      <c r="D276">
        <v>0</v>
      </c>
      <c r="E276" t="s">
        <v>141</v>
      </c>
      <c r="F276">
        <v>102816</v>
      </c>
      <c r="G276">
        <v>319234875.125</v>
      </c>
      <c r="H276">
        <v>0.9813888855278492</v>
      </c>
      <c r="I276">
        <v>0.9719444444444445</v>
      </c>
      <c r="J276">
        <v>24228919.4375</v>
      </c>
      <c r="K276">
        <v>166600</v>
      </c>
      <c r="L276">
        <v>2</v>
      </c>
      <c r="M276">
        <v>270</v>
      </c>
      <c r="N276">
        <v>0.9752777777777778</v>
      </c>
      <c r="O276">
        <v>24881624.0625</v>
      </c>
      <c r="P276">
        <v>167759</v>
      </c>
      <c r="Q276">
        <v>2</v>
      </c>
      <c r="R276">
        <v>271</v>
      </c>
      <c r="S276">
        <v>11.238443196677178</v>
      </c>
      <c r="T276">
        <v>0.97777777512868247</v>
      </c>
      <c r="W276">
        <f t="shared" si="16"/>
        <v>166600</v>
      </c>
      <c r="X276">
        <f t="shared" si="17"/>
        <v>0.9813888855278492</v>
      </c>
      <c r="Y276">
        <f t="shared" si="18"/>
        <v>0.97777777512868247</v>
      </c>
      <c r="Z276">
        <f t="shared" si="19"/>
        <v>11.238443196677178</v>
      </c>
    </row>
    <row r="277" spans="1:26" hidden="1" x14ac:dyDescent="0.25">
      <c r="A277" t="s">
        <v>106</v>
      </c>
      <c r="B277">
        <v>3</v>
      </c>
      <c r="C277">
        <v>3</v>
      </c>
      <c r="D277">
        <v>0</v>
      </c>
      <c r="E277" t="s">
        <v>158</v>
      </c>
      <c r="F277">
        <v>94300</v>
      </c>
      <c r="G277">
        <v>322265627.09090906</v>
      </c>
      <c r="H277">
        <v>0.97040403972972522</v>
      </c>
      <c r="I277">
        <v>0.95212121212121215</v>
      </c>
      <c r="J277">
        <v>29619587.727272727</v>
      </c>
      <c r="K277">
        <v>166600</v>
      </c>
      <c r="L277">
        <v>2</v>
      </c>
      <c r="M277">
        <v>270</v>
      </c>
      <c r="N277">
        <v>0.95464646464646463</v>
      </c>
      <c r="O277">
        <v>29705774.272727273</v>
      </c>
      <c r="P277">
        <v>167759</v>
      </c>
      <c r="Q277">
        <v>2</v>
      </c>
      <c r="R277">
        <v>271</v>
      </c>
      <c r="S277">
        <v>11.312586144359811</v>
      </c>
      <c r="T277">
        <v>0.98447971968423753</v>
      </c>
      <c r="W277">
        <f t="shared" si="16"/>
        <v>166600</v>
      </c>
      <c r="X277">
        <f t="shared" si="17"/>
        <v>0.97040403972972522</v>
      </c>
      <c r="Y277">
        <f t="shared" si="18"/>
        <v>0.98447971968423753</v>
      </c>
      <c r="Z277">
        <f t="shared" si="19"/>
        <v>11.312586144359811</v>
      </c>
    </row>
    <row r="278" spans="1:26" x14ac:dyDescent="0.25">
      <c r="A278" t="s">
        <v>106</v>
      </c>
      <c r="B278">
        <v>3</v>
      </c>
      <c r="C278">
        <v>2</v>
      </c>
      <c r="D278">
        <v>0</v>
      </c>
      <c r="E278" t="s">
        <v>142</v>
      </c>
      <c r="F278">
        <v>104002</v>
      </c>
      <c r="G278">
        <v>404807346.25</v>
      </c>
      <c r="H278">
        <v>0.97388888522982597</v>
      </c>
      <c r="I278">
        <v>0.95819444444444446</v>
      </c>
      <c r="J278">
        <v>29071565.125</v>
      </c>
      <c r="K278">
        <v>167759</v>
      </c>
      <c r="L278">
        <v>2</v>
      </c>
      <c r="M278">
        <v>271</v>
      </c>
      <c r="N278">
        <v>0.95902777777777781</v>
      </c>
      <c r="O278">
        <v>28523722.375</v>
      </c>
      <c r="P278">
        <v>168922</v>
      </c>
      <c r="Q278">
        <v>2</v>
      </c>
      <c r="R278">
        <v>272</v>
      </c>
      <c r="S278">
        <v>11.241376661289083</v>
      </c>
      <c r="T278">
        <v>0.9819753130276998</v>
      </c>
      <c r="W278">
        <f t="shared" si="16"/>
        <v>167759</v>
      </c>
      <c r="X278">
        <f t="shared" si="17"/>
        <v>0.97388888522982597</v>
      </c>
      <c r="Y278">
        <f t="shared" si="18"/>
        <v>0.9819753130276998</v>
      </c>
      <c r="Z278">
        <f t="shared" si="19"/>
        <v>11.241376661289083</v>
      </c>
    </row>
    <row r="279" spans="1:26" hidden="1" x14ac:dyDescent="0.25">
      <c r="A279" t="s">
        <v>106</v>
      </c>
      <c r="B279">
        <v>3</v>
      </c>
      <c r="C279">
        <v>3</v>
      </c>
      <c r="D279">
        <v>0</v>
      </c>
      <c r="E279" t="s">
        <v>235</v>
      </c>
      <c r="F279">
        <v>94762</v>
      </c>
      <c r="G279">
        <v>275223207.96666664</v>
      </c>
      <c r="H279">
        <v>0.97118518352508543</v>
      </c>
      <c r="I279">
        <v>0.95651851851851855</v>
      </c>
      <c r="J279">
        <v>27287626.333333332</v>
      </c>
      <c r="K279">
        <v>167759</v>
      </c>
      <c r="L279">
        <v>2</v>
      </c>
      <c r="M279">
        <v>271</v>
      </c>
      <c r="N279">
        <v>0.95762962962962961</v>
      </c>
      <c r="O279">
        <v>26865232.399999999</v>
      </c>
      <c r="P279">
        <v>168922</v>
      </c>
      <c r="Q279">
        <v>2</v>
      </c>
      <c r="R279">
        <v>272</v>
      </c>
      <c r="S279">
        <v>11.314947520810714</v>
      </c>
      <c r="T279">
        <v>0.97598978157701166</v>
      </c>
      <c r="W279">
        <f t="shared" si="16"/>
        <v>167759</v>
      </c>
      <c r="X279">
        <f t="shared" si="17"/>
        <v>0.97118518352508543</v>
      </c>
      <c r="Y279">
        <f t="shared" si="18"/>
        <v>0.97598978157701166</v>
      </c>
      <c r="Z279">
        <f t="shared" si="19"/>
        <v>11.314947520810714</v>
      </c>
    </row>
    <row r="280" spans="1:26" hidden="1" x14ac:dyDescent="0.25">
      <c r="A280" t="s">
        <v>106</v>
      </c>
      <c r="B280">
        <v>3</v>
      </c>
      <c r="C280">
        <v>4</v>
      </c>
      <c r="D280">
        <v>0</v>
      </c>
      <c r="E280" t="s">
        <v>117</v>
      </c>
      <c r="F280">
        <v>88930</v>
      </c>
      <c r="G280">
        <v>76828537.833333328</v>
      </c>
      <c r="H280">
        <v>0.94814814130465186</v>
      </c>
      <c r="I280">
        <v>0.96</v>
      </c>
      <c r="J280">
        <v>18463918</v>
      </c>
      <c r="K280">
        <v>167759</v>
      </c>
      <c r="L280">
        <v>2</v>
      </c>
      <c r="M280">
        <v>271</v>
      </c>
      <c r="N280">
        <v>0.9588888888888889</v>
      </c>
      <c r="O280">
        <v>17817580.5</v>
      </c>
      <c r="P280">
        <v>168922</v>
      </c>
      <c r="Q280">
        <v>2</v>
      </c>
      <c r="R280">
        <v>272</v>
      </c>
      <c r="S280">
        <v>11.404880574794484</v>
      </c>
      <c r="T280">
        <v>0.97555555105209346</v>
      </c>
      <c r="W280">
        <f t="shared" si="16"/>
        <v>167759</v>
      </c>
      <c r="X280">
        <f t="shared" si="17"/>
        <v>0.94814814130465186</v>
      </c>
      <c r="Y280">
        <f t="shared" si="18"/>
        <v>0.97555555105209346</v>
      </c>
      <c r="Z280">
        <f t="shared" si="19"/>
        <v>11.404880574794484</v>
      </c>
    </row>
    <row r="281" spans="1:26" hidden="1" x14ac:dyDescent="0.25">
      <c r="A281" t="s">
        <v>106</v>
      </c>
      <c r="B281">
        <v>5</v>
      </c>
      <c r="C281">
        <v>2</v>
      </c>
      <c r="D281">
        <v>0</v>
      </c>
      <c r="E281" t="s">
        <v>223</v>
      </c>
      <c r="F281">
        <v>168164</v>
      </c>
      <c r="G281">
        <v>497877739.28571427</v>
      </c>
      <c r="H281">
        <v>0.96412698711667744</v>
      </c>
      <c r="I281">
        <v>0.95809523809523811</v>
      </c>
      <c r="J281">
        <v>28542985.857142858</v>
      </c>
      <c r="K281">
        <v>167759</v>
      </c>
      <c r="L281">
        <v>2</v>
      </c>
      <c r="M281">
        <v>271</v>
      </c>
      <c r="N281">
        <v>0.9622222222222222</v>
      </c>
      <c r="O281">
        <v>28935418</v>
      </c>
      <c r="P281">
        <v>168922</v>
      </c>
      <c r="Q281">
        <v>2</v>
      </c>
      <c r="R281">
        <v>272</v>
      </c>
      <c r="S281">
        <v>11.471588761496788</v>
      </c>
      <c r="T281">
        <v>0.96419751644134521</v>
      </c>
      <c r="W281">
        <f t="shared" si="16"/>
        <v>167759</v>
      </c>
      <c r="X281">
        <f t="shared" si="17"/>
        <v>0.96412698711667744</v>
      </c>
      <c r="Y281">
        <f t="shared" si="18"/>
        <v>0.96419751644134521</v>
      </c>
      <c r="Z281">
        <f t="shared" si="19"/>
        <v>11.471588761496788</v>
      </c>
    </row>
    <row r="282" spans="1:26" hidden="1" x14ac:dyDescent="0.25">
      <c r="A282" t="s">
        <v>106</v>
      </c>
      <c r="B282">
        <v>5</v>
      </c>
      <c r="C282">
        <v>3</v>
      </c>
      <c r="D282">
        <v>0</v>
      </c>
      <c r="E282" t="s">
        <v>201</v>
      </c>
      <c r="F282">
        <v>168334</v>
      </c>
      <c r="G282">
        <v>535041811.25</v>
      </c>
      <c r="H282">
        <v>0.96333333849906921</v>
      </c>
      <c r="I282">
        <v>0.95944444444444443</v>
      </c>
      <c r="J282">
        <v>30618066.75</v>
      </c>
      <c r="K282">
        <v>167759</v>
      </c>
      <c r="L282">
        <v>2</v>
      </c>
      <c r="M282">
        <v>271</v>
      </c>
      <c r="N282">
        <v>0.95833333333333326</v>
      </c>
      <c r="O282">
        <v>28771801</v>
      </c>
      <c r="P282">
        <v>168922</v>
      </c>
      <c r="Q282">
        <v>2</v>
      </c>
      <c r="R282">
        <v>272</v>
      </c>
      <c r="S282">
        <v>11.531905648665425</v>
      </c>
      <c r="T282">
        <v>0.97283949454625451</v>
      </c>
      <c r="W282">
        <f t="shared" si="16"/>
        <v>167759</v>
      </c>
      <c r="X282">
        <f t="shared" si="17"/>
        <v>0.96333333849906921</v>
      </c>
      <c r="Y282">
        <f t="shared" si="18"/>
        <v>0.97283949454625451</v>
      </c>
      <c r="Z282">
        <f t="shared" si="19"/>
        <v>11.531905648665425</v>
      </c>
    </row>
    <row r="283" spans="1:26" hidden="1" x14ac:dyDescent="0.25">
      <c r="A283" t="s">
        <v>106</v>
      </c>
      <c r="B283">
        <v>5</v>
      </c>
      <c r="C283">
        <v>4</v>
      </c>
      <c r="D283">
        <v>0</v>
      </c>
      <c r="E283" t="s">
        <v>111</v>
      </c>
      <c r="F283">
        <v>167950</v>
      </c>
      <c r="G283">
        <v>168834655.5</v>
      </c>
      <c r="H283">
        <v>0.96111111342906952</v>
      </c>
      <c r="I283">
        <v>0.97222222222222221</v>
      </c>
      <c r="J283">
        <v>28593967.5</v>
      </c>
      <c r="K283">
        <v>167759</v>
      </c>
      <c r="L283">
        <v>2</v>
      </c>
      <c r="M283">
        <v>271</v>
      </c>
      <c r="N283">
        <v>0.97055555555555562</v>
      </c>
      <c r="O283">
        <v>29631824.5</v>
      </c>
      <c r="P283">
        <v>168922</v>
      </c>
      <c r="Q283">
        <v>2</v>
      </c>
      <c r="R283">
        <v>272</v>
      </c>
      <c r="S283">
        <v>11.578190679256778</v>
      </c>
      <c r="T283">
        <v>0.96666665871938073</v>
      </c>
      <c r="W283">
        <f t="shared" si="16"/>
        <v>167759</v>
      </c>
      <c r="X283">
        <f t="shared" si="17"/>
        <v>0.96111111342906952</v>
      </c>
      <c r="Y283">
        <f t="shared" si="18"/>
        <v>0.96666665871938073</v>
      </c>
      <c r="Z283">
        <f t="shared" si="19"/>
        <v>11.578190679256778</v>
      </c>
    </row>
    <row r="284" spans="1:26" hidden="1" x14ac:dyDescent="0.25">
      <c r="A284" t="s">
        <v>106</v>
      </c>
      <c r="B284">
        <v>9</v>
      </c>
      <c r="C284">
        <v>2</v>
      </c>
      <c r="D284">
        <v>0</v>
      </c>
      <c r="E284" t="s">
        <v>147</v>
      </c>
      <c r="F284">
        <v>167946</v>
      </c>
      <c r="G284">
        <v>326135695.75</v>
      </c>
      <c r="H284">
        <v>0.93166667222976685</v>
      </c>
      <c r="I284">
        <v>0.9622222222222222</v>
      </c>
      <c r="J284">
        <v>27268516</v>
      </c>
      <c r="K284">
        <v>167759</v>
      </c>
      <c r="L284">
        <v>2</v>
      </c>
      <c r="M284">
        <v>271</v>
      </c>
      <c r="N284">
        <v>0.96944444444444444</v>
      </c>
      <c r="O284">
        <v>28580190.5</v>
      </c>
      <c r="P284">
        <v>168922</v>
      </c>
      <c r="Q284">
        <v>2</v>
      </c>
      <c r="R284">
        <v>272</v>
      </c>
      <c r="S284">
        <v>11.712304824050339</v>
      </c>
      <c r="T284">
        <v>0.93703703085581458</v>
      </c>
      <c r="W284">
        <f t="shared" si="16"/>
        <v>167759</v>
      </c>
      <c r="X284">
        <f t="shared" si="17"/>
        <v>0.93166667222976685</v>
      </c>
      <c r="Y284">
        <f t="shared" si="18"/>
        <v>0.93703703085581458</v>
      </c>
      <c r="Z284">
        <f t="shared" si="19"/>
        <v>11.712304824050339</v>
      </c>
    </row>
    <row r="285" spans="1:26" hidden="1" x14ac:dyDescent="0.25">
      <c r="A285" t="s">
        <v>106</v>
      </c>
      <c r="B285">
        <v>9</v>
      </c>
      <c r="C285">
        <v>3</v>
      </c>
      <c r="D285">
        <v>0</v>
      </c>
      <c r="E285" t="s">
        <v>254</v>
      </c>
      <c r="F285">
        <v>167797</v>
      </c>
      <c r="G285">
        <v>269430331.75</v>
      </c>
      <c r="H285">
        <v>0.95499999821186066</v>
      </c>
      <c r="I285">
        <v>0.95499999999999996</v>
      </c>
      <c r="J285">
        <v>30063572.5</v>
      </c>
      <c r="K285">
        <v>167759</v>
      </c>
      <c r="L285">
        <v>2</v>
      </c>
      <c r="M285">
        <v>271</v>
      </c>
      <c r="N285">
        <v>0.9572222222222222</v>
      </c>
      <c r="O285">
        <v>29497563.75</v>
      </c>
      <c r="P285">
        <v>168922</v>
      </c>
      <c r="Q285">
        <v>2</v>
      </c>
      <c r="R285">
        <v>272</v>
      </c>
      <c r="S285">
        <v>11.918860151064317</v>
      </c>
      <c r="T285">
        <v>0.97530863682428992</v>
      </c>
      <c r="W285">
        <f t="shared" si="16"/>
        <v>167759</v>
      </c>
      <c r="X285">
        <f t="shared" si="17"/>
        <v>0.95499999821186066</v>
      </c>
      <c r="Y285">
        <f t="shared" si="18"/>
        <v>0.97530863682428992</v>
      </c>
      <c r="Z285">
        <f t="shared" si="19"/>
        <v>11.918860151064317</v>
      </c>
    </row>
    <row r="286" spans="1:26" x14ac:dyDescent="0.25">
      <c r="A286" t="s">
        <v>106</v>
      </c>
      <c r="B286">
        <v>3</v>
      </c>
      <c r="C286">
        <v>2</v>
      </c>
      <c r="D286">
        <v>0</v>
      </c>
      <c r="E286" t="s">
        <v>173</v>
      </c>
      <c r="F286">
        <v>104512</v>
      </c>
      <c r="G286">
        <v>353387916.95238096</v>
      </c>
      <c r="H286">
        <v>0.97968253351393197</v>
      </c>
      <c r="I286">
        <v>0.96201058201058198</v>
      </c>
      <c r="J286">
        <v>25095549.761904761</v>
      </c>
      <c r="K286">
        <v>168922</v>
      </c>
      <c r="L286">
        <v>2</v>
      </c>
      <c r="M286">
        <v>272</v>
      </c>
      <c r="N286">
        <v>0.96476190476190471</v>
      </c>
      <c r="O286">
        <v>25390065.095238097</v>
      </c>
      <c r="P286">
        <v>170089</v>
      </c>
      <c r="Q286">
        <v>2</v>
      </c>
      <c r="R286">
        <v>273</v>
      </c>
      <c r="S286">
        <v>11.244439331185765</v>
      </c>
      <c r="T286">
        <v>0.97925925254821777</v>
      </c>
      <c r="W286">
        <f t="shared" si="16"/>
        <v>168922</v>
      </c>
      <c r="X286">
        <f t="shared" si="17"/>
        <v>0.97968253351393197</v>
      </c>
      <c r="Y286">
        <f t="shared" si="18"/>
        <v>0.97925925254821777</v>
      </c>
      <c r="Z286">
        <f t="shared" si="19"/>
        <v>11.244439331185765</v>
      </c>
    </row>
    <row r="287" spans="1:26" hidden="1" x14ac:dyDescent="0.25">
      <c r="A287" t="s">
        <v>106</v>
      </c>
      <c r="B287">
        <v>3</v>
      </c>
      <c r="C287">
        <v>3</v>
      </c>
      <c r="D287">
        <v>0</v>
      </c>
      <c r="E287" t="s">
        <v>159</v>
      </c>
      <c r="F287">
        <v>95634</v>
      </c>
      <c r="G287">
        <v>244780847.22222221</v>
      </c>
      <c r="H287">
        <v>0.97432098123762345</v>
      </c>
      <c r="I287">
        <v>0.95481481481481478</v>
      </c>
      <c r="J287">
        <v>28189440.777777776</v>
      </c>
      <c r="K287">
        <v>168922</v>
      </c>
      <c r="L287">
        <v>2</v>
      </c>
      <c r="M287">
        <v>272</v>
      </c>
      <c r="N287">
        <v>0.95827160493827157</v>
      </c>
      <c r="O287">
        <v>28997220.777777776</v>
      </c>
      <c r="P287">
        <v>170089</v>
      </c>
      <c r="Q287">
        <v>2</v>
      </c>
      <c r="R287">
        <v>273</v>
      </c>
      <c r="S287">
        <v>11.314887152777779</v>
      </c>
      <c r="T287">
        <v>0.97916667908430099</v>
      </c>
      <c r="W287">
        <f t="shared" si="16"/>
        <v>168922</v>
      </c>
      <c r="X287">
        <f t="shared" si="17"/>
        <v>0.97432098123762345</v>
      </c>
      <c r="Y287">
        <f t="shared" si="18"/>
        <v>0.97916667908430099</v>
      </c>
      <c r="Z287">
        <f t="shared" si="19"/>
        <v>11.314887152777779</v>
      </c>
    </row>
    <row r="288" spans="1:26" hidden="1" x14ac:dyDescent="0.25">
      <c r="A288" t="s">
        <v>106</v>
      </c>
      <c r="B288">
        <v>5</v>
      </c>
      <c r="C288">
        <v>2</v>
      </c>
      <c r="D288">
        <v>0</v>
      </c>
      <c r="E288" t="s">
        <v>276</v>
      </c>
      <c r="F288">
        <v>169577</v>
      </c>
      <c r="G288">
        <v>554051861.5</v>
      </c>
      <c r="H288">
        <v>0.96722222864627838</v>
      </c>
      <c r="I288">
        <v>0.96166666666666667</v>
      </c>
      <c r="J288">
        <v>28799687</v>
      </c>
      <c r="K288">
        <v>168922</v>
      </c>
      <c r="L288">
        <v>2</v>
      </c>
      <c r="M288">
        <v>272</v>
      </c>
      <c r="N288">
        <v>0.9622222222222222</v>
      </c>
      <c r="O288">
        <v>30072838.25</v>
      </c>
      <c r="P288">
        <v>170089</v>
      </c>
      <c r="Q288">
        <v>2</v>
      </c>
      <c r="R288">
        <v>273</v>
      </c>
      <c r="S288">
        <v>11.47329638493513</v>
      </c>
      <c r="T288">
        <v>0.97407406568527222</v>
      </c>
      <c r="W288">
        <f t="shared" si="16"/>
        <v>168922</v>
      </c>
      <c r="X288">
        <f t="shared" si="17"/>
        <v>0.96722222864627838</v>
      </c>
      <c r="Y288">
        <f t="shared" si="18"/>
        <v>0.97407406568527222</v>
      </c>
      <c r="Z288">
        <f t="shared" si="19"/>
        <v>11.47329638493513</v>
      </c>
    </row>
    <row r="289" spans="1:26" x14ac:dyDescent="0.25">
      <c r="A289" t="s">
        <v>106</v>
      </c>
      <c r="B289">
        <v>3</v>
      </c>
      <c r="C289">
        <v>2</v>
      </c>
      <c r="D289">
        <v>0</v>
      </c>
      <c r="E289" t="s">
        <v>143</v>
      </c>
      <c r="F289">
        <v>105188</v>
      </c>
      <c r="G289">
        <v>404688476.16666669</v>
      </c>
      <c r="H289">
        <v>0.97962961594263709</v>
      </c>
      <c r="I289">
        <v>0.96592592592592597</v>
      </c>
      <c r="J289">
        <v>28088910.333333332</v>
      </c>
      <c r="K289">
        <v>170089</v>
      </c>
      <c r="L289">
        <v>2</v>
      </c>
      <c r="M289">
        <v>273</v>
      </c>
      <c r="N289">
        <v>0.96407407407407408</v>
      </c>
      <c r="O289">
        <v>27980292.666666668</v>
      </c>
      <c r="P289">
        <v>171260</v>
      </c>
      <c r="Q289">
        <v>2</v>
      </c>
      <c r="R289">
        <v>274</v>
      </c>
      <c r="S289">
        <v>11.245323520392517</v>
      </c>
      <c r="T289">
        <v>0.97185184955596926</v>
      </c>
      <c r="W289">
        <f t="shared" si="16"/>
        <v>170089</v>
      </c>
      <c r="X289">
        <f t="shared" si="17"/>
        <v>0.97962961594263709</v>
      </c>
      <c r="Y289">
        <f t="shared" si="18"/>
        <v>0.97185184955596926</v>
      </c>
      <c r="Z289">
        <f t="shared" si="19"/>
        <v>11.245323520392517</v>
      </c>
    </row>
    <row r="290" spans="1:26" hidden="1" x14ac:dyDescent="0.25">
      <c r="A290" t="s">
        <v>106</v>
      </c>
      <c r="B290">
        <v>3</v>
      </c>
      <c r="C290">
        <v>3</v>
      </c>
      <c r="D290">
        <v>0</v>
      </c>
      <c r="E290" t="s">
        <v>236</v>
      </c>
      <c r="F290">
        <v>96240</v>
      </c>
      <c r="G290">
        <v>300932115.72093022</v>
      </c>
      <c r="H290">
        <v>0.96899224436560338</v>
      </c>
      <c r="I290">
        <v>0.95555555555555549</v>
      </c>
      <c r="J290">
        <v>28366224.813953489</v>
      </c>
      <c r="K290">
        <v>170089</v>
      </c>
      <c r="L290">
        <v>2</v>
      </c>
      <c r="M290">
        <v>273</v>
      </c>
      <c r="N290">
        <v>0.95684754521963822</v>
      </c>
      <c r="O290">
        <v>28038835.069767442</v>
      </c>
      <c r="P290">
        <v>171260</v>
      </c>
      <c r="Q290">
        <v>2</v>
      </c>
      <c r="R290">
        <v>274</v>
      </c>
      <c r="S290">
        <v>11.319247133482369</v>
      </c>
      <c r="T290">
        <v>0.97707230278423851</v>
      </c>
      <c r="W290">
        <f t="shared" si="16"/>
        <v>170089</v>
      </c>
      <c r="X290">
        <f t="shared" si="17"/>
        <v>0.96899224436560338</v>
      </c>
      <c r="Y290">
        <f t="shared" si="18"/>
        <v>0.97707230278423851</v>
      </c>
      <c r="Z290">
        <f t="shared" si="19"/>
        <v>11.319247133482369</v>
      </c>
    </row>
    <row r="291" spans="1:26" hidden="1" x14ac:dyDescent="0.25">
      <c r="A291" t="s">
        <v>106</v>
      </c>
      <c r="B291">
        <v>3</v>
      </c>
      <c r="C291">
        <v>4</v>
      </c>
      <c r="D291">
        <v>0</v>
      </c>
      <c r="E291" t="s">
        <v>148</v>
      </c>
      <c r="F291">
        <v>89940</v>
      </c>
      <c r="G291">
        <v>123795064.54545455</v>
      </c>
      <c r="H291">
        <v>0.95151514898646961</v>
      </c>
      <c r="I291">
        <v>0.95737373737373743</v>
      </c>
      <c r="J291">
        <v>18508477.181818184</v>
      </c>
      <c r="K291">
        <v>170089</v>
      </c>
      <c r="L291">
        <v>2</v>
      </c>
      <c r="M291">
        <v>273</v>
      </c>
      <c r="N291">
        <v>0.96</v>
      </c>
      <c r="O291">
        <v>18184614.181818184</v>
      </c>
      <c r="P291">
        <v>171260</v>
      </c>
      <c r="Q291">
        <v>2</v>
      </c>
      <c r="R291">
        <v>274</v>
      </c>
      <c r="S291">
        <v>11.405174644243209</v>
      </c>
      <c r="T291">
        <v>0.96962964534759521</v>
      </c>
      <c r="W291">
        <f t="shared" si="16"/>
        <v>170089</v>
      </c>
      <c r="X291">
        <f t="shared" si="17"/>
        <v>0.95151514898646961</v>
      </c>
      <c r="Y291">
        <f t="shared" si="18"/>
        <v>0.96962964534759521</v>
      </c>
      <c r="Z291">
        <f t="shared" si="19"/>
        <v>11.405174644243209</v>
      </c>
    </row>
    <row r="292" spans="1:26" hidden="1" x14ac:dyDescent="0.25">
      <c r="A292" t="s">
        <v>106</v>
      </c>
      <c r="B292">
        <v>5</v>
      </c>
      <c r="C292">
        <v>2</v>
      </c>
      <c r="D292">
        <v>0</v>
      </c>
      <c r="E292" t="s">
        <v>189</v>
      </c>
      <c r="F292">
        <v>170690</v>
      </c>
      <c r="G292">
        <v>540881556.25</v>
      </c>
      <c r="H292">
        <v>0.96111109852790833</v>
      </c>
      <c r="I292">
        <v>0.95666666666666667</v>
      </c>
      <c r="J292">
        <v>26908533</v>
      </c>
      <c r="K292">
        <v>170089</v>
      </c>
      <c r="L292">
        <v>2</v>
      </c>
      <c r="M292">
        <v>273</v>
      </c>
      <c r="N292">
        <v>0.96444444444444444</v>
      </c>
      <c r="O292">
        <v>29368649</v>
      </c>
      <c r="P292">
        <v>171260</v>
      </c>
      <c r="Q292">
        <v>2</v>
      </c>
      <c r="R292">
        <v>274</v>
      </c>
      <c r="S292">
        <v>11.475066112580279</v>
      </c>
      <c r="T292">
        <v>0.97407408555348718</v>
      </c>
      <c r="W292">
        <f t="shared" si="16"/>
        <v>170089</v>
      </c>
      <c r="X292">
        <f t="shared" si="17"/>
        <v>0.96111109852790833</v>
      </c>
      <c r="Y292">
        <f t="shared" si="18"/>
        <v>0.97407408555348718</v>
      </c>
      <c r="Z292">
        <f t="shared" si="19"/>
        <v>11.475066112580279</v>
      </c>
    </row>
    <row r="293" spans="1:26" hidden="1" x14ac:dyDescent="0.25">
      <c r="A293" t="s">
        <v>106</v>
      </c>
      <c r="B293">
        <v>5</v>
      </c>
      <c r="C293">
        <v>3</v>
      </c>
      <c r="D293">
        <v>0</v>
      </c>
      <c r="E293" t="s">
        <v>121</v>
      </c>
      <c r="F293">
        <v>170634</v>
      </c>
      <c r="G293">
        <v>405916118.75</v>
      </c>
      <c r="H293">
        <v>0.96888889372348785</v>
      </c>
      <c r="I293">
        <v>0.96611111111111114</v>
      </c>
      <c r="J293">
        <v>31980722</v>
      </c>
      <c r="K293">
        <v>170089</v>
      </c>
      <c r="L293">
        <v>2</v>
      </c>
      <c r="M293">
        <v>273</v>
      </c>
      <c r="N293">
        <v>0.96611111111111114</v>
      </c>
      <c r="O293">
        <v>27990070.5</v>
      </c>
      <c r="P293">
        <v>171260</v>
      </c>
      <c r="Q293">
        <v>2</v>
      </c>
      <c r="R293">
        <v>274</v>
      </c>
      <c r="S293">
        <v>11.532828596251706</v>
      </c>
      <c r="T293">
        <v>0.9716049234072367</v>
      </c>
      <c r="W293">
        <f t="shared" si="16"/>
        <v>170089</v>
      </c>
      <c r="X293">
        <f t="shared" si="17"/>
        <v>0.96888889372348785</v>
      </c>
      <c r="Y293">
        <f t="shared" si="18"/>
        <v>0.9716049234072367</v>
      </c>
      <c r="Z293">
        <f t="shared" si="19"/>
        <v>11.532828596251706</v>
      </c>
    </row>
    <row r="294" spans="1:26" x14ac:dyDescent="0.25">
      <c r="A294" t="s">
        <v>106</v>
      </c>
      <c r="B294">
        <v>3</v>
      </c>
      <c r="C294">
        <v>2</v>
      </c>
      <c r="D294">
        <v>0</v>
      </c>
      <c r="E294" t="s">
        <v>174</v>
      </c>
      <c r="F294">
        <v>105730</v>
      </c>
      <c r="G294">
        <v>327563698.09523809</v>
      </c>
      <c r="H294">
        <v>0.98031745638166157</v>
      </c>
      <c r="I294">
        <v>0.96507936507936509</v>
      </c>
      <c r="J294">
        <v>25729633.761904761</v>
      </c>
      <c r="K294">
        <v>171260</v>
      </c>
      <c r="L294">
        <v>2</v>
      </c>
      <c r="M294">
        <v>274</v>
      </c>
      <c r="N294">
        <v>0.96211640211640215</v>
      </c>
      <c r="O294">
        <v>26057645.285714287</v>
      </c>
      <c r="P294">
        <v>172435</v>
      </c>
      <c r="Q294">
        <v>2</v>
      </c>
      <c r="R294">
        <v>275</v>
      </c>
      <c r="S294">
        <v>11.247455032529659</v>
      </c>
      <c r="T294">
        <v>0.97814814448356624</v>
      </c>
      <c r="W294">
        <f t="shared" si="16"/>
        <v>171260</v>
      </c>
      <c r="X294">
        <f t="shared" si="17"/>
        <v>0.98031745638166157</v>
      </c>
      <c r="Y294">
        <f t="shared" si="18"/>
        <v>0.97814814448356624</v>
      </c>
      <c r="Z294">
        <f t="shared" si="19"/>
        <v>11.247455032529659</v>
      </c>
    </row>
    <row r="295" spans="1:26" hidden="1" x14ac:dyDescent="0.25">
      <c r="A295" t="s">
        <v>106</v>
      </c>
      <c r="B295">
        <v>3</v>
      </c>
      <c r="C295">
        <v>3</v>
      </c>
      <c r="D295">
        <v>0</v>
      </c>
      <c r="E295" t="s">
        <v>160</v>
      </c>
      <c r="F295">
        <v>96968</v>
      </c>
      <c r="G295">
        <v>270686006.8888889</v>
      </c>
      <c r="H295">
        <v>0.97333333227369523</v>
      </c>
      <c r="I295">
        <v>0.95580246913580247</v>
      </c>
      <c r="J295">
        <v>29040046.444444444</v>
      </c>
      <c r="K295">
        <v>171260</v>
      </c>
      <c r="L295">
        <v>2</v>
      </c>
      <c r="M295">
        <v>274</v>
      </c>
      <c r="N295">
        <v>0.95456790123456792</v>
      </c>
      <c r="O295">
        <v>29377706</v>
      </c>
      <c r="P295">
        <v>172435</v>
      </c>
      <c r="Q295">
        <v>2</v>
      </c>
      <c r="R295">
        <v>275</v>
      </c>
      <c r="S295">
        <v>11.320337272989335</v>
      </c>
      <c r="T295">
        <v>0.98055556416511536</v>
      </c>
      <c r="W295">
        <f t="shared" si="16"/>
        <v>171260</v>
      </c>
      <c r="X295">
        <f t="shared" si="17"/>
        <v>0.97333333227369523</v>
      </c>
      <c r="Y295">
        <f t="shared" si="18"/>
        <v>0.98055556416511536</v>
      </c>
      <c r="Z295">
        <f t="shared" si="19"/>
        <v>11.320337272989335</v>
      </c>
    </row>
    <row r="296" spans="1:26" hidden="1" x14ac:dyDescent="0.25">
      <c r="A296" t="s">
        <v>106</v>
      </c>
      <c r="B296">
        <v>3</v>
      </c>
      <c r="C296">
        <v>4</v>
      </c>
      <c r="D296">
        <v>0</v>
      </c>
      <c r="E296" t="s">
        <v>118</v>
      </c>
      <c r="F296">
        <v>90412</v>
      </c>
      <c r="G296">
        <v>128215392</v>
      </c>
      <c r="H296">
        <v>0.95592592159907019</v>
      </c>
      <c r="I296">
        <v>0.95814814814814819</v>
      </c>
      <c r="J296">
        <v>18645769</v>
      </c>
      <c r="K296">
        <v>171260</v>
      </c>
      <c r="L296">
        <v>2</v>
      </c>
      <c r="M296">
        <v>274</v>
      </c>
      <c r="N296">
        <v>0.95592592592592596</v>
      </c>
      <c r="O296">
        <v>18480186.166666668</v>
      </c>
      <c r="P296">
        <v>172435</v>
      </c>
      <c r="Q296">
        <v>2</v>
      </c>
      <c r="R296">
        <v>275</v>
      </c>
      <c r="S296">
        <v>11.405211431527221</v>
      </c>
      <c r="T296">
        <v>0.97259259223937988</v>
      </c>
      <c r="W296">
        <f t="shared" si="16"/>
        <v>171260</v>
      </c>
      <c r="X296">
        <f t="shared" si="17"/>
        <v>0.95592592159907019</v>
      </c>
      <c r="Y296">
        <f t="shared" si="18"/>
        <v>0.97259259223937988</v>
      </c>
      <c r="Z296">
        <f t="shared" si="19"/>
        <v>11.405211431527221</v>
      </c>
    </row>
    <row r="297" spans="1:26" hidden="1" x14ac:dyDescent="0.25">
      <c r="A297" t="s">
        <v>106</v>
      </c>
      <c r="B297">
        <v>5</v>
      </c>
      <c r="C297">
        <v>2</v>
      </c>
      <c r="D297">
        <v>0</v>
      </c>
      <c r="E297" t="s">
        <v>265</v>
      </c>
      <c r="F297">
        <v>171503</v>
      </c>
      <c r="G297">
        <v>436941862.25</v>
      </c>
      <c r="H297">
        <v>0.96833331882953644</v>
      </c>
      <c r="I297">
        <v>0.96277777777777773</v>
      </c>
      <c r="J297">
        <v>27208431.75</v>
      </c>
      <c r="K297">
        <v>171260</v>
      </c>
      <c r="L297">
        <v>2</v>
      </c>
      <c r="M297">
        <v>274</v>
      </c>
      <c r="N297">
        <v>0.96111111111111103</v>
      </c>
      <c r="O297">
        <v>27214731</v>
      </c>
      <c r="P297">
        <v>172435</v>
      </c>
      <c r="Q297">
        <v>2</v>
      </c>
      <c r="R297">
        <v>275</v>
      </c>
      <c r="S297">
        <v>11.476016618406144</v>
      </c>
      <c r="T297">
        <v>0.95679012934366858</v>
      </c>
      <c r="W297">
        <f t="shared" si="16"/>
        <v>171260</v>
      </c>
      <c r="X297">
        <f t="shared" si="17"/>
        <v>0.96833331882953644</v>
      </c>
      <c r="Y297">
        <f t="shared" si="18"/>
        <v>0.95679012934366858</v>
      </c>
      <c r="Z297">
        <f t="shared" si="19"/>
        <v>11.476016618406144</v>
      </c>
    </row>
    <row r="298" spans="1:26" hidden="1" x14ac:dyDescent="0.25">
      <c r="A298" t="s">
        <v>106</v>
      </c>
      <c r="B298">
        <v>9</v>
      </c>
      <c r="C298">
        <v>4</v>
      </c>
      <c r="D298">
        <v>0</v>
      </c>
      <c r="E298" t="s">
        <v>294</v>
      </c>
      <c r="F298">
        <v>172153</v>
      </c>
      <c r="G298">
        <v>390728331.5</v>
      </c>
      <c r="H298">
        <v>0.93999999761581421</v>
      </c>
      <c r="I298">
        <v>0.94666666666666666</v>
      </c>
      <c r="J298">
        <v>28725514.5</v>
      </c>
      <c r="K298">
        <v>171260</v>
      </c>
      <c r="L298">
        <v>2</v>
      </c>
      <c r="M298">
        <v>274</v>
      </c>
      <c r="N298">
        <v>0.94888888888888889</v>
      </c>
      <c r="O298">
        <v>28407742.25</v>
      </c>
      <c r="P298">
        <v>172435</v>
      </c>
      <c r="Q298">
        <v>2</v>
      </c>
      <c r="R298">
        <v>275</v>
      </c>
      <c r="S298">
        <v>12.151110116883844</v>
      </c>
      <c r="T298">
        <v>0.95926666666666671</v>
      </c>
      <c r="W298">
        <f t="shared" si="16"/>
        <v>171260</v>
      </c>
      <c r="X298">
        <f t="shared" si="17"/>
        <v>0.93999999761581421</v>
      </c>
      <c r="Y298">
        <f t="shared" si="18"/>
        <v>0.95926666666666671</v>
      </c>
      <c r="Z298">
        <f t="shared" si="19"/>
        <v>12.151110116883844</v>
      </c>
    </row>
    <row r="299" spans="1:26" hidden="1" x14ac:dyDescent="0.25">
      <c r="A299" t="s">
        <v>106</v>
      </c>
      <c r="B299">
        <v>9</v>
      </c>
      <c r="C299">
        <v>5</v>
      </c>
      <c r="D299">
        <v>0</v>
      </c>
      <c r="E299" t="s">
        <v>293</v>
      </c>
      <c r="F299">
        <v>172069</v>
      </c>
      <c r="G299">
        <v>262965855.5</v>
      </c>
      <c r="H299">
        <v>0.90833331644535065</v>
      </c>
      <c r="I299">
        <v>0.95611111111111113</v>
      </c>
      <c r="J299">
        <v>31158393.75</v>
      </c>
      <c r="K299">
        <v>171260</v>
      </c>
      <c r="L299">
        <v>2</v>
      </c>
      <c r="M299">
        <v>274</v>
      </c>
      <c r="N299">
        <v>0.95833333333333326</v>
      </c>
      <c r="O299">
        <v>30952852.5</v>
      </c>
      <c r="P299">
        <v>172435</v>
      </c>
      <c r="Q299">
        <v>2</v>
      </c>
      <c r="R299">
        <v>275</v>
      </c>
      <c r="S299">
        <v>12.17847725774555</v>
      </c>
      <c r="T299">
        <v>0.92589999999999995</v>
      </c>
      <c r="W299">
        <f t="shared" si="16"/>
        <v>171260</v>
      </c>
      <c r="X299">
        <f t="shared" si="17"/>
        <v>0.90833331644535065</v>
      </c>
      <c r="Y299">
        <f t="shared" si="18"/>
        <v>0.92589999999999995</v>
      </c>
      <c r="Z299">
        <f t="shared" si="19"/>
        <v>12.17847725774555</v>
      </c>
    </row>
    <row r="300" spans="1:26" x14ac:dyDescent="0.25">
      <c r="A300" t="s">
        <v>106</v>
      </c>
      <c r="B300">
        <v>3</v>
      </c>
      <c r="C300">
        <v>2</v>
      </c>
      <c r="D300">
        <v>0</v>
      </c>
      <c r="E300" t="s">
        <v>144</v>
      </c>
      <c r="F300">
        <v>106374</v>
      </c>
      <c r="G300">
        <v>381472909.72727275</v>
      </c>
      <c r="H300">
        <v>0.98000000281767408</v>
      </c>
      <c r="I300">
        <v>0.97232323232323237</v>
      </c>
      <c r="J300">
        <v>28279236.181818184</v>
      </c>
      <c r="K300">
        <v>172435</v>
      </c>
      <c r="L300">
        <v>2</v>
      </c>
      <c r="M300">
        <v>275</v>
      </c>
      <c r="N300">
        <v>0.97131313131313135</v>
      </c>
      <c r="O300">
        <v>28900893.545454547</v>
      </c>
      <c r="P300">
        <v>173614</v>
      </c>
      <c r="Q300">
        <v>2</v>
      </c>
      <c r="R300">
        <v>276</v>
      </c>
      <c r="S300">
        <v>11.248394004282655</v>
      </c>
      <c r="T300">
        <v>0.97962963581085205</v>
      </c>
      <c r="W300">
        <f t="shared" si="16"/>
        <v>172435</v>
      </c>
      <c r="X300">
        <f t="shared" si="17"/>
        <v>0.98000000281767408</v>
      </c>
      <c r="Y300">
        <f t="shared" si="18"/>
        <v>0.97962963581085205</v>
      </c>
      <c r="Z300">
        <f t="shared" si="19"/>
        <v>11.248394004282655</v>
      </c>
    </row>
    <row r="301" spans="1:26" hidden="1" x14ac:dyDescent="0.25">
      <c r="A301" t="s">
        <v>106</v>
      </c>
      <c r="B301">
        <v>3</v>
      </c>
      <c r="C301">
        <v>3</v>
      </c>
      <c r="D301">
        <v>0</v>
      </c>
      <c r="E301" t="s">
        <v>237</v>
      </c>
      <c r="F301">
        <v>97718</v>
      </c>
      <c r="G301">
        <v>303428289.21739131</v>
      </c>
      <c r="H301">
        <v>0.970289857491203</v>
      </c>
      <c r="I301">
        <v>0.95613526570048313</v>
      </c>
      <c r="J301">
        <v>29176868.130434781</v>
      </c>
      <c r="K301">
        <v>172435</v>
      </c>
      <c r="L301">
        <v>2</v>
      </c>
      <c r="M301">
        <v>275</v>
      </c>
      <c r="N301">
        <v>0.9595652173913044</v>
      </c>
      <c r="O301">
        <v>28282809.543478262</v>
      </c>
      <c r="P301">
        <v>173614</v>
      </c>
      <c r="Q301">
        <v>2</v>
      </c>
      <c r="R301">
        <v>276</v>
      </c>
      <c r="S301">
        <v>11.325815256428674</v>
      </c>
      <c r="T301">
        <v>0.97991768916447952</v>
      </c>
      <c r="W301">
        <f t="shared" si="16"/>
        <v>172435</v>
      </c>
      <c r="X301">
        <f t="shared" si="17"/>
        <v>0.970289857491203</v>
      </c>
      <c r="Y301">
        <f t="shared" si="18"/>
        <v>0.97991768916447952</v>
      </c>
      <c r="Z301">
        <f t="shared" si="19"/>
        <v>11.325815256428674</v>
      </c>
    </row>
    <row r="302" spans="1:26" hidden="1" x14ac:dyDescent="0.25">
      <c r="A302" t="s">
        <v>106</v>
      </c>
      <c r="B302">
        <v>3</v>
      </c>
      <c r="C302">
        <v>4</v>
      </c>
      <c r="D302">
        <v>0</v>
      </c>
      <c r="E302" t="s">
        <v>149</v>
      </c>
      <c r="F302">
        <v>91422</v>
      </c>
      <c r="G302">
        <v>112387187.16666667</v>
      </c>
      <c r="H302">
        <v>0.94777777791023254</v>
      </c>
      <c r="I302">
        <v>0.95703703703703702</v>
      </c>
      <c r="J302">
        <v>19120709.166666668</v>
      </c>
      <c r="K302">
        <v>172435</v>
      </c>
      <c r="L302">
        <v>2</v>
      </c>
      <c r="M302">
        <v>275</v>
      </c>
      <c r="N302">
        <v>0.95814814814814808</v>
      </c>
      <c r="O302">
        <v>18206452.833333332</v>
      </c>
      <c r="P302">
        <v>173614</v>
      </c>
      <c r="Q302">
        <v>2</v>
      </c>
      <c r="R302">
        <v>276</v>
      </c>
      <c r="S302">
        <v>11.404666494312306</v>
      </c>
      <c r="T302">
        <v>0.97407407760620113</v>
      </c>
      <c r="W302">
        <f t="shared" si="16"/>
        <v>172435</v>
      </c>
      <c r="X302">
        <f t="shared" si="17"/>
        <v>0.94777777791023254</v>
      </c>
      <c r="Y302">
        <f t="shared" si="18"/>
        <v>0.97407407760620113</v>
      </c>
      <c r="Z302">
        <f t="shared" si="19"/>
        <v>11.404666494312306</v>
      </c>
    </row>
    <row r="303" spans="1:26" hidden="1" x14ac:dyDescent="0.25">
      <c r="A303" t="s">
        <v>106</v>
      </c>
      <c r="B303">
        <v>5</v>
      </c>
      <c r="C303">
        <v>2</v>
      </c>
      <c r="D303">
        <v>0</v>
      </c>
      <c r="E303" t="s">
        <v>239</v>
      </c>
      <c r="F303">
        <v>172606</v>
      </c>
      <c r="G303">
        <v>553606030.5</v>
      </c>
      <c r="H303">
        <v>0.96611110866069794</v>
      </c>
      <c r="I303">
        <v>0.95555555555555549</v>
      </c>
      <c r="J303">
        <v>27107897.5</v>
      </c>
      <c r="K303">
        <v>172435</v>
      </c>
      <c r="L303">
        <v>2</v>
      </c>
      <c r="M303">
        <v>275</v>
      </c>
      <c r="N303">
        <v>0.95777777777777784</v>
      </c>
      <c r="O303">
        <v>26368880.75</v>
      </c>
      <c r="P303">
        <v>173614</v>
      </c>
      <c r="Q303">
        <v>2</v>
      </c>
      <c r="R303">
        <v>276</v>
      </c>
      <c r="S303">
        <v>11.477784770295784</v>
      </c>
      <c r="T303">
        <v>0.9580247004826864</v>
      </c>
      <c r="W303">
        <f t="shared" si="16"/>
        <v>172435</v>
      </c>
      <c r="X303">
        <f t="shared" si="17"/>
        <v>0.96611110866069794</v>
      </c>
      <c r="Y303">
        <f t="shared" si="18"/>
        <v>0.9580247004826864</v>
      </c>
      <c r="Z303">
        <f t="shared" si="19"/>
        <v>11.477784770295784</v>
      </c>
    </row>
    <row r="304" spans="1:26" hidden="1" x14ac:dyDescent="0.25">
      <c r="A304" t="s">
        <v>106</v>
      </c>
      <c r="B304">
        <v>5</v>
      </c>
      <c r="C304">
        <v>3</v>
      </c>
      <c r="D304">
        <v>0</v>
      </c>
      <c r="E304" t="s">
        <v>152</v>
      </c>
      <c r="F304">
        <v>172444</v>
      </c>
      <c r="G304">
        <v>440022419.4285714</v>
      </c>
      <c r="H304">
        <v>0.95777777263096397</v>
      </c>
      <c r="I304">
        <v>0.95936507936507942</v>
      </c>
      <c r="J304">
        <v>28058995.714285713</v>
      </c>
      <c r="K304">
        <v>172435</v>
      </c>
      <c r="L304">
        <v>2</v>
      </c>
      <c r="M304">
        <v>275</v>
      </c>
      <c r="N304">
        <v>0.95746031746031746</v>
      </c>
      <c r="O304">
        <v>29433143.428571429</v>
      </c>
      <c r="P304">
        <v>173614</v>
      </c>
      <c r="Q304">
        <v>2</v>
      </c>
      <c r="R304">
        <v>276</v>
      </c>
      <c r="S304">
        <v>11.534706283729298</v>
      </c>
      <c r="T304">
        <v>0.97283949454625451</v>
      </c>
      <c r="W304">
        <f t="shared" si="16"/>
        <v>172435</v>
      </c>
      <c r="X304">
        <f t="shared" si="17"/>
        <v>0.95777777263096397</v>
      </c>
      <c r="Y304">
        <f t="shared" si="18"/>
        <v>0.97283949454625451</v>
      </c>
      <c r="Z304">
        <f t="shared" si="19"/>
        <v>11.534706283729298</v>
      </c>
    </row>
    <row r="305" spans="1:26" hidden="1" x14ac:dyDescent="0.25">
      <c r="A305" t="s">
        <v>106</v>
      </c>
      <c r="B305">
        <v>9</v>
      </c>
      <c r="C305">
        <v>2</v>
      </c>
      <c r="D305">
        <v>0</v>
      </c>
      <c r="E305" t="s">
        <v>256</v>
      </c>
      <c r="F305">
        <v>173071</v>
      </c>
      <c r="G305">
        <v>509539815</v>
      </c>
      <c r="H305">
        <v>0.89555554091930389</v>
      </c>
      <c r="I305">
        <v>0.96111111111111114</v>
      </c>
      <c r="J305">
        <v>28382976.75</v>
      </c>
      <c r="K305">
        <v>172435</v>
      </c>
      <c r="L305">
        <v>2</v>
      </c>
      <c r="M305">
        <v>275</v>
      </c>
      <c r="N305">
        <v>0.96333333333333337</v>
      </c>
      <c r="O305">
        <v>28880194.5</v>
      </c>
      <c r="P305">
        <v>173614</v>
      </c>
      <c r="Q305">
        <v>2</v>
      </c>
      <c r="R305">
        <v>276</v>
      </c>
      <c r="S305">
        <v>11.714002795899347</v>
      </c>
      <c r="T305">
        <v>0.90246913830439246</v>
      </c>
      <c r="W305">
        <f t="shared" si="16"/>
        <v>172435</v>
      </c>
      <c r="X305">
        <f t="shared" si="17"/>
        <v>0.89555554091930389</v>
      </c>
      <c r="Y305">
        <f t="shared" si="18"/>
        <v>0.90246913830439246</v>
      </c>
      <c r="Z305">
        <f t="shared" si="19"/>
        <v>11.714002795899347</v>
      </c>
    </row>
    <row r="306" spans="1:26" x14ac:dyDescent="0.25">
      <c r="A306" t="s">
        <v>106</v>
      </c>
      <c r="B306">
        <v>3</v>
      </c>
      <c r="C306">
        <v>2</v>
      </c>
      <c r="D306">
        <v>0</v>
      </c>
      <c r="E306" t="s">
        <v>145</v>
      </c>
      <c r="F306">
        <v>107560</v>
      </c>
      <c r="G306">
        <v>347733193.25</v>
      </c>
      <c r="H306">
        <v>0.97708333283662796</v>
      </c>
      <c r="I306">
        <v>0.95944444444444443</v>
      </c>
      <c r="J306">
        <v>25567336.3125</v>
      </c>
      <c r="K306">
        <v>173614</v>
      </c>
      <c r="L306">
        <v>2</v>
      </c>
      <c r="M306">
        <v>276</v>
      </c>
      <c r="N306">
        <v>0.96305555555555555</v>
      </c>
      <c r="O306">
        <v>27306918.8125</v>
      </c>
      <c r="P306">
        <v>174797</v>
      </c>
      <c r="Q306">
        <v>2</v>
      </c>
      <c r="R306">
        <v>277</v>
      </c>
      <c r="S306">
        <v>11.250076382523678</v>
      </c>
      <c r="T306">
        <v>0.97851852575937903</v>
      </c>
      <c r="W306">
        <f t="shared" si="16"/>
        <v>173614</v>
      </c>
      <c r="X306">
        <f t="shared" si="17"/>
        <v>0.97708333283662796</v>
      </c>
      <c r="Y306">
        <f t="shared" si="18"/>
        <v>0.97851852575937903</v>
      </c>
      <c r="Z306">
        <f t="shared" si="19"/>
        <v>11.250076382523678</v>
      </c>
    </row>
    <row r="307" spans="1:26" hidden="1" x14ac:dyDescent="0.25">
      <c r="A307" t="s">
        <v>106</v>
      </c>
      <c r="B307">
        <v>3</v>
      </c>
      <c r="C307">
        <v>3</v>
      </c>
      <c r="D307">
        <v>0</v>
      </c>
      <c r="E307" t="s">
        <v>161</v>
      </c>
      <c r="F307">
        <v>98302</v>
      </c>
      <c r="G307">
        <v>368033118.22222221</v>
      </c>
      <c r="H307">
        <v>0.97456791003545129</v>
      </c>
      <c r="I307">
        <v>0.95654320987654318</v>
      </c>
      <c r="J307">
        <v>29249073.444444444</v>
      </c>
      <c r="K307">
        <v>173614</v>
      </c>
      <c r="L307">
        <v>2</v>
      </c>
      <c r="M307">
        <v>276</v>
      </c>
      <c r="N307">
        <v>0.95506172839506176</v>
      </c>
      <c r="O307">
        <v>28692840.444444444</v>
      </c>
      <c r="P307">
        <v>174797</v>
      </c>
      <c r="Q307">
        <v>2</v>
      </c>
      <c r="R307">
        <v>277</v>
      </c>
      <c r="S307">
        <v>11.327901801737132</v>
      </c>
      <c r="T307">
        <v>0.97638888657093048</v>
      </c>
      <c r="W307">
        <f t="shared" si="16"/>
        <v>173614</v>
      </c>
      <c r="X307">
        <f t="shared" si="17"/>
        <v>0.97456791003545129</v>
      </c>
      <c r="Y307">
        <f t="shared" si="18"/>
        <v>0.97638888657093048</v>
      </c>
      <c r="Z307">
        <f t="shared" si="19"/>
        <v>11.327901801737132</v>
      </c>
    </row>
    <row r="308" spans="1:26" hidden="1" x14ac:dyDescent="0.25">
      <c r="A308" t="s">
        <v>106</v>
      </c>
      <c r="B308">
        <v>3</v>
      </c>
      <c r="C308">
        <v>4</v>
      </c>
      <c r="D308">
        <v>0</v>
      </c>
      <c r="E308" t="s">
        <v>119</v>
      </c>
      <c r="F308">
        <v>91894</v>
      </c>
      <c r="G308">
        <v>213583088.09090909</v>
      </c>
      <c r="H308">
        <v>0.94787878339940856</v>
      </c>
      <c r="I308">
        <v>0.95818181818181813</v>
      </c>
      <c r="J308">
        <v>22737611.818181816</v>
      </c>
      <c r="K308">
        <v>173614</v>
      </c>
      <c r="L308">
        <v>2</v>
      </c>
      <c r="M308">
        <v>276</v>
      </c>
      <c r="N308">
        <v>0.9561616161616161</v>
      </c>
      <c r="O308">
        <v>21649903.636363637</v>
      </c>
      <c r="P308">
        <v>174797</v>
      </c>
      <c r="Q308">
        <v>2</v>
      </c>
      <c r="R308">
        <v>277</v>
      </c>
      <c r="S308">
        <v>11.405929083510948</v>
      </c>
      <c r="T308">
        <v>0.97037037014961247</v>
      </c>
      <c r="W308">
        <f t="shared" si="16"/>
        <v>173614</v>
      </c>
      <c r="X308">
        <f t="shared" si="17"/>
        <v>0.94787878339940856</v>
      </c>
      <c r="Y308">
        <f t="shared" si="18"/>
        <v>0.97037037014961247</v>
      </c>
      <c r="Z308">
        <f t="shared" si="19"/>
        <v>11.405929083510948</v>
      </c>
    </row>
    <row r="309" spans="1:26" hidden="1" x14ac:dyDescent="0.25">
      <c r="A309" t="s">
        <v>106</v>
      </c>
      <c r="B309">
        <v>5</v>
      </c>
      <c r="C309">
        <v>2</v>
      </c>
      <c r="D309">
        <v>0</v>
      </c>
      <c r="E309" t="s">
        <v>283</v>
      </c>
      <c r="F309">
        <v>174169</v>
      </c>
      <c r="G309">
        <v>732953173.5</v>
      </c>
      <c r="H309">
        <v>0.9699999988079071</v>
      </c>
      <c r="I309">
        <v>0.95777777777777784</v>
      </c>
      <c r="J309">
        <v>31253471</v>
      </c>
      <c r="K309">
        <v>173614</v>
      </c>
      <c r="L309">
        <v>2</v>
      </c>
      <c r="M309">
        <v>276</v>
      </c>
      <c r="N309">
        <v>0.95611111111111113</v>
      </c>
      <c r="O309">
        <v>31170751.75</v>
      </c>
      <c r="P309">
        <v>174797</v>
      </c>
      <c r="Q309">
        <v>2</v>
      </c>
      <c r="R309">
        <v>277</v>
      </c>
      <c r="S309">
        <v>11.480747451868631</v>
      </c>
      <c r="T309">
        <v>0.96543208758036292</v>
      </c>
      <c r="W309">
        <f t="shared" si="16"/>
        <v>173614</v>
      </c>
      <c r="X309">
        <f t="shared" si="17"/>
        <v>0.9699999988079071</v>
      </c>
      <c r="Y309">
        <f t="shared" si="18"/>
        <v>0.96543208758036292</v>
      </c>
      <c r="Z309">
        <f t="shared" si="19"/>
        <v>11.480747451868631</v>
      </c>
    </row>
    <row r="310" spans="1:26" hidden="1" x14ac:dyDescent="0.25">
      <c r="A310" t="s">
        <v>106</v>
      </c>
      <c r="B310">
        <v>5</v>
      </c>
      <c r="C310">
        <v>5</v>
      </c>
      <c r="D310">
        <v>0</v>
      </c>
      <c r="E310" t="s">
        <v>253</v>
      </c>
      <c r="F310">
        <v>174156</v>
      </c>
      <c r="G310">
        <v>227053037.25</v>
      </c>
      <c r="H310">
        <v>0.96500000357627869</v>
      </c>
      <c r="I310">
        <v>0.98166666666666669</v>
      </c>
      <c r="J310">
        <v>30744111.5</v>
      </c>
      <c r="K310">
        <v>173614</v>
      </c>
      <c r="L310">
        <v>2</v>
      </c>
      <c r="M310">
        <v>276</v>
      </c>
      <c r="N310">
        <v>0.97944444444444445</v>
      </c>
      <c r="O310">
        <v>30968115</v>
      </c>
      <c r="P310">
        <v>174797</v>
      </c>
      <c r="Q310">
        <v>2</v>
      </c>
      <c r="R310">
        <v>277</v>
      </c>
      <c r="S310">
        <v>11.613789807014399</v>
      </c>
      <c r="T310">
        <v>0.9617283741633097</v>
      </c>
      <c r="W310">
        <f t="shared" si="16"/>
        <v>173614</v>
      </c>
      <c r="X310">
        <f t="shared" si="17"/>
        <v>0.96500000357627869</v>
      </c>
      <c r="Y310">
        <f t="shared" si="18"/>
        <v>0.9617283741633097</v>
      </c>
      <c r="Z310">
        <f t="shared" si="19"/>
        <v>11.613789807014399</v>
      </c>
    </row>
    <row r="311" spans="1:26" x14ac:dyDescent="0.25">
      <c r="A311" t="s">
        <v>106</v>
      </c>
      <c r="B311">
        <v>3</v>
      </c>
      <c r="C311">
        <v>2</v>
      </c>
      <c r="D311">
        <v>0</v>
      </c>
      <c r="E311" t="s">
        <v>176</v>
      </c>
      <c r="F311">
        <v>108166</v>
      </c>
      <c r="G311">
        <v>464866476.375</v>
      </c>
      <c r="H311">
        <v>0.97736110910773277</v>
      </c>
      <c r="I311">
        <v>0.96555555555555561</v>
      </c>
      <c r="J311">
        <v>29023087.125</v>
      </c>
      <c r="K311">
        <v>174797</v>
      </c>
      <c r="L311">
        <v>2</v>
      </c>
      <c r="M311">
        <v>277</v>
      </c>
      <c r="N311">
        <v>0.96694444444444438</v>
      </c>
      <c r="O311">
        <v>29462948.125</v>
      </c>
      <c r="P311">
        <v>175984</v>
      </c>
      <c r="Q311">
        <v>2</v>
      </c>
      <c r="R311">
        <v>278</v>
      </c>
      <c r="S311">
        <v>11.253127860848338</v>
      </c>
      <c r="T311">
        <v>0.97654321193695071</v>
      </c>
      <c r="W311">
        <f t="shared" si="16"/>
        <v>174797</v>
      </c>
      <c r="X311">
        <f t="shared" si="17"/>
        <v>0.97736110910773277</v>
      </c>
      <c r="Y311">
        <f t="shared" si="18"/>
        <v>0.97654321193695071</v>
      </c>
      <c r="Z311">
        <f t="shared" si="19"/>
        <v>11.253127860848338</v>
      </c>
    </row>
    <row r="312" spans="1:26" hidden="1" x14ac:dyDescent="0.25">
      <c r="A312" t="s">
        <v>106</v>
      </c>
      <c r="B312">
        <v>3</v>
      </c>
      <c r="C312">
        <v>4</v>
      </c>
      <c r="D312">
        <v>0</v>
      </c>
      <c r="E312" t="s">
        <v>181</v>
      </c>
      <c r="F312">
        <v>92542</v>
      </c>
      <c r="G312">
        <v>114865414.16666667</v>
      </c>
      <c r="H312">
        <v>0.95592592159907019</v>
      </c>
      <c r="I312">
        <v>0.95629629629629631</v>
      </c>
      <c r="J312">
        <v>20474916.166666668</v>
      </c>
      <c r="K312">
        <v>174797</v>
      </c>
      <c r="L312">
        <v>2</v>
      </c>
      <c r="M312">
        <v>277</v>
      </c>
      <c r="N312">
        <v>0.96333333333333337</v>
      </c>
      <c r="O312">
        <v>19751576</v>
      </c>
      <c r="P312">
        <v>175984</v>
      </c>
      <c r="Q312">
        <v>2</v>
      </c>
      <c r="R312">
        <v>278</v>
      </c>
      <c r="S312">
        <v>11.405126218606753</v>
      </c>
      <c r="T312">
        <v>0.9703703641891479</v>
      </c>
      <c r="W312">
        <f t="shared" si="16"/>
        <v>174797</v>
      </c>
      <c r="X312">
        <f t="shared" si="17"/>
        <v>0.95592592159907019</v>
      </c>
      <c r="Y312">
        <f t="shared" si="18"/>
        <v>0.9703703641891479</v>
      </c>
      <c r="Z312">
        <f t="shared" si="19"/>
        <v>11.405126218606753</v>
      </c>
    </row>
    <row r="313" spans="1:26" hidden="1" x14ac:dyDescent="0.25">
      <c r="A313" t="s">
        <v>106</v>
      </c>
      <c r="B313">
        <v>5</v>
      </c>
      <c r="C313">
        <v>2</v>
      </c>
      <c r="D313">
        <v>0</v>
      </c>
      <c r="E313" t="s">
        <v>209</v>
      </c>
      <c r="F313">
        <v>175432</v>
      </c>
      <c r="G313">
        <v>635290198.5</v>
      </c>
      <c r="H313">
        <v>0.96555554866790771</v>
      </c>
      <c r="I313">
        <v>0.96388888888888891</v>
      </c>
      <c r="J313">
        <v>30556554.25</v>
      </c>
      <c r="K313">
        <v>174797</v>
      </c>
      <c r="L313">
        <v>2</v>
      </c>
      <c r="M313">
        <v>277</v>
      </c>
      <c r="N313">
        <v>0.96</v>
      </c>
      <c r="O313">
        <v>30371145.25</v>
      </c>
      <c r="P313">
        <v>175984</v>
      </c>
      <c r="Q313">
        <v>2</v>
      </c>
      <c r="R313">
        <v>278</v>
      </c>
      <c r="S313">
        <v>11.482953830670525</v>
      </c>
      <c r="T313">
        <v>0.97654318809509277</v>
      </c>
      <c r="W313">
        <f t="shared" si="16"/>
        <v>174797</v>
      </c>
      <c r="X313">
        <f t="shared" si="17"/>
        <v>0.96555554866790771</v>
      </c>
      <c r="Y313">
        <f t="shared" si="18"/>
        <v>0.97654318809509277</v>
      </c>
      <c r="Z313">
        <f t="shared" si="19"/>
        <v>11.482953830670525</v>
      </c>
    </row>
    <row r="314" spans="1:26" hidden="1" x14ac:dyDescent="0.25">
      <c r="A314" t="s">
        <v>106</v>
      </c>
      <c r="B314">
        <v>5</v>
      </c>
      <c r="C314">
        <v>3</v>
      </c>
      <c r="D314">
        <v>0</v>
      </c>
      <c r="E314" t="s">
        <v>274</v>
      </c>
      <c r="F314">
        <v>175359</v>
      </c>
      <c r="G314">
        <v>476853995.28571427</v>
      </c>
      <c r="H314">
        <v>0.96000000408717567</v>
      </c>
      <c r="I314">
        <v>0.96158730158730155</v>
      </c>
      <c r="J314">
        <v>29252811.428571429</v>
      </c>
      <c r="K314">
        <v>174797</v>
      </c>
      <c r="L314">
        <v>2</v>
      </c>
      <c r="M314">
        <v>277</v>
      </c>
      <c r="N314">
        <v>0.9622222222222222</v>
      </c>
      <c r="O314">
        <v>29992933.714285713</v>
      </c>
      <c r="P314">
        <v>175984</v>
      </c>
      <c r="Q314">
        <v>2</v>
      </c>
      <c r="R314">
        <v>278</v>
      </c>
      <c r="S314">
        <v>11.536396329365079</v>
      </c>
      <c r="T314">
        <v>0.97098765770594275</v>
      </c>
      <c r="W314">
        <f t="shared" si="16"/>
        <v>174797</v>
      </c>
      <c r="X314">
        <f t="shared" si="17"/>
        <v>0.96000000408717567</v>
      </c>
      <c r="Y314">
        <f t="shared" si="18"/>
        <v>0.97098765770594275</v>
      </c>
      <c r="Z314">
        <f t="shared" si="19"/>
        <v>11.536396329365079</v>
      </c>
    </row>
    <row r="315" spans="1:26" hidden="1" x14ac:dyDescent="0.25">
      <c r="A315" t="s">
        <v>106</v>
      </c>
      <c r="B315">
        <v>5</v>
      </c>
      <c r="C315">
        <v>4</v>
      </c>
      <c r="D315">
        <v>0</v>
      </c>
      <c r="E315" t="s">
        <v>255</v>
      </c>
      <c r="F315">
        <v>175725</v>
      </c>
      <c r="G315">
        <v>174893437.75</v>
      </c>
      <c r="H315">
        <v>0.96333332359790802</v>
      </c>
      <c r="I315">
        <v>0.96944444444444444</v>
      </c>
      <c r="J315">
        <v>29965005</v>
      </c>
      <c r="K315">
        <v>174797</v>
      </c>
      <c r="L315">
        <v>2</v>
      </c>
      <c r="M315">
        <v>277</v>
      </c>
      <c r="N315">
        <v>0.96722222222222221</v>
      </c>
      <c r="O315">
        <v>29511369.5</v>
      </c>
      <c r="P315">
        <v>175984</v>
      </c>
      <c r="Q315">
        <v>2</v>
      </c>
      <c r="R315">
        <v>278</v>
      </c>
      <c r="S315">
        <v>11.577501674888849</v>
      </c>
      <c r="T315">
        <v>0.96296296517054236</v>
      </c>
      <c r="W315">
        <f t="shared" si="16"/>
        <v>174797</v>
      </c>
      <c r="X315">
        <f t="shared" si="17"/>
        <v>0.96333332359790802</v>
      </c>
      <c r="Y315">
        <f t="shared" si="18"/>
        <v>0.96296296517054236</v>
      </c>
      <c r="Z315">
        <f t="shared" si="19"/>
        <v>11.577501674888849</v>
      </c>
    </row>
    <row r="316" spans="1:26" hidden="1" x14ac:dyDescent="0.25">
      <c r="A316" t="s">
        <v>106</v>
      </c>
      <c r="B316">
        <v>9</v>
      </c>
      <c r="C316">
        <v>2</v>
      </c>
      <c r="D316">
        <v>0</v>
      </c>
      <c r="E316" t="s">
        <v>262</v>
      </c>
      <c r="F316">
        <v>174981</v>
      </c>
      <c r="G316">
        <v>440279970.4285714</v>
      </c>
      <c r="H316">
        <v>0.91206348793847225</v>
      </c>
      <c r="I316">
        <v>0.96444444444444444</v>
      </c>
      <c r="J316">
        <v>28821724.571428571</v>
      </c>
      <c r="K316">
        <v>174797</v>
      </c>
      <c r="L316">
        <v>2</v>
      </c>
      <c r="M316">
        <v>277</v>
      </c>
      <c r="N316">
        <v>0.95904761904761904</v>
      </c>
      <c r="O316">
        <v>29219728.285714287</v>
      </c>
      <c r="P316">
        <v>175984</v>
      </c>
      <c r="Q316">
        <v>2</v>
      </c>
      <c r="R316">
        <v>278</v>
      </c>
      <c r="S316">
        <v>11.716331877729258</v>
      </c>
      <c r="T316">
        <v>0.91913580894470215</v>
      </c>
      <c r="W316">
        <f t="shared" si="16"/>
        <v>174797</v>
      </c>
      <c r="X316">
        <f t="shared" si="17"/>
        <v>0.91206348793847225</v>
      </c>
      <c r="Y316">
        <f t="shared" si="18"/>
        <v>0.91913580894470215</v>
      </c>
      <c r="Z316">
        <f t="shared" si="19"/>
        <v>11.716331877729258</v>
      </c>
    </row>
    <row r="317" spans="1:26" hidden="1" x14ac:dyDescent="0.25">
      <c r="A317" t="s">
        <v>106</v>
      </c>
      <c r="B317">
        <v>9</v>
      </c>
      <c r="C317">
        <v>3</v>
      </c>
      <c r="D317">
        <v>0</v>
      </c>
      <c r="E317" t="s">
        <v>111</v>
      </c>
      <c r="F317">
        <v>175942</v>
      </c>
      <c r="G317">
        <v>234562091</v>
      </c>
      <c r="H317">
        <v>0.95388889312744141</v>
      </c>
      <c r="I317">
        <v>0.95833333333333337</v>
      </c>
      <c r="J317">
        <v>31236694.5</v>
      </c>
      <c r="K317">
        <v>174797</v>
      </c>
      <c r="L317">
        <v>2</v>
      </c>
      <c r="M317">
        <v>277</v>
      </c>
      <c r="N317">
        <v>0.95500000000000007</v>
      </c>
      <c r="O317">
        <v>30673809</v>
      </c>
      <c r="P317">
        <v>175984</v>
      </c>
      <c r="Q317">
        <v>2</v>
      </c>
      <c r="R317">
        <v>278</v>
      </c>
      <c r="S317">
        <v>11.918135011441647</v>
      </c>
      <c r="T317">
        <v>0.96419751644134521</v>
      </c>
      <c r="W317">
        <f t="shared" si="16"/>
        <v>174797</v>
      </c>
      <c r="X317">
        <f t="shared" si="17"/>
        <v>0.95388889312744141</v>
      </c>
      <c r="Y317">
        <f t="shared" si="18"/>
        <v>0.96419751644134521</v>
      </c>
      <c r="Z317">
        <f t="shared" si="19"/>
        <v>11.918135011441647</v>
      </c>
    </row>
    <row r="318" spans="1:26" x14ac:dyDescent="0.25">
      <c r="A318" t="s">
        <v>106</v>
      </c>
      <c r="B318">
        <v>3</v>
      </c>
      <c r="C318">
        <v>2</v>
      </c>
      <c r="D318">
        <v>0</v>
      </c>
      <c r="E318" t="s">
        <v>146</v>
      </c>
      <c r="F318">
        <v>108746</v>
      </c>
      <c r="G318">
        <v>416595893.5</v>
      </c>
      <c r="H318">
        <v>0.9769444428384304</v>
      </c>
      <c r="I318">
        <v>0.96430555555555553</v>
      </c>
      <c r="J318">
        <v>24985478.875</v>
      </c>
      <c r="K318">
        <v>175984</v>
      </c>
      <c r="L318">
        <v>2</v>
      </c>
      <c r="M318">
        <v>278</v>
      </c>
      <c r="N318">
        <v>0.96319444444444446</v>
      </c>
      <c r="O318">
        <v>25950140.5</v>
      </c>
      <c r="P318">
        <v>177175</v>
      </c>
      <c r="Q318">
        <v>2</v>
      </c>
      <c r="R318">
        <v>279</v>
      </c>
      <c r="S318">
        <v>11.257086254190796</v>
      </c>
      <c r="T318">
        <v>0.98074072996775308</v>
      </c>
      <c r="W318">
        <f t="shared" si="16"/>
        <v>175984</v>
      </c>
      <c r="X318">
        <f t="shared" si="17"/>
        <v>0.9769444428384304</v>
      </c>
      <c r="Y318">
        <f t="shared" si="18"/>
        <v>0.98074072996775308</v>
      </c>
      <c r="Z318">
        <f t="shared" si="19"/>
        <v>11.257086254190796</v>
      </c>
    </row>
    <row r="319" spans="1:26" hidden="1" x14ac:dyDescent="0.25">
      <c r="A319" t="s">
        <v>106</v>
      </c>
      <c r="B319">
        <v>3</v>
      </c>
      <c r="C319">
        <v>3</v>
      </c>
      <c r="D319">
        <v>0</v>
      </c>
      <c r="E319" t="s">
        <v>162</v>
      </c>
      <c r="F319">
        <v>99636</v>
      </c>
      <c r="G319">
        <v>310659236.93478262</v>
      </c>
      <c r="H319">
        <v>0.97048309445381165</v>
      </c>
      <c r="I319">
        <v>0.95632850241545897</v>
      </c>
      <c r="J319">
        <v>28886169.282608695</v>
      </c>
      <c r="K319">
        <v>175984</v>
      </c>
      <c r="L319">
        <v>2</v>
      </c>
      <c r="M319">
        <v>278</v>
      </c>
      <c r="N319">
        <v>0.95782608695652172</v>
      </c>
      <c r="O319">
        <v>28989998.217391305</v>
      </c>
      <c r="P319">
        <v>177175</v>
      </c>
      <c r="Q319">
        <v>2</v>
      </c>
      <c r="R319">
        <v>279</v>
      </c>
      <c r="S319">
        <v>11.332117049438363</v>
      </c>
      <c r="T319">
        <v>0.97835390170415237</v>
      </c>
      <c r="W319">
        <f t="shared" si="16"/>
        <v>175984</v>
      </c>
      <c r="X319">
        <f t="shared" si="17"/>
        <v>0.97048309445381165</v>
      </c>
      <c r="Y319">
        <f t="shared" si="18"/>
        <v>0.97835390170415237</v>
      </c>
      <c r="Z319">
        <f t="shared" si="19"/>
        <v>11.332117049438363</v>
      </c>
    </row>
    <row r="320" spans="1:26" hidden="1" x14ac:dyDescent="0.25">
      <c r="A320" t="s">
        <v>106</v>
      </c>
      <c r="B320">
        <v>3</v>
      </c>
      <c r="C320">
        <v>4</v>
      </c>
      <c r="D320">
        <v>0</v>
      </c>
      <c r="E320" t="s">
        <v>150</v>
      </c>
      <c r="F320">
        <v>92904</v>
      </c>
      <c r="G320">
        <v>293828264</v>
      </c>
      <c r="H320">
        <v>0.95444443821907043</v>
      </c>
      <c r="I320">
        <v>0.96296296296296291</v>
      </c>
      <c r="J320">
        <v>27089644.666666668</v>
      </c>
      <c r="K320">
        <v>175984</v>
      </c>
      <c r="L320">
        <v>2</v>
      </c>
      <c r="M320">
        <v>278</v>
      </c>
      <c r="N320">
        <v>0.96333333333333337</v>
      </c>
      <c r="O320">
        <v>27296709.666666668</v>
      </c>
      <c r="P320">
        <v>177175</v>
      </c>
      <c r="Q320">
        <v>2</v>
      </c>
      <c r="R320">
        <v>279</v>
      </c>
      <c r="S320">
        <v>11.406001936108423</v>
      </c>
      <c r="T320">
        <v>0.97037035226821899</v>
      </c>
      <c r="W320">
        <f t="shared" si="16"/>
        <v>175984</v>
      </c>
      <c r="X320">
        <f t="shared" si="17"/>
        <v>0.95444443821907043</v>
      </c>
      <c r="Y320">
        <f t="shared" si="18"/>
        <v>0.97037035226821899</v>
      </c>
      <c r="Z320">
        <f t="shared" si="19"/>
        <v>11.406001936108423</v>
      </c>
    </row>
    <row r="321" spans="1:26" hidden="1" x14ac:dyDescent="0.25">
      <c r="A321" t="s">
        <v>106</v>
      </c>
      <c r="B321">
        <v>5</v>
      </c>
      <c r="C321">
        <v>2</v>
      </c>
      <c r="D321">
        <v>0</v>
      </c>
      <c r="E321" t="s">
        <v>134</v>
      </c>
      <c r="F321">
        <v>177058</v>
      </c>
      <c r="G321">
        <v>488621500.25</v>
      </c>
      <c r="H321">
        <v>0.96555554866790771</v>
      </c>
      <c r="I321">
        <v>0.96111111111111103</v>
      </c>
      <c r="J321">
        <v>29150628.75</v>
      </c>
      <c r="K321">
        <v>175984</v>
      </c>
      <c r="L321">
        <v>2</v>
      </c>
      <c r="M321">
        <v>278</v>
      </c>
      <c r="N321">
        <v>0.95833333333333337</v>
      </c>
      <c r="O321">
        <v>29111864.5</v>
      </c>
      <c r="P321">
        <v>177175</v>
      </c>
      <c r="Q321">
        <v>2</v>
      </c>
      <c r="R321">
        <v>279</v>
      </c>
      <c r="S321">
        <v>11.484152936737518</v>
      </c>
      <c r="T321">
        <v>0.97654320796330774</v>
      </c>
      <c r="W321">
        <f t="shared" si="16"/>
        <v>175984</v>
      </c>
      <c r="X321">
        <f t="shared" si="17"/>
        <v>0.96555554866790771</v>
      </c>
      <c r="Y321">
        <f t="shared" si="18"/>
        <v>0.97654320796330774</v>
      </c>
      <c r="Z321">
        <f t="shared" si="19"/>
        <v>11.484152936737518</v>
      </c>
    </row>
    <row r="322" spans="1:26" x14ac:dyDescent="0.25">
      <c r="A322" t="s">
        <v>106</v>
      </c>
      <c r="B322">
        <v>3</v>
      </c>
      <c r="C322">
        <v>2</v>
      </c>
      <c r="D322">
        <v>0</v>
      </c>
      <c r="E322" t="s">
        <v>177</v>
      </c>
      <c r="F322">
        <v>109384</v>
      </c>
      <c r="G322">
        <v>372310050.8125</v>
      </c>
      <c r="H322">
        <v>0.98041666299104691</v>
      </c>
      <c r="I322">
        <v>0.97027777777777779</v>
      </c>
      <c r="J322">
        <v>26154178.4375</v>
      </c>
      <c r="K322">
        <v>177175</v>
      </c>
      <c r="L322">
        <v>2</v>
      </c>
      <c r="M322">
        <v>279</v>
      </c>
      <c r="N322">
        <v>0.96930555555555553</v>
      </c>
      <c r="O322">
        <v>26106698.0625</v>
      </c>
      <c r="P322">
        <v>178370</v>
      </c>
      <c r="Q322">
        <v>2</v>
      </c>
      <c r="R322">
        <v>280</v>
      </c>
      <c r="S322">
        <v>11.259208523592084</v>
      </c>
      <c r="T322">
        <v>0.98024691740671799</v>
      </c>
      <c r="W322">
        <f t="shared" si="16"/>
        <v>177175</v>
      </c>
      <c r="X322">
        <f t="shared" si="17"/>
        <v>0.98041666299104691</v>
      </c>
      <c r="Y322">
        <f t="shared" si="18"/>
        <v>0.98024691740671799</v>
      </c>
      <c r="Z322">
        <f t="shared" si="19"/>
        <v>11.259208523592084</v>
      </c>
    </row>
    <row r="323" spans="1:26" hidden="1" x14ac:dyDescent="0.25">
      <c r="A323" t="s">
        <v>106</v>
      </c>
      <c r="B323">
        <v>3</v>
      </c>
      <c r="C323">
        <v>3</v>
      </c>
      <c r="D323">
        <v>0</v>
      </c>
      <c r="E323" t="s">
        <v>187</v>
      </c>
      <c r="F323">
        <v>99742</v>
      </c>
      <c r="G323">
        <v>327120061.71739131</v>
      </c>
      <c r="H323">
        <v>0.96792271085407422</v>
      </c>
      <c r="I323">
        <v>0.95594202898550729</v>
      </c>
      <c r="J323">
        <v>29339007.043478262</v>
      </c>
      <c r="K323">
        <v>177175</v>
      </c>
      <c r="L323">
        <v>2</v>
      </c>
      <c r="M323">
        <v>279</v>
      </c>
      <c r="N323">
        <v>0.95405797101449274</v>
      </c>
      <c r="O323">
        <v>30023886.260869566</v>
      </c>
      <c r="P323">
        <v>178370</v>
      </c>
      <c r="Q323">
        <v>2</v>
      </c>
      <c r="R323">
        <v>280</v>
      </c>
      <c r="S323">
        <v>11.338586607715895</v>
      </c>
      <c r="T323">
        <v>0.98222221665912202</v>
      </c>
      <c r="W323">
        <f t="shared" ref="W323:W386" si="20">K323</f>
        <v>177175</v>
      </c>
      <c r="X323">
        <f t="shared" ref="X323:X386" si="21">H323</f>
        <v>0.96792271085407422</v>
      </c>
      <c r="Y323">
        <f t="shared" ref="Y323:Y386" si="22">T323</f>
        <v>0.98222221665912202</v>
      </c>
      <c r="Z323">
        <f t="shared" ref="Z323:Z386" si="23">S323</f>
        <v>11.338586607715895</v>
      </c>
    </row>
    <row r="324" spans="1:26" hidden="1" x14ac:dyDescent="0.25">
      <c r="A324" t="s">
        <v>106</v>
      </c>
      <c r="B324">
        <v>3</v>
      </c>
      <c r="C324">
        <v>4</v>
      </c>
      <c r="D324">
        <v>0</v>
      </c>
      <c r="E324" t="s">
        <v>120</v>
      </c>
      <c r="F324">
        <v>93376</v>
      </c>
      <c r="G324">
        <v>128376270.5</v>
      </c>
      <c r="H324">
        <v>0.95777778824170434</v>
      </c>
      <c r="I324">
        <v>0.96074074074074078</v>
      </c>
      <c r="J324">
        <v>19083113.833333332</v>
      </c>
      <c r="K324">
        <v>177175</v>
      </c>
      <c r="L324">
        <v>2</v>
      </c>
      <c r="M324">
        <v>279</v>
      </c>
      <c r="N324">
        <v>0.95481481481481478</v>
      </c>
      <c r="O324">
        <v>19137071.666666668</v>
      </c>
      <c r="P324">
        <v>178370</v>
      </c>
      <c r="Q324">
        <v>2</v>
      </c>
      <c r="R324">
        <v>280</v>
      </c>
      <c r="S324">
        <v>11.405844784207471</v>
      </c>
      <c r="T324">
        <v>0.97703703641891482</v>
      </c>
      <c r="W324">
        <f t="shared" si="20"/>
        <v>177175</v>
      </c>
      <c r="X324">
        <f t="shared" si="21"/>
        <v>0.95777778824170434</v>
      </c>
      <c r="Y324">
        <f t="shared" si="22"/>
        <v>0.97703703641891482</v>
      </c>
      <c r="Z324">
        <f t="shared" si="23"/>
        <v>11.405844784207471</v>
      </c>
    </row>
    <row r="325" spans="1:26" hidden="1" x14ac:dyDescent="0.25">
      <c r="A325" t="s">
        <v>106</v>
      </c>
      <c r="B325">
        <v>5</v>
      </c>
      <c r="C325">
        <v>3</v>
      </c>
      <c r="D325">
        <v>0</v>
      </c>
      <c r="E325" t="s">
        <v>185</v>
      </c>
      <c r="F325">
        <v>177414</v>
      </c>
      <c r="G325">
        <v>556578285.25</v>
      </c>
      <c r="H325">
        <v>0.96555556356906891</v>
      </c>
      <c r="I325">
        <v>0.96666666666666667</v>
      </c>
      <c r="J325">
        <v>31248216.25</v>
      </c>
      <c r="K325">
        <v>177175</v>
      </c>
      <c r="L325">
        <v>2</v>
      </c>
      <c r="M325">
        <v>279</v>
      </c>
      <c r="N325">
        <v>0.96277777777777773</v>
      </c>
      <c r="O325">
        <v>31694742.75</v>
      </c>
      <c r="P325">
        <v>178370</v>
      </c>
      <c r="Q325">
        <v>2</v>
      </c>
      <c r="R325">
        <v>280</v>
      </c>
      <c r="S325">
        <v>11.538370939747086</v>
      </c>
      <c r="T325">
        <v>0.96543210744857788</v>
      </c>
      <c r="W325">
        <f t="shared" si="20"/>
        <v>177175</v>
      </c>
      <c r="X325">
        <f t="shared" si="21"/>
        <v>0.96555556356906891</v>
      </c>
      <c r="Y325">
        <f t="shared" si="22"/>
        <v>0.96543210744857788</v>
      </c>
      <c r="Z325">
        <f t="shared" si="23"/>
        <v>11.538370939747086</v>
      </c>
    </row>
    <row r="326" spans="1:26" hidden="1" x14ac:dyDescent="0.25">
      <c r="A326" t="s">
        <v>106</v>
      </c>
      <c r="B326">
        <v>9</v>
      </c>
      <c r="C326">
        <v>2</v>
      </c>
      <c r="D326">
        <v>0</v>
      </c>
      <c r="E326" t="s">
        <v>201</v>
      </c>
      <c r="F326">
        <v>177678</v>
      </c>
      <c r="G326">
        <v>725871819</v>
      </c>
      <c r="H326">
        <v>0.83277775347232819</v>
      </c>
      <c r="I326">
        <v>0.96333333333333337</v>
      </c>
      <c r="J326">
        <v>28824200</v>
      </c>
      <c r="K326">
        <v>177175</v>
      </c>
      <c r="L326">
        <v>2</v>
      </c>
      <c r="M326">
        <v>279</v>
      </c>
      <c r="N326">
        <v>0.96277777777777773</v>
      </c>
      <c r="O326">
        <v>29343036</v>
      </c>
      <c r="P326">
        <v>178370</v>
      </c>
      <c r="Q326">
        <v>2</v>
      </c>
      <c r="R326">
        <v>280</v>
      </c>
      <c r="S326">
        <v>11.719715932242854</v>
      </c>
      <c r="T326">
        <v>0.85925924777984619</v>
      </c>
      <c r="W326">
        <f t="shared" si="20"/>
        <v>177175</v>
      </c>
      <c r="X326">
        <f t="shared" si="21"/>
        <v>0.83277775347232819</v>
      </c>
      <c r="Y326">
        <f t="shared" si="22"/>
        <v>0.85925924777984619</v>
      </c>
      <c r="Z326">
        <f t="shared" si="23"/>
        <v>11.719715932242854</v>
      </c>
    </row>
    <row r="327" spans="1:26" x14ac:dyDescent="0.25">
      <c r="A327" t="s">
        <v>106</v>
      </c>
      <c r="B327">
        <v>3</v>
      </c>
      <c r="C327">
        <v>2</v>
      </c>
      <c r="D327">
        <v>0</v>
      </c>
      <c r="E327" t="s">
        <v>196</v>
      </c>
      <c r="F327">
        <v>109894</v>
      </c>
      <c r="G327">
        <v>457889983.36363637</v>
      </c>
      <c r="H327">
        <v>0.97171716256575147</v>
      </c>
      <c r="I327">
        <v>0.96020202020202017</v>
      </c>
      <c r="J327">
        <v>29286024.272727273</v>
      </c>
      <c r="K327">
        <v>178370</v>
      </c>
      <c r="L327">
        <v>2</v>
      </c>
      <c r="M327">
        <v>280</v>
      </c>
      <c r="N327">
        <v>0.96060606060606057</v>
      </c>
      <c r="O327">
        <v>27627678.272727273</v>
      </c>
      <c r="P327">
        <v>179569</v>
      </c>
      <c r="Q327">
        <v>2</v>
      </c>
      <c r="R327">
        <v>281</v>
      </c>
      <c r="S327">
        <v>11.260968747623755</v>
      </c>
      <c r="T327">
        <v>0.97592592239379883</v>
      </c>
      <c r="W327">
        <f t="shared" si="20"/>
        <v>178370</v>
      </c>
      <c r="X327">
        <f t="shared" si="21"/>
        <v>0.97171716256575147</v>
      </c>
      <c r="Y327">
        <f t="shared" si="22"/>
        <v>0.97592592239379883</v>
      </c>
      <c r="Z327">
        <f t="shared" si="23"/>
        <v>11.260968747623755</v>
      </c>
    </row>
    <row r="328" spans="1:26" hidden="1" x14ac:dyDescent="0.25">
      <c r="A328" t="s">
        <v>106</v>
      </c>
      <c r="B328">
        <v>3</v>
      </c>
      <c r="C328">
        <v>3</v>
      </c>
      <c r="D328">
        <v>0</v>
      </c>
      <c r="E328" t="s">
        <v>163</v>
      </c>
      <c r="F328">
        <v>100970</v>
      </c>
      <c r="G328">
        <v>301641866.66666669</v>
      </c>
      <c r="H328">
        <v>0.96839506096310091</v>
      </c>
      <c r="I328">
        <v>0.96049382716049381</v>
      </c>
      <c r="J328">
        <v>28695942.777777776</v>
      </c>
      <c r="K328">
        <v>178370</v>
      </c>
      <c r="L328">
        <v>2</v>
      </c>
      <c r="M328">
        <v>280</v>
      </c>
      <c r="N328">
        <v>0.96271604938271604</v>
      </c>
      <c r="O328">
        <v>30011721</v>
      </c>
      <c r="P328">
        <v>179569</v>
      </c>
      <c r="Q328">
        <v>2</v>
      </c>
      <c r="R328">
        <v>281</v>
      </c>
      <c r="S328">
        <v>11.340079817559863</v>
      </c>
      <c r="T328">
        <v>0.97175925970077515</v>
      </c>
      <c r="W328">
        <f t="shared" si="20"/>
        <v>178370</v>
      </c>
      <c r="X328">
        <f t="shared" si="21"/>
        <v>0.96839506096310091</v>
      </c>
      <c r="Y328">
        <f t="shared" si="22"/>
        <v>0.97175925970077515</v>
      </c>
      <c r="Z328">
        <f t="shared" si="23"/>
        <v>11.340079817559863</v>
      </c>
    </row>
    <row r="329" spans="1:26" hidden="1" x14ac:dyDescent="0.25">
      <c r="A329" t="s">
        <v>106</v>
      </c>
      <c r="B329">
        <v>3</v>
      </c>
      <c r="C329">
        <v>4</v>
      </c>
      <c r="D329">
        <v>0</v>
      </c>
      <c r="E329" t="s">
        <v>151</v>
      </c>
      <c r="F329">
        <v>94386</v>
      </c>
      <c r="G329">
        <v>105029464.33333333</v>
      </c>
      <c r="H329">
        <v>0.95259260137875879</v>
      </c>
      <c r="I329">
        <v>0.95555555555555549</v>
      </c>
      <c r="J329">
        <v>18825602.5</v>
      </c>
      <c r="K329">
        <v>178370</v>
      </c>
      <c r="L329">
        <v>2</v>
      </c>
      <c r="M329">
        <v>280</v>
      </c>
      <c r="N329">
        <v>0.95148148148148148</v>
      </c>
      <c r="O329">
        <v>18709775.333333332</v>
      </c>
      <c r="P329">
        <v>179569</v>
      </c>
      <c r="Q329">
        <v>2</v>
      </c>
      <c r="R329">
        <v>281</v>
      </c>
      <c r="S329">
        <v>11.405687753917586</v>
      </c>
      <c r="T329">
        <v>0.97481482028961186</v>
      </c>
      <c r="W329">
        <f t="shared" si="20"/>
        <v>178370</v>
      </c>
      <c r="X329">
        <f t="shared" si="21"/>
        <v>0.95259260137875879</v>
      </c>
      <c r="Y329">
        <f t="shared" si="22"/>
        <v>0.97481482028961186</v>
      </c>
      <c r="Z329">
        <f t="shared" si="23"/>
        <v>11.405687753917586</v>
      </c>
    </row>
    <row r="330" spans="1:26" hidden="1" x14ac:dyDescent="0.25">
      <c r="A330" t="s">
        <v>106</v>
      </c>
      <c r="B330">
        <v>5</v>
      </c>
      <c r="C330">
        <v>2</v>
      </c>
      <c r="D330">
        <v>0</v>
      </c>
      <c r="E330" t="s">
        <v>290</v>
      </c>
      <c r="F330">
        <v>178761</v>
      </c>
      <c r="G330">
        <v>489565491.4285714</v>
      </c>
      <c r="H330">
        <v>0.96571429286684307</v>
      </c>
      <c r="I330">
        <v>0.96</v>
      </c>
      <c r="J330">
        <v>29300447.571428571</v>
      </c>
      <c r="K330">
        <v>178370</v>
      </c>
      <c r="L330">
        <v>2</v>
      </c>
      <c r="M330">
        <v>280</v>
      </c>
      <c r="N330">
        <v>0.95809523809523811</v>
      </c>
      <c r="O330">
        <v>29549959.571428571</v>
      </c>
      <c r="P330">
        <v>179569</v>
      </c>
      <c r="Q330">
        <v>2</v>
      </c>
      <c r="R330">
        <v>281</v>
      </c>
      <c r="S330">
        <v>11.486139920799548</v>
      </c>
      <c r="T330">
        <v>0.96358025074005127</v>
      </c>
      <c r="W330">
        <f t="shared" si="20"/>
        <v>178370</v>
      </c>
      <c r="X330">
        <f t="shared" si="21"/>
        <v>0.96571429286684307</v>
      </c>
      <c r="Y330">
        <f t="shared" si="22"/>
        <v>0.96358025074005127</v>
      </c>
      <c r="Z330">
        <f t="shared" si="23"/>
        <v>11.486139920799548</v>
      </c>
    </row>
    <row r="331" spans="1:26" hidden="1" x14ac:dyDescent="0.25">
      <c r="A331" t="s">
        <v>106</v>
      </c>
      <c r="B331">
        <v>5</v>
      </c>
      <c r="C331">
        <v>3</v>
      </c>
      <c r="D331">
        <v>0</v>
      </c>
      <c r="E331" t="s">
        <v>263</v>
      </c>
      <c r="F331">
        <v>179109</v>
      </c>
      <c r="G331">
        <v>486970463.4285714</v>
      </c>
      <c r="H331">
        <v>0.96158729280744282</v>
      </c>
      <c r="I331">
        <v>0.9663492063492064</v>
      </c>
      <c r="J331">
        <v>31668170.714285713</v>
      </c>
      <c r="K331">
        <v>178370</v>
      </c>
      <c r="L331">
        <v>2</v>
      </c>
      <c r="M331">
        <v>280</v>
      </c>
      <c r="N331">
        <v>0.96380952380952378</v>
      </c>
      <c r="O331">
        <v>31361509</v>
      </c>
      <c r="P331">
        <v>179569</v>
      </c>
      <c r="Q331">
        <v>2</v>
      </c>
      <c r="R331">
        <v>281</v>
      </c>
      <c r="S331">
        <v>11.540244129128199</v>
      </c>
      <c r="T331">
        <v>0.96049383282661438</v>
      </c>
      <c r="W331">
        <f t="shared" si="20"/>
        <v>178370</v>
      </c>
      <c r="X331">
        <f t="shared" si="21"/>
        <v>0.96158729280744282</v>
      </c>
      <c r="Y331">
        <f t="shared" si="22"/>
        <v>0.96049383282661438</v>
      </c>
      <c r="Z331">
        <f t="shared" si="23"/>
        <v>11.540244129128199</v>
      </c>
    </row>
    <row r="332" spans="1:26" x14ac:dyDescent="0.25">
      <c r="A332" t="s">
        <v>106</v>
      </c>
      <c r="B332">
        <v>3</v>
      </c>
      <c r="C332">
        <v>2</v>
      </c>
      <c r="D332">
        <v>0</v>
      </c>
      <c r="E332" t="s">
        <v>178</v>
      </c>
      <c r="F332">
        <v>110602</v>
      </c>
      <c r="G332">
        <v>393265630.9375</v>
      </c>
      <c r="H332">
        <v>0.97847221419215202</v>
      </c>
      <c r="I332">
        <v>0.9655555555555555</v>
      </c>
      <c r="J332">
        <v>24493372.125</v>
      </c>
      <c r="K332">
        <v>179569</v>
      </c>
      <c r="L332">
        <v>2</v>
      </c>
      <c r="M332">
        <v>281</v>
      </c>
      <c r="N332">
        <v>0.96819444444444447</v>
      </c>
      <c r="O332">
        <v>25852443.375</v>
      </c>
      <c r="P332">
        <v>180772</v>
      </c>
      <c r="Q332">
        <v>2</v>
      </c>
      <c r="R332">
        <v>282</v>
      </c>
      <c r="S332">
        <v>11.264297106402369</v>
      </c>
      <c r="T332">
        <v>0.97283950646718342</v>
      </c>
      <c r="W332">
        <f t="shared" si="20"/>
        <v>179569</v>
      </c>
      <c r="X332">
        <f t="shared" si="21"/>
        <v>0.97847221419215202</v>
      </c>
      <c r="Y332">
        <f t="shared" si="22"/>
        <v>0.97283950646718342</v>
      </c>
      <c r="Z332">
        <f t="shared" si="23"/>
        <v>11.264297106402369</v>
      </c>
    </row>
    <row r="333" spans="1:26" hidden="1" x14ac:dyDescent="0.25">
      <c r="A333" t="s">
        <v>106</v>
      </c>
      <c r="B333">
        <v>3</v>
      </c>
      <c r="C333">
        <v>3</v>
      </c>
      <c r="D333">
        <v>0</v>
      </c>
      <c r="E333" t="s">
        <v>188</v>
      </c>
      <c r="F333">
        <v>101112</v>
      </c>
      <c r="G333">
        <v>302829538.39393938</v>
      </c>
      <c r="H333">
        <v>0.9691582484678789</v>
      </c>
      <c r="I333">
        <v>0.9553535353535354</v>
      </c>
      <c r="J333">
        <v>29545353.454545453</v>
      </c>
      <c r="K333">
        <v>179569</v>
      </c>
      <c r="L333">
        <v>2</v>
      </c>
      <c r="M333">
        <v>281</v>
      </c>
      <c r="N333">
        <v>0.95609427609427611</v>
      </c>
      <c r="O333">
        <v>30509323.181818184</v>
      </c>
      <c r="P333">
        <v>180772</v>
      </c>
      <c r="Q333">
        <v>2</v>
      </c>
      <c r="R333">
        <v>282</v>
      </c>
      <c r="S333">
        <v>11.342125844294348</v>
      </c>
      <c r="T333">
        <v>0.97789351083338261</v>
      </c>
      <c r="W333">
        <f t="shared" si="20"/>
        <v>179569</v>
      </c>
      <c r="X333">
        <f t="shared" si="21"/>
        <v>0.9691582484678789</v>
      </c>
      <c r="Y333">
        <f t="shared" si="22"/>
        <v>0.97789351083338261</v>
      </c>
      <c r="Z333">
        <f t="shared" si="23"/>
        <v>11.342125844294348</v>
      </c>
    </row>
    <row r="334" spans="1:26" hidden="1" x14ac:dyDescent="0.25">
      <c r="A334" t="s">
        <v>106</v>
      </c>
      <c r="B334">
        <v>3</v>
      </c>
      <c r="C334">
        <v>4</v>
      </c>
      <c r="D334">
        <v>0</v>
      </c>
      <c r="E334" t="s">
        <v>121</v>
      </c>
      <c r="F334">
        <v>94858</v>
      </c>
      <c r="G334">
        <v>217756070.63636363</v>
      </c>
      <c r="H334">
        <v>0.95111112161116163</v>
      </c>
      <c r="I334">
        <v>0.96323232323232322</v>
      </c>
      <c r="J334">
        <v>22769795.454545453</v>
      </c>
      <c r="K334">
        <v>179569</v>
      </c>
      <c r="L334">
        <v>2</v>
      </c>
      <c r="M334">
        <v>281</v>
      </c>
      <c r="N334">
        <v>0.95616161616161621</v>
      </c>
      <c r="O334">
        <v>21883952</v>
      </c>
      <c r="P334">
        <v>180772</v>
      </c>
      <c r="Q334">
        <v>2</v>
      </c>
      <c r="R334">
        <v>282</v>
      </c>
      <c r="S334">
        <v>11.406753447609228</v>
      </c>
      <c r="T334">
        <v>0.96333333253860476</v>
      </c>
      <c r="W334">
        <f t="shared" si="20"/>
        <v>179569</v>
      </c>
      <c r="X334">
        <f t="shared" si="21"/>
        <v>0.95111112161116163</v>
      </c>
      <c r="Y334">
        <f t="shared" si="22"/>
        <v>0.96333333253860476</v>
      </c>
      <c r="Z334">
        <f t="shared" si="23"/>
        <v>11.406753447609228</v>
      </c>
    </row>
    <row r="335" spans="1:26" hidden="1" x14ac:dyDescent="0.25">
      <c r="A335" t="s">
        <v>106</v>
      </c>
      <c r="B335">
        <v>5</v>
      </c>
      <c r="C335">
        <v>2</v>
      </c>
      <c r="D335">
        <v>0</v>
      </c>
      <c r="E335" t="s">
        <v>224</v>
      </c>
      <c r="F335">
        <v>180174</v>
      </c>
      <c r="G335">
        <v>515667167</v>
      </c>
      <c r="H335">
        <v>0.96333333849906921</v>
      </c>
      <c r="I335">
        <v>0.96444444444444444</v>
      </c>
      <c r="J335">
        <v>31506019.5</v>
      </c>
      <c r="K335">
        <v>179569</v>
      </c>
      <c r="L335">
        <v>2</v>
      </c>
      <c r="M335">
        <v>281</v>
      </c>
      <c r="N335">
        <v>0.9555555555555556</v>
      </c>
      <c r="O335">
        <v>32486159.25</v>
      </c>
      <c r="P335">
        <v>180772</v>
      </c>
      <c r="Q335">
        <v>2</v>
      </c>
      <c r="R335">
        <v>282</v>
      </c>
      <c r="S335">
        <v>11.487211713693206</v>
      </c>
      <c r="T335">
        <v>0.96913580099741614</v>
      </c>
      <c r="W335">
        <f t="shared" si="20"/>
        <v>179569</v>
      </c>
      <c r="X335">
        <f t="shared" si="21"/>
        <v>0.96333333849906921</v>
      </c>
      <c r="Y335">
        <f t="shared" si="22"/>
        <v>0.96913580099741614</v>
      </c>
      <c r="Z335">
        <f t="shared" si="23"/>
        <v>11.487211713693206</v>
      </c>
    </row>
    <row r="336" spans="1:26" hidden="1" x14ac:dyDescent="0.25">
      <c r="A336" t="s">
        <v>106</v>
      </c>
      <c r="B336">
        <v>5</v>
      </c>
      <c r="C336">
        <v>3</v>
      </c>
      <c r="D336">
        <v>0</v>
      </c>
      <c r="E336" t="s">
        <v>281</v>
      </c>
      <c r="F336">
        <v>180149</v>
      </c>
      <c r="G336">
        <v>469295276.75</v>
      </c>
      <c r="H336">
        <v>0.96388888359069824</v>
      </c>
      <c r="I336">
        <v>0.95500000000000007</v>
      </c>
      <c r="J336">
        <v>30838052.5</v>
      </c>
      <c r="K336">
        <v>179569</v>
      </c>
      <c r="L336">
        <v>2</v>
      </c>
      <c r="M336">
        <v>281</v>
      </c>
      <c r="N336">
        <v>0.94944444444444442</v>
      </c>
      <c r="O336">
        <v>31018699</v>
      </c>
      <c r="P336">
        <v>180772</v>
      </c>
      <c r="Q336">
        <v>2</v>
      </c>
      <c r="R336">
        <v>282</v>
      </c>
      <c r="S336">
        <v>11.54103945982779</v>
      </c>
      <c r="T336">
        <v>0.97901235024134314</v>
      </c>
      <c r="W336">
        <f t="shared" si="20"/>
        <v>179569</v>
      </c>
      <c r="X336">
        <f t="shared" si="21"/>
        <v>0.96388888359069824</v>
      </c>
      <c r="Y336">
        <f t="shared" si="22"/>
        <v>0.97901235024134314</v>
      </c>
      <c r="Z336">
        <f t="shared" si="23"/>
        <v>11.54103945982779</v>
      </c>
    </row>
    <row r="337" spans="1:26" hidden="1" x14ac:dyDescent="0.25">
      <c r="A337" t="s">
        <v>106</v>
      </c>
      <c r="B337">
        <v>9</v>
      </c>
      <c r="C337">
        <v>2</v>
      </c>
      <c r="D337">
        <v>0</v>
      </c>
      <c r="E337" t="s">
        <v>121</v>
      </c>
      <c r="F337">
        <v>180106</v>
      </c>
      <c r="G337">
        <v>486278974.5</v>
      </c>
      <c r="H337">
        <v>0.86444444954395294</v>
      </c>
      <c r="I337">
        <v>0.96611111111111114</v>
      </c>
      <c r="J337">
        <v>30246944.75</v>
      </c>
      <c r="K337">
        <v>179569</v>
      </c>
      <c r="L337">
        <v>2</v>
      </c>
      <c r="M337">
        <v>281</v>
      </c>
      <c r="N337">
        <v>0.96388888888888891</v>
      </c>
      <c r="O337">
        <v>28538388.25</v>
      </c>
      <c r="P337">
        <v>180772</v>
      </c>
      <c r="Q337">
        <v>2</v>
      </c>
      <c r="R337">
        <v>282</v>
      </c>
      <c r="S337">
        <v>11.721352499563523</v>
      </c>
      <c r="T337">
        <v>0.89876542488733924</v>
      </c>
      <c r="W337">
        <f t="shared" si="20"/>
        <v>179569</v>
      </c>
      <c r="X337">
        <f t="shared" si="21"/>
        <v>0.86444444954395294</v>
      </c>
      <c r="Y337">
        <f t="shared" si="22"/>
        <v>0.89876542488733924</v>
      </c>
      <c r="Z337">
        <f t="shared" si="23"/>
        <v>11.721352499563523</v>
      </c>
    </row>
    <row r="338" spans="1:26" x14ac:dyDescent="0.25">
      <c r="A338" t="s">
        <v>106</v>
      </c>
      <c r="B338">
        <v>3</v>
      </c>
      <c r="C338">
        <v>2</v>
      </c>
      <c r="D338">
        <v>0</v>
      </c>
      <c r="E338" t="s">
        <v>179</v>
      </c>
      <c r="F338">
        <v>111820</v>
      </c>
      <c r="G338">
        <v>465072507.45454544</v>
      </c>
      <c r="H338">
        <v>0.97858586094596167</v>
      </c>
      <c r="I338">
        <v>0.97131313131313135</v>
      </c>
      <c r="J338">
        <v>29280134.90909091</v>
      </c>
      <c r="K338">
        <v>180772</v>
      </c>
      <c r="L338">
        <v>2</v>
      </c>
      <c r="M338">
        <v>282</v>
      </c>
      <c r="N338">
        <v>0.97191919191919196</v>
      </c>
      <c r="O338">
        <v>29454650.90909091</v>
      </c>
      <c r="P338">
        <v>181979</v>
      </c>
      <c r="Q338">
        <v>2</v>
      </c>
      <c r="R338">
        <v>283</v>
      </c>
      <c r="S338">
        <v>11.265594172105024</v>
      </c>
      <c r="T338">
        <v>0.97666666507720945</v>
      </c>
      <c r="W338">
        <f t="shared" si="20"/>
        <v>180772</v>
      </c>
      <c r="X338">
        <f t="shared" si="21"/>
        <v>0.97858586094596167</v>
      </c>
      <c r="Y338">
        <f t="shared" si="22"/>
        <v>0.97666666507720945</v>
      </c>
      <c r="Z338">
        <f t="shared" si="23"/>
        <v>11.265594172105024</v>
      </c>
    </row>
    <row r="339" spans="1:26" hidden="1" x14ac:dyDescent="0.25">
      <c r="A339" t="s">
        <v>106</v>
      </c>
      <c r="B339">
        <v>3</v>
      </c>
      <c r="C339">
        <v>3</v>
      </c>
      <c r="D339">
        <v>0</v>
      </c>
      <c r="E339" t="s">
        <v>164</v>
      </c>
      <c r="F339">
        <v>102304</v>
      </c>
      <c r="G339">
        <v>286537916.5</v>
      </c>
      <c r="H339">
        <v>0.97101010517640551</v>
      </c>
      <c r="I339">
        <v>0.96</v>
      </c>
      <c r="J339">
        <v>28844627.727272727</v>
      </c>
      <c r="K339">
        <v>180772</v>
      </c>
      <c r="L339">
        <v>2</v>
      </c>
      <c r="M339">
        <v>282</v>
      </c>
      <c r="N339">
        <v>0.96010101010101012</v>
      </c>
      <c r="O339">
        <v>29041122.727272727</v>
      </c>
      <c r="P339">
        <v>181979</v>
      </c>
      <c r="Q339">
        <v>2</v>
      </c>
      <c r="R339">
        <v>283</v>
      </c>
      <c r="S339">
        <v>11.3430112870022</v>
      </c>
      <c r="T339">
        <v>0.97442680881136945</v>
      </c>
      <c r="W339">
        <f t="shared" si="20"/>
        <v>180772</v>
      </c>
      <c r="X339">
        <f t="shared" si="21"/>
        <v>0.97101010517640551</v>
      </c>
      <c r="Y339">
        <f t="shared" si="22"/>
        <v>0.97442680881136945</v>
      </c>
      <c r="Z339">
        <f t="shared" si="23"/>
        <v>11.3430112870022</v>
      </c>
    </row>
    <row r="340" spans="1:26" hidden="1" x14ac:dyDescent="0.25">
      <c r="A340" t="s">
        <v>106</v>
      </c>
      <c r="B340">
        <v>3</v>
      </c>
      <c r="C340">
        <v>4</v>
      </c>
      <c r="D340">
        <v>0</v>
      </c>
      <c r="E340" t="s">
        <v>183</v>
      </c>
      <c r="F340">
        <v>95586</v>
      </c>
      <c r="G340">
        <v>165437269.66666666</v>
      </c>
      <c r="H340">
        <v>0.95851853489875793</v>
      </c>
      <c r="I340">
        <v>0.95925925925925926</v>
      </c>
      <c r="J340">
        <v>20001213.5</v>
      </c>
      <c r="K340">
        <v>180772</v>
      </c>
      <c r="L340">
        <v>2</v>
      </c>
      <c r="M340">
        <v>282</v>
      </c>
      <c r="N340">
        <v>0.95629629629629631</v>
      </c>
      <c r="O340">
        <v>21272104.333333332</v>
      </c>
      <c r="P340">
        <v>181979</v>
      </c>
      <c r="Q340">
        <v>2</v>
      </c>
      <c r="R340">
        <v>283</v>
      </c>
      <c r="S340">
        <v>11.405952074207679</v>
      </c>
      <c r="T340">
        <v>0.97481480836868284</v>
      </c>
      <c r="W340">
        <f t="shared" si="20"/>
        <v>180772</v>
      </c>
      <c r="X340">
        <f t="shared" si="21"/>
        <v>0.95851853489875793</v>
      </c>
      <c r="Y340">
        <f t="shared" si="22"/>
        <v>0.97481480836868284</v>
      </c>
      <c r="Z340">
        <f t="shared" si="23"/>
        <v>11.405952074207679</v>
      </c>
    </row>
    <row r="341" spans="1:26" hidden="1" x14ac:dyDescent="0.25">
      <c r="A341" t="s">
        <v>106</v>
      </c>
      <c r="B341">
        <v>5</v>
      </c>
      <c r="C341">
        <v>2</v>
      </c>
      <c r="D341">
        <v>0</v>
      </c>
      <c r="E341" t="s">
        <v>277</v>
      </c>
      <c r="F341">
        <v>181287</v>
      </c>
      <c r="G341">
        <v>510761522.75</v>
      </c>
      <c r="H341">
        <v>0.96722221374511719</v>
      </c>
      <c r="I341">
        <v>0.95944444444444443</v>
      </c>
      <c r="J341">
        <v>29728916.5</v>
      </c>
      <c r="K341">
        <v>180772</v>
      </c>
      <c r="L341">
        <v>2</v>
      </c>
      <c r="M341">
        <v>282</v>
      </c>
      <c r="N341">
        <v>0.95611111111111113</v>
      </c>
      <c r="O341">
        <v>31026020.75</v>
      </c>
      <c r="P341">
        <v>181979</v>
      </c>
      <c r="Q341">
        <v>2</v>
      </c>
      <c r="R341">
        <v>283</v>
      </c>
      <c r="S341">
        <v>11.488220141986556</v>
      </c>
      <c r="T341">
        <v>0.96790122985839844</v>
      </c>
      <c r="W341">
        <f t="shared" si="20"/>
        <v>180772</v>
      </c>
      <c r="X341">
        <f t="shared" si="21"/>
        <v>0.96722221374511719</v>
      </c>
      <c r="Y341">
        <f t="shared" si="22"/>
        <v>0.96790122985839844</v>
      </c>
      <c r="Z341">
        <f t="shared" si="23"/>
        <v>11.488220141986556</v>
      </c>
    </row>
    <row r="342" spans="1:26" hidden="1" x14ac:dyDescent="0.25">
      <c r="A342" t="s">
        <v>106</v>
      </c>
      <c r="B342">
        <v>9</v>
      </c>
      <c r="C342">
        <v>4</v>
      </c>
      <c r="D342">
        <v>0</v>
      </c>
      <c r="E342" t="s">
        <v>253</v>
      </c>
      <c r="F342">
        <v>181408</v>
      </c>
      <c r="G342">
        <v>344041414.25</v>
      </c>
      <c r="H342">
        <v>0.94055555760860443</v>
      </c>
      <c r="I342">
        <v>0.94722222222222219</v>
      </c>
      <c r="J342">
        <v>30718444</v>
      </c>
      <c r="K342">
        <v>180772</v>
      </c>
      <c r="L342">
        <v>2</v>
      </c>
      <c r="M342">
        <v>282</v>
      </c>
      <c r="N342">
        <v>0.95166666666666666</v>
      </c>
      <c r="O342">
        <v>30551987.75</v>
      </c>
      <c r="P342">
        <v>181979</v>
      </c>
      <c r="Q342">
        <v>2</v>
      </c>
      <c r="R342">
        <v>283</v>
      </c>
      <c r="S342">
        <v>12.15152362314789</v>
      </c>
      <c r="T342">
        <v>0.96299999999999997</v>
      </c>
      <c r="W342">
        <f t="shared" si="20"/>
        <v>180772</v>
      </c>
      <c r="X342">
        <f t="shared" si="21"/>
        <v>0.94055555760860443</v>
      </c>
      <c r="Y342">
        <f t="shared" si="22"/>
        <v>0.96299999999999997</v>
      </c>
      <c r="Z342">
        <f t="shared" si="23"/>
        <v>12.15152362314789</v>
      </c>
    </row>
    <row r="343" spans="1:26" x14ac:dyDescent="0.25">
      <c r="A343" t="s">
        <v>106</v>
      </c>
      <c r="B343">
        <v>3</v>
      </c>
      <c r="C343">
        <v>2</v>
      </c>
      <c r="D343">
        <v>0</v>
      </c>
      <c r="E343" t="s">
        <v>198</v>
      </c>
      <c r="F343">
        <v>112394</v>
      </c>
      <c r="G343">
        <v>390764051.0625</v>
      </c>
      <c r="H343">
        <v>0.97847222536802292</v>
      </c>
      <c r="I343">
        <v>0.96166666666666667</v>
      </c>
      <c r="J343">
        <v>26399620.125</v>
      </c>
      <c r="K343">
        <v>181979</v>
      </c>
      <c r="L343">
        <v>2</v>
      </c>
      <c r="M343">
        <v>283</v>
      </c>
      <c r="N343">
        <v>0.96833333333333338</v>
      </c>
      <c r="O343">
        <v>25856017.1875</v>
      </c>
      <c r="P343">
        <v>183190</v>
      </c>
      <c r="Q343">
        <v>2</v>
      </c>
      <c r="R343">
        <v>284</v>
      </c>
      <c r="S343">
        <v>11.267697438229499</v>
      </c>
      <c r="T343">
        <v>0.97530863285064695</v>
      </c>
      <c r="W343">
        <f t="shared" si="20"/>
        <v>181979</v>
      </c>
      <c r="X343">
        <f t="shared" si="21"/>
        <v>0.97847222536802292</v>
      </c>
      <c r="Y343">
        <f t="shared" si="22"/>
        <v>0.97530863285064695</v>
      </c>
      <c r="Z343">
        <f t="shared" si="23"/>
        <v>11.267697438229499</v>
      </c>
    </row>
    <row r="344" spans="1:26" hidden="1" x14ac:dyDescent="0.25">
      <c r="A344" t="s">
        <v>106</v>
      </c>
      <c r="B344">
        <v>3</v>
      </c>
      <c r="C344">
        <v>3</v>
      </c>
      <c r="D344">
        <v>0</v>
      </c>
      <c r="E344" t="s">
        <v>189</v>
      </c>
      <c r="F344">
        <v>102482</v>
      </c>
      <c r="G344">
        <v>312995091.94444442</v>
      </c>
      <c r="H344">
        <v>0.97129629055658973</v>
      </c>
      <c r="I344">
        <v>0.95759259259259255</v>
      </c>
      <c r="J344">
        <v>30771423.305555556</v>
      </c>
      <c r="K344">
        <v>181979</v>
      </c>
      <c r="L344">
        <v>2</v>
      </c>
      <c r="M344">
        <v>283</v>
      </c>
      <c r="N344">
        <v>0.95919753086419757</v>
      </c>
      <c r="O344">
        <v>30242799.111111112</v>
      </c>
      <c r="P344">
        <v>183190</v>
      </c>
      <c r="Q344">
        <v>2</v>
      </c>
      <c r="R344">
        <v>284</v>
      </c>
      <c r="S344">
        <v>11.346172909438504</v>
      </c>
      <c r="T344">
        <v>0.97851851156779701</v>
      </c>
      <c r="W344">
        <f t="shared" si="20"/>
        <v>181979</v>
      </c>
      <c r="X344">
        <f t="shared" si="21"/>
        <v>0.97129629055658973</v>
      </c>
      <c r="Y344">
        <f t="shared" si="22"/>
        <v>0.97851851156779701</v>
      </c>
      <c r="Z344">
        <f t="shared" si="23"/>
        <v>11.346172909438504</v>
      </c>
    </row>
    <row r="345" spans="1:26" hidden="1" x14ac:dyDescent="0.25">
      <c r="A345" t="s">
        <v>106</v>
      </c>
      <c r="B345">
        <v>3</v>
      </c>
      <c r="C345">
        <v>4</v>
      </c>
      <c r="D345">
        <v>0</v>
      </c>
      <c r="E345" t="s">
        <v>122</v>
      </c>
      <c r="F345">
        <v>96340</v>
      </c>
      <c r="G345">
        <v>338515200</v>
      </c>
      <c r="H345">
        <v>0.96074073513348901</v>
      </c>
      <c r="I345">
        <v>0.96518518518518515</v>
      </c>
      <c r="J345">
        <v>27717255.833333332</v>
      </c>
      <c r="K345">
        <v>181979</v>
      </c>
      <c r="L345">
        <v>2</v>
      </c>
      <c r="M345">
        <v>283</v>
      </c>
      <c r="N345">
        <v>0.96</v>
      </c>
      <c r="O345">
        <v>26806839.666666668</v>
      </c>
      <c r="P345">
        <v>183190</v>
      </c>
      <c r="Q345">
        <v>2</v>
      </c>
      <c r="R345">
        <v>284</v>
      </c>
      <c r="S345">
        <v>11.406696716033483</v>
      </c>
      <c r="T345">
        <v>0.96962962150573728</v>
      </c>
      <c r="W345">
        <f t="shared" si="20"/>
        <v>181979</v>
      </c>
      <c r="X345">
        <f t="shared" si="21"/>
        <v>0.96074073513348901</v>
      </c>
      <c r="Y345">
        <f t="shared" si="22"/>
        <v>0.96962962150573728</v>
      </c>
      <c r="Z345">
        <f t="shared" si="23"/>
        <v>11.406696716033483</v>
      </c>
    </row>
    <row r="346" spans="1:26" hidden="1" x14ac:dyDescent="0.25">
      <c r="A346" t="s">
        <v>106</v>
      </c>
      <c r="B346">
        <v>5</v>
      </c>
      <c r="C346">
        <v>2</v>
      </c>
      <c r="D346">
        <v>0</v>
      </c>
      <c r="E346" t="s">
        <v>259</v>
      </c>
      <c r="F346">
        <v>182613</v>
      </c>
      <c r="G346">
        <v>551553143.5</v>
      </c>
      <c r="H346">
        <v>0.96388886868953705</v>
      </c>
      <c r="I346">
        <v>0.96055555555555561</v>
      </c>
      <c r="J346">
        <v>29797134.75</v>
      </c>
      <c r="K346">
        <v>181979</v>
      </c>
      <c r="L346">
        <v>2</v>
      </c>
      <c r="M346">
        <v>283</v>
      </c>
      <c r="N346">
        <v>0.95777777777777773</v>
      </c>
      <c r="O346">
        <v>29757475.75</v>
      </c>
      <c r="P346">
        <v>183190</v>
      </c>
      <c r="Q346">
        <v>2</v>
      </c>
      <c r="R346">
        <v>284</v>
      </c>
      <c r="S346">
        <v>11.489730544563784</v>
      </c>
      <c r="T346">
        <v>0.96790122985839844</v>
      </c>
      <c r="W346">
        <f t="shared" si="20"/>
        <v>181979</v>
      </c>
      <c r="X346">
        <f t="shared" si="21"/>
        <v>0.96388886868953705</v>
      </c>
      <c r="Y346">
        <f t="shared" si="22"/>
        <v>0.96790122985839844</v>
      </c>
      <c r="Z346">
        <f t="shared" si="23"/>
        <v>11.489730544563784</v>
      </c>
    </row>
    <row r="347" spans="1:26" hidden="1" x14ac:dyDescent="0.25">
      <c r="A347" t="s">
        <v>106</v>
      </c>
      <c r="B347">
        <v>5</v>
      </c>
      <c r="C347">
        <v>3</v>
      </c>
      <c r="D347">
        <v>0</v>
      </c>
      <c r="E347" t="s">
        <v>205</v>
      </c>
      <c r="F347">
        <v>182384</v>
      </c>
      <c r="G347">
        <v>479435688.5</v>
      </c>
      <c r="H347">
        <v>0.98277777433395386</v>
      </c>
      <c r="I347">
        <v>0.96888888888888891</v>
      </c>
      <c r="J347">
        <v>31089660.75</v>
      </c>
      <c r="K347">
        <v>181979</v>
      </c>
      <c r="L347">
        <v>2</v>
      </c>
      <c r="M347">
        <v>283</v>
      </c>
      <c r="N347">
        <v>0.96111111111111103</v>
      </c>
      <c r="O347">
        <v>31202198.5</v>
      </c>
      <c r="P347">
        <v>183190</v>
      </c>
      <c r="Q347">
        <v>2</v>
      </c>
      <c r="R347">
        <v>284</v>
      </c>
      <c r="S347">
        <v>11.542205982535455</v>
      </c>
      <c r="T347">
        <v>0.97037037213643396</v>
      </c>
      <c r="W347">
        <f t="shared" si="20"/>
        <v>181979</v>
      </c>
      <c r="X347">
        <f t="shared" si="21"/>
        <v>0.98277777433395386</v>
      </c>
      <c r="Y347">
        <f t="shared" si="22"/>
        <v>0.97037037213643396</v>
      </c>
      <c r="Z347">
        <f t="shared" si="23"/>
        <v>11.542205982535455</v>
      </c>
    </row>
    <row r="348" spans="1:26" hidden="1" x14ac:dyDescent="0.25">
      <c r="A348" t="s">
        <v>106</v>
      </c>
      <c r="B348">
        <v>5</v>
      </c>
      <c r="C348">
        <v>5</v>
      </c>
      <c r="D348">
        <v>0</v>
      </c>
      <c r="E348" t="s">
        <v>254</v>
      </c>
      <c r="F348">
        <v>183041</v>
      </c>
      <c r="G348">
        <v>250965016.5</v>
      </c>
      <c r="H348">
        <v>0.95444442331790924</v>
      </c>
      <c r="I348">
        <v>0.97555555555555551</v>
      </c>
      <c r="J348">
        <v>31547649.25</v>
      </c>
      <c r="K348">
        <v>181979</v>
      </c>
      <c r="L348">
        <v>2</v>
      </c>
      <c r="M348">
        <v>283</v>
      </c>
      <c r="N348">
        <v>0.98055555555555562</v>
      </c>
      <c r="O348">
        <v>31310254.5</v>
      </c>
      <c r="P348">
        <v>183190</v>
      </c>
      <c r="Q348">
        <v>2</v>
      </c>
      <c r="R348">
        <v>284</v>
      </c>
      <c r="S348">
        <v>11.613463950779524</v>
      </c>
      <c r="T348">
        <v>0.95802468061447144</v>
      </c>
      <c r="W348">
        <f t="shared" si="20"/>
        <v>181979</v>
      </c>
      <c r="X348">
        <f t="shared" si="21"/>
        <v>0.95444442331790924</v>
      </c>
      <c r="Y348">
        <f t="shared" si="22"/>
        <v>0.95802468061447144</v>
      </c>
      <c r="Z348">
        <f t="shared" si="23"/>
        <v>11.613463950779524</v>
      </c>
    </row>
    <row r="349" spans="1:26" hidden="1" x14ac:dyDescent="0.25">
      <c r="A349" t="s">
        <v>106</v>
      </c>
      <c r="B349">
        <v>9</v>
      </c>
      <c r="C349">
        <v>2</v>
      </c>
      <c r="D349">
        <v>0</v>
      </c>
      <c r="E349" t="s">
        <v>152</v>
      </c>
      <c r="F349">
        <v>182016</v>
      </c>
      <c r="G349">
        <v>548036355.14285719</v>
      </c>
      <c r="H349">
        <v>0.91015873636518208</v>
      </c>
      <c r="I349">
        <v>0.96539682539682536</v>
      </c>
      <c r="J349">
        <v>29686797.857142858</v>
      </c>
      <c r="K349">
        <v>181979</v>
      </c>
      <c r="L349">
        <v>2</v>
      </c>
      <c r="M349">
        <v>283</v>
      </c>
      <c r="N349">
        <v>0.96539682539682536</v>
      </c>
      <c r="O349">
        <v>30644000.571428571</v>
      </c>
      <c r="P349">
        <v>183190</v>
      </c>
      <c r="Q349">
        <v>2</v>
      </c>
      <c r="R349">
        <v>284</v>
      </c>
      <c r="S349">
        <v>11.724840023269342</v>
      </c>
      <c r="T349">
        <v>0.92222222685813904</v>
      </c>
      <c r="W349">
        <f t="shared" si="20"/>
        <v>181979</v>
      </c>
      <c r="X349">
        <f t="shared" si="21"/>
        <v>0.91015873636518208</v>
      </c>
      <c r="Y349">
        <f t="shared" si="22"/>
        <v>0.92222222685813904</v>
      </c>
      <c r="Z349">
        <f t="shared" si="23"/>
        <v>11.724840023269342</v>
      </c>
    </row>
    <row r="350" spans="1:26" hidden="1" x14ac:dyDescent="0.25">
      <c r="A350" t="s">
        <v>106</v>
      </c>
      <c r="B350">
        <v>9</v>
      </c>
      <c r="C350">
        <v>5</v>
      </c>
      <c r="D350">
        <v>0</v>
      </c>
      <c r="E350" t="s">
        <v>248</v>
      </c>
      <c r="F350">
        <v>182434</v>
      </c>
      <c r="G350">
        <v>200258740.75</v>
      </c>
      <c r="H350">
        <v>0.90666666626930237</v>
      </c>
      <c r="I350">
        <v>0.9538888888888889</v>
      </c>
      <c r="J350">
        <v>29433436.75</v>
      </c>
      <c r="K350">
        <v>181979</v>
      </c>
      <c r="L350">
        <v>2</v>
      </c>
      <c r="M350">
        <v>283</v>
      </c>
      <c r="N350">
        <v>0.95666666666666667</v>
      </c>
      <c r="O350">
        <v>28601835</v>
      </c>
      <c r="P350">
        <v>183190</v>
      </c>
      <c r="Q350">
        <v>2</v>
      </c>
      <c r="R350">
        <v>284</v>
      </c>
      <c r="S350">
        <v>12.177559314586995</v>
      </c>
      <c r="T350">
        <v>0.92836666666666667</v>
      </c>
      <c r="W350">
        <f t="shared" si="20"/>
        <v>181979</v>
      </c>
      <c r="X350">
        <f t="shared" si="21"/>
        <v>0.90666666626930237</v>
      </c>
      <c r="Y350">
        <f t="shared" si="22"/>
        <v>0.92836666666666667</v>
      </c>
      <c r="Z350">
        <f t="shared" si="23"/>
        <v>12.177559314586995</v>
      </c>
    </row>
    <row r="351" spans="1:26" x14ac:dyDescent="0.25">
      <c r="A351" t="s">
        <v>106</v>
      </c>
      <c r="B351">
        <v>3</v>
      </c>
      <c r="C351">
        <v>2</v>
      </c>
      <c r="D351">
        <v>0</v>
      </c>
      <c r="E351" t="s">
        <v>213</v>
      </c>
      <c r="F351">
        <v>112840</v>
      </c>
      <c r="G351">
        <v>319500258.66666669</v>
      </c>
      <c r="H351">
        <v>0.98592590292294824</v>
      </c>
      <c r="I351">
        <v>0.97962962962962963</v>
      </c>
      <c r="J351">
        <v>19395521</v>
      </c>
      <c r="K351">
        <v>183190</v>
      </c>
      <c r="L351">
        <v>2</v>
      </c>
      <c r="M351">
        <v>284</v>
      </c>
      <c r="N351">
        <v>0.98074074074074069</v>
      </c>
      <c r="O351">
        <v>19867176.666666668</v>
      </c>
      <c r="P351">
        <v>184405</v>
      </c>
      <c r="Q351">
        <v>2</v>
      </c>
      <c r="R351">
        <v>285</v>
      </c>
      <c r="S351">
        <v>11.269621212121212</v>
      </c>
      <c r="T351">
        <v>0.98222222328186037</v>
      </c>
      <c r="W351">
        <f t="shared" si="20"/>
        <v>183190</v>
      </c>
      <c r="X351">
        <f t="shared" si="21"/>
        <v>0.98592590292294824</v>
      </c>
      <c r="Y351">
        <f t="shared" si="22"/>
        <v>0.98222222328186037</v>
      </c>
      <c r="Z351">
        <f t="shared" si="23"/>
        <v>11.269621212121212</v>
      </c>
    </row>
    <row r="352" spans="1:26" hidden="1" x14ac:dyDescent="0.25">
      <c r="A352" t="s">
        <v>106</v>
      </c>
      <c r="B352">
        <v>3</v>
      </c>
      <c r="C352">
        <v>3</v>
      </c>
      <c r="D352">
        <v>0</v>
      </c>
      <c r="E352" t="s">
        <v>132</v>
      </c>
      <c r="F352">
        <v>103638</v>
      </c>
      <c r="G352">
        <v>359926859.18181819</v>
      </c>
      <c r="H352">
        <v>0.96626262502236804</v>
      </c>
      <c r="I352">
        <v>0.95757575757575752</v>
      </c>
      <c r="J352">
        <v>29793067.227272727</v>
      </c>
      <c r="K352">
        <v>183190</v>
      </c>
      <c r="L352">
        <v>2</v>
      </c>
      <c r="M352">
        <v>284</v>
      </c>
      <c r="N352">
        <v>0.95737373737373732</v>
      </c>
      <c r="O352">
        <v>28807970.40909091</v>
      </c>
      <c r="P352">
        <v>184405</v>
      </c>
      <c r="Q352">
        <v>2</v>
      </c>
      <c r="R352">
        <v>285</v>
      </c>
      <c r="S352">
        <v>11.350512548603747</v>
      </c>
      <c r="T352">
        <v>0.97689593405950637</v>
      </c>
      <c r="W352">
        <f t="shared" si="20"/>
        <v>183190</v>
      </c>
      <c r="X352">
        <f t="shared" si="21"/>
        <v>0.96626262502236804</v>
      </c>
      <c r="Y352">
        <f t="shared" si="22"/>
        <v>0.97689593405950637</v>
      </c>
      <c r="Z352">
        <f t="shared" si="23"/>
        <v>11.350512548603747</v>
      </c>
    </row>
    <row r="353" spans="1:26" hidden="1" x14ac:dyDescent="0.25">
      <c r="A353" t="s">
        <v>106</v>
      </c>
      <c r="B353">
        <v>3</v>
      </c>
      <c r="C353">
        <v>4</v>
      </c>
      <c r="D353">
        <v>0</v>
      </c>
      <c r="E353" t="s">
        <v>184</v>
      </c>
      <c r="F353">
        <v>97108</v>
      </c>
      <c r="G353">
        <v>135560338.81818181</v>
      </c>
      <c r="H353">
        <v>0.95191918719898572</v>
      </c>
      <c r="I353">
        <v>0.96323232323232322</v>
      </c>
      <c r="J353">
        <v>20464973.09090909</v>
      </c>
      <c r="K353">
        <v>183190</v>
      </c>
      <c r="L353">
        <v>2</v>
      </c>
      <c r="M353">
        <v>284</v>
      </c>
      <c r="N353">
        <v>0.95252525252525255</v>
      </c>
      <c r="O353">
        <v>20297834.09090909</v>
      </c>
      <c r="P353">
        <v>184405</v>
      </c>
      <c r="Q353">
        <v>2</v>
      </c>
      <c r="R353">
        <v>285</v>
      </c>
      <c r="S353">
        <v>11.406473199922784</v>
      </c>
      <c r="T353">
        <v>0.9696296334266663</v>
      </c>
      <c r="W353">
        <f t="shared" si="20"/>
        <v>183190</v>
      </c>
      <c r="X353">
        <f t="shared" si="21"/>
        <v>0.95191918719898572</v>
      </c>
      <c r="Y353">
        <f t="shared" si="22"/>
        <v>0.9696296334266663</v>
      </c>
      <c r="Z353">
        <f t="shared" si="23"/>
        <v>11.406473199922784</v>
      </c>
    </row>
    <row r="354" spans="1:26" hidden="1" x14ac:dyDescent="0.25">
      <c r="A354" t="s">
        <v>106</v>
      </c>
      <c r="B354">
        <v>5</v>
      </c>
      <c r="C354">
        <v>3</v>
      </c>
      <c r="D354">
        <v>0</v>
      </c>
      <c r="E354" t="s">
        <v>269</v>
      </c>
      <c r="F354">
        <v>184259</v>
      </c>
      <c r="G354">
        <v>443111338</v>
      </c>
      <c r="H354">
        <v>0.9677777886390686</v>
      </c>
      <c r="I354">
        <v>0.96499999999999997</v>
      </c>
      <c r="J354">
        <v>31065462.75</v>
      </c>
      <c r="K354">
        <v>183190</v>
      </c>
      <c r="L354">
        <v>2</v>
      </c>
      <c r="M354">
        <v>284</v>
      </c>
      <c r="N354">
        <v>0.96388888888888891</v>
      </c>
      <c r="O354">
        <v>31548285.25</v>
      </c>
      <c r="P354">
        <v>184405</v>
      </c>
      <c r="Q354">
        <v>2</v>
      </c>
      <c r="R354">
        <v>285</v>
      </c>
      <c r="S354">
        <v>11.542876602067983</v>
      </c>
      <c r="T354">
        <v>0.96172841389973962</v>
      </c>
      <c r="W354">
        <f t="shared" si="20"/>
        <v>183190</v>
      </c>
      <c r="X354">
        <f t="shared" si="21"/>
        <v>0.9677777886390686</v>
      </c>
      <c r="Y354">
        <f t="shared" si="22"/>
        <v>0.96172841389973962</v>
      </c>
      <c r="Z354">
        <f t="shared" si="23"/>
        <v>11.542876602067983</v>
      </c>
    </row>
    <row r="355" spans="1:26" hidden="1" x14ac:dyDescent="0.25">
      <c r="A355" t="s">
        <v>106</v>
      </c>
      <c r="B355">
        <v>5</v>
      </c>
      <c r="C355">
        <v>4</v>
      </c>
      <c r="D355">
        <v>0</v>
      </c>
      <c r="E355" t="s">
        <v>116</v>
      </c>
      <c r="F355">
        <v>183500</v>
      </c>
      <c r="G355">
        <v>202471875</v>
      </c>
      <c r="H355">
        <v>0.96166665852069855</v>
      </c>
      <c r="I355">
        <v>0.97</v>
      </c>
      <c r="J355">
        <v>30461550</v>
      </c>
      <c r="K355">
        <v>183190</v>
      </c>
      <c r="L355">
        <v>2</v>
      </c>
      <c r="M355">
        <v>284</v>
      </c>
      <c r="N355">
        <v>0.97222222222222221</v>
      </c>
      <c r="O355">
        <v>31155866.75</v>
      </c>
      <c r="P355">
        <v>184405</v>
      </c>
      <c r="Q355">
        <v>2</v>
      </c>
      <c r="R355">
        <v>285</v>
      </c>
      <c r="S355">
        <v>11.577056567009681</v>
      </c>
      <c r="T355">
        <v>0.96913578112920129</v>
      </c>
      <c r="W355">
        <f t="shared" si="20"/>
        <v>183190</v>
      </c>
      <c r="X355">
        <f t="shared" si="21"/>
        <v>0.96166665852069855</v>
      </c>
      <c r="Y355">
        <f t="shared" si="22"/>
        <v>0.96913578112920129</v>
      </c>
      <c r="Z355">
        <f t="shared" si="23"/>
        <v>11.577056567009681</v>
      </c>
    </row>
    <row r="356" spans="1:26" hidden="1" x14ac:dyDescent="0.25">
      <c r="A356" t="s">
        <v>106</v>
      </c>
      <c r="B356">
        <v>9</v>
      </c>
      <c r="C356">
        <v>3</v>
      </c>
      <c r="D356">
        <v>0</v>
      </c>
      <c r="E356" t="s">
        <v>255</v>
      </c>
      <c r="F356">
        <v>184087</v>
      </c>
      <c r="G356">
        <v>306069265.75</v>
      </c>
      <c r="H356">
        <v>0.95055554807186127</v>
      </c>
      <c r="I356">
        <v>0.95500000000000007</v>
      </c>
      <c r="J356">
        <v>32389326.25</v>
      </c>
      <c r="K356">
        <v>183190</v>
      </c>
      <c r="L356">
        <v>2</v>
      </c>
      <c r="M356">
        <v>284</v>
      </c>
      <c r="N356">
        <v>0.9555555555555556</v>
      </c>
      <c r="O356">
        <v>32425172.25</v>
      </c>
      <c r="P356">
        <v>184405</v>
      </c>
      <c r="Q356">
        <v>2</v>
      </c>
      <c r="R356">
        <v>285</v>
      </c>
      <c r="S356">
        <v>11.917867764813543</v>
      </c>
      <c r="T356">
        <v>0.96666667858759558</v>
      </c>
      <c r="W356">
        <f t="shared" si="20"/>
        <v>183190</v>
      </c>
      <c r="X356">
        <f t="shared" si="21"/>
        <v>0.95055554807186127</v>
      </c>
      <c r="Y356">
        <f t="shared" si="22"/>
        <v>0.96666667858759558</v>
      </c>
      <c r="Z356">
        <f t="shared" si="23"/>
        <v>11.917867764813543</v>
      </c>
    </row>
    <row r="357" spans="1:26" x14ac:dyDescent="0.25">
      <c r="A357" t="s">
        <v>106</v>
      </c>
      <c r="B357">
        <v>3</v>
      </c>
      <c r="C357">
        <v>2</v>
      </c>
      <c r="D357">
        <v>0</v>
      </c>
      <c r="E357" t="s">
        <v>199</v>
      </c>
      <c r="F357">
        <v>113644</v>
      </c>
      <c r="G357">
        <v>316264058.63636363</v>
      </c>
      <c r="H357">
        <v>0.97858585552735766</v>
      </c>
      <c r="I357">
        <v>0.96141414141414139</v>
      </c>
      <c r="J357">
        <v>24413882.363636363</v>
      </c>
      <c r="K357">
        <v>184405</v>
      </c>
      <c r="L357">
        <v>2</v>
      </c>
      <c r="M357">
        <v>285</v>
      </c>
      <c r="N357">
        <v>0.96464646464646464</v>
      </c>
      <c r="O357">
        <v>23687843.727272727</v>
      </c>
      <c r="P357">
        <v>185624</v>
      </c>
      <c r="Q357">
        <v>2</v>
      </c>
      <c r="R357">
        <v>286</v>
      </c>
      <c r="S357">
        <v>11.271591855272122</v>
      </c>
      <c r="T357">
        <v>0.97370370030403142</v>
      </c>
      <c r="W357">
        <f t="shared" si="20"/>
        <v>184405</v>
      </c>
      <c r="X357">
        <f t="shared" si="21"/>
        <v>0.97858585552735766</v>
      </c>
      <c r="Y357">
        <f t="shared" si="22"/>
        <v>0.97370370030403142</v>
      </c>
      <c r="Z357">
        <f t="shared" si="23"/>
        <v>11.271591855272122</v>
      </c>
    </row>
    <row r="358" spans="1:26" hidden="1" x14ac:dyDescent="0.25">
      <c r="A358" t="s">
        <v>106</v>
      </c>
      <c r="B358">
        <v>3</v>
      </c>
      <c r="C358">
        <v>3</v>
      </c>
      <c r="D358">
        <v>0</v>
      </c>
      <c r="E358" t="s">
        <v>190</v>
      </c>
      <c r="F358">
        <v>103852</v>
      </c>
      <c r="G358">
        <v>319313919</v>
      </c>
      <c r="H358">
        <v>0.97100000083446503</v>
      </c>
      <c r="I358">
        <v>0.95777777777777773</v>
      </c>
      <c r="J358">
        <v>31887859.800000001</v>
      </c>
      <c r="K358">
        <v>184405</v>
      </c>
      <c r="L358">
        <v>2</v>
      </c>
      <c r="M358">
        <v>285</v>
      </c>
      <c r="N358">
        <v>0.95955555555555561</v>
      </c>
      <c r="O358">
        <v>31831358.649999999</v>
      </c>
      <c r="P358">
        <v>185624</v>
      </c>
      <c r="Q358">
        <v>2</v>
      </c>
      <c r="R358">
        <v>286</v>
      </c>
      <c r="S358">
        <v>11.352417931521355</v>
      </c>
      <c r="T358">
        <v>0.97914230509808187</v>
      </c>
      <c r="W358">
        <f t="shared" si="20"/>
        <v>184405</v>
      </c>
      <c r="X358">
        <f t="shared" si="21"/>
        <v>0.97100000083446503</v>
      </c>
      <c r="Y358">
        <f t="shared" si="22"/>
        <v>0.97914230509808187</v>
      </c>
      <c r="Z358">
        <f t="shared" si="23"/>
        <v>11.352417931521355</v>
      </c>
    </row>
    <row r="359" spans="1:26" hidden="1" x14ac:dyDescent="0.25">
      <c r="A359" t="s">
        <v>106</v>
      </c>
      <c r="B359">
        <v>3</v>
      </c>
      <c r="C359">
        <v>4</v>
      </c>
      <c r="D359">
        <v>0</v>
      </c>
      <c r="E359" t="s">
        <v>153</v>
      </c>
      <c r="F359">
        <v>97350</v>
      </c>
      <c r="G359">
        <v>324656949.16666669</v>
      </c>
      <c r="H359">
        <v>0.94074073433876038</v>
      </c>
      <c r="I359">
        <v>0.96259259259259256</v>
      </c>
      <c r="J359">
        <v>27042494</v>
      </c>
      <c r="K359">
        <v>184405</v>
      </c>
      <c r="L359">
        <v>2</v>
      </c>
      <c r="M359">
        <v>285</v>
      </c>
      <c r="N359">
        <v>0.96185185185185185</v>
      </c>
      <c r="O359">
        <v>28130588.833333332</v>
      </c>
      <c r="P359">
        <v>185624</v>
      </c>
      <c r="Q359">
        <v>2</v>
      </c>
      <c r="R359">
        <v>286</v>
      </c>
      <c r="S359">
        <v>11.407988679488005</v>
      </c>
      <c r="T359">
        <v>0.95851851701736446</v>
      </c>
      <c r="W359">
        <f t="shared" si="20"/>
        <v>184405</v>
      </c>
      <c r="X359">
        <f t="shared" si="21"/>
        <v>0.94074073433876038</v>
      </c>
      <c r="Y359">
        <f t="shared" si="22"/>
        <v>0.95851851701736446</v>
      </c>
      <c r="Z359">
        <f t="shared" si="23"/>
        <v>11.407988679488005</v>
      </c>
    </row>
    <row r="360" spans="1:26" hidden="1" x14ac:dyDescent="0.25">
      <c r="A360" t="s">
        <v>106</v>
      </c>
      <c r="B360">
        <v>5</v>
      </c>
      <c r="C360">
        <v>2</v>
      </c>
      <c r="D360">
        <v>0</v>
      </c>
      <c r="E360" t="s">
        <v>240</v>
      </c>
      <c r="F360">
        <v>184916</v>
      </c>
      <c r="G360">
        <v>619434715.85714281</v>
      </c>
      <c r="H360">
        <v>0.96761904444013325</v>
      </c>
      <c r="I360">
        <v>0.96158730158730155</v>
      </c>
      <c r="J360">
        <v>29769733.571428571</v>
      </c>
      <c r="K360">
        <v>184405</v>
      </c>
      <c r="L360">
        <v>2</v>
      </c>
      <c r="M360">
        <v>285</v>
      </c>
      <c r="N360">
        <v>0.95968253968253969</v>
      </c>
      <c r="O360">
        <v>30092152.142857142</v>
      </c>
      <c r="P360">
        <v>185624</v>
      </c>
      <c r="Q360">
        <v>2</v>
      </c>
      <c r="R360">
        <v>286</v>
      </c>
      <c r="S360">
        <v>11.493407835258663</v>
      </c>
      <c r="T360">
        <v>0.9765431980292002</v>
      </c>
      <c r="W360">
        <f t="shared" si="20"/>
        <v>184405</v>
      </c>
      <c r="X360">
        <f t="shared" si="21"/>
        <v>0.96761904444013325</v>
      </c>
      <c r="Y360">
        <f t="shared" si="22"/>
        <v>0.9765431980292002</v>
      </c>
      <c r="Z360">
        <f t="shared" si="23"/>
        <v>11.493407835258663</v>
      </c>
    </row>
    <row r="361" spans="1:26" hidden="1" x14ac:dyDescent="0.25">
      <c r="A361" t="s">
        <v>106</v>
      </c>
      <c r="B361">
        <v>5</v>
      </c>
      <c r="C361">
        <v>3</v>
      </c>
      <c r="D361">
        <v>0</v>
      </c>
      <c r="E361" t="s">
        <v>288</v>
      </c>
      <c r="F361">
        <v>184939</v>
      </c>
      <c r="G361">
        <v>506019220.5</v>
      </c>
      <c r="H361">
        <v>0.96777777373790741</v>
      </c>
      <c r="I361">
        <v>0.96833333333333338</v>
      </c>
      <c r="J361">
        <v>31943887</v>
      </c>
      <c r="K361">
        <v>184405</v>
      </c>
      <c r="L361">
        <v>2</v>
      </c>
      <c r="M361">
        <v>285</v>
      </c>
      <c r="N361">
        <v>0.96333333333333337</v>
      </c>
      <c r="O361">
        <v>31792842.5</v>
      </c>
      <c r="P361">
        <v>185624</v>
      </c>
      <c r="Q361">
        <v>2</v>
      </c>
      <c r="R361">
        <v>286</v>
      </c>
      <c r="S361">
        <v>11.544103992571959</v>
      </c>
      <c r="T361">
        <v>0.96296296517054236</v>
      </c>
      <c r="W361">
        <f t="shared" si="20"/>
        <v>184405</v>
      </c>
      <c r="X361">
        <f t="shared" si="21"/>
        <v>0.96777777373790741</v>
      </c>
      <c r="Y361">
        <f t="shared" si="22"/>
        <v>0.96296296517054236</v>
      </c>
      <c r="Z361">
        <f t="shared" si="23"/>
        <v>11.544103992571959</v>
      </c>
    </row>
    <row r="362" spans="1:26" hidden="1" x14ac:dyDescent="0.25">
      <c r="A362" t="s">
        <v>106</v>
      </c>
      <c r="B362">
        <v>5</v>
      </c>
      <c r="C362">
        <v>4</v>
      </c>
      <c r="D362">
        <v>0</v>
      </c>
      <c r="E362" t="s">
        <v>147</v>
      </c>
      <c r="F362">
        <v>185610</v>
      </c>
      <c r="G362">
        <v>249936688.75</v>
      </c>
      <c r="H362">
        <v>0.95277775824069977</v>
      </c>
      <c r="I362">
        <v>0.97222222222222232</v>
      </c>
      <c r="J362">
        <v>31969099.25</v>
      </c>
      <c r="K362">
        <v>184405</v>
      </c>
      <c r="L362">
        <v>2</v>
      </c>
      <c r="M362">
        <v>285</v>
      </c>
      <c r="N362">
        <v>0.97</v>
      </c>
      <c r="O362">
        <v>31686116.75</v>
      </c>
      <c r="P362">
        <v>185624</v>
      </c>
      <c r="Q362">
        <v>2</v>
      </c>
      <c r="R362">
        <v>286</v>
      </c>
      <c r="S362">
        <v>11.576550800511352</v>
      </c>
      <c r="T362">
        <v>0.95679012934366858</v>
      </c>
      <c r="W362">
        <f t="shared" si="20"/>
        <v>184405</v>
      </c>
      <c r="X362">
        <f t="shared" si="21"/>
        <v>0.95277775824069977</v>
      </c>
      <c r="Y362">
        <f t="shared" si="22"/>
        <v>0.95679012934366858</v>
      </c>
      <c r="Z362">
        <f t="shared" si="23"/>
        <v>11.576550800511352</v>
      </c>
    </row>
    <row r="363" spans="1:26" hidden="1" x14ac:dyDescent="0.25">
      <c r="A363" t="s">
        <v>106</v>
      </c>
      <c r="B363">
        <v>9</v>
      </c>
      <c r="C363">
        <v>2</v>
      </c>
      <c r="D363">
        <v>0</v>
      </c>
      <c r="E363" t="s">
        <v>274</v>
      </c>
      <c r="F363">
        <v>185093</v>
      </c>
      <c r="G363">
        <v>802704033.14285719</v>
      </c>
      <c r="H363">
        <v>0.84888889108385357</v>
      </c>
      <c r="I363">
        <v>0.96158730158730155</v>
      </c>
      <c r="J363">
        <v>30185698.428571429</v>
      </c>
      <c r="K363">
        <v>184405</v>
      </c>
      <c r="L363">
        <v>2</v>
      </c>
      <c r="M363">
        <v>285</v>
      </c>
      <c r="N363">
        <v>0.95968253968253969</v>
      </c>
      <c r="O363">
        <v>31167041</v>
      </c>
      <c r="P363">
        <v>185624</v>
      </c>
      <c r="Q363">
        <v>2</v>
      </c>
      <c r="R363">
        <v>286</v>
      </c>
      <c r="S363">
        <v>11.731697389079491</v>
      </c>
      <c r="T363">
        <v>0.82345677415529883</v>
      </c>
      <c r="W363">
        <f t="shared" si="20"/>
        <v>184405</v>
      </c>
      <c r="X363">
        <f t="shared" si="21"/>
        <v>0.84888889108385357</v>
      </c>
      <c r="Y363">
        <f t="shared" si="22"/>
        <v>0.82345677415529883</v>
      </c>
      <c r="Z363">
        <f t="shared" si="23"/>
        <v>11.731697389079491</v>
      </c>
    </row>
    <row r="364" spans="1:26" x14ac:dyDescent="0.25">
      <c r="A364" t="s">
        <v>106</v>
      </c>
      <c r="B364">
        <v>3</v>
      </c>
      <c r="C364">
        <v>2</v>
      </c>
      <c r="D364">
        <v>0</v>
      </c>
      <c r="E364" t="s">
        <v>200</v>
      </c>
      <c r="F364">
        <v>114894</v>
      </c>
      <c r="G364">
        <v>258880905.09090909</v>
      </c>
      <c r="H364">
        <v>0.98666665770790796</v>
      </c>
      <c r="I364">
        <v>0.98</v>
      </c>
      <c r="J364">
        <v>20221203.545454547</v>
      </c>
      <c r="K364">
        <v>185624</v>
      </c>
      <c r="L364">
        <v>2</v>
      </c>
      <c r="M364">
        <v>286</v>
      </c>
      <c r="N364">
        <v>0.97616161616161612</v>
      </c>
      <c r="O364">
        <v>20089307.272727273</v>
      </c>
      <c r="P364">
        <v>186847</v>
      </c>
      <c r="Q364">
        <v>2</v>
      </c>
      <c r="R364">
        <v>287</v>
      </c>
      <c r="S364">
        <v>11.273332324913024</v>
      </c>
      <c r="T364">
        <v>0.98518518805503841</v>
      </c>
      <c r="W364">
        <f t="shared" si="20"/>
        <v>185624</v>
      </c>
      <c r="X364">
        <f t="shared" si="21"/>
        <v>0.98666665770790796</v>
      </c>
      <c r="Y364">
        <f t="shared" si="22"/>
        <v>0.98518518805503841</v>
      </c>
      <c r="Z364">
        <f t="shared" si="23"/>
        <v>11.273332324913024</v>
      </c>
    </row>
    <row r="365" spans="1:26" hidden="1" x14ac:dyDescent="0.25">
      <c r="A365" t="s">
        <v>106</v>
      </c>
      <c r="B365">
        <v>3</v>
      </c>
      <c r="C365">
        <v>3</v>
      </c>
      <c r="D365">
        <v>0</v>
      </c>
      <c r="E365" t="s">
        <v>133</v>
      </c>
      <c r="F365">
        <v>104972</v>
      </c>
      <c r="G365">
        <v>309415849.5714286</v>
      </c>
      <c r="H365">
        <v>0.96799999645778112</v>
      </c>
      <c r="I365">
        <v>0.95707936507936509</v>
      </c>
      <c r="J365">
        <v>30414869.457142856</v>
      </c>
      <c r="K365">
        <v>185624</v>
      </c>
      <c r="L365">
        <v>2</v>
      </c>
      <c r="M365">
        <v>286</v>
      </c>
      <c r="N365">
        <v>0.95847619047619048</v>
      </c>
      <c r="O365">
        <v>31157476.199999999</v>
      </c>
      <c r="P365">
        <v>186847</v>
      </c>
      <c r="Q365">
        <v>2</v>
      </c>
      <c r="R365">
        <v>287</v>
      </c>
      <c r="S365">
        <v>11.354647887323944</v>
      </c>
      <c r="T365">
        <v>0.97995642353506651</v>
      </c>
      <c r="W365">
        <f t="shared" si="20"/>
        <v>185624</v>
      </c>
      <c r="X365">
        <f t="shared" si="21"/>
        <v>0.96799999645778112</v>
      </c>
      <c r="Y365">
        <f t="shared" si="22"/>
        <v>0.97995642353506651</v>
      </c>
      <c r="Z365">
        <f t="shared" si="23"/>
        <v>11.354647887323944</v>
      </c>
    </row>
    <row r="366" spans="1:26" hidden="1" x14ac:dyDescent="0.25">
      <c r="A366" t="s">
        <v>106</v>
      </c>
      <c r="B366">
        <v>5</v>
      </c>
      <c r="C366">
        <v>2</v>
      </c>
      <c r="D366">
        <v>0</v>
      </c>
      <c r="E366" t="s">
        <v>284</v>
      </c>
      <c r="F366">
        <v>186179</v>
      </c>
      <c r="G366">
        <v>649679507.75</v>
      </c>
      <c r="H366">
        <v>0.9677777886390686</v>
      </c>
      <c r="I366">
        <v>0.9622222222222222</v>
      </c>
      <c r="J366">
        <v>31457076.75</v>
      </c>
      <c r="K366">
        <v>185624</v>
      </c>
      <c r="L366">
        <v>2</v>
      </c>
      <c r="M366">
        <v>286</v>
      </c>
      <c r="N366">
        <v>0.95499999999999996</v>
      </c>
      <c r="O366">
        <v>31727909</v>
      </c>
      <c r="P366">
        <v>186847</v>
      </c>
      <c r="Q366">
        <v>2</v>
      </c>
      <c r="R366">
        <v>287</v>
      </c>
      <c r="S366">
        <v>11.495292493095656</v>
      </c>
      <c r="T366">
        <v>0.97283949454625451</v>
      </c>
      <c r="W366">
        <f t="shared" si="20"/>
        <v>185624</v>
      </c>
      <c r="X366">
        <f t="shared" si="21"/>
        <v>0.9677777886390686</v>
      </c>
      <c r="Y366">
        <f t="shared" si="22"/>
        <v>0.97283949454625451</v>
      </c>
      <c r="Z366">
        <f t="shared" si="23"/>
        <v>11.495292493095656</v>
      </c>
    </row>
    <row r="367" spans="1:26" hidden="1" x14ac:dyDescent="0.25">
      <c r="A367" t="s">
        <v>106</v>
      </c>
      <c r="B367">
        <v>5</v>
      </c>
      <c r="C367">
        <v>3</v>
      </c>
      <c r="D367">
        <v>0</v>
      </c>
      <c r="E367" t="s">
        <v>157</v>
      </c>
      <c r="F367">
        <v>185774</v>
      </c>
      <c r="G367">
        <v>409181585.25</v>
      </c>
      <c r="H367">
        <v>0.9677777886390686</v>
      </c>
      <c r="I367">
        <v>0.96111111111111114</v>
      </c>
      <c r="J367">
        <v>31711572.25</v>
      </c>
      <c r="K367">
        <v>185624</v>
      </c>
      <c r="L367">
        <v>2</v>
      </c>
      <c r="M367">
        <v>286</v>
      </c>
      <c r="N367">
        <v>0.95500000000000007</v>
      </c>
      <c r="O367">
        <v>31702233.75</v>
      </c>
      <c r="P367">
        <v>186847</v>
      </c>
      <c r="Q367">
        <v>2</v>
      </c>
      <c r="R367">
        <v>287</v>
      </c>
      <c r="S367">
        <v>11.544464385172351</v>
      </c>
      <c r="T367">
        <v>0.96419753630956018</v>
      </c>
      <c r="W367">
        <f t="shared" si="20"/>
        <v>185624</v>
      </c>
      <c r="X367">
        <f t="shared" si="21"/>
        <v>0.9677777886390686</v>
      </c>
      <c r="Y367">
        <f t="shared" si="22"/>
        <v>0.96419753630956018</v>
      </c>
      <c r="Z367">
        <f t="shared" si="23"/>
        <v>11.544464385172351</v>
      </c>
    </row>
    <row r="368" spans="1:26" x14ac:dyDescent="0.25">
      <c r="A368" t="s">
        <v>106</v>
      </c>
      <c r="B368">
        <v>3</v>
      </c>
      <c r="C368">
        <v>2</v>
      </c>
      <c r="D368">
        <v>0</v>
      </c>
      <c r="E368" t="s">
        <v>214</v>
      </c>
      <c r="F368">
        <v>115404</v>
      </c>
      <c r="G368">
        <v>349226537.45454544</v>
      </c>
      <c r="H368">
        <v>0.97838384454900573</v>
      </c>
      <c r="I368">
        <v>0.96262626262626261</v>
      </c>
      <c r="J368">
        <v>24549016.818181816</v>
      </c>
      <c r="K368">
        <v>186847</v>
      </c>
      <c r="L368">
        <v>2</v>
      </c>
      <c r="M368">
        <v>287</v>
      </c>
      <c r="N368">
        <v>0.96464646464646464</v>
      </c>
      <c r="O368">
        <v>24217855.363636363</v>
      </c>
      <c r="P368">
        <v>188074</v>
      </c>
      <c r="Q368">
        <v>2</v>
      </c>
      <c r="R368">
        <v>288</v>
      </c>
      <c r="S368">
        <v>11.276127862162776</v>
      </c>
      <c r="T368">
        <v>0.97962961792945857</v>
      </c>
      <c r="W368">
        <f t="shared" si="20"/>
        <v>186847</v>
      </c>
      <c r="X368">
        <f t="shared" si="21"/>
        <v>0.97838384454900573</v>
      </c>
      <c r="Y368">
        <f t="shared" si="22"/>
        <v>0.97962961792945857</v>
      </c>
      <c r="Z368">
        <f t="shared" si="23"/>
        <v>11.276127862162776</v>
      </c>
    </row>
    <row r="369" spans="1:26" hidden="1" x14ac:dyDescent="0.25">
      <c r="A369" t="s">
        <v>106</v>
      </c>
      <c r="B369">
        <v>3</v>
      </c>
      <c r="C369">
        <v>3</v>
      </c>
      <c r="D369">
        <v>0</v>
      </c>
      <c r="E369" t="s">
        <v>191</v>
      </c>
      <c r="F369">
        <v>105222</v>
      </c>
      <c r="G369">
        <v>313067537.69999999</v>
      </c>
      <c r="H369">
        <v>0.96911111176013942</v>
      </c>
      <c r="I369">
        <v>0.9582222222222222</v>
      </c>
      <c r="J369">
        <v>31724982.649999999</v>
      </c>
      <c r="K369">
        <v>186847</v>
      </c>
      <c r="L369">
        <v>2</v>
      </c>
      <c r="M369">
        <v>287</v>
      </c>
      <c r="N369">
        <v>0.95811111111111114</v>
      </c>
      <c r="O369">
        <v>31434421.649999999</v>
      </c>
      <c r="P369">
        <v>188074</v>
      </c>
      <c r="Q369">
        <v>2</v>
      </c>
      <c r="R369">
        <v>288</v>
      </c>
      <c r="S369">
        <v>11.3556258790436</v>
      </c>
      <c r="T369">
        <v>0.98070175083060018</v>
      </c>
      <c r="W369">
        <f t="shared" si="20"/>
        <v>186847</v>
      </c>
      <c r="X369">
        <f t="shared" si="21"/>
        <v>0.96911111176013942</v>
      </c>
      <c r="Y369">
        <f t="shared" si="22"/>
        <v>0.98070175083060018</v>
      </c>
      <c r="Z369">
        <f t="shared" si="23"/>
        <v>11.3556258790436</v>
      </c>
    </row>
    <row r="370" spans="1:26" hidden="1" x14ac:dyDescent="0.25">
      <c r="A370" t="s">
        <v>106</v>
      </c>
      <c r="B370">
        <v>3</v>
      </c>
      <c r="C370">
        <v>4</v>
      </c>
      <c r="D370">
        <v>0</v>
      </c>
      <c r="E370" t="s">
        <v>154</v>
      </c>
      <c r="F370">
        <v>98832</v>
      </c>
      <c r="G370">
        <v>277619688.19999999</v>
      </c>
      <c r="H370">
        <v>0.95377777814865117</v>
      </c>
      <c r="I370">
        <v>0.96666666666666667</v>
      </c>
      <c r="J370">
        <v>28303711.399999999</v>
      </c>
      <c r="K370">
        <v>186847</v>
      </c>
      <c r="L370">
        <v>2</v>
      </c>
      <c r="M370">
        <v>287</v>
      </c>
      <c r="N370">
        <v>0.96666666666666667</v>
      </c>
      <c r="O370">
        <v>30240487.800000001</v>
      </c>
      <c r="P370">
        <v>188074</v>
      </c>
      <c r="Q370">
        <v>2</v>
      </c>
      <c r="R370">
        <v>288</v>
      </c>
      <c r="S370">
        <v>11.408950617283951</v>
      </c>
      <c r="T370">
        <v>0.97037036716938019</v>
      </c>
      <c r="W370">
        <f t="shared" si="20"/>
        <v>186847</v>
      </c>
      <c r="X370">
        <f t="shared" si="21"/>
        <v>0.95377777814865117</v>
      </c>
      <c r="Y370">
        <f t="shared" si="22"/>
        <v>0.97037036716938019</v>
      </c>
      <c r="Z370">
        <f t="shared" si="23"/>
        <v>11.408950617283951</v>
      </c>
    </row>
    <row r="371" spans="1:26" hidden="1" x14ac:dyDescent="0.25">
      <c r="A371" t="s">
        <v>106</v>
      </c>
      <c r="B371">
        <v>5</v>
      </c>
      <c r="C371">
        <v>2</v>
      </c>
      <c r="D371">
        <v>0</v>
      </c>
      <c r="E371" t="s">
        <v>266</v>
      </c>
      <c r="F371">
        <v>187805</v>
      </c>
      <c r="G371">
        <v>799052008</v>
      </c>
      <c r="H371">
        <v>0.97111111879348755</v>
      </c>
      <c r="I371">
        <v>0.96388888888888891</v>
      </c>
      <c r="J371">
        <v>31992059.5</v>
      </c>
      <c r="K371">
        <v>186847</v>
      </c>
      <c r="L371">
        <v>2</v>
      </c>
      <c r="M371">
        <v>287</v>
      </c>
      <c r="N371">
        <v>0.96166666666666667</v>
      </c>
      <c r="O371">
        <v>31844661.25</v>
      </c>
      <c r="P371">
        <v>188074</v>
      </c>
      <c r="Q371">
        <v>2</v>
      </c>
      <c r="R371">
        <v>288</v>
      </c>
      <c r="S371">
        <v>11.498180220883533</v>
      </c>
      <c r="T371">
        <v>0.97407404581705725</v>
      </c>
      <c r="W371">
        <f t="shared" si="20"/>
        <v>186847</v>
      </c>
      <c r="X371">
        <f t="shared" si="21"/>
        <v>0.97111111879348755</v>
      </c>
      <c r="Y371">
        <f t="shared" si="22"/>
        <v>0.97407404581705725</v>
      </c>
      <c r="Z371">
        <f t="shared" si="23"/>
        <v>11.498180220883533</v>
      </c>
    </row>
    <row r="372" spans="1:26" hidden="1" x14ac:dyDescent="0.25">
      <c r="A372" t="s">
        <v>106</v>
      </c>
      <c r="B372">
        <v>5</v>
      </c>
      <c r="C372">
        <v>3</v>
      </c>
      <c r="D372">
        <v>0</v>
      </c>
      <c r="E372" t="s">
        <v>222</v>
      </c>
      <c r="F372">
        <v>187354</v>
      </c>
      <c r="G372">
        <v>541553242</v>
      </c>
      <c r="H372">
        <v>0.9583333432674408</v>
      </c>
      <c r="I372">
        <v>0.95444444444444443</v>
      </c>
      <c r="J372">
        <v>32077346.25</v>
      </c>
      <c r="K372">
        <v>186847</v>
      </c>
      <c r="L372">
        <v>2</v>
      </c>
      <c r="M372">
        <v>287</v>
      </c>
      <c r="N372">
        <v>0.95333333333333337</v>
      </c>
      <c r="O372">
        <v>32643963</v>
      </c>
      <c r="P372">
        <v>188074</v>
      </c>
      <c r="Q372">
        <v>2</v>
      </c>
      <c r="R372">
        <v>288</v>
      </c>
      <c r="S372">
        <v>11.545381426715338</v>
      </c>
      <c r="T372">
        <v>0.97654322783152259</v>
      </c>
      <c r="W372">
        <f t="shared" si="20"/>
        <v>186847</v>
      </c>
      <c r="X372">
        <f t="shared" si="21"/>
        <v>0.9583333432674408</v>
      </c>
      <c r="Y372">
        <f t="shared" si="22"/>
        <v>0.97654322783152259</v>
      </c>
      <c r="Z372">
        <f t="shared" si="23"/>
        <v>11.545381426715338</v>
      </c>
    </row>
    <row r="373" spans="1:26" hidden="1" x14ac:dyDescent="0.25">
      <c r="A373" t="s">
        <v>106</v>
      </c>
      <c r="B373">
        <v>9</v>
      </c>
      <c r="C373">
        <v>2</v>
      </c>
      <c r="D373">
        <v>0</v>
      </c>
      <c r="E373" t="s">
        <v>185</v>
      </c>
      <c r="F373">
        <v>187262</v>
      </c>
      <c r="G373">
        <v>460113651.75</v>
      </c>
      <c r="H373">
        <v>0.84611110389232635</v>
      </c>
      <c r="I373">
        <v>0.96666666666666667</v>
      </c>
      <c r="J373">
        <v>31740404.25</v>
      </c>
      <c r="K373">
        <v>186847</v>
      </c>
      <c r="L373">
        <v>2</v>
      </c>
      <c r="M373">
        <v>287</v>
      </c>
      <c r="N373">
        <v>0.9572222222222222</v>
      </c>
      <c r="O373">
        <v>31461393</v>
      </c>
      <c r="P373">
        <v>188074</v>
      </c>
      <c r="Q373">
        <v>2</v>
      </c>
      <c r="R373">
        <v>288</v>
      </c>
      <c r="S373">
        <v>11.732922504505552</v>
      </c>
      <c r="T373">
        <v>0.8802469174067179</v>
      </c>
      <c r="W373">
        <f t="shared" si="20"/>
        <v>186847</v>
      </c>
      <c r="X373">
        <f t="shared" si="21"/>
        <v>0.84611110389232635</v>
      </c>
      <c r="Y373">
        <f t="shared" si="22"/>
        <v>0.8802469174067179</v>
      </c>
      <c r="Z373">
        <f t="shared" si="23"/>
        <v>11.732922504505552</v>
      </c>
    </row>
    <row r="374" spans="1:26" hidden="1" x14ac:dyDescent="0.25">
      <c r="A374" t="s">
        <v>106</v>
      </c>
      <c r="B374">
        <v>3</v>
      </c>
      <c r="C374">
        <v>3</v>
      </c>
      <c r="D374">
        <v>0</v>
      </c>
      <c r="E374" t="s">
        <v>134</v>
      </c>
      <c r="F374">
        <v>106306</v>
      </c>
      <c r="G374">
        <v>322202750.34285712</v>
      </c>
      <c r="H374">
        <v>0.9690793633460999</v>
      </c>
      <c r="I374">
        <v>0.95898412698412694</v>
      </c>
      <c r="J374">
        <v>31020197.199999999</v>
      </c>
      <c r="K374">
        <v>188074</v>
      </c>
      <c r="L374">
        <v>2</v>
      </c>
      <c r="M374">
        <v>288</v>
      </c>
      <c r="N374">
        <v>0.95892063492063495</v>
      </c>
      <c r="O374">
        <v>29620772.028571427</v>
      </c>
      <c r="P374">
        <v>189305</v>
      </c>
      <c r="Q374">
        <v>2</v>
      </c>
      <c r="R374">
        <v>289</v>
      </c>
      <c r="S374">
        <v>11.359102069449316</v>
      </c>
      <c r="T374">
        <v>0.97952068728559161</v>
      </c>
      <c r="W374">
        <f t="shared" si="20"/>
        <v>188074</v>
      </c>
      <c r="X374">
        <f t="shared" si="21"/>
        <v>0.9690793633460999</v>
      </c>
      <c r="Y374">
        <f t="shared" si="22"/>
        <v>0.97952068728559161</v>
      </c>
      <c r="Z374">
        <f t="shared" si="23"/>
        <v>11.359102069449316</v>
      </c>
    </row>
    <row r="375" spans="1:26" hidden="1" x14ac:dyDescent="0.25">
      <c r="A375" t="s">
        <v>106</v>
      </c>
      <c r="B375">
        <v>5</v>
      </c>
      <c r="C375">
        <v>2</v>
      </c>
      <c r="D375">
        <v>0</v>
      </c>
      <c r="E375" t="s">
        <v>139</v>
      </c>
      <c r="F375">
        <v>188168</v>
      </c>
      <c r="G375">
        <v>725685178.14285719</v>
      </c>
      <c r="H375">
        <v>0.97206349883760723</v>
      </c>
      <c r="I375">
        <v>0.95904761904761904</v>
      </c>
      <c r="J375">
        <v>30349202.428571429</v>
      </c>
      <c r="K375">
        <v>188074</v>
      </c>
      <c r="L375">
        <v>2</v>
      </c>
      <c r="M375">
        <v>288</v>
      </c>
      <c r="N375">
        <v>0.9622222222222222</v>
      </c>
      <c r="O375">
        <v>30367470.857142858</v>
      </c>
      <c r="P375">
        <v>189305</v>
      </c>
      <c r="Q375">
        <v>2</v>
      </c>
      <c r="R375">
        <v>289</v>
      </c>
      <c r="S375">
        <v>11.503104810888791</v>
      </c>
      <c r="T375">
        <v>0.98148149251937866</v>
      </c>
      <c r="W375">
        <f t="shared" si="20"/>
        <v>188074</v>
      </c>
      <c r="X375">
        <f t="shared" si="21"/>
        <v>0.97206349883760723</v>
      </c>
      <c r="Y375">
        <f t="shared" si="22"/>
        <v>0.98148149251937866</v>
      </c>
      <c r="Z375">
        <f t="shared" si="23"/>
        <v>11.503104810888791</v>
      </c>
    </row>
    <row r="376" spans="1:26" hidden="1" x14ac:dyDescent="0.25">
      <c r="A376" t="s">
        <v>106</v>
      </c>
      <c r="B376">
        <v>9</v>
      </c>
      <c r="C376">
        <v>2</v>
      </c>
      <c r="D376">
        <v>0</v>
      </c>
      <c r="E376" t="s">
        <v>263</v>
      </c>
      <c r="F376">
        <v>189051</v>
      </c>
      <c r="G376">
        <v>713624144.57142854</v>
      </c>
      <c r="H376">
        <v>0.87047618627548218</v>
      </c>
      <c r="I376">
        <v>0.95904761904761904</v>
      </c>
      <c r="J376">
        <v>30504176.428571429</v>
      </c>
      <c r="K376">
        <v>188074</v>
      </c>
      <c r="L376">
        <v>2</v>
      </c>
      <c r="M376">
        <v>288</v>
      </c>
      <c r="N376">
        <v>0.95904761904761904</v>
      </c>
      <c r="O376">
        <v>29513509.714285713</v>
      </c>
      <c r="P376">
        <v>189305</v>
      </c>
      <c r="Q376">
        <v>2</v>
      </c>
      <c r="R376">
        <v>289</v>
      </c>
      <c r="S376">
        <v>11.738958623895863</v>
      </c>
      <c r="T376">
        <v>0.87160494923591614</v>
      </c>
      <c r="W376">
        <f t="shared" si="20"/>
        <v>188074</v>
      </c>
      <c r="X376">
        <f t="shared" si="21"/>
        <v>0.87047618627548218</v>
      </c>
      <c r="Y376">
        <f t="shared" si="22"/>
        <v>0.87160494923591614</v>
      </c>
      <c r="Z376">
        <f t="shared" si="23"/>
        <v>11.738958623895863</v>
      </c>
    </row>
    <row r="377" spans="1:26" x14ac:dyDescent="0.25">
      <c r="A377" t="s">
        <v>106</v>
      </c>
      <c r="B377">
        <v>3</v>
      </c>
      <c r="C377">
        <v>2</v>
      </c>
      <c r="D377">
        <v>0</v>
      </c>
      <c r="E377" t="s">
        <v>215</v>
      </c>
      <c r="F377">
        <v>116686</v>
      </c>
      <c r="G377">
        <v>371738176.45454544</v>
      </c>
      <c r="H377">
        <v>0.97979797558351001</v>
      </c>
      <c r="I377">
        <v>0.96323232323232322</v>
      </c>
      <c r="J377">
        <v>24683969.636363637</v>
      </c>
      <c r="K377">
        <v>189305</v>
      </c>
      <c r="L377">
        <v>2</v>
      </c>
      <c r="M377">
        <v>289</v>
      </c>
      <c r="N377">
        <v>0.96424242424242423</v>
      </c>
      <c r="O377">
        <v>23907581.181818184</v>
      </c>
      <c r="P377">
        <v>190540</v>
      </c>
      <c r="Q377">
        <v>2</v>
      </c>
      <c r="R377">
        <v>290</v>
      </c>
      <c r="S377">
        <v>11.278994261552402</v>
      </c>
      <c r="T377">
        <v>0.97555555701255803</v>
      </c>
      <c r="W377">
        <f t="shared" si="20"/>
        <v>189305</v>
      </c>
      <c r="X377">
        <f t="shared" si="21"/>
        <v>0.97979797558351001</v>
      </c>
      <c r="Y377">
        <f t="shared" si="22"/>
        <v>0.97555555701255803</v>
      </c>
      <c r="Z377">
        <f t="shared" si="23"/>
        <v>11.278994261552402</v>
      </c>
    </row>
    <row r="378" spans="1:26" hidden="1" x14ac:dyDescent="0.25">
      <c r="A378" t="s">
        <v>106</v>
      </c>
      <c r="B378">
        <v>3</v>
      </c>
      <c r="C378">
        <v>3</v>
      </c>
      <c r="D378">
        <v>0</v>
      </c>
      <c r="E378" t="s">
        <v>166</v>
      </c>
      <c r="F378">
        <v>106592</v>
      </c>
      <c r="G378">
        <v>364176670.55555558</v>
      </c>
      <c r="H378">
        <v>0.96888889206780326</v>
      </c>
      <c r="I378">
        <v>0.95950617283950623</v>
      </c>
      <c r="J378">
        <v>31357111.777777776</v>
      </c>
      <c r="K378">
        <v>189305</v>
      </c>
      <c r="L378">
        <v>2</v>
      </c>
      <c r="M378">
        <v>289</v>
      </c>
      <c r="N378">
        <v>0.96296296296296291</v>
      </c>
      <c r="O378">
        <v>31466642.111111112</v>
      </c>
      <c r="P378">
        <v>190540</v>
      </c>
      <c r="Q378">
        <v>2</v>
      </c>
      <c r="R378">
        <v>290</v>
      </c>
      <c r="S378">
        <v>11.360277621985418</v>
      </c>
      <c r="T378">
        <v>0.97268518805503845</v>
      </c>
      <c r="W378">
        <f t="shared" si="20"/>
        <v>189305</v>
      </c>
      <c r="X378">
        <f t="shared" si="21"/>
        <v>0.96888889206780326</v>
      </c>
      <c r="Y378">
        <f t="shared" si="22"/>
        <v>0.97268518805503845</v>
      </c>
      <c r="Z378">
        <f t="shared" si="23"/>
        <v>11.360277621985418</v>
      </c>
    </row>
    <row r="379" spans="1:26" hidden="1" x14ac:dyDescent="0.25">
      <c r="A379" t="s">
        <v>106</v>
      </c>
      <c r="B379">
        <v>3</v>
      </c>
      <c r="C379">
        <v>4</v>
      </c>
      <c r="D379">
        <v>0</v>
      </c>
      <c r="E379" t="s">
        <v>155</v>
      </c>
      <c r="F379">
        <v>100314</v>
      </c>
      <c r="G379">
        <v>334430908.5</v>
      </c>
      <c r="H379">
        <v>0.9614814817905426</v>
      </c>
      <c r="I379">
        <v>0.9655555555555555</v>
      </c>
      <c r="J379">
        <v>30466486</v>
      </c>
      <c r="K379">
        <v>189305</v>
      </c>
      <c r="L379">
        <v>2</v>
      </c>
      <c r="M379">
        <v>289</v>
      </c>
      <c r="N379">
        <v>0.97259259259259256</v>
      </c>
      <c r="O379">
        <v>30948476.333333332</v>
      </c>
      <c r="P379">
        <v>190540</v>
      </c>
      <c r="Q379">
        <v>2</v>
      </c>
      <c r="R379">
        <v>290</v>
      </c>
      <c r="S379">
        <v>11.41020696747654</v>
      </c>
      <c r="T379">
        <v>0.97703703641891482</v>
      </c>
      <c r="W379">
        <f t="shared" si="20"/>
        <v>189305</v>
      </c>
      <c r="X379">
        <f t="shared" si="21"/>
        <v>0.9614814817905426</v>
      </c>
      <c r="Y379">
        <f t="shared" si="22"/>
        <v>0.97703703641891482</v>
      </c>
      <c r="Z379">
        <f t="shared" si="23"/>
        <v>11.41020696747654</v>
      </c>
    </row>
    <row r="380" spans="1:26" hidden="1" x14ac:dyDescent="0.25">
      <c r="A380" t="s">
        <v>106</v>
      </c>
      <c r="B380">
        <v>5</v>
      </c>
      <c r="C380">
        <v>3</v>
      </c>
      <c r="D380">
        <v>0</v>
      </c>
      <c r="E380" t="s">
        <v>275</v>
      </c>
      <c r="F380">
        <v>189409</v>
      </c>
      <c r="G380">
        <v>428974298</v>
      </c>
      <c r="H380">
        <v>0.96944443881511688</v>
      </c>
      <c r="I380">
        <v>0.97277777777777774</v>
      </c>
      <c r="J380">
        <v>31487687.5</v>
      </c>
      <c r="K380">
        <v>189305</v>
      </c>
      <c r="L380">
        <v>2</v>
      </c>
      <c r="M380">
        <v>289</v>
      </c>
      <c r="N380">
        <v>0.96833333333333338</v>
      </c>
      <c r="O380">
        <v>33000419.75</v>
      </c>
      <c r="P380">
        <v>190540</v>
      </c>
      <c r="Q380">
        <v>2</v>
      </c>
      <c r="R380">
        <v>290</v>
      </c>
      <c r="S380">
        <v>11.54580317931589</v>
      </c>
      <c r="T380">
        <v>0.9580247004826864</v>
      </c>
      <c r="W380">
        <f t="shared" si="20"/>
        <v>189305</v>
      </c>
      <c r="X380">
        <f t="shared" si="21"/>
        <v>0.96944443881511688</v>
      </c>
      <c r="Y380">
        <f t="shared" si="22"/>
        <v>0.9580247004826864</v>
      </c>
      <c r="Z380">
        <f t="shared" si="23"/>
        <v>11.54580317931589</v>
      </c>
    </row>
    <row r="381" spans="1:26" hidden="1" x14ac:dyDescent="0.25">
      <c r="A381" t="s">
        <v>106</v>
      </c>
      <c r="B381">
        <v>9</v>
      </c>
      <c r="C381">
        <v>2</v>
      </c>
      <c r="D381">
        <v>0</v>
      </c>
      <c r="E381" t="s">
        <v>281</v>
      </c>
      <c r="F381">
        <v>190149</v>
      </c>
      <c r="G381">
        <v>889935859.5</v>
      </c>
      <c r="H381">
        <v>0.86888889968395233</v>
      </c>
      <c r="I381">
        <v>0.96666666666666667</v>
      </c>
      <c r="J381">
        <v>29877170.75</v>
      </c>
      <c r="K381">
        <v>189305</v>
      </c>
      <c r="L381">
        <v>2</v>
      </c>
      <c r="M381">
        <v>289</v>
      </c>
      <c r="N381">
        <v>0.9588888888888889</v>
      </c>
      <c r="O381">
        <v>30332300.5</v>
      </c>
      <c r="P381">
        <v>190540</v>
      </c>
      <c r="Q381">
        <v>2</v>
      </c>
      <c r="R381">
        <v>290</v>
      </c>
      <c r="S381">
        <v>11.74297002091564</v>
      </c>
      <c r="T381">
        <v>0.88641977310180664</v>
      </c>
      <c r="W381">
        <f t="shared" si="20"/>
        <v>189305</v>
      </c>
      <c r="X381">
        <f t="shared" si="21"/>
        <v>0.86888889968395233</v>
      </c>
      <c r="Y381">
        <f t="shared" si="22"/>
        <v>0.88641977310180664</v>
      </c>
      <c r="Z381">
        <f t="shared" si="23"/>
        <v>11.74297002091564</v>
      </c>
    </row>
    <row r="382" spans="1:26" x14ac:dyDescent="0.25">
      <c r="A382" t="s">
        <v>106</v>
      </c>
      <c r="B382">
        <v>3</v>
      </c>
      <c r="C382">
        <v>2</v>
      </c>
      <c r="D382">
        <v>0</v>
      </c>
      <c r="E382" t="s">
        <v>216</v>
      </c>
      <c r="F382">
        <v>117968</v>
      </c>
      <c r="G382">
        <v>458072360.45454544</v>
      </c>
      <c r="H382">
        <v>0.97030302611264319</v>
      </c>
      <c r="I382">
        <v>0.94989898989898991</v>
      </c>
      <c r="J382">
        <v>30198240.454545453</v>
      </c>
      <c r="K382">
        <v>190540</v>
      </c>
      <c r="L382">
        <v>2</v>
      </c>
      <c r="M382">
        <v>290</v>
      </c>
      <c r="N382">
        <v>0.94969696969696971</v>
      </c>
      <c r="O382">
        <v>29932152.181818184</v>
      </c>
      <c r="P382">
        <v>191779</v>
      </c>
      <c r="Q382">
        <v>2</v>
      </c>
      <c r="R382">
        <v>291</v>
      </c>
      <c r="S382">
        <v>11.280271595624292</v>
      </c>
      <c r="T382">
        <v>0.97592592239379883</v>
      </c>
      <c r="W382">
        <f t="shared" si="20"/>
        <v>190540</v>
      </c>
      <c r="X382">
        <f t="shared" si="21"/>
        <v>0.97030302611264319</v>
      </c>
      <c r="Y382">
        <f t="shared" si="22"/>
        <v>0.97592592239379883</v>
      </c>
      <c r="Z382">
        <f t="shared" si="23"/>
        <v>11.280271595624292</v>
      </c>
    </row>
    <row r="383" spans="1:26" hidden="1" x14ac:dyDescent="0.25">
      <c r="A383" t="s">
        <v>106</v>
      </c>
      <c r="B383">
        <v>3</v>
      </c>
      <c r="C383">
        <v>3</v>
      </c>
      <c r="D383">
        <v>0</v>
      </c>
      <c r="E383" t="s">
        <v>135</v>
      </c>
      <c r="F383">
        <v>107640</v>
      </c>
      <c r="G383">
        <v>324210618.56862748</v>
      </c>
      <c r="H383">
        <v>0.96997820980408611</v>
      </c>
      <c r="I383">
        <v>0.95799564270152504</v>
      </c>
      <c r="J383">
        <v>30960743.235294119</v>
      </c>
      <c r="K383">
        <v>190540</v>
      </c>
      <c r="L383">
        <v>2</v>
      </c>
      <c r="M383">
        <v>290</v>
      </c>
      <c r="N383">
        <v>0.95625272331154687</v>
      </c>
      <c r="O383">
        <v>31116571.784313727</v>
      </c>
      <c r="P383">
        <v>191779</v>
      </c>
      <c r="Q383">
        <v>2</v>
      </c>
      <c r="R383">
        <v>291</v>
      </c>
      <c r="S383">
        <v>11.365420887181278</v>
      </c>
      <c r="T383">
        <v>0.97970369696617121</v>
      </c>
      <c r="W383">
        <f t="shared" si="20"/>
        <v>190540</v>
      </c>
      <c r="X383">
        <f t="shared" si="21"/>
        <v>0.96997820980408611</v>
      </c>
      <c r="Y383">
        <f t="shared" si="22"/>
        <v>0.97970369696617121</v>
      </c>
      <c r="Z383">
        <f t="shared" si="23"/>
        <v>11.365420887181278</v>
      </c>
    </row>
    <row r="384" spans="1:26" hidden="1" x14ac:dyDescent="0.25">
      <c r="A384" t="s">
        <v>106</v>
      </c>
      <c r="B384">
        <v>5</v>
      </c>
      <c r="C384">
        <v>2</v>
      </c>
      <c r="D384">
        <v>0</v>
      </c>
      <c r="E384" t="s">
        <v>291</v>
      </c>
      <c r="F384">
        <v>191071</v>
      </c>
      <c r="G384">
        <v>561385965.5</v>
      </c>
      <c r="H384">
        <v>0.96944443881511688</v>
      </c>
      <c r="I384">
        <v>0.95944444444444443</v>
      </c>
      <c r="J384">
        <v>30753847.5</v>
      </c>
      <c r="K384">
        <v>190540</v>
      </c>
      <c r="L384">
        <v>2</v>
      </c>
      <c r="M384">
        <v>290</v>
      </c>
      <c r="N384">
        <v>0.9588888888888889</v>
      </c>
      <c r="O384">
        <v>30408068.75</v>
      </c>
      <c r="P384">
        <v>191779</v>
      </c>
      <c r="Q384">
        <v>2</v>
      </c>
      <c r="R384">
        <v>291</v>
      </c>
      <c r="S384">
        <v>11.504420894212078</v>
      </c>
      <c r="T384">
        <v>0.9679012497266134</v>
      </c>
      <c r="W384">
        <f t="shared" si="20"/>
        <v>190540</v>
      </c>
      <c r="X384">
        <f t="shared" si="21"/>
        <v>0.96944443881511688</v>
      </c>
      <c r="Y384">
        <f t="shared" si="22"/>
        <v>0.9679012497266134</v>
      </c>
      <c r="Z384">
        <f t="shared" si="23"/>
        <v>11.504420894212078</v>
      </c>
    </row>
    <row r="385" spans="1:26" hidden="1" x14ac:dyDescent="0.25">
      <c r="A385" t="s">
        <v>106</v>
      </c>
      <c r="B385">
        <v>5</v>
      </c>
      <c r="C385">
        <v>3</v>
      </c>
      <c r="D385">
        <v>0</v>
      </c>
      <c r="E385" t="s">
        <v>186</v>
      </c>
      <c r="F385">
        <v>191104</v>
      </c>
      <c r="G385">
        <v>393340549.39999998</v>
      </c>
      <c r="H385">
        <v>0.96799998283386235</v>
      </c>
      <c r="I385">
        <v>0.96977777777777774</v>
      </c>
      <c r="J385">
        <v>31546553.199999999</v>
      </c>
      <c r="K385">
        <v>190540</v>
      </c>
      <c r="L385">
        <v>2</v>
      </c>
      <c r="M385">
        <v>290</v>
      </c>
      <c r="N385">
        <v>0.96933333333333338</v>
      </c>
      <c r="O385">
        <v>31289534</v>
      </c>
      <c r="P385">
        <v>191779</v>
      </c>
      <c r="Q385">
        <v>2</v>
      </c>
      <c r="R385">
        <v>291</v>
      </c>
      <c r="S385">
        <v>11.546252782587187</v>
      </c>
      <c r="T385">
        <v>0.96388889849185944</v>
      </c>
      <c r="W385">
        <f t="shared" si="20"/>
        <v>190540</v>
      </c>
      <c r="X385">
        <f t="shared" si="21"/>
        <v>0.96799998283386235</v>
      </c>
      <c r="Y385">
        <f t="shared" si="22"/>
        <v>0.96388889849185944</v>
      </c>
      <c r="Z385">
        <f t="shared" si="23"/>
        <v>11.546252782587187</v>
      </c>
    </row>
    <row r="386" spans="1:26" hidden="1" x14ac:dyDescent="0.25">
      <c r="A386" t="s">
        <v>106</v>
      </c>
      <c r="B386">
        <v>5</v>
      </c>
      <c r="C386">
        <v>4</v>
      </c>
      <c r="D386">
        <v>0</v>
      </c>
      <c r="E386" t="s">
        <v>256</v>
      </c>
      <c r="F386">
        <v>191275</v>
      </c>
      <c r="G386">
        <v>350503398.75</v>
      </c>
      <c r="H386">
        <v>0.94555555284023285</v>
      </c>
      <c r="I386">
        <v>0.97166666666666668</v>
      </c>
      <c r="J386">
        <v>31204682.5</v>
      </c>
      <c r="K386">
        <v>190540</v>
      </c>
      <c r="L386">
        <v>2</v>
      </c>
      <c r="M386">
        <v>290</v>
      </c>
      <c r="N386">
        <v>0.96777777777777785</v>
      </c>
      <c r="O386">
        <v>32289597.5</v>
      </c>
      <c r="P386">
        <v>191779</v>
      </c>
      <c r="Q386">
        <v>2</v>
      </c>
      <c r="R386">
        <v>291</v>
      </c>
      <c r="S386">
        <v>11.576653885947294</v>
      </c>
      <c r="T386">
        <v>0.94691359996795654</v>
      </c>
      <c r="W386">
        <f t="shared" si="20"/>
        <v>190540</v>
      </c>
      <c r="X386">
        <f t="shared" si="21"/>
        <v>0.94555555284023285</v>
      </c>
      <c r="Y386">
        <f t="shared" si="22"/>
        <v>0.94691359996795654</v>
      </c>
      <c r="Z386">
        <f t="shared" si="23"/>
        <v>11.576653885947294</v>
      </c>
    </row>
    <row r="387" spans="1:26" hidden="1" x14ac:dyDescent="0.25">
      <c r="A387" t="s">
        <v>106</v>
      </c>
      <c r="B387">
        <v>9</v>
      </c>
      <c r="C387">
        <v>4</v>
      </c>
      <c r="D387">
        <v>0</v>
      </c>
      <c r="E387" t="s">
        <v>254</v>
      </c>
      <c r="F387">
        <v>190663</v>
      </c>
      <c r="G387">
        <v>259579980.25</v>
      </c>
      <c r="H387">
        <v>0.93777777254581451</v>
      </c>
      <c r="I387">
        <v>0.95333333333333337</v>
      </c>
      <c r="J387">
        <v>31691817.75</v>
      </c>
      <c r="K387">
        <v>190540</v>
      </c>
      <c r="L387">
        <v>2</v>
      </c>
      <c r="M387">
        <v>290</v>
      </c>
      <c r="N387">
        <v>0.94611111111111112</v>
      </c>
      <c r="O387">
        <v>31632965.5</v>
      </c>
      <c r="P387">
        <v>191779</v>
      </c>
      <c r="Q387">
        <v>2</v>
      </c>
      <c r="R387">
        <v>291</v>
      </c>
      <c r="S387">
        <v>12.150595337917157</v>
      </c>
      <c r="T387">
        <v>0.9481666666666666</v>
      </c>
      <c r="W387">
        <f t="shared" ref="W387:W450" si="24">K387</f>
        <v>190540</v>
      </c>
      <c r="X387">
        <f t="shared" ref="X387:X450" si="25">H387</f>
        <v>0.93777777254581451</v>
      </c>
      <c r="Y387">
        <f t="shared" ref="Y387:Y450" si="26">T387</f>
        <v>0.9481666666666666</v>
      </c>
      <c r="Z387">
        <f t="shared" ref="Z387:Z450" si="27">S387</f>
        <v>12.150595337917157</v>
      </c>
    </row>
    <row r="388" spans="1:26" x14ac:dyDescent="0.25">
      <c r="A388" t="s">
        <v>106</v>
      </c>
      <c r="B388">
        <v>3</v>
      </c>
      <c r="C388">
        <v>2</v>
      </c>
      <c r="D388">
        <v>0</v>
      </c>
      <c r="E388" t="s">
        <v>231</v>
      </c>
      <c r="F388">
        <v>118414</v>
      </c>
      <c r="G388">
        <v>434898590.5</v>
      </c>
      <c r="H388">
        <v>0.96518517533938086</v>
      </c>
      <c r="I388">
        <v>0.94370370370370371</v>
      </c>
      <c r="J388">
        <v>30935969.333333332</v>
      </c>
      <c r="K388">
        <v>191779</v>
      </c>
      <c r="L388">
        <v>2</v>
      </c>
      <c r="M388">
        <v>291</v>
      </c>
      <c r="N388">
        <v>0.94259259259259254</v>
      </c>
      <c r="O388">
        <v>31025439.333333332</v>
      </c>
      <c r="P388">
        <v>193022</v>
      </c>
      <c r="Q388">
        <v>2</v>
      </c>
      <c r="R388">
        <v>292</v>
      </c>
      <c r="S388">
        <v>11.280898876404494</v>
      </c>
      <c r="T388">
        <v>0.98000000715255742</v>
      </c>
      <c r="W388">
        <f t="shared" si="24"/>
        <v>191779</v>
      </c>
      <c r="X388">
        <f t="shared" si="25"/>
        <v>0.96518517533938086</v>
      </c>
      <c r="Y388">
        <f t="shared" si="26"/>
        <v>0.98000000715255742</v>
      </c>
      <c r="Z388">
        <f t="shared" si="27"/>
        <v>11.280898876404494</v>
      </c>
    </row>
    <row r="389" spans="1:26" hidden="1" x14ac:dyDescent="0.25">
      <c r="A389" t="s">
        <v>106</v>
      </c>
      <c r="B389">
        <v>3</v>
      </c>
      <c r="C389">
        <v>3</v>
      </c>
      <c r="D389">
        <v>0</v>
      </c>
      <c r="E389" t="s">
        <v>167</v>
      </c>
      <c r="F389">
        <v>107962</v>
      </c>
      <c r="G389">
        <v>357016187.22222221</v>
      </c>
      <c r="H389">
        <v>0.97308642334408235</v>
      </c>
      <c r="I389">
        <v>0.96296296296296291</v>
      </c>
      <c r="J389">
        <v>30819096.555555556</v>
      </c>
      <c r="K389">
        <v>191779</v>
      </c>
      <c r="L389">
        <v>2</v>
      </c>
      <c r="M389">
        <v>291</v>
      </c>
      <c r="N389">
        <v>0.95925925925925926</v>
      </c>
      <c r="O389">
        <v>30882689.333333332</v>
      </c>
      <c r="P389">
        <v>193022</v>
      </c>
      <c r="Q389">
        <v>2</v>
      </c>
      <c r="R389">
        <v>292</v>
      </c>
      <c r="S389">
        <v>11.366168667969841</v>
      </c>
      <c r="T389">
        <v>0.97129630297422409</v>
      </c>
      <c r="W389">
        <f t="shared" si="24"/>
        <v>191779</v>
      </c>
      <c r="X389">
        <f t="shared" si="25"/>
        <v>0.97308642334408235</v>
      </c>
      <c r="Y389">
        <f t="shared" si="26"/>
        <v>0.97129630297422409</v>
      </c>
      <c r="Z389">
        <f t="shared" si="27"/>
        <v>11.366168667969841</v>
      </c>
    </row>
    <row r="390" spans="1:26" hidden="1" x14ac:dyDescent="0.25">
      <c r="A390" t="s">
        <v>106</v>
      </c>
      <c r="B390">
        <v>5</v>
      </c>
      <c r="C390">
        <v>2</v>
      </c>
      <c r="D390">
        <v>0</v>
      </c>
      <c r="E390" t="s">
        <v>272</v>
      </c>
      <c r="F390">
        <v>192997</v>
      </c>
      <c r="G390">
        <v>576435084.75</v>
      </c>
      <c r="H390">
        <v>0.96888889372348785</v>
      </c>
      <c r="I390">
        <v>0.96277777777777773</v>
      </c>
      <c r="J390">
        <v>31951524</v>
      </c>
      <c r="K390">
        <v>191779</v>
      </c>
      <c r="L390">
        <v>2</v>
      </c>
      <c r="M390">
        <v>291</v>
      </c>
      <c r="N390">
        <v>0.9572222222222222</v>
      </c>
      <c r="O390">
        <v>32127192.75</v>
      </c>
      <c r="P390">
        <v>193022</v>
      </c>
      <c r="Q390">
        <v>2</v>
      </c>
      <c r="R390">
        <v>292</v>
      </c>
      <c r="S390">
        <v>11.505673625478027</v>
      </c>
      <c r="T390">
        <v>0.97777777910232544</v>
      </c>
      <c r="W390">
        <f t="shared" si="24"/>
        <v>191779</v>
      </c>
      <c r="X390">
        <f t="shared" si="25"/>
        <v>0.96888889372348785</v>
      </c>
      <c r="Y390">
        <f t="shared" si="26"/>
        <v>0.97777777910232544</v>
      </c>
      <c r="Z390">
        <f t="shared" si="27"/>
        <v>11.505673625478027</v>
      </c>
    </row>
    <row r="391" spans="1:26" hidden="1" x14ac:dyDescent="0.25">
      <c r="A391" t="s">
        <v>106</v>
      </c>
      <c r="B391">
        <v>5</v>
      </c>
      <c r="C391">
        <v>3</v>
      </c>
      <c r="D391">
        <v>0</v>
      </c>
      <c r="E391" t="s">
        <v>264</v>
      </c>
      <c r="F391">
        <v>192439</v>
      </c>
      <c r="G391">
        <v>545884199.25</v>
      </c>
      <c r="H391">
        <v>0.95611110329627991</v>
      </c>
      <c r="I391">
        <v>0.96388888888888891</v>
      </c>
      <c r="J391">
        <v>32675053.25</v>
      </c>
      <c r="K391">
        <v>191779</v>
      </c>
      <c r="L391">
        <v>2</v>
      </c>
      <c r="M391">
        <v>291</v>
      </c>
      <c r="N391">
        <v>0.96499999999999997</v>
      </c>
      <c r="O391">
        <v>31104445.75</v>
      </c>
      <c r="P391">
        <v>193022</v>
      </c>
      <c r="Q391">
        <v>2</v>
      </c>
      <c r="R391">
        <v>292</v>
      </c>
      <c r="S391">
        <v>11.547601384767557</v>
      </c>
      <c r="T391">
        <v>0.96049382289250695</v>
      </c>
      <c r="W391">
        <f t="shared" si="24"/>
        <v>191779</v>
      </c>
      <c r="X391">
        <f t="shared" si="25"/>
        <v>0.95611110329627991</v>
      </c>
      <c r="Y391">
        <f t="shared" si="26"/>
        <v>0.96049382289250695</v>
      </c>
      <c r="Z391">
        <f t="shared" si="27"/>
        <v>11.547601384767557</v>
      </c>
    </row>
    <row r="392" spans="1:26" hidden="1" x14ac:dyDescent="0.25">
      <c r="A392" t="s">
        <v>106</v>
      </c>
      <c r="B392">
        <v>5</v>
      </c>
      <c r="C392">
        <v>5</v>
      </c>
      <c r="D392">
        <v>0</v>
      </c>
      <c r="E392" t="s">
        <v>111</v>
      </c>
      <c r="F392">
        <v>191926</v>
      </c>
      <c r="G392">
        <v>274815753.75</v>
      </c>
      <c r="H392">
        <v>0.96111111342906952</v>
      </c>
      <c r="I392">
        <v>0.97333333333333338</v>
      </c>
      <c r="J392">
        <v>32471803</v>
      </c>
      <c r="K392">
        <v>191779</v>
      </c>
      <c r="L392">
        <v>2</v>
      </c>
      <c r="M392">
        <v>291</v>
      </c>
      <c r="N392">
        <v>0.97499999999999998</v>
      </c>
      <c r="O392">
        <v>32162964.25</v>
      </c>
      <c r="P392">
        <v>193022</v>
      </c>
      <c r="Q392">
        <v>2</v>
      </c>
      <c r="R392">
        <v>292</v>
      </c>
      <c r="S392">
        <v>11.613138250223948</v>
      </c>
      <c r="T392">
        <v>0.95185184478759766</v>
      </c>
      <c r="W392">
        <f t="shared" si="24"/>
        <v>191779</v>
      </c>
      <c r="X392">
        <f t="shared" si="25"/>
        <v>0.96111111342906952</v>
      </c>
      <c r="Y392">
        <f t="shared" si="26"/>
        <v>0.95185184478759766</v>
      </c>
      <c r="Z392">
        <f t="shared" si="27"/>
        <v>11.613138250223948</v>
      </c>
    </row>
    <row r="393" spans="1:26" hidden="1" x14ac:dyDescent="0.25">
      <c r="A393" t="s">
        <v>106</v>
      </c>
      <c r="B393">
        <v>9</v>
      </c>
      <c r="C393">
        <v>2</v>
      </c>
      <c r="D393">
        <v>0</v>
      </c>
      <c r="E393" t="s">
        <v>205</v>
      </c>
      <c r="F393">
        <v>192508</v>
      </c>
      <c r="G393">
        <v>726350654.5</v>
      </c>
      <c r="H393">
        <v>0.86777776479721069</v>
      </c>
      <c r="I393">
        <v>0.9622222222222222</v>
      </c>
      <c r="J393">
        <v>30380764.75</v>
      </c>
      <c r="K393">
        <v>191779</v>
      </c>
      <c r="L393">
        <v>2</v>
      </c>
      <c r="M393">
        <v>291</v>
      </c>
      <c r="N393">
        <v>0.9572222222222222</v>
      </c>
      <c r="O393">
        <v>31718982.5</v>
      </c>
      <c r="P393">
        <v>193022</v>
      </c>
      <c r="Q393">
        <v>2</v>
      </c>
      <c r="R393">
        <v>292</v>
      </c>
      <c r="S393">
        <v>11.746514869888475</v>
      </c>
      <c r="T393">
        <v>0.85185186068216956</v>
      </c>
      <c r="W393">
        <f t="shared" si="24"/>
        <v>191779</v>
      </c>
      <c r="X393">
        <f t="shared" si="25"/>
        <v>0.86777776479721069</v>
      </c>
      <c r="Y393">
        <f t="shared" si="26"/>
        <v>0.85185186068216956</v>
      </c>
      <c r="Z393">
        <f t="shared" si="27"/>
        <v>11.746514869888475</v>
      </c>
    </row>
    <row r="394" spans="1:26" hidden="1" x14ac:dyDescent="0.25">
      <c r="A394" t="s">
        <v>106</v>
      </c>
      <c r="B394">
        <v>9</v>
      </c>
      <c r="C394">
        <v>3</v>
      </c>
      <c r="D394">
        <v>0</v>
      </c>
      <c r="E394" t="s">
        <v>116</v>
      </c>
      <c r="F394">
        <v>192232</v>
      </c>
      <c r="G394">
        <v>370069790.75</v>
      </c>
      <c r="H394">
        <v>0.96111111342906952</v>
      </c>
      <c r="I394">
        <v>0.94944444444444442</v>
      </c>
      <c r="J394">
        <v>31993894.25</v>
      </c>
      <c r="K394">
        <v>191779</v>
      </c>
      <c r="L394">
        <v>2</v>
      </c>
      <c r="M394">
        <v>291</v>
      </c>
      <c r="N394">
        <v>0.95333333333333337</v>
      </c>
      <c r="O394">
        <v>32167301.25</v>
      </c>
      <c r="P394">
        <v>193022</v>
      </c>
      <c r="Q394">
        <v>2</v>
      </c>
      <c r="R394">
        <v>292</v>
      </c>
      <c r="S394">
        <v>11.918172461116194</v>
      </c>
      <c r="T394">
        <v>0.9716049234072367</v>
      </c>
      <c r="W394">
        <f t="shared" si="24"/>
        <v>191779</v>
      </c>
      <c r="X394">
        <f t="shared" si="25"/>
        <v>0.96111111342906952</v>
      </c>
      <c r="Y394">
        <f t="shared" si="26"/>
        <v>0.9716049234072367</v>
      </c>
      <c r="Z394">
        <f t="shared" si="27"/>
        <v>11.918172461116194</v>
      </c>
    </row>
    <row r="395" spans="1:26" hidden="1" x14ac:dyDescent="0.25">
      <c r="A395" t="s">
        <v>106</v>
      </c>
      <c r="B395">
        <v>9</v>
      </c>
      <c r="C395">
        <v>5</v>
      </c>
      <c r="D395">
        <v>0</v>
      </c>
      <c r="E395" t="s">
        <v>294</v>
      </c>
      <c r="F395">
        <v>192799</v>
      </c>
      <c r="G395">
        <v>198271271.5</v>
      </c>
      <c r="H395">
        <v>0.90833334624767303</v>
      </c>
      <c r="I395">
        <v>0.96</v>
      </c>
      <c r="J395">
        <v>31095695.75</v>
      </c>
      <c r="K395">
        <v>191779</v>
      </c>
      <c r="L395">
        <v>2</v>
      </c>
      <c r="M395">
        <v>291</v>
      </c>
      <c r="N395">
        <v>0.9555555555555556</v>
      </c>
      <c r="O395">
        <v>30647676.5</v>
      </c>
      <c r="P395">
        <v>193022</v>
      </c>
      <c r="Q395">
        <v>2</v>
      </c>
      <c r="R395">
        <v>292</v>
      </c>
      <c r="S395">
        <v>12.176531956951461</v>
      </c>
      <c r="T395">
        <v>0.92836666666666667</v>
      </c>
      <c r="W395">
        <f t="shared" si="24"/>
        <v>191779</v>
      </c>
      <c r="X395">
        <f t="shared" si="25"/>
        <v>0.90833334624767303</v>
      </c>
      <c r="Y395">
        <f t="shared" si="26"/>
        <v>0.92836666666666667</v>
      </c>
      <c r="Z395">
        <f t="shared" si="27"/>
        <v>12.176531956951461</v>
      </c>
    </row>
    <row r="396" spans="1:26" hidden="1" x14ac:dyDescent="0.25">
      <c r="A396" t="s">
        <v>106</v>
      </c>
      <c r="B396">
        <v>3</v>
      </c>
      <c r="C396">
        <v>3</v>
      </c>
      <c r="D396">
        <v>0</v>
      </c>
      <c r="E396" t="s">
        <v>136</v>
      </c>
      <c r="F396">
        <v>108974</v>
      </c>
      <c r="G396">
        <v>332783954.372549</v>
      </c>
      <c r="H396">
        <v>0.96993464231491089</v>
      </c>
      <c r="I396">
        <v>0.95681917211328971</v>
      </c>
      <c r="J396">
        <v>30696528.803921569</v>
      </c>
      <c r="K396">
        <v>193022</v>
      </c>
      <c r="L396">
        <v>2</v>
      </c>
      <c r="M396">
        <v>292</v>
      </c>
      <c r="N396">
        <v>0.95738562091503265</v>
      </c>
      <c r="O396">
        <v>30958430.921568628</v>
      </c>
      <c r="P396">
        <v>194269</v>
      </c>
      <c r="Q396">
        <v>2</v>
      </c>
      <c r="R396">
        <v>293</v>
      </c>
      <c r="S396">
        <v>11.371060869565218</v>
      </c>
      <c r="T396">
        <v>0.9833333230018616</v>
      </c>
      <c r="W396">
        <f t="shared" si="24"/>
        <v>193022</v>
      </c>
      <c r="X396">
        <f t="shared" si="25"/>
        <v>0.96993464231491089</v>
      </c>
      <c r="Y396">
        <f t="shared" si="26"/>
        <v>0.9833333230018616</v>
      </c>
      <c r="Z396">
        <f t="shared" si="27"/>
        <v>11.371060869565218</v>
      </c>
    </row>
    <row r="397" spans="1:26" hidden="1" x14ac:dyDescent="0.25">
      <c r="A397" t="s">
        <v>106</v>
      </c>
      <c r="B397">
        <v>3</v>
      </c>
      <c r="C397">
        <v>4</v>
      </c>
      <c r="D397">
        <v>0</v>
      </c>
      <c r="E397" t="s">
        <v>156</v>
      </c>
      <c r="F397">
        <v>101796</v>
      </c>
      <c r="G397">
        <v>389044477.5</v>
      </c>
      <c r="H397">
        <v>0.96000000834465027</v>
      </c>
      <c r="I397">
        <v>0.9681481481481482</v>
      </c>
      <c r="J397">
        <v>32326825.833333332</v>
      </c>
      <c r="K397">
        <v>193022</v>
      </c>
      <c r="L397">
        <v>2</v>
      </c>
      <c r="M397">
        <v>292</v>
      </c>
      <c r="N397">
        <v>0.96962962962962962</v>
      </c>
      <c r="O397">
        <v>31930594.666666668</v>
      </c>
      <c r="P397">
        <v>194269</v>
      </c>
      <c r="Q397">
        <v>2</v>
      </c>
      <c r="R397">
        <v>293</v>
      </c>
      <c r="S397">
        <v>11.411783603186841</v>
      </c>
      <c r="T397">
        <v>0.97703704833984373</v>
      </c>
      <c r="W397">
        <f t="shared" si="24"/>
        <v>193022</v>
      </c>
      <c r="X397">
        <f t="shared" si="25"/>
        <v>0.96000000834465027</v>
      </c>
      <c r="Y397">
        <f t="shared" si="26"/>
        <v>0.97703704833984373</v>
      </c>
      <c r="Z397">
        <f t="shared" si="27"/>
        <v>11.411783603186841</v>
      </c>
    </row>
    <row r="398" spans="1:26" hidden="1" x14ac:dyDescent="0.25">
      <c r="A398" t="s">
        <v>106</v>
      </c>
      <c r="B398">
        <v>5</v>
      </c>
      <c r="C398">
        <v>2</v>
      </c>
      <c r="D398">
        <v>0</v>
      </c>
      <c r="E398" t="s">
        <v>260</v>
      </c>
      <c r="F398">
        <v>193723</v>
      </c>
      <c r="G398">
        <v>647553129.28571427</v>
      </c>
      <c r="H398">
        <v>0.9660317557198661</v>
      </c>
      <c r="I398">
        <v>0.9568253968253968</v>
      </c>
      <c r="J398">
        <v>31151221.142857142</v>
      </c>
      <c r="K398">
        <v>193022</v>
      </c>
      <c r="L398">
        <v>2</v>
      </c>
      <c r="M398">
        <v>292</v>
      </c>
      <c r="N398">
        <v>0.96190476190476193</v>
      </c>
      <c r="O398">
        <v>31433612.142857142</v>
      </c>
      <c r="P398">
        <v>194269</v>
      </c>
      <c r="Q398">
        <v>2</v>
      </c>
      <c r="R398">
        <v>293</v>
      </c>
      <c r="S398">
        <v>11.508334377741571</v>
      </c>
      <c r="T398">
        <v>0.96728395422299707</v>
      </c>
      <c r="W398">
        <f t="shared" si="24"/>
        <v>193022</v>
      </c>
      <c r="X398">
        <f t="shared" si="25"/>
        <v>0.9660317557198661</v>
      </c>
      <c r="Y398">
        <f t="shared" si="26"/>
        <v>0.96728395422299707</v>
      </c>
      <c r="Z398">
        <f t="shared" si="27"/>
        <v>11.508334377741571</v>
      </c>
    </row>
    <row r="399" spans="1:26" hidden="1" x14ac:dyDescent="0.25">
      <c r="A399" t="s">
        <v>106</v>
      </c>
      <c r="B399">
        <v>5</v>
      </c>
      <c r="C399">
        <v>4</v>
      </c>
      <c r="D399">
        <v>0</v>
      </c>
      <c r="E399" t="s">
        <v>262</v>
      </c>
      <c r="F399">
        <v>193385</v>
      </c>
      <c r="G399">
        <v>374131386.4285714</v>
      </c>
      <c r="H399">
        <v>0.95428571530750816</v>
      </c>
      <c r="I399">
        <v>0.9676190476190476</v>
      </c>
      <c r="J399">
        <v>32701326.571428571</v>
      </c>
      <c r="K399">
        <v>193022</v>
      </c>
      <c r="L399">
        <v>2</v>
      </c>
      <c r="M399">
        <v>292</v>
      </c>
      <c r="N399">
        <v>0.97111111111111115</v>
      </c>
      <c r="O399">
        <v>31734785.285714287</v>
      </c>
      <c r="P399">
        <v>194269</v>
      </c>
      <c r="Q399">
        <v>2</v>
      </c>
      <c r="R399">
        <v>293</v>
      </c>
      <c r="S399">
        <v>11.577442511254411</v>
      </c>
      <c r="T399">
        <v>0.95617283384005225</v>
      </c>
      <c r="W399">
        <f t="shared" si="24"/>
        <v>193022</v>
      </c>
      <c r="X399">
        <f t="shared" si="25"/>
        <v>0.95428571530750816</v>
      </c>
      <c r="Y399">
        <f t="shared" si="26"/>
        <v>0.95617283384005225</v>
      </c>
      <c r="Z399">
        <f t="shared" si="27"/>
        <v>11.577442511254411</v>
      </c>
    </row>
    <row r="400" spans="1:26" x14ac:dyDescent="0.25">
      <c r="A400" t="s">
        <v>106</v>
      </c>
      <c r="B400">
        <v>3</v>
      </c>
      <c r="C400">
        <v>2</v>
      </c>
      <c r="D400">
        <v>0</v>
      </c>
      <c r="E400" t="s">
        <v>232</v>
      </c>
      <c r="F400">
        <v>119728</v>
      </c>
      <c r="G400">
        <v>491178008</v>
      </c>
      <c r="H400">
        <v>0.96333333849906921</v>
      </c>
      <c r="I400">
        <v>0.94444444444444442</v>
      </c>
      <c r="J400">
        <v>28683031.833333332</v>
      </c>
      <c r="K400">
        <v>194269</v>
      </c>
      <c r="L400">
        <v>2</v>
      </c>
      <c r="M400">
        <v>293</v>
      </c>
      <c r="N400">
        <v>0.94481481481481477</v>
      </c>
      <c r="O400">
        <v>28154978.833333332</v>
      </c>
      <c r="P400">
        <v>195520</v>
      </c>
      <c r="Q400">
        <v>2</v>
      </c>
      <c r="R400">
        <v>294</v>
      </c>
      <c r="S400">
        <v>11.282656214667973</v>
      </c>
      <c r="T400">
        <v>0.96148147583007815</v>
      </c>
      <c r="W400">
        <f t="shared" si="24"/>
        <v>194269</v>
      </c>
      <c r="X400">
        <f t="shared" si="25"/>
        <v>0.96333333849906921</v>
      </c>
      <c r="Y400">
        <f t="shared" si="26"/>
        <v>0.96148147583007815</v>
      </c>
      <c r="Z400">
        <f t="shared" si="27"/>
        <v>11.282656214667973</v>
      </c>
    </row>
    <row r="401" spans="1:26" hidden="1" x14ac:dyDescent="0.25">
      <c r="A401" t="s">
        <v>106</v>
      </c>
      <c r="B401">
        <v>3</v>
      </c>
      <c r="C401">
        <v>3</v>
      </c>
      <c r="D401">
        <v>0</v>
      </c>
      <c r="E401" t="s">
        <v>193</v>
      </c>
      <c r="F401">
        <v>109546</v>
      </c>
      <c r="G401">
        <v>351384638.54545456</v>
      </c>
      <c r="H401">
        <v>0.97181818431073974</v>
      </c>
      <c r="I401">
        <v>0.96151515151515154</v>
      </c>
      <c r="J401">
        <v>30994900.09090909</v>
      </c>
      <c r="K401">
        <v>194269</v>
      </c>
      <c r="L401">
        <v>2</v>
      </c>
      <c r="M401">
        <v>293</v>
      </c>
      <c r="N401">
        <v>0.96131313131313134</v>
      </c>
      <c r="O401">
        <v>31944875.136363637</v>
      </c>
      <c r="P401">
        <v>195520</v>
      </c>
      <c r="Q401">
        <v>2</v>
      </c>
      <c r="R401">
        <v>294</v>
      </c>
      <c r="S401">
        <v>11.37417517538376</v>
      </c>
      <c r="T401">
        <v>0.9754850069681803</v>
      </c>
      <c r="W401">
        <f t="shared" si="24"/>
        <v>194269</v>
      </c>
      <c r="X401">
        <f t="shared" si="25"/>
        <v>0.97181818431073974</v>
      </c>
      <c r="Y401">
        <f t="shared" si="26"/>
        <v>0.9754850069681803</v>
      </c>
      <c r="Z401">
        <f t="shared" si="27"/>
        <v>11.37417517538376</v>
      </c>
    </row>
    <row r="402" spans="1:26" hidden="1" x14ac:dyDescent="0.25">
      <c r="A402" t="s">
        <v>106</v>
      </c>
      <c r="B402">
        <v>5</v>
      </c>
      <c r="C402">
        <v>3</v>
      </c>
      <c r="D402">
        <v>0</v>
      </c>
      <c r="E402" t="s">
        <v>282</v>
      </c>
      <c r="F402">
        <v>194559</v>
      </c>
      <c r="G402">
        <v>454656120.5714286</v>
      </c>
      <c r="H402">
        <v>0.96158730132239201</v>
      </c>
      <c r="I402">
        <v>0.96285714285714286</v>
      </c>
      <c r="J402">
        <v>32006598.857142858</v>
      </c>
      <c r="K402">
        <v>194269</v>
      </c>
      <c r="L402">
        <v>2</v>
      </c>
      <c r="M402">
        <v>293</v>
      </c>
      <c r="N402">
        <v>0.96031746031746035</v>
      </c>
      <c r="O402">
        <v>31711485.142857142</v>
      </c>
      <c r="P402">
        <v>195520</v>
      </c>
      <c r="Q402">
        <v>2</v>
      </c>
      <c r="R402">
        <v>294</v>
      </c>
      <c r="S402">
        <v>11.548785762837545</v>
      </c>
      <c r="T402">
        <v>0.96604939301808679</v>
      </c>
      <c r="W402">
        <f t="shared" si="24"/>
        <v>194269</v>
      </c>
      <c r="X402">
        <f t="shared" si="25"/>
        <v>0.96158730132239201</v>
      </c>
      <c r="Y402">
        <f t="shared" si="26"/>
        <v>0.96604939301808679</v>
      </c>
      <c r="Z402">
        <f t="shared" si="27"/>
        <v>11.548785762837545</v>
      </c>
    </row>
    <row r="403" spans="1:26" hidden="1" x14ac:dyDescent="0.25">
      <c r="A403" t="s">
        <v>106</v>
      </c>
      <c r="B403">
        <v>9</v>
      </c>
      <c r="C403">
        <v>2</v>
      </c>
      <c r="D403">
        <v>0</v>
      </c>
      <c r="E403" t="s">
        <v>269</v>
      </c>
      <c r="F403">
        <v>194487</v>
      </c>
      <c r="G403">
        <v>867008816.5</v>
      </c>
      <c r="H403">
        <v>0.82000000774860382</v>
      </c>
      <c r="I403">
        <v>0.96388888888888891</v>
      </c>
      <c r="J403">
        <v>31867865.25</v>
      </c>
      <c r="K403">
        <v>194269</v>
      </c>
      <c r="L403">
        <v>2</v>
      </c>
      <c r="M403">
        <v>293</v>
      </c>
      <c r="N403">
        <v>0.96277777777777773</v>
      </c>
      <c r="O403">
        <v>31437372</v>
      </c>
      <c r="P403">
        <v>195520</v>
      </c>
      <c r="Q403">
        <v>2</v>
      </c>
      <c r="R403">
        <v>294</v>
      </c>
      <c r="S403">
        <v>11.750871080139373</v>
      </c>
      <c r="T403">
        <v>0.80740741888682044</v>
      </c>
      <c r="W403">
        <f t="shared" si="24"/>
        <v>194269</v>
      </c>
      <c r="X403">
        <f t="shared" si="25"/>
        <v>0.82000000774860382</v>
      </c>
      <c r="Y403">
        <f t="shared" si="26"/>
        <v>0.80740741888682044</v>
      </c>
      <c r="Z403">
        <f t="shared" si="27"/>
        <v>11.750871080139373</v>
      </c>
    </row>
    <row r="404" spans="1:26" hidden="1" x14ac:dyDescent="0.25">
      <c r="A404" t="s">
        <v>106</v>
      </c>
      <c r="B404">
        <v>9</v>
      </c>
      <c r="C404">
        <v>3</v>
      </c>
      <c r="D404">
        <v>0</v>
      </c>
      <c r="E404" t="s">
        <v>147</v>
      </c>
      <c r="F404">
        <v>194442</v>
      </c>
      <c r="G404">
        <v>417824540.75</v>
      </c>
      <c r="H404">
        <v>0.94500000774860382</v>
      </c>
      <c r="I404">
        <v>0.9572222222222222</v>
      </c>
      <c r="J404">
        <v>33491784.25</v>
      </c>
      <c r="K404">
        <v>194269</v>
      </c>
      <c r="L404">
        <v>2</v>
      </c>
      <c r="M404">
        <v>293</v>
      </c>
      <c r="N404">
        <v>0.95277777777777772</v>
      </c>
      <c r="O404">
        <v>33434937.75</v>
      </c>
      <c r="P404">
        <v>195520</v>
      </c>
      <c r="Q404">
        <v>2</v>
      </c>
      <c r="R404">
        <v>294</v>
      </c>
      <c r="S404">
        <v>11.918934369997713</v>
      </c>
      <c r="T404">
        <v>0.96543208758036292</v>
      </c>
      <c r="W404">
        <f t="shared" si="24"/>
        <v>194269</v>
      </c>
      <c r="X404">
        <f t="shared" si="25"/>
        <v>0.94500000774860382</v>
      </c>
      <c r="Y404">
        <f t="shared" si="26"/>
        <v>0.96543208758036292</v>
      </c>
      <c r="Z404">
        <f t="shared" si="27"/>
        <v>11.918934369997713</v>
      </c>
    </row>
    <row r="405" spans="1:26" x14ac:dyDescent="0.25">
      <c r="A405" t="s">
        <v>106</v>
      </c>
      <c r="B405">
        <v>3</v>
      </c>
      <c r="C405">
        <v>2</v>
      </c>
      <c r="D405">
        <v>0</v>
      </c>
      <c r="E405" t="s">
        <v>233</v>
      </c>
      <c r="F405">
        <v>121042</v>
      </c>
      <c r="G405">
        <v>482397619.33333331</v>
      </c>
      <c r="H405">
        <v>0.96703703204790747</v>
      </c>
      <c r="I405">
        <v>0.94444444444444442</v>
      </c>
      <c r="J405">
        <v>28738557</v>
      </c>
      <c r="K405">
        <v>195520</v>
      </c>
      <c r="L405">
        <v>2</v>
      </c>
      <c r="M405">
        <v>294</v>
      </c>
      <c r="N405">
        <v>0.94148148148148147</v>
      </c>
      <c r="O405">
        <v>30457126.666666668</v>
      </c>
      <c r="P405">
        <v>196775</v>
      </c>
      <c r="Q405">
        <v>2</v>
      </c>
      <c r="R405">
        <v>295</v>
      </c>
      <c r="S405">
        <v>11.283884577714156</v>
      </c>
      <c r="T405">
        <v>0.9703703641891479</v>
      </c>
      <c r="W405">
        <f t="shared" si="24"/>
        <v>195520</v>
      </c>
      <c r="X405">
        <f t="shared" si="25"/>
        <v>0.96703703204790747</v>
      </c>
      <c r="Y405">
        <f t="shared" si="26"/>
        <v>0.9703703641891479</v>
      </c>
      <c r="Z405">
        <f t="shared" si="27"/>
        <v>11.283884577714156</v>
      </c>
    </row>
    <row r="406" spans="1:26" hidden="1" x14ac:dyDescent="0.25">
      <c r="A406" t="s">
        <v>106</v>
      </c>
      <c r="B406">
        <v>3</v>
      </c>
      <c r="C406">
        <v>3</v>
      </c>
      <c r="D406">
        <v>0</v>
      </c>
      <c r="E406" t="s">
        <v>137</v>
      </c>
      <c r="F406">
        <v>110308</v>
      </c>
      <c r="G406">
        <v>318964556.7368421</v>
      </c>
      <c r="H406">
        <v>0.96830409451534871</v>
      </c>
      <c r="I406">
        <v>0.95666666666666667</v>
      </c>
      <c r="J406">
        <v>30928762.921052631</v>
      </c>
      <c r="K406">
        <v>195520</v>
      </c>
      <c r="L406">
        <v>2</v>
      </c>
      <c r="M406">
        <v>294</v>
      </c>
      <c r="N406">
        <v>0.9560818713450292</v>
      </c>
      <c r="O406">
        <v>31506173.657894738</v>
      </c>
      <c r="P406">
        <v>196775</v>
      </c>
      <c r="Q406">
        <v>2</v>
      </c>
      <c r="R406">
        <v>295</v>
      </c>
      <c r="S406">
        <v>11.377762383096639</v>
      </c>
      <c r="T406">
        <v>0.98278277951317861</v>
      </c>
      <c r="W406">
        <f t="shared" si="24"/>
        <v>195520</v>
      </c>
      <c r="X406">
        <f t="shared" si="25"/>
        <v>0.96830409451534871</v>
      </c>
      <c r="Y406">
        <f t="shared" si="26"/>
        <v>0.98278277951317861</v>
      </c>
      <c r="Z406">
        <f t="shared" si="27"/>
        <v>11.377762383096639</v>
      </c>
    </row>
    <row r="407" spans="1:26" hidden="1" x14ac:dyDescent="0.25">
      <c r="A407" t="s">
        <v>106</v>
      </c>
      <c r="B407">
        <v>3</v>
      </c>
      <c r="C407">
        <v>4</v>
      </c>
      <c r="D407">
        <v>0</v>
      </c>
      <c r="E407" t="s">
        <v>157</v>
      </c>
      <c r="F407">
        <v>103278</v>
      </c>
      <c r="G407">
        <v>370509103.16666669</v>
      </c>
      <c r="H407">
        <v>0.96037037173906958</v>
      </c>
      <c r="I407">
        <v>0.96777777777777774</v>
      </c>
      <c r="J407">
        <v>31602901</v>
      </c>
      <c r="K407">
        <v>195520</v>
      </c>
      <c r="L407">
        <v>2</v>
      </c>
      <c r="M407">
        <v>294</v>
      </c>
      <c r="N407">
        <v>0.97185185185185186</v>
      </c>
      <c r="O407">
        <v>31084466.166666668</v>
      </c>
      <c r="P407">
        <v>196775</v>
      </c>
      <c r="Q407">
        <v>2</v>
      </c>
      <c r="R407">
        <v>295</v>
      </c>
      <c r="S407">
        <v>11.412459858702633</v>
      </c>
      <c r="T407">
        <v>0.96222223043441768</v>
      </c>
      <c r="W407">
        <f t="shared" si="24"/>
        <v>195520</v>
      </c>
      <c r="X407">
        <f t="shared" si="25"/>
        <v>0.96037037173906958</v>
      </c>
      <c r="Y407">
        <f t="shared" si="26"/>
        <v>0.96222223043441768</v>
      </c>
      <c r="Z407">
        <f t="shared" si="27"/>
        <v>11.412459858702633</v>
      </c>
    </row>
    <row r="408" spans="1:26" hidden="1" x14ac:dyDescent="0.25">
      <c r="A408" t="s">
        <v>106</v>
      </c>
      <c r="B408">
        <v>5</v>
      </c>
      <c r="C408">
        <v>3</v>
      </c>
      <c r="D408">
        <v>0</v>
      </c>
      <c r="E408" t="s">
        <v>208</v>
      </c>
      <c r="F408">
        <v>196434</v>
      </c>
      <c r="G408">
        <v>475177022.75</v>
      </c>
      <c r="H408">
        <v>0.97944445908069611</v>
      </c>
      <c r="I408">
        <v>0.96777777777777774</v>
      </c>
      <c r="J408">
        <v>32346003.5</v>
      </c>
      <c r="K408">
        <v>195520</v>
      </c>
      <c r="L408">
        <v>2</v>
      </c>
      <c r="M408">
        <v>294</v>
      </c>
      <c r="N408">
        <v>0.96333333333333337</v>
      </c>
      <c r="O408">
        <v>31546838.25</v>
      </c>
      <c r="P408">
        <v>196775</v>
      </c>
      <c r="Q408">
        <v>2</v>
      </c>
      <c r="R408">
        <v>295</v>
      </c>
      <c r="S408">
        <v>11.549515042935688</v>
      </c>
      <c r="T408">
        <v>0.96296294530232751</v>
      </c>
      <c r="W408">
        <f t="shared" si="24"/>
        <v>195520</v>
      </c>
      <c r="X408">
        <f t="shared" si="25"/>
        <v>0.97944445908069611</v>
      </c>
      <c r="Y408">
        <f t="shared" si="26"/>
        <v>0.96296294530232751</v>
      </c>
      <c r="Z408">
        <f t="shared" si="27"/>
        <v>11.549515042935688</v>
      </c>
    </row>
    <row r="409" spans="1:26" hidden="1" x14ac:dyDescent="0.25">
      <c r="A409" t="s">
        <v>106</v>
      </c>
      <c r="B409">
        <v>5</v>
      </c>
      <c r="C409">
        <v>4</v>
      </c>
      <c r="D409">
        <v>0</v>
      </c>
      <c r="E409" t="s">
        <v>201</v>
      </c>
      <c r="F409">
        <v>196366</v>
      </c>
      <c r="G409">
        <v>482419189</v>
      </c>
      <c r="H409">
        <v>0.94333332777023315</v>
      </c>
      <c r="I409">
        <v>0.96388888888888891</v>
      </c>
      <c r="J409">
        <v>32933406.25</v>
      </c>
      <c r="K409">
        <v>195520</v>
      </c>
      <c r="L409">
        <v>2</v>
      </c>
      <c r="M409">
        <v>294</v>
      </c>
      <c r="N409">
        <v>0.96611111111111114</v>
      </c>
      <c r="O409">
        <v>31174356.25</v>
      </c>
      <c r="P409">
        <v>196775</v>
      </c>
      <c r="Q409">
        <v>2</v>
      </c>
      <c r="R409">
        <v>295</v>
      </c>
      <c r="S409">
        <v>11.578579248266633</v>
      </c>
      <c r="T409">
        <v>0.95308641592661536</v>
      </c>
      <c r="W409">
        <f t="shared" si="24"/>
        <v>195520</v>
      </c>
      <c r="X409">
        <f t="shared" si="25"/>
        <v>0.94333332777023315</v>
      </c>
      <c r="Y409">
        <f t="shared" si="26"/>
        <v>0.95308641592661536</v>
      </c>
      <c r="Z409">
        <f t="shared" si="27"/>
        <v>11.578579248266633</v>
      </c>
    </row>
    <row r="410" spans="1:26" hidden="1" x14ac:dyDescent="0.25">
      <c r="A410" t="s">
        <v>106</v>
      </c>
      <c r="B410">
        <v>9</v>
      </c>
      <c r="C410">
        <v>2</v>
      </c>
      <c r="D410">
        <v>0</v>
      </c>
      <c r="E410" t="s">
        <v>157</v>
      </c>
      <c r="F410">
        <v>196086</v>
      </c>
      <c r="G410">
        <v>729819897.28571427</v>
      </c>
      <c r="H410">
        <v>0.85111111402511597</v>
      </c>
      <c r="I410">
        <v>0.95968253968253969</v>
      </c>
      <c r="J410">
        <v>31141859.714285713</v>
      </c>
      <c r="K410">
        <v>195520</v>
      </c>
      <c r="L410">
        <v>2</v>
      </c>
      <c r="M410">
        <v>294</v>
      </c>
      <c r="N410">
        <v>0.95873015873015877</v>
      </c>
      <c r="O410">
        <v>30776349.428571429</v>
      </c>
      <c r="P410">
        <v>196775</v>
      </c>
      <c r="Q410">
        <v>2</v>
      </c>
      <c r="R410">
        <v>295</v>
      </c>
      <c r="S410">
        <v>11.756661055320137</v>
      </c>
      <c r="T410">
        <v>0.87407407164573669</v>
      </c>
      <c r="W410">
        <f t="shared" si="24"/>
        <v>195520</v>
      </c>
      <c r="X410">
        <f t="shared" si="25"/>
        <v>0.85111111402511597</v>
      </c>
      <c r="Y410">
        <f t="shared" si="26"/>
        <v>0.87407407164573669</v>
      </c>
      <c r="Z410">
        <f t="shared" si="27"/>
        <v>11.756661055320137</v>
      </c>
    </row>
    <row r="411" spans="1:26" hidden="1" x14ac:dyDescent="0.25">
      <c r="A411" t="s">
        <v>106</v>
      </c>
      <c r="B411">
        <v>3</v>
      </c>
      <c r="C411">
        <v>3</v>
      </c>
      <c r="D411">
        <v>0</v>
      </c>
      <c r="E411" t="s">
        <v>194</v>
      </c>
      <c r="F411">
        <v>110952</v>
      </c>
      <c r="G411">
        <v>319928576.27272725</v>
      </c>
      <c r="H411">
        <v>0.97353535890579224</v>
      </c>
      <c r="I411">
        <v>0.95878787878787874</v>
      </c>
      <c r="J411">
        <v>31249630.045454547</v>
      </c>
      <c r="K411">
        <v>196775</v>
      </c>
      <c r="L411">
        <v>2</v>
      </c>
      <c r="M411">
        <v>295</v>
      </c>
      <c r="N411">
        <v>0.96</v>
      </c>
      <c r="O411">
        <v>31242800.90909091</v>
      </c>
      <c r="P411">
        <v>198034</v>
      </c>
      <c r="Q411">
        <v>2</v>
      </c>
      <c r="R411">
        <v>296</v>
      </c>
      <c r="S411">
        <v>11.379193470291208</v>
      </c>
      <c r="T411">
        <v>0.9761904733521598</v>
      </c>
      <c r="W411">
        <f t="shared" si="24"/>
        <v>196775</v>
      </c>
      <c r="X411">
        <f t="shared" si="25"/>
        <v>0.97353535890579224</v>
      </c>
      <c r="Y411">
        <f t="shared" si="26"/>
        <v>0.9761904733521598</v>
      </c>
      <c r="Z411">
        <f t="shared" si="27"/>
        <v>11.379193470291208</v>
      </c>
    </row>
    <row r="412" spans="1:26" hidden="1" x14ac:dyDescent="0.25">
      <c r="A412" t="s">
        <v>106</v>
      </c>
      <c r="B412">
        <v>5</v>
      </c>
      <c r="C412">
        <v>2</v>
      </c>
      <c r="D412">
        <v>0</v>
      </c>
      <c r="E412" t="s">
        <v>226</v>
      </c>
      <c r="F412">
        <v>197226</v>
      </c>
      <c r="G412">
        <v>646145908.85714281</v>
      </c>
      <c r="H412">
        <v>0.9704761930874416</v>
      </c>
      <c r="I412">
        <v>0.96</v>
      </c>
      <c r="J412">
        <v>31016942.571428571</v>
      </c>
      <c r="K412">
        <v>196775</v>
      </c>
      <c r="L412">
        <v>2</v>
      </c>
      <c r="M412">
        <v>295</v>
      </c>
      <c r="N412">
        <v>0.9568253968253968</v>
      </c>
      <c r="O412">
        <v>31669886.714285713</v>
      </c>
      <c r="P412">
        <v>198034</v>
      </c>
      <c r="Q412">
        <v>2</v>
      </c>
      <c r="R412">
        <v>296</v>
      </c>
      <c r="S412">
        <v>11.511493892890698</v>
      </c>
      <c r="T412">
        <v>0.97777776916821801</v>
      </c>
      <c r="W412">
        <f t="shared" si="24"/>
        <v>196775</v>
      </c>
      <c r="X412">
        <f t="shared" si="25"/>
        <v>0.9704761930874416</v>
      </c>
      <c r="Y412">
        <f t="shared" si="26"/>
        <v>0.97777776916821801</v>
      </c>
      <c r="Z412">
        <f t="shared" si="27"/>
        <v>11.511493892890698</v>
      </c>
    </row>
    <row r="413" spans="1:26" hidden="1" x14ac:dyDescent="0.25">
      <c r="A413" t="s">
        <v>106</v>
      </c>
      <c r="B413">
        <v>5</v>
      </c>
      <c r="C413">
        <v>3</v>
      </c>
      <c r="D413">
        <v>0</v>
      </c>
      <c r="E413" t="s">
        <v>270</v>
      </c>
      <c r="F413">
        <v>197949</v>
      </c>
      <c r="G413">
        <v>639460234.25</v>
      </c>
      <c r="H413">
        <v>0.9699999988079071</v>
      </c>
      <c r="I413">
        <v>0.96833333333333327</v>
      </c>
      <c r="J413">
        <v>32028577.25</v>
      </c>
      <c r="K413">
        <v>196775</v>
      </c>
      <c r="L413">
        <v>2</v>
      </c>
      <c r="M413">
        <v>295</v>
      </c>
      <c r="N413">
        <v>0.96388888888888891</v>
      </c>
      <c r="O413">
        <v>31188034.25</v>
      </c>
      <c r="P413">
        <v>198034</v>
      </c>
      <c r="Q413">
        <v>2</v>
      </c>
      <c r="R413">
        <v>296</v>
      </c>
      <c r="S413">
        <v>11.551540979556544</v>
      </c>
      <c r="T413">
        <v>0.96172841389973962</v>
      </c>
      <c r="W413">
        <f t="shared" si="24"/>
        <v>196775</v>
      </c>
      <c r="X413">
        <f t="shared" si="25"/>
        <v>0.9699999988079071</v>
      </c>
      <c r="Y413">
        <f t="shared" si="26"/>
        <v>0.96172841389973962</v>
      </c>
      <c r="Z413">
        <f t="shared" si="27"/>
        <v>11.551540979556544</v>
      </c>
    </row>
    <row r="414" spans="1:26" hidden="1" x14ac:dyDescent="0.25">
      <c r="A414" t="s">
        <v>106</v>
      </c>
      <c r="B414">
        <v>9</v>
      </c>
      <c r="C414">
        <v>2</v>
      </c>
      <c r="D414">
        <v>0</v>
      </c>
      <c r="E414" t="s">
        <v>222</v>
      </c>
      <c r="F414">
        <v>197754</v>
      </c>
      <c r="G414">
        <v>631134198.5</v>
      </c>
      <c r="H414">
        <v>0.89055556058883667</v>
      </c>
      <c r="I414">
        <v>0.9622222222222222</v>
      </c>
      <c r="J414">
        <v>31407528.75</v>
      </c>
      <c r="K414">
        <v>196775</v>
      </c>
      <c r="L414">
        <v>2</v>
      </c>
      <c r="M414">
        <v>295</v>
      </c>
      <c r="N414">
        <v>0.96166666666666667</v>
      </c>
      <c r="O414">
        <v>30938397.25</v>
      </c>
      <c r="P414">
        <v>198034</v>
      </c>
      <c r="Q414">
        <v>2</v>
      </c>
      <c r="R414">
        <v>296</v>
      </c>
      <c r="S414">
        <v>11.75880680169462</v>
      </c>
      <c r="T414">
        <v>0.89135801792144775</v>
      </c>
      <c r="W414">
        <f t="shared" si="24"/>
        <v>196775</v>
      </c>
      <c r="X414">
        <f t="shared" si="25"/>
        <v>0.89055556058883667</v>
      </c>
      <c r="Y414">
        <f t="shared" si="26"/>
        <v>0.89135801792144775</v>
      </c>
      <c r="Z414">
        <f t="shared" si="27"/>
        <v>11.75880680169462</v>
      </c>
    </row>
    <row r="415" spans="1:26" hidden="1" x14ac:dyDescent="0.25">
      <c r="A415" t="s">
        <v>106</v>
      </c>
      <c r="B415">
        <v>3</v>
      </c>
      <c r="C415">
        <v>3</v>
      </c>
      <c r="D415">
        <v>0</v>
      </c>
      <c r="E415" t="s">
        <v>138</v>
      </c>
      <c r="F415">
        <v>111642</v>
      </c>
      <c r="G415">
        <v>357177200.75</v>
      </c>
      <c r="H415">
        <v>0.97067901326550377</v>
      </c>
      <c r="I415">
        <v>0.95598765432098765</v>
      </c>
      <c r="J415">
        <v>31628564.055555556</v>
      </c>
      <c r="K415">
        <v>198034</v>
      </c>
      <c r="L415">
        <v>2</v>
      </c>
      <c r="M415">
        <v>296</v>
      </c>
      <c r="N415">
        <v>0.95475308641975309</v>
      </c>
      <c r="O415">
        <v>30798307.055555556</v>
      </c>
      <c r="P415">
        <v>199297</v>
      </c>
      <c r="Q415">
        <v>2</v>
      </c>
      <c r="R415">
        <v>297</v>
      </c>
      <c r="S415">
        <v>11.38377147588491</v>
      </c>
      <c r="T415">
        <v>0.98306878464562553</v>
      </c>
      <c r="W415">
        <f t="shared" si="24"/>
        <v>198034</v>
      </c>
      <c r="X415">
        <f t="shared" si="25"/>
        <v>0.97067901326550377</v>
      </c>
      <c r="Y415">
        <f t="shared" si="26"/>
        <v>0.98306878464562553</v>
      </c>
      <c r="Z415">
        <f t="shared" si="27"/>
        <v>11.38377147588491</v>
      </c>
    </row>
    <row r="416" spans="1:26" hidden="1" x14ac:dyDescent="0.25">
      <c r="A416" t="s">
        <v>106</v>
      </c>
      <c r="B416">
        <v>3</v>
      </c>
      <c r="C416">
        <v>4</v>
      </c>
      <c r="D416">
        <v>0</v>
      </c>
      <c r="E416" t="s">
        <v>158</v>
      </c>
      <c r="F416">
        <v>104760</v>
      </c>
      <c r="G416">
        <v>300042030.66666669</v>
      </c>
      <c r="H416">
        <v>0.96888888875643409</v>
      </c>
      <c r="I416">
        <v>0.97</v>
      </c>
      <c r="J416">
        <v>32057141.833333332</v>
      </c>
      <c r="K416">
        <v>198034</v>
      </c>
      <c r="L416">
        <v>2</v>
      </c>
      <c r="M416">
        <v>296</v>
      </c>
      <c r="N416">
        <v>0.97074074074074068</v>
      </c>
      <c r="O416">
        <v>31307287.666666668</v>
      </c>
      <c r="P416">
        <v>199297</v>
      </c>
      <c r="Q416">
        <v>2</v>
      </c>
      <c r="R416">
        <v>297</v>
      </c>
      <c r="S416">
        <v>11.413199794555727</v>
      </c>
      <c r="T416">
        <v>0.9703703641891479</v>
      </c>
      <c r="W416">
        <f t="shared" si="24"/>
        <v>198034</v>
      </c>
      <c r="X416">
        <f t="shared" si="25"/>
        <v>0.96888888875643409</v>
      </c>
      <c r="Y416">
        <f t="shared" si="26"/>
        <v>0.9703703641891479</v>
      </c>
      <c r="Z416">
        <f t="shared" si="27"/>
        <v>11.413199794555727</v>
      </c>
    </row>
    <row r="417" spans="1:26" hidden="1" x14ac:dyDescent="0.25">
      <c r="A417" t="s">
        <v>106</v>
      </c>
      <c r="B417">
        <v>5</v>
      </c>
      <c r="C417">
        <v>2</v>
      </c>
      <c r="D417">
        <v>0</v>
      </c>
      <c r="E417" t="s">
        <v>144</v>
      </c>
      <c r="F417">
        <v>199278</v>
      </c>
      <c r="G417">
        <v>539648315.5</v>
      </c>
      <c r="H417">
        <v>0.96944445371627808</v>
      </c>
      <c r="I417">
        <v>0.9572222222222222</v>
      </c>
      <c r="J417">
        <v>30918748.25</v>
      </c>
      <c r="K417">
        <v>198034</v>
      </c>
      <c r="L417">
        <v>2</v>
      </c>
      <c r="M417">
        <v>296</v>
      </c>
      <c r="N417">
        <v>0.95277777777777772</v>
      </c>
      <c r="O417">
        <v>32451716</v>
      </c>
      <c r="P417">
        <v>199297</v>
      </c>
      <c r="Q417">
        <v>2</v>
      </c>
      <c r="R417">
        <v>297</v>
      </c>
      <c r="S417">
        <v>11.512430333771682</v>
      </c>
      <c r="T417">
        <v>0.97777777910232544</v>
      </c>
      <c r="W417">
        <f t="shared" si="24"/>
        <v>198034</v>
      </c>
      <c r="X417">
        <f t="shared" si="25"/>
        <v>0.96944445371627808</v>
      </c>
      <c r="Y417">
        <f t="shared" si="26"/>
        <v>0.97777777910232544</v>
      </c>
      <c r="Z417">
        <f t="shared" si="27"/>
        <v>11.512430333771682</v>
      </c>
    </row>
    <row r="418" spans="1:26" hidden="1" x14ac:dyDescent="0.25">
      <c r="A418" t="s">
        <v>106</v>
      </c>
      <c r="B418">
        <v>5</v>
      </c>
      <c r="C418">
        <v>3</v>
      </c>
      <c r="D418">
        <v>0</v>
      </c>
      <c r="E418" t="s">
        <v>162</v>
      </c>
      <c r="F418">
        <v>199104</v>
      </c>
      <c r="G418">
        <v>531165844.5</v>
      </c>
      <c r="H418">
        <v>0.96666666865348816</v>
      </c>
      <c r="I418">
        <v>0.96333333333333337</v>
      </c>
      <c r="J418">
        <v>33901766</v>
      </c>
      <c r="K418">
        <v>198034</v>
      </c>
      <c r="L418">
        <v>2</v>
      </c>
      <c r="M418">
        <v>296</v>
      </c>
      <c r="N418">
        <v>0.96388888888888891</v>
      </c>
      <c r="O418">
        <v>33119642.25</v>
      </c>
      <c r="P418">
        <v>199297</v>
      </c>
      <c r="Q418">
        <v>2</v>
      </c>
      <c r="R418">
        <v>297</v>
      </c>
      <c r="S418">
        <v>11.552516208706392</v>
      </c>
      <c r="T418">
        <v>0.96913580099741614</v>
      </c>
      <c r="W418">
        <f t="shared" si="24"/>
        <v>198034</v>
      </c>
      <c r="X418">
        <f t="shared" si="25"/>
        <v>0.96666666865348816</v>
      </c>
      <c r="Y418">
        <f t="shared" si="26"/>
        <v>0.96913580099741614</v>
      </c>
      <c r="Z418">
        <f t="shared" si="27"/>
        <v>11.552516208706392</v>
      </c>
    </row>
    <row r="419" spans="1:26" hidden="1" x14ac:dyDescent="0.25">
      <c r="A419" t="s">
        <v>106</v>
      </c>
      <c r="B419">
        <v>5</v>
      </c>
      <c r="C419">
        <v>4</v>
      </c>
      <c r="D419">
        <v>0</v>
      </c>
      <c r="E419" t="s">
        <v>121</v>
      </c>
      <c r="F419">
        <v>199050</v>
      </c>
      <c r="G419">
        <v>439629116.5</v>
      </c>
      <c r="H419">
        <v>0.95500001311302185</v>
      </c>
      <c r="I419">
        <v>0.96611111111111114</v>
      </c>
      <c r="J419">
        <v>31209732</v>
      </c>
      <c r="K419">
        <v>198034</v>
      </c>
      <c r="L419">
        <v>2</v>
      </c>
      <c r="M419">
        <v>296</v>
      </c>
      <c r="N419">
        <v>0.96333333333333337</v>
      </c>
      <c r="O419">
        <v>31692377.5</v>
      </c>
      <c r="P419">
        <v>199297</v>
      </c>
      <c r="Q419">
        <v>2</v>
      </c>
      <c r="R419">
        <v>297</v>
      </c>
      <c r="S419">
        <v>11.579411407029065</v>
      </c>
      <c r="T419">
        <v>0.95185184478759766</v>
      </c>
      <c r="W419">
        <f t="shared" si="24"/>
        <v>198034</v>
      </c>
      <c r="X419">
        <f t="shared" si="25"/>
        <v>0.95500001311302185</v>
      </c>
      <c r="Y419">
        <f t="shared" si="26"/>
        <v>0.95185184478759766</v>
      </c>
      <c r="Z419">
        <f t="shared" si="27"/>
        <v>11.579411407029065</v>
      </c>
    </row>
    <row r="420" spans="1:26" hidden="1" x14ac:dyDescent="0.25">
      <c r="A420" t="s">
        <v>106</v>
      </c>
      <c r="B420">
        <v>3</v>
      </c>
      <c r="C420">
        <v>3</v>
      </c>
      <c r="D420">
        <v>0</v>
      </c>
      <c r="E420" t="s">
        <v>195</v>
      </c>
      <c r="F420">
        <v>112358</v>
      </c>
      <c r="G420">
        <v>344295250.40909094</v>
      </c>
      <c r="H420">
        <v>0.97474747625264258</v>
      </c>
      <c r="I420">
        <v>0.95949494949494951</v>
      </c>
      <c r="J420">
        <v>31658915.863636363</v>
      </c>
      <c r="K420">
        <v>199297</v>
      </c>
      <c r="L420">
        <v>2</v>
      </c>
      <c r="M420">
        <v>297</v>
      </c>
      <c r="N420">
        <v>0.96040404040404037</v>
      </c>
      <c r="O420">
        <v>30778298.772727273</v>
      </c>
      <c r="P420">
        <v>200564</v>
      </c>
      <c r="Q420">
        <v>2</v>
      </c>
      <c r="R420">
        <v>298</v>
      </c>
      <c r="S420">
        <v>11.386358939028591</v>
      </c>
      <c r="T420">
        <v>0.97619047051384333</v>
      </c>
      <c r="W420">
        <f t="shared" si="24"/>
        <v>199297</v>
      </c>
      <c r="X420">
        <f t="shared" si="25"/>
        <v>0.97474747625264258</v>
      </c>
      <c r="Y420">
        <f t="shared" si="26"/>
        <v>0.97619047051384333</v>
      </c>
      <c r="Z420">
        <f t="shared" si="27"/>
        <v>11.386358939028591</v>
      </c>
    </row>
    <row r="421" spans="1:26" hidden="1" x14ac:dyDescent="0.25">
      <c r="A421" t="s">
        <v>106</v>
      </c>
      <c r="B421">
        <v>5</v>
      </c>
      <c r="C421">
        <v>3</v>
      </c>
      <c r="D421">
        <v>0</v>
      </c>
      <c r="E421" t="s">
        <v>289</v>
      </c>
      <c r="F421">
        <v>199709</v>
      </c>
      <c r="G421">
        <v>458596710.25</v>
      </c>
      <c r="H421">
        <v>0.95944444835186005</v>
      </c>
      <c r="I421">
        <v>0.9572222222222222</v>
      </c>
      <c r="J421">
        <v>32703744</v>
      </c>
      <c r="K421">
        <v>199297</v>
      </c>
      <c r="L421">
        <v>2</v>
      </c>
      <c r="M421">
        <v>297</v>
      </c>
      <c r="N421">
        <v>0.95833333333333337</v>
      </c>
      <c r="O421">
        <v>32140774.25</v>
      </c>
      <c r="P421">
        <v>200564</v>
      </c>
      <c r="Q421">
        <v>2</v>
      </c>
      <c r="R421">
        <v>298</v>
      </c>
      <c r="S421">
        <v>11.553120562997716</v>
      </c>
      <c r="T421">
        <v>0.9716049234072367</v>
      </c>
      <c r="W421">
        <f t="shared" si="24"/>
        <v>199297</v>
      </c>
      <c r="X421">
        <f t="shared" si="25"/>
        <v>0.95944444835186005</v>
      </c>
      <c r="Y421">
        <f t="shared" si="26"/>
        <v>0.9716049234072367</v>
      </c>
      <c r="Z421">
        <f t="shared" si="27"/>
        <v>11.553120562997716</v>
      </c>
    </row>
    <row r="422" spans="1:26" hidden="1" x14ac:dyDescent="0.25">
      <c r="A422" t="s">
        <v>106</v>
      </c>
      <c r="B422">
        <v>9</v>
      </c>
      <c r="C422">
        <v>2</v>
      </c>
      <c r="D422">
        <v>0</v>
      </c>
      <c r="E422" t="s">
        <v>275</v>
      </c>
      <c r="F422">
        <v>199923</v>
      </c>
      <c r="G422">
        <v>715126925.5</v>
      </c>
      <c r="H422">
        <v>0.83444444835186005</v>
      </c>
      <c r="I422">
        <v>0.96111111111111114</v>
      </c>
      <c r="J422">
        <v>32406636.75</v>
      </c>
      <c r="K422">
        <v>199297</v>
      </c>
      <c r="L422">
        <v>2</v>
      </c>
      <c r="M422">
        <v>297</v>
      </c>
      <c r="N422">
        <v>0.9588888888888889</v>
      </c>
      <c r="O422">
        <v>32381914.25</v>
      </c>
      <c r="P422">
        <v>200564</v>
      </c>
      <c r="Q422">
        <v>2</v>
      </c>
      <c r="R422">
        <v>298</v>
      </c>
      <c r="S422">
        <v>11.761879895561357</v>
      </c>
      <c r="T422">
        <v>0.80864197015762329</v>
      </c>
      <c r="W422">
        <f t="shared" si="24"/>
        <v>199297</v>
      </c>
      <c r="X422">
        <f t="shared" si="25"/>
        <v>0.83444444835186005</v>
      </c>
      <c r="Y422">
        <f t="shared" si="26"/>
        <v>0.80864197015762329</v>
      </c>
      <c r="Z422">
        <f t="shared" si="27"/>
        <v>11.761879895561357</v>
      </c>
    </row>
    <row r="423" spans="1:26" hidden="1" x14ac:dyDescent="0.25">
      <c r="A423" t="s">
        <v>106</v>
      </c>
      <c r="B423">
        <v>9</v>
      </c>
      <c r="C423">
        <v>3</v>
      </c>
      <c r="D423">
        <v>0</v>
      </c>
      <c r="E423" t="s">
        <v>256</v>
      </c>
      <c r="F423">
        <v>200377</v>
      </c>
      <c r="G423">
        <v>583616155.75</v>
      </c>
      <c r="H423">
        <v>0.92222222685813904</v>
      </c>
      <c r="I423">
        <v>0.95666666666666667</v>
      </c>
      <c r="J423">
        <v>31842071.5</v>
      </c>
      <c r="K423">
        <v>199297</v>
      </c>
      <c r="L423">
        <v>2</v>
      </c>
      <c r="M423">
        <v>297</v>
      </c>
      <c r="N423">
        <v>0.95166666666666666</v>
      </c>
      <c r="O423">
        <v>31304944.5</v>
      </c>
      <c r="P423">
        <v>200564</v>
      </c>
      <c r="Q423">
        <v>2</v>
      </c>
      <c r="R423">
        <v>298</v>
      </c>
      <c r="S423">
        <v>11.920724737082761</v>
      </c>
      <c r="T423">
        <v>0.95308641592661536</v>
      </c>
      <c r="W423">
        <f t="shared" si="24"/>
        <v>199297</v>
      </c>
      <c r="X423">
        <f t="shared" si="25"/>
        <v>0.92222222685813904</v>
      </c>
      <c r="Y423">
        <f t="shared" si="26"/>
        <v>0.95308641592661536</v>
      </c>
      <c r="Z423">
        <f t="shared" si="27"/>
        <v>11.920724737082761</v>
      </c>
    </row>
    <row r="424" spans="1:26" hidden="1" x14ac:dyDescent="0.25">
      <c r="A424" t="s">
        <v>106</v>
      </c>
      <c r="B424">
        <v>9</v>
      </c>
      <c r="C424">
        <v>4</v>
      </c>
      <c r="D424">
        <v>0</v>
      </c>
      <c r="E424" t="s">
        <v>111</v>
      </c>
      <c r="F424">
        <v>199918</v>
      </c>
      <c r="G424">
        <v>400831044.75</v>
      </c>
      <c r="H424">
        <v>0.93722222745418549</v>
      </c>
      <c r="I424">
        <v>0.94611111111111112</v>
      </c>
      <c r="J424">
        <v>30946154.5</v>
      </c>
      <c r="K424">
        <v>199297</v>
      </c>
      <c r="L424">
        <v>2</v>
      </c>
      <c r="M424">
        <v>297</v>
      </c>
      <c r="N424">
        <v>0.94944444444444442</v>
      </c>
      <c r="O424">
        <v>30420952.5</v>
      </c>
      <c r="P424">
        <v>200564</v>
      </c>
      <c r="Q424">
        <v>2</v>
      </c>
      <c r="R424">
        <v>298</v>
      </c>
      <c r="S424">
        <v>12.15078522327167</v>
      </c>
      <c r="T424">
        <v>0.9556</v>
      </c>
      <c r="W424">
        <f t="shared" si="24"/>
        <v>199297</v>
      </c>
      <c r="X424">
        <f t="shared" si="25"/>
        <v>0.93722222745418549</v>
      </c>
      <c r="Y424">
        <f t="shared" si="26"/>
        <v>0.9556</v>
      </c>
      <c r="Z424">
        <f t="shared" si="27"/>
        <v>12.15078522327167</v>
      </c>
    </row>
    <row r="425" spans="1:26" hidden="1" x14ac:dyDescent="0.25">
      <c r="A425" t="s">
        <v>106</v>
      </c>
      <c r="B425">
        <v>3</v>
      </c>
      <c r="C425">
        <v>3</v>
      </c>
      <c r="D425">
        <v>0</v>
      </c>
      <c r="E425" t="s">
        <v>139</v>
      </c>
      <c r="F425">
        <v>112976</v>
      </c>
      <c r="G425">
        <v>316761849.62857145</v>
      </c>
      <c r="H425">
        <v>0.96946031536374777</v>
      </c>
      <c r="I425">
        <v>0.95434920634920639</v>
      </c>
      <c r="J425">
        <v>30893400.285714287</v>
      </c>
      <c r="K425">
        <v>200564</v>
      </c>
      <c r="L425">
        <v>2</v>
      </c>
      <c r="M425">
        <v>298</v>
      </c>
      <c r="N425">
        <v>0.95263492063492061</v>
      </c>
      <c r="O425">
        <v>31650474.657142859</v>
      </c>
      <c r="P425">
        <v>201835</v>
      </c>
      <c r="Q425">
        <v>2</v>
      </c>
      <c r="R425">
        <v>299</v>
      </c>
      <c r="S425">
        <v>11.387353951890034</v>
      </c>
      <c r="T425">
        <v>0.98017428727710953</v>
      </c>
      <c r="W425">
        <f t="shared" si="24"/>
        <v>200564</v>
      </c>
      <c r="X425">
        <f t="shared" si="25"/>
        <v>0.96946031536374777</v>
      </c>
      <c r="Y425">
        <f t="shared" si="26"/>
        <v>0.98017428727710953</v>
      </c>
      <c r="Z425">
        <f t="shared" si="27"/>
        <v>11.387353951890034</v>
      </c>
    </row>
    <row r="426" spans="1:26" hidden="1" x14ac:dyDescent="0.25">
      <c r="A426" t="s">
        <v>106</v>
      </c>
      <c r="B426">
        <v>3</v>
      </c>
      <c r="C426">
        <v>4</v>
      </c>
      <c r="D426">
        <v>0</v>
      </c>
      <c r="E426" t="s">
        <v>159</v>
      </c>
      <c r="F426">
        <v>106242</v>
      </c>
      <c r="G426">
        <v>347614814.33333331</v>
      </c>
      <c r="H426">
        <v>0.9644444386164347</v>
      </c>
      <c r="I426">
        <v>0.9681481481481482</v>
      </c>
      <c r="J426">
        <v>29391322</v>
      </c>
      <c r="K426">
        <v>200564</v>
      </c>
      <c r="L426">
        <v>2</v>
      </c>
      <c r="M426">
        <v>298</v>
      </c>
      <c r="N426">
        <v>0.97</v>
      </c>
      <c r="O426">
        <v>32320171.333333332</v>
      </c>
      <c r="P426">
        <v>201835</v>
      </c>
      <c r="Q426">
        <v>2</v>
      </c>
      <c r="R426">
        <v>299</v>
      </c>
      <c r="S426">
        <v>11.41329739442947</v>
      </c>
      <c r="T426">
        <v>0.95925924777984617</v>
      </c>
      <c r="W426">
        <f t="shared" si="24"/>
        <v>200564</v>
      </c>
      <c r="X426">
        <f t="shared" si="25"/>
        <v>0.9644444386164347</v>
      </c>
      <c r="Y426">
        <f t="shared" si="26"/>
        <v>0.95925924777984617</v>
      </c>
      <c r="Z426">
        <f t="shared" si="27"/>
        <v>11.41329739442947</v>
      </c>
    </row>
    <row r="427" spans="1:26" hidden="1" x14ac:dyDescent="0.25">
      <c r="A427" t="s">
        <v>106</v>
      </c>
      <c r="B427">
        <v>5</v>
      </c>
      <c r="C427">
        <v>3</v>
      </c>
      <c r="D427">
        <v>0</v>
      </c>
      <c r="E427" t="s">
        <v>223</v>
      </c>
      <c r="F427">
        <v>201764</v>
      </c>
      <c r="G427">
        <v>397067619.5</v>
      </c>
      <c r="H427">
        <v>0.97111110389232635</v>
      </c>
      <c r="I427">
        <v>0.97222222222222221</v>
      </c>
      <c r="J427">
        <v>32003188.5</v>
      </c>
      <c r="K427">
        <v>200564</v>
      </c>
      <c r="L427">
        <v>2</v>
      </c>
      <c r="M427">
        <v>298</v>
      </c>
      <c r="N427">
        <v>0.96833333333333327</v>
      </c>
      <c r="O427">
        <v>31865467</v>
      </c>
      <c r="P427">
        <v>201835</v>
      </c>
      <c r="Q427">
        <v>2</v>
      </c>
      <c r="R427">
        <v>299</v>
      </c>
      <c r="S427">
        <v>11.553416034067766</v>
      </c>
      <c r="T427">
        <v>0.95679012934366858</v>
      </c>
      <c r="W427">
        <f t="shared" si="24"/>
        <v>200564</v>
      </c>
      <c r="X427">
        <f t="shared" si="25"/>
        <v>0.97111110389232635</v>
      </c>
      <c r="Y427">
        <f t="shared" si="26"/>
        <v>0.95679012934366858</v>
      </c>
      <c r="Z427">
        <f t="shared" si="27"/>
        <v>11.553416034067766</v>
      </c>
    </row>
    <row r="428" spans="1:26" hidden="1" x14ac:dyDescent="0.25">
      <c r="A428" t="s">
        <v>106</v>
      </c>
      <c r="B428">
        <v>5</v>
      </c>
      <c r="C428">
        <v>4</v>
      </c>
      <c r="D428">
        <v>0</v>
      </c>
      <c r="E428" t="s">
        <v>152</v>
      </c>
      <c r="F428">
        <v>201160</v>
      </c>
      <c r="G428">
        <v>407181574.14285713</v>
      </c>
      <c r="H428">
        <v>0.96190476417541504</v>
      </c>
      <c r="I428">
        <v>0.96857142857142853</v>
      </c>
      <c r="J428">
        <v>32409343.428571429</v>
      </c>
      <c r="K428">
        <v>200564</v>
      </c>
      <c r="L428">
        <v>2</v>
      </c>
      <c r="M428">
        <v>298</v>
      </c>
      <c r="N428">
        <v>0.96634920634920629</v>
      </c>
      <c r="O428">
        <v>33499392.285714287</v>
      </c>
      <c r="P428">
        <v>201835</v>
      </c>
      <c r="Q428">
        <v>2</v>
      </c>
      <c r="R428">
        <v>299</v>
      </c>
      <c r="S428">
        <v>11.580380477724427</v>
      </c>
      <c r="T428">
        <v>0.96234566966692603</v>
      </c>
      <c r="W428">
        <f t="shared" si="24"/>
        <v>200564</v>
      </c>
      <c r="X428">
        <f t="shared" si="25"/>
        <v>0.96190476417541504</v>
      </c>
      <c r="Y428">
        <f t="shared" si="26"/>
        <v>0.96234566966692603</v>
      </c>
      <c r="Z428">
        <f t="shared" si="27"/>
        <v>11.580380477724427</v>
      </c>
    </row>
    <row r="429" spans="1:26" hidden="1" x14ac:dyDescent="0.25">
      <c r="A429" t="s">
        <v>106</v>
      </c>
      <c r="B429">
        <v>5</v>
      </c>
      <c r="C429">
        <v>5</v>
      </c>
      <c r="D429">
        <v>0</v>
      </c>
      <c r="E429" t="s">
        <v>255</v>
      </c>
      <c r="F429">
        <v>200811</v>
      </c>
      <c r="G429">
        <v>304118028.75</v>
      </c>
      <c r="H429">
        <v>0.95333333313465118</v>
      </c>
      <c r="I429">
        <v>0.97388888888888892</v>
      </c>
      <c r="J429">
        <v>32364928.25</v>
      </c>
      <c r="K429">
        <v>200564</v>
      </c>
      <c r="L429">
        <v>2</v>
      </c>
      <c r="M429">
        <v>298</v>
      </c>
      <c r="N429">
        <v>0.97666666666666668</v>
      </c>
      <c r="O429">
        <v>32879129.75</v>
      </c>
      <c r="P429">
        <v>201835</v>
      </c>
      <c r="Q429">
        <v>2</v>
      </c>
      <c r="R429">
        <v>299</v>
      </c>
      <c r="S429">
        <v>11.612693295122098</v>
      </c>
      <c r="T429">
        <v>0.95555553833643592</v>
      </c>
      <c r="W429">
        <f t="shared" si="24"/>
        <v>200564</v>
      </c>
      <c r="X429">
        <f t="shared" si="25"/>
        <v>0.95333333313465118</v>
      </c>
      <c r="Y429">
        <f t="shared" si="26"/>
        <v>0.95555553833643592</v>
      </c>
      <c r="Z429">
        <f t="shared" si="27"/>
        <v>11.612693295122098</v>
      </c>
    </row>
    <row r="430" spans="1:26" hidden="1" x14ac:dyDescent="0.25">
      <c r="A430" t="s">
        <v>106</v>
      </c>
      <c r="B430">
        <v>9</v>
      </c>
      <c r="C430">
        <v>2</v>
      </c>
      <c r="D430">
        <v>0</v>
      </c>
      <c r="E430" t="s">
        <v>186</v>
      </c>
      <c r="F430">
        <v>201712</v>
      </c>
      <c r="G430">
        <v>976831611</v>
      </c>
      <c r="H430">
        <v>0.84666667878627777</v>
      </c>
      <c r="I430">
        <v>0.95944444444444443</v>
      </c>
      <c r="J430">
        <v>32287162</v>
      </c>
      <c r="K430">
        <v>200564</v>
      </c>
      <c r="L430">
        <v>2</v>
      </c>
      <c r="M430">
        <v>298</v>
      </c>
      <c r="N430">
        <v>0.96388888888888891</v>
      </c>
      <c r="O430">
        <v>31824786.25</v>
      </c>
      <c r="P430">
        <v>201835</v>
      </c>
      <c r="Q430">
        <v>2</v>
      </c>
      <c r="R430">
        <v>299</v>
      </c>
      <c r="S430">
        <v>11.766807819479087</v>
      </c>
      <c r="T430">
        <v>0.8604938189188639</v>
      </c>
      <c r="W430">
        <f t="shared" si="24"/>
        <v>200564</v>
      </c>
      <c r="X430">
        <f t="shared" si="25"/>
        <v>0.84666667878627777</v>
      </c>
      <c r="Y430">
        <f t="shared" si="26"/>
        <v>0.8604938189188639</v>
      </c>
      <c r="Z430">
        <f t="shared" si="27"/>
        <v>11.766807819479087</v>
      </c>
    </row>
    <row r="431" spans="1:26" hidden="1" x14ac:dyDescent="0.25">
      <c r="A431" t="s">
        <v>106</v>
      </c>
      <c r="B431">
        <v>3</v>
      </c>
      <c r="C431">
        <v>3</v>
      </c>
      <c r="D431">
        <v>0</v>
      </c>
      <c r="E431" t="s">
        <v>140</v>
      </c>
      <c r="F431">
        <v>114310</v>
      </c>
      <c r="G431">
        <v>350612122.09090906</v>
      </c>
      <c r="H431">
        <v>0.9685858542268927</v>
      </c>
      <c r="I431">
        <v>0.96</v>
      </c>
      <c r="J431">
        <v>31963607.363636363</v>
      </c>
      <c r="K431">
        <v>201835</v>
      </c>
      <c r="L431">
        <v>2</v>
      </c>
      <c r="M431">
        <v>299</v>
      </c>
      <c r="N431">
        <v>0.95959595959595956</v>
      </c>
      <c r="O431">
        <v>31593769.90909091</v>
      </c>
      <c r="P431">
        <v>203110</v>
      </c>
      <c r="Q431">
        <v>2</v>
      </c>
      <c r="R431">
        <v>300</v>
      </c>
      <c r="S431">
        <v>11.388759264342575</v>
      </c>
      <c r="T431">
        <v>0.97213403667722431</v>
      </c>
      <c r="W431">
        <f t="shared" si="24"/>
        <v>201835</v>
      </c>
      <c r="X431">
        <f t="shared" si="25"/>
        <v>0.9685858542268927</v>
      </c>
      <c r="Y431">
        <f t="shared" si="26"/>
        <v>0.97213403667722431</v>
      </c>
      <c r="Z431">
        <f t="shared" si="27"/>
        <v>11.388759264342575</v>
      </c>
    </row>
    <row r="432" spans="1:26" hidden="1" x14ac:dyDescent="0.25">
      <c r="A432" t="s">
        <v>106</v>
      </c>
      <c r="B432">
        <v>9</v>
      </c>
      <c r="C432">
        <v>2</v>
      </c>
      <c r="D432">
        <v>0</v>
      </c>
      <c r="E432" t="s">
        <v>236</v>
      </c>
      <c r="F432">
        <v>203000</v>
      </c>
      <c r="G432">
        <v>734411323</v>
      </c>
      <c r="H432">
        <v>0.86833333969116211</v>
      </c>
      <c r="I432">
        <v>0.95666666666666667</v>
      </c>
      <c r="J432">
        <v>31333490.75</v>
      </c>
      <c r="K432">
        <v>201835</v>
      </c>
      <c r="L432">
        <v>2</v>
      </c>
      <c r="M432">
        <v>299</v>
      </c>
      <c r="N432">
        <v>0.9622222222222222</v>
      </c>
      <c r="O432">
        <v>31934089.5</v>
      </c>
      <c r="P432">
        <v>203110</v>
      </c>
      <c r="Q432">
        <v>2</v>
      </c>
      <c r="R432">
        <v>300</v>
      </c>
      <c r="S432">
        <v>11.769935626051151</v>
      </c>
      <c r="T432">
        <v>0.8604938189188639</v>
      </c>
      <c r="W432">
        <f t="shared" si="24"/>
        <v>201835</v>
      </c>
      <c r="X432">
        <f t="shared" si="25"/>
        <v>0.86833333969116211</v>
      </c>
      <c r="Y432">
        <f t="shared" si="26"/>
        <v>0.8604938189188639</v>
      </c>
      <c r="Z432">
        <f t="shared" si="27"/>
        <v>11.769935626051151</v>
      </c>
    </row>
    <row r="433" spans="1:26" hidden="1" x14ac:dyDescent="0.25">
      <c r="A433" t="s">
        <v>106</v>
      </c>
      <c r="B433">
        <v>9</v>
      </c>
      <c r="C433">
        <v>3</v>
      </c>
      <c r="D433">
        <v>0</v>
      </c>
      <c r="E433" t="s">
        <v>262</v>
      </c>
      <c r="F433">
        <v>202587</v>
      </c>
      <c r="G433">
        <v>558596252.42857146</v>
      </c>
      <c r="H433">
        <v>0.94031746046883724</v>
      </c>
      <c r="I433">
        <v>0.96</v>
      </c>
      <c r="J433">
        <v>30994712.428571429</v>
      </c>
      <c r="K433">
        <v>201835</v>
      </c>
      <c r="L433">
        <v>2</v>
      </c>
      <c r="M433">
        <v>299</v>
      </c>
      <c r="N433">
        <v>0.95809523809523811</v>
      </c>
      <c r="O433">
        <v>31542761.428571429</v>
      </c>
      <c r="P433">
        <v>203110</v>
      </c>
      <c r="Q433">
        <v>2</v>
      </c>
      <c r="R433">
        <v>300</v>
      </c>
      <c r="S433">
        <v>11.924127292464149</v>
      </c>
      <c r="T433">
        <v>0.93580247958501184</v>
      </c>
      <c r="W433">
        <f t="shared" si="24"/>
        <v>201835</v>
      </c>
      <c r="X433">
        <f t="shared" si="25"/>
        <v>0.94031746046883724</v>
      </c>
      <c r="Y433">
        <f t="shared" si="26"/>
        <v>0.93580247958501184</v>
      </c>
      <c r="Z433">
        <f t="shared" si="27"/>
        <v>11.924127292464149</v>
      </c>
    </row>
    <row r="434" spans="1:26" hidden="1" x14ac:dyDescent="0.25">
      <c r="A434" t="s">
        <v>106</v>
      </c>
      <c r="B434">
        <v>3</v>
      </c>
      <c r="C434">
        <v>3</v>
      </c>
      <c r="D434">
        <v>0</v>
      </c>
      <c r="E434" t="s">
        <v>171</v>
      </c>
      <c r="F434">
        <v>114812</v>
      </c>
      <c r="G434">
        <v>362506954.39534885</v>
      </c>
      <c r="H434">
        <v>0.96976744296938877</v>
      </c>
      <c r="I434">
        <v>0.95586563307493544</v>
      </c>
      <c r="J434">
        <v>32080420.465116277</v>
      </c>
      <c r="K434">
        <v>203110</v>
      </c>
      <c r="L434">
        <v>2</v>
      </c>
      <c r="M434">
        <v>300</v>
      </c>
      <c r="N434">
        <v>0.95664082687338503</v>
      </c>
      <c r="O434">
        <v>31627007</v>
      </c>
      <c r="P434">
        <v>204389</v>
      </c>
      <c r="Q434">
        <v>2</v>
      </c>
      <c r="R434">
        <v>301</v>
      </c>
      <c r="S434">
        <v>11.394115634621963</v>
      </c>
      <c r="T434">
        <v>0.97962962445758639</v>
      </c>
      <c r="W434">
        <f t="shared" si="24"/>
        <v>203110</v>
      </c>
      <c r="X434">
        <f t="shared" si="25"/>
        <v>0.96976744296938877</v>
      </c>
      <c r="Y434">
        <f t="shared" si="26"/>
        <v>0.97962962445758639</v>
      </c>
      <c r="Z434">
        <f t="shared" si="27"/>
        <v>11.394115634621963</v>
      </c>
    </row>
    <row r="435" spans="1:26" hidden="1" x14ac:dyDescent="0.25">
      <c r="A435" t="s">
        <v>106</v>
      </c>
      <c r="B435">
        <v>5</v>
      </c>
      <c r="C435">
        <v>2</v>
      </c>
      <c r="D435">
        <v>0</v>
      </c>
      <c r="E435" t="s">
        <v>212</v>
      </c>
      <c r="F435">
        <v>204194</v>
      </c>
      <c r="G435">
        <v>536689698.30769229</v>
      </c>
      <c r="H435">
        <v>0.96769230640851533</v>
      </c>
      <c r="I435">
        <v>0.95794871794871794</v>
      </c>
      <c r="J435">
        <v>31537463.769230768</v>
      </c>
      <c r="K435">
        <v>203110</v>
      </c>
      <c r="L435">
        <v>2</v>
      </c>
      <c r="M435">
        <v>300</v>
      </c>
      <c r="N435">
        <v>0.96119658119658125</v>
      </c>
      <c r="O435">
        <v>31201704.615384616</v>
      </c>
      <c r="P435">
        <v>204389</v>
      </c>
      <c r="Q435">
        <v>2</v>
      </c>
      <c r="R435">
        <v>301</v>
      </c>
      <c r="S435">
        <v>11.514766612438994</v>
      </c>
      <c r="T435">
        <v>0.97345678508281708</v>
      </c>
      <c r="W435">
        <f t="shared" si="24"/>
        <v>203110</v>
      </c>
      <c r="X435">
        <f t="shared" si="25"/>
        <v>0.96769230640851533</v>
      </c>
      <c r="Y435">
        <f t="shared" si="26"/>
        <v>0.97345678508281708</v>
      </c>
      <c r="Z435">
        <f t="shared" si="27"/>
        <v>11.514766612438994</v>
      </c>
    </row>
    <row r="436" spans="1:26" hidden="1" x14ac:dyDescent="0.25">
      <c r="A436" t="s">
        <v>106</v>
      </c>
      <c r="B436">
        <v>5</v>
      </c>
      <c r="C436">
        <v>3</v>
      </c>
      <c r="D436">
        <v>0</v>
      </c>
      <c r="E436" t="s">
        <v>276</v>
      </c>
      <c r="F436">
        <v>203459</v>
      </c>
      <c r="G436">
        <v>440230921</v>
      </c>
      <c r="H436">
        <v>0.97277776896953583</v>
      </c>
      <c r="I436">
        <v>0.96888888888888891</v>
      </c>
      <c r="J436">
        <v>32608487.75</v>
      </c>
      <c r="K436">
        <v>203110</v>
      </c>
      <c r="L436">
        <v>2</v>
      </c>
      <c r="M436">
        <v>300</v>
      </c>
      <c r="N436">
        <v>0.97388888888888892</v>
      </c>
      <c r="O436">
        <v>31450821</v>
      </c>
      <c r="P436">
        <v>204389</v>
      </c>
      <c r="Q436">
        <v>2</v>
      </c>
      <c r="R436">
        <v>301</v>
      </c>
      <c r="S436">
        <v>11.554143271425927</v>
      </c>
      <c r="T436">
        <v>0.94567900896072388</v>
      </c>
      <c r="W436">
        <f t="shared" si="24"/>
        <v>203110</v>
      </c>
      <c r="X436">
        <f t="shared" si="25"/>
        <v>0.97277776896953583</v>
      </c>
      <c r="Y436">
        <f t="shared" si="26"/>
        <v>0.94567900896072388</v>
      </c>
      <c r="Z436">
        <f t="shared" si="27"/>
        <v>11.554143271425927</v>
      </c>
    </row>
    <row r="437" spans="1:26" hidden="1" x14ac:dyDescent="0.25">
      <c r="A437" t="s">
        <v>106</v>
      </c>
      <c r="B437">
        <v>9</v>
      </c>
      <c r="C437">
        <v>2</v>
      </c>
      <c r="D437">
        <v>0</v>
      </c>
      <c r="E437" t="s">
        <v>264</v>
      </c>
      <c r="F437">
        <v>203121</v>
      </c>
      <c r="G437">
        <v>611838595.5</v>
      </c>
      <c r="H437">
        <v>0.85944443941116333</v>
      </c>
      <c r="I437">
        <v>0.95444444444444443</v>
      </c>
      <c r="J437">
        <v>30996341</v>
      </c>
      <c r="K437">
        <v>203110</v>
      </c>
      <c r="L437">
        <v>2</v>
      </c>
      <c r="M437">
        <v>300</v>
      </c>
      <c r="N437">
        <v>0.95777777777777784</v>
      </c>
      <c r="O437">
        <v>29775248.5</v>
      </c>
      <c r="P437">
        <v>204389</v>
      </c>
      <c r="Q437">
        <v>2</v>
      </c>
      <c r="R437">
        <v>301</v>
      </c>
      <c r="S437">
        <v>11.772192265321506</v>
      </c>
      <c r="T437">
        <v>0.84197531143824256</v>
      </c>
      <c r="W437">
        <f t="shared" si="24"/>
        <v>203110</v>
      </c>
      <c r="X437">
        <f t="shared" si="25"/>
        <v>0.85944443941116333</v>
      </c>
      <c r="Y437">
        <f t="shared" si="26"/>
        <v>0.84197531143824256</v>
      </c>
      <c r="Z437">
        <f t="shared" si="27"/>
        <v>11.772192265321506</v>
      </c>
    </row>
    <row r="438" spans="1:26" hidden="1" x14ac:dyDescent="0.25">
      <c r="A438" t="s">
        <v>106</v>
      </c>
      <c r="B438">
        <v>9</v>
      </c>
      <c r="C438">
        <v>5</v>
      </c>
      <c r="D438">
        <v>0</v>
      </c>
      <c r="E438" t="s">
        <v>253</v>
      </c>
      <c r="F438">
        <v>203164</v>
      </c>
      <c r="G438">
        <v>251664643.5</v>
      </c>
      <c r="H438">
        <v>0.91277778148651123</v>
      </c>
      <c r="I438">
        <v>0.95666666666666667</v>
      </c>
      <c r="J438">
        <v>30985981.25</v>
      </c>
      <c r="K438">
        <v>203110</v>
      </c>
      <c r="L438">
        <v>2</v>
      </c>
      <c r="M438">
        <v>300</v>
      </c>
      <c r="N438">
        <v>0.95777777777777784</v>
      </c>
      <c r="O438">
        <v>31407417.25</v>
      </c>
      <c r="P438">
        <v>204389</v>
      </c>
      <c r="Q438">
        <v>2</v>
      </c>
      <c r="R438">
        <v>301</v>
      </c>
      <c r="S438">
        <v>12.175779534475186</v>
      </c>
      <c r="T438">
        <v>0.93700000000000006</v>
      </c>
      <c r="W438">
        <f t="shared" si="24"/>
        <v>203110</v>
      </c>
      <c r="X438">
        <f t="shared" si="25"/>
        <v>0.91277778148651123</v>
      </c>
      <c r="Y438">
        <f t="shared" si="26"/>
        <v>0.93700000000000006</v>
      </c>
      <c r="Z438">
        <f t="shared" si="27"/>
        <v>12.175779534475186</v>
      </c>
    </row>
    <row r="439" spans="1:26" hidden="1" x14ac:dyDescent="0.25">
      <c r="A439" t="s">
        <v>106</v>
      </c>
      <c r="B439">
        <v>3</v>
      </c>
      <c r="C439">
        <v>3</v>
      </c>
      <c r="D439">
        <v>0</v>
      </c>
      <c r="E439" t="s">
        <v>141</v>
      </c>
      <c r="F439">
        <v>115644</v>
      </c>
      <c r="G439">
        <v>308099092.85714287</v>
      </c>
      <c r="H439">
        <v>0.97253968885966713</v>
      </c>
      <c r="I439">
        <v>0.96</v>
      </c>
      <c r="J439">
        <v>31615617.357142858</v>
      </c>
      <c r="K439">
        <v>204389</v>
      </c>
      <c r="L439">
        <v>2</v>
      </c>
      <c r="M439">
        <v>301</v>
      </c>
      <c r="N439">
        <v>0.95587301587301587</v>
      </c>
      <c r="O439">
        <v>31870335.142857142</v>
      </c>
      <c r="P439">
        <v>205672</v>
      </c>
      <c r="Q439">
        <v>2</v>
      </c>
      <c r="R439">
        <v>302</v>
      </c>
      <c r="S439">
        <v>11.394353681044501</v>
      </c>
      <c r="T439">
        <v>0.9814814833494333</v>
      </c>
      <c r="W439">
        <f t="shared" si="24"/>
        <v>204389</v>
      </c>
      <c r="X439">
        <f t="shared" si="25"/>
        <v>0.97253968885966713</v>
      </c>
      <c r="Y439">
        <f t="shared" si="26"/>
        <v>0.9814814833494333</v>
      </c>
      <c r="Z439">
        <f t="shared" si="27"/>
        <v>11.394353681044501</v>
      </c>
    </row>
    <row r="440" spans="1:26" hidden="1" x14ac:dyDescent="0.25">
      <c r="A440" t="s">
        <v>106</v>
      </c>
      <c r="B440">
        <v>3</v>
      </c>
      <c r="C440">
        <v>4</v>
      </c>
      <c r="D440">
        <v>0</v>
      </c>
      <c r="E440" t="s">
        <v>160</v>
      </c>
      <c r="F440">
        <v>107724</v>
      </c>
      <c r="G440">
        <v>415264077</v>
      </c>
      <c r="H440">
        <v>0.9666666487852732</v>
      </c>
      <c r="I440">
        <v>0.96296296296296291</v>
      </c>
      <c r="J440">
        <v>32621400.166666668</v>
      </c>
      <c r="K440">
        <v>204389</v>
      </c>
      <c r="L440">
        <v>2</v>
      </c>
      <c r="M440">
        <v>301</v>
      </c>
      <c r="N440">
        <v>0.96740740740740738</v>
      </c>
      <c r="O440">
        <v>34433359.5</v>
      </c>
      <c r="P440">
        <v>205672</v>
      </c>
      <c r="Q440">
        <v>2</v>
      </c>
      <c r="R440">
        <v>302</v>
      </c>
      <c r="S440">
        <v>11.414421349756223</v>
      </c>
      <c r="T440">
        <v>0.96814813613891604</v>
      </c>
      <c r="W440">
        <f t="shared" si="24"/>
        <v>204389</v>
      </c>
      <c r="X440">
        <f t="shared" si="25"/>
        <v>0.9666666487852732</v>
      </c>
      <c r="Y440">
        <f t="shared" si="26"/>
        <v>0.96814813613891604</v>
      </c>
      <c r="Z440">
        <f t="shared" si="27"/>
        <v>11.414421349756223</v>
      </c>
    </row>
    <row r="441" spans="1:26" hidden="1" x14ac:dyDescent="0.25">
      <c r="A441" t="s">
        <v>106</v>
      </c>
      <c r="B441">
        <v>5</v>
      </c>
      <c r="C441">
        <v>2</v>
      </c>
      <c r="D441">
        <v>0</v>
      </c>
      <c r="E441" t="s">
        <v>261</v>
      </c>
      <c r="F441">
        <v>204833</v>
      </c>
      <c r="G441">
        <v>737527921.71428573</v>
      </c>
      <c r="H441">
        <v>0.96888888733727596</v>
      </c>
      <c r="I441">
        <v>0.95619047619047615</v>
      </c>
      <c r="J441">
        <v>32088962.428571429</v>
      </c>
      <c r="K441">
        <v>204389</v>
      </c>
      <c r="L441">
        <v>2</v>
      </c>
      <c r="M441">
        <v>301</v>
      </c>
      <c r="N441">
        <v>0.95587301587301587</v>
      </c>
      <c r="O441">
        <v>31970485</v>
      </c>
      <c r="P441">
        <v>205672</v>
      </c>
      <c r="Q441">
        <v>2</v>
      </c>
      <c r="R441">
        <v>302</v>
      </c>
      <c r="S441">
        <v>11.51754331102633</v>
      </c>
      <c r="T441">
        <v>0.97469136118888855</v>
      </c>
      <c r="W441">
        <f t="shared" si="24"/>
        <v>204389</v>
      </c>
      <c r="X441">
        <f t="shared" si="25"/>
        <v>0.96888888733727596</v>
      </c>
      <c r="Y441">
        <f t="shared" si="26"/>
        <v>0.97469136118888855</v>
      </c>
      <c r="Z441">
        <f t="shared" si="27"/>
        <v>11.51754331102633</v>
      </c>
    </row>
    <row r="442" spans="1:26" hidden="1" x14ac:dyDescent="0.25">
      <c r="A442" t="s">
        <v>106</v>
      </c>
      <c r="B442">
        <v>5</v>
      </c>
      <c r="C442">
        <v>3</v>
      </c>
      <c r="D442">
        <v>0</v>
      </c>
      <c r="E442" t="s">
        <v>189</v>
      </c>
      <c r="F442">
        <v>204794</v>
      </c>
      <c r="G442">
        <v>487801450.75</v>
      </c>
      <c r="H442">
        <v>0.98166666924953461</v>
      </c>
      <c r="I442">
        <v>0.97055555555555562</v>
      </c>
      <c r="J442">
        <v>31341526</v>
      </c>
      <c r="K442">
        <v>204389</v>
      </c>
      <c r="L442">
        <v>2</v>
      </c>
      <c r="M442">
        <v>301</v>
      </c>
      <c r="N442">
        <v>0.96666666666666667</v>
      </c>
      <c r="O442">
        <v>31886145.25</v>
      </c>
      <c r="P442">
        <v>205672</v>
      </c>
      <c r="Q442">
        <v>2</v>
      </c>
      <c r="R442">
        <v>302</v>
      </c>
      <c r="S442">
        <v>11.554993522916538</v>
      </c>
      <c r="T442">
        <v>0.96666665871938073</v>
      </c>
      <c r="W442">
        <f t="shared" si="24"/>
        <v>204389</v>
      </c>
      <c r="X442">
        <f t="shared" si="25"/>
        <v>0.98166666924953461</v>
      </c>
      <c r="Y442">
        <f t="shared" si="26"/>
        <v>0.96666665871938073</v>
      </c>
      <c r="Z442">
        <f t="shared" si="27"/>
        <v>11.554993522916538</v>
      </c>
    </row>
    <row r="443" spans="1:26" hidden="1" x14ac:dyDescent="0.25">
      <c r="A443" t="s">
        <v>106</v>
      </c>
      <c r="B443">
        <v>5</v>
      </c>
      <c r="C443">
        <v>4</v>
      </c>
      <c r="D443">
        <v>0</v>
      </c>
      <c r="E443" t="s">
        <v>274</v>
      </c>
      <c r="F443">
        <v>204561</v>
      </c>
      <c r="G443">
        <v>525276713</v>
      </c>
      <c r="H443">
        <v>0.94253967489515034</v>
      </c>
      <c r="I443">
        <v>0.95809523809523811</v>
      </c>
      <c r="J443">
        <v>32008512.142857142</v>
      </c>
      <c r="K443">
        <v>204389</v>
      </c>
      <c r="L443">
        <v>2</v>
      </c>
      <c r="M443">
        <v>301</v>
      </c>
      <c r="N443">
        <v>0.95936507936507931</v>
      </c>
      <c r="O443">
        <v>31954171.714285713</v>
      </c>
      <c r="P443">
        <v>205672</v>
      </c>
      <c r="Q443">
        <v>2</v>
      </c>
      <c r="R443">
        <v>302</v>
      </c>
      <c r="S443">
        <v>11.58280680437424</v>
      </c>
      <c r="T443">
        <v>0.96234568953514099</v>
      </c>
      <c r="W443">
        <f t="shared" si="24"/>
        <v>204389</v>
      </c>
      <c r="X443">
        <f t="shared" si="25"/>
        <v>0.94253967489515034</v>
      </c>
      <c r="Y443">
        <f t="shared" si="26"/>
        <v>0.96234568953514099</v>
      </c>
      <c r="Z443">
        <f t="shared" si="27"/>
        <v>11.58280680437424</v>
      </c>
    </row>
    <row r="444" spans="1:26" hidden="1" x14ac:dyDescent="0.25">
      <c r="A444" t="s">
        <v>106</v>
      </c>
      <c r="B444">
        <v>9</v>
      </c>
      <c r="C444">
        <v>2</v>
      </c>
      <c r="D444">
        <v>0</v>
      </c>
      <c r="E444" t="s">
        <v>282</v>
      </c>
      <c r="F444">
        <v>205359</v>
      </c>
      <c r="G444">
        <v>825263574.25</v>
      </c>
      <c r="H444">
        <v>0.89499999582767487</v>
      </c>
      <c r="I444">
        <v>0.9622222222222222</v>
      </c>
      <c r="J444">
        <v>32301750.75</v>
      </c>
      <c r="K444">
        <v>204389</v>
      </c>
      <c r="L444">
        <v>2</v>
      </c>
      <c r="M444">
        <v>301</v>
      </c>
      <c r="N444">
        <v>0.96722222222222221</v>
      </c>
      <c r="O444">
        <v>30403816.75</v>
      </c>
      <c r="P444">
        <v>205672</v>
      </c>
      <c r="Q444">
        <v>2</v>
      </c>
      <c r="R444">
        <v>302</v>
      </c>
      <c r="S444">
        <v>11.775433308214017</v>
      </c>
      <c r="T444">
        <v>0.86296296119689941</v>
      </c>
      <c r="W444">
        <f t="shared" si="24"/>
        <v>204389</v>
      </c>
      <c r="X444">
        <f t="shared" si="25"/>
        <v>0.89499999582767487</v>
      </c>
      <c r="Y444">
        <f t="shared" si="26"/>
        <v>0.86296296119689941</v>
      </c>
      <c r="Z444">
        <f t="shared" si="27"/>
        <v>11.775433308214017</v>
      </c>
    </row>
    <row r="445" spans="1:26" hidden="1" x14ac:dyDescent="0.25">
      <c r="A445" t="s">
        <v>106</v>
      </c>
      <c r="B445">
        <v>3</v>
      </c>
      <c r="C445">
        <v>3</v>
      </c>
      <c r="D445">
        <v>0</v>
      </c>
      <c r="E445" t="s">
        <v>172</v>
      </c>
      <c r="F445">
        <v>116182</v>
      </c>
      <c r="G445">
        <v>343024498.67441863</v>
      </c>
      <c r="H445">
        <v>0.97147287047186559</v>
      </c>
      <c r="I445">
        <v>0.95751937984496127</v>
      </c>
      <c r="J445">
        <v>31706136.558139537</v>
      </c>
      <c r="K445">
        <v>205672</v>
      </c>
      <c r="L445">
        <v>2</v>
      </c>
      <c r="M445">
        <v>302</v>
      </c>
      <c r="N445">
        <v>0.95602067183462536</v>
      </c>
      <c r="O445">
        <v>31503296.837209303</v>
      </c>
      <c r="P445">
        <v>206959</v>
      </c>
      <c r="Q445">
        <v>2</v>
      </c>
      <c r="R445">
        <v>303</v>
      </c>
      <c r="S445">
        <v>11.398582333696838</v>
      </c>
      <c r="T445">
        <v>0.97998235481125973</v>
      </c>
      <c r="W445">
        <f t="shared" si="24"/>
        <v>205672</v>
      </c>
      <c r="X445">
        <f t="shared" si="25"/>
        <v>0.97147287047186559</v>
      </c>
      <c r="Y445">
        <f t="shared" si="26"/>
        <v>0.97998235481125973</v>
      </c>
      <c r="Z445">
        <f t="shared" si="27"/>
        <v>11.398582333696838</v>
      </c>
    </row>
    <row r="446" spans="1:26" hidden="1" x14ac:dyDescent="0.25">
      <c r="A446" t="s">
        <v>106</v>
      </c>
      <c r="B446">
        <v>5</v>
      </c>
      <c r="C446">
        <v>3</v>
      </c>
      <c r="D446">
        <v>0</v>
      </c>
      <c r="E446" t="s">
        <v>265</v>
      </c>
      <c r="F446">
        <v>205769</v>
      </c>
      <c r="G446">
        <v>522998612</v>
      </c>
      <c r="H446">
        <v>0.97944444417953491</v>
      </c>
      <c r="I446">
        <v>0.96277777777777773</v>
      </c>
      <c r="J446">
        <v>33929637</v>
      </c>
      <c r="K446">
        <v>205672</v>
      </c>
      <c r="L446">
        <v>2</v>
      </c>
      <c r="M446">
        <v>302</v>
      </c>
      <c r="N446">
        <v>0.95944444444444443</v>
      </c>
      <c r="O446">
        <v>33203092.25</v>
      </c>
      <c r="P446">
        <v>206959</v>
      </c>
      <c r="Q446">
        <v>2</v>
      </c>
      <c r="R446">
        <v>303</v>
      </c>
      <c r="S446">
        <v>11.555720012334259</v>
      </c>
      <c r="T446">
        <v>0.96543210744857788</v>
      </c>
      <c r="W446">
        <f t="shared" si="24"/>
        <v>205672</v>
      </c>
      <c r="X446">
        <f t="shared" si="25"/>
        <v>0.97944444417953491</v>
      </c>
      <c r="Y446">
        <f t="shared" si="26"/>
        <v>0.96543210744857788</v>
      </c>
      <c r="Z446">
        <f t="shared" si="27"/>
        <v>11.555720012334259</v>
      </c>
    </row>
    <row r="447" spans="1:26" hidden="1" x14ac:dyDescent="0.25">
      <c r="A447" t="s">
        <v>106</v>
      </c>
      <c r="B447">
        <v>5</v>
      </c>
      <c r="C447">
        <v>4</v>
      </c>
      <c r="D447">
        <v>0</v>
      </c>
      <c r="E447" t="s">
        <v>185</v>
      </c>
      <c r="F447">
        <v>206958</v>
      </c>
      <c r="G447">
        <v>465763950</v>
      </c>
      <c r="H447">
        <v>0.94055555760860443</v>
      </c>
      <c r="I447">
        <v>0.95777777777777784</v>
      </c>
      <c r="J447">
        <v>32934552.75</v>
      </c>
      <c r="K447">
        <v>205672</v>
      </c>
      <c r="L447">
        <v>2</v>
      </c>
      <c r="M447">
        <v>302</v>
      </c>
      <c r="N447">
        <v>0.96111111111111103</v>
      </c>
      <c r="O447">
        <v>31905862.5</v>
      </c>
      <c r="P447">
        <v>206959</v>
      </c>
      <c r="Q447">
        <v>2</v>
      </c>
      <c r="R447">
        <v>303</v>
      </c>
      <c r="S447">
        <v>11.583515549076774</v>
      </c>
      <c r="T447">
        <v>0.95925925175348914</v>
      </c>
      <c r="W447">
        <f t="shared" si="24"/>
        <v>205672</v>
      </c>
      <c r="X447">
        <f t="shared" si="25"/>
        <v>0.94055555760860443</v>
      </c>
      <c r="Y447">
        <f t="shared" si="26"/>
        <v>0.95925925175348914</v>
      </c>
      <c r="Z447">
        <f t="shared" si="27"/>
        <v>11.583515549076774</v>
      </c>
    </row>
    <row r="448" spans="1:26" hidden="1" x14ac:dyDescent="0.25">
      <c r="A448" t="s">
        <v>106</v>
      </c>
      <c r="B448">
        <v>9</v>
      </c>
      <c r="C448">
        <v>3</v>
      </c>
      <c r="D448">
        <v>0</v>
      </c>
      <c r="E448" t="s">
        <v>201</v>
      </c>
      <c r="F448">
        <v>205710</v>
      </c>
      <c r="G448">
        <v>917206199.25</v>
      </c>
      <c r="H448">
        <v>0.88555556535720825</v>
      </c>
      <c r="I448">
        <v>0.96166666666666667</v>
      </c>
      <c r="J448">
        <v>32349385.25</v>
      </c>
      <c r="K448">
        <v>205672</v>
      </c>
      <c r="L448">
        <v>2</v>
      </c>
      <c r="M448">
        <v>302</v>
      </c>
      <c r="N448">
        <v>0.96055555555555561</v>
      </c>
      <c r="O448">
        <v>33545737</v>
      </c>
      <c r="P448">
        <v>206959</v>
      </c>
      <c r="Q448">
        <v>2</v>
      </c>
      <c r="R448">
        <v>303</v>
      </c>
      <c r="S448">
        <v>11.928371508539442</v>
      </c>
      <c r="T448">
        <v>0.90864197413126624</v>
      </c>
      <c r="W448">
        <f t="shared" si="24"/>
        <v>205672</v>
      </c>
      <c r="X448">
        <f t="shared" si="25"/>
        <v>0.88555556535720825</v>
      </c>
      <c r="Y448">
        <f t="shared" si="26"/>
        <v>0.90864197413126624</v>
      </c>
      <c r="Z448">
        <f t="shared" si="27"/>
        <v>11.928371508539442</v>
      </c>
    </row>
    <row r="449" spans="1:26" hidden="1" x14ac:dyDescent="0.25">
      <c r="A449" t="s">
        <v>106</v>
      </c>
      <c r="B449">
        <v>3</v>
      </c>
      <c r="C449">
        <v>3</v>
      </c>
      <c r="D449">
        <v>0</v>
      </c>
      <c r="E449" t="s">
        <v>142</v>
      </c>
      <c r="F449">
        <v>116978</v>
      </c>
      <c r="G449">
        <v>350614755.21428573</v>
      </c>
      <c r="H449">
        <v>0.96809523446219303</v>
      </c>
      <c r="I449">
        <v>0.96047619047619048</v>
      </c>
      <c r="J449">
        <v>32591452.071428571</v>
      </c>
      <c r="K449">
        <v>206959</v>
      </c>
      <c r="L449">
        <v>2</v>
      </c>
      <c r="M449">
        <v>303</v>
      </c>
      <c r="N449">
        <v>0.9588888888888889</v>
      </c>
      <c r="O449">
        <v>32092732.071428571</v>
      </c>
      <c r="P449">
        <v>208250</v>
      </c>
      <c r="Q449">
        <v>2</v>
      </c>
      <c r="R449">
        <v>304</v>
      </c>
      <c r="S449">
        <v>11.39908756638976</v>
      </c>
      <c r="T449">
        <v>0.97549857084567726</v>
      </c>
      <c r="W449">
        <f t="shared" si="24"/>
        <v>206959</v>
      </c>
      <c r="X449">
        <f t="shared" si="25"/>
        <v>0.96809523446219303</v>
      </c>
      <c r="Y449">
        <f t="shared" si="26"/>
        <v>0.97549857084567726</v>
      </c>
      <c r="Z449">
        <f t="shared" si="27"/>
        <v>11.39908756638976</v>
      </c>
    </row>
    <row r="450" spans="1:26" hidden="1" x14ac:dyDescent="0.25">
      <c r="A450" t="s">
        <v>106</v>
      </c>
      <c r="B450">
        <v>3</v>
      </c>
      <c r="C450">
        <v>4</v>
      </c>
      <c r="D450">
        <v>0</v>
      </c>
      <c r="E450" t="s">
        <v>161</v>
      </c>
      <c r="F450">
        <v>109206</v>
      </c>
      <c r="G450">
        <v>356075148.33333331</v>
      </c>
      <c r="H450">
        <v>0.96407405535380042</v>
      </c>
      <c r="I450">
        <v>0.97111111111111104</v>
      </c>
      <c r="J450">
        <v>33298134.333333332</v>
      </c>
      <c r="K450">
        <v>206959</v>
      </c>
      <c r="L450">
        <v>2</v>
      </c>
      <c r="M450">
        <v>303</v>
      </c>
      <c r="N450">
        <v>0.96888888888888891</v>
      </c>
      <c r="O450">
        <v>32627301.166666668</v>
      </c>
      <c r="P450">
        <v>208250</v>
      </c>
      <c r="Q450">
        <v>2</v>
      </c>
      <c r="R450">
        <v>304</v>
      </c>
      <c r="S450">
        <v>11.415159676798769</v>
      </c>
      <c r="T450">
        <v>0.96296296119689939</v>
      </c>
      <c r="W450">
        <f t="shared" si="24"/>
        <v>206959</v>
      </c>
      <c r="X450">
        <f t="shared" si="25"/>
        <v>0.96407405535380042</v>
      </c>
      <c r="Y450">
        <f t="shared" si="26"/>
        <v>0.96296296119689939</v>
      </c>
      <c r="Z450">
        <f t="shared" si="27"/>
        <v>11.415159676798769</v>
      </c>
    </row>
    <row r="451" spans="1:26" hidden="1" x14ac:dyDescent="0.25">
      <c r="A451" t="s">
        <v>106</v>
      </c>
      <c r="B451">
        <v>5</v>
      </c>
      <c r="C451">
        <v>3</v>
      </c>
      <c r="D451">
        <v>0</v>
      </c>
      <c r="E451" t="s">
        <v>239</v>
      </c>
      <c r="F451">
        <v>207094</v>
      </c>
      <c r="G451">
        <v>532936929.25</v>
      </c>
      <c r="H451">
        <v>0.96444444358348846</v>
      </c>
      <c r="I451">
        <v>0.95611111111111113</v>
      </c>
      <c r="J451">
        <v>33333638</v>
      </c>
      <c r="K451">
        <v>206959</v>
      </c>
      <c r="L451">
        <v>2</v>
      </c>
      <c r="M451">
        <v>303</v>
      </c>
      <c r="N451">
        <v>0.95944444444444443</v>
      </c>
      <c r="O451">
        <v>32386836.75</v>
      </c>
      <c r="P451">
        <v>208250</v>
      </c>
      <c r="Q451">
        <v>2</v>
      </c>
      <c r="R451">
        <v>304</v>
      </c>
      <c r="S451">
        <v>11.556446143412048</v>
      </c>
      <c r="T451">
        <v>0.97530865669250488</v>
      </c>
      <c r="W451">
        <f t="shared" ref="W451:W514" si="28">K451</f>
        <v>206959</v>
      </c>
      <c r="X451">
        <f t="shared" ref="X451:X514" si="29">H451</f>
        <v>0.96444444358348846</v>
      </c>
      <c r="Y451">
        <f t="shared" ref="Y451:Y514" si="30">T451</f>
        <v>0.97530865669250488</v>
      </c>
      <c r="Z451">
        <f t="shared" ref="Z451:Z514" si="31">S451</f>
        <v>11.556446143412048</v>
      </c>
    </row>
    <row r="452" spans="1:26" hidden="1" x14ac:dyDescent="0.25">
      <c r="A452" t="s">
        <v>106</v>
      </c>
      <c r="B452">
        <v>5</v>
      </c>
      <c r="C452">
        <v>4</v>
      </c>
      <c r="D452">
        <v>0</v>
      </c>
      <c r="E452" t="s">
        <v>234</v>
      </c>
      <c r="F452">
        <v>207122</v>
      </c>
      <c r="G452">
        <v>494872105</v>
      </c>
      <c r="H452">
        <v>0.95444443821907043</v>
      </c>
      <c r="I452">
        <v>0.96777777777777785</v>
      </c>
      <c r="J452">
        <v>33015710</v>
      </c>
      <c r="K452">
        <v>206959</v>
      </c>
      <c r="L452">
        <v>2</v>
      </c>
      <c r="M452">
        <v>303</v>
      </c>
      <c r="N452">
        <v>0.96277777777777773</v>
      </c>
      <c r="O452">
        <v>34095734.75</v>
      </c>
      <c r="P452">
        <v>208250</v>
      </c>
      <c r="Q452">
        <v>2</v>
      </c>
      <c r="R452">
        <v>304</v>
      </c>
      <c r="S452">
        <v>11.584709740102015</v>
      </c>
      <c r="T452">
        <v>0.94691358009974158</v>
      </c>
      <c r="W452">
        <f t="shared" si="28"/>
        <v>206959</v>
      </c>
      <c r="X452">
        <f t="shared" si="29"/>
        <v>0.95444443821907043</v>
      </c>
      <c r="Y452">
        <f t="shared" si="30"/>
        <v>0.94691358009974158</v>
      </c>
      <c r="Z452">
        <f t="shared" si="31"/>
        <v>11.584709740102015</v>
      </c>
    </row>
    <row r="453" spans="1:26" hidden="1" x14ac:dyDescent="0.25">
      <c r="A453" t="s">
        <v>106</v>
      </c>
      <c r="B453">
        <v>9</v>
      </c>
      <c r="C453">
        <v>2</v>
      </c>
      <c r="D453">
        <v>0</v>
      </c>
      <c r="E453" t="s">
        <v>208</v>
      </c>
      <c r="F453">
        <v>207338</v>
      </c>
      <c r="G453">
        <v>837052287</v>
      </c>
      <c r="H453">
        <v>0.9050000011920929</v>
      </c>
      <c r="I453">
        <v>0.96277777777777773</v>
      </c>
      <c r="J453">
        <v>32495350</v>
      </c>
      <c r="K453">
        <v>206959</v>
      </c>
      <c r="L453">
        <v>2</v>
      </c>
      <c r="M453">
        <v>303</v>
      </c>
      <c r="N453">
        <v>0.95833333333333326</v>
      </c>
      <c r="O453">
        <v>32890777</v>
      </c>
      <c r="P453">
        <v>208250</v>
      </c>
      <c r="Q453">
        <v>2</v>
      </c>
      <c r="R453">
        <v>304</v>
      </c>
      <c r="S453">
        <v>11.779194436395247</v>
      </c>
      <c r="T453">
        <v>0.88148146867752075</v>
      </c>
      <c r="W453">
        <f t="shared" si="28"/>
        <v>206959</v>
      </c>
      <c r="X453">
        <f t="shared" si="29"/>
        <v>0.9050000011920929</v>
      </c>
      <c r="Y453">
        <f t="shared" si="30"/>
        <v>0.88148146867752075</v>
      </c>
      <c r="Z453">
        <f t="shared" si="31"/>
        <v>11.779194436395247</v>
      </c>
    </row>
    <row r="454" spans="1:26" hidden="1" x14ac:dyDescent="0.25">
      <c r="A454" t="s">
        <v>106</v>
      </c>
      <c r="B454">
        <v>3</v>
      </c>
      <c r="C454">
        <v>3</v>
      </c>
      <c r="D454">
        <v>0</v>
      </c>
      <c r="E454" t="s">
        <v>173</v>
      </c>
      <c r="F454">
        <v>117552</v>
      </c>
      <c r="G454">
        <v>335965583.30232561</v>
      </c>
      <c r="H454">
        <v>0.96852712991625767</v>
      </c>
      <c r="I454">
        <v>0.95891472868217054</v>
      </c>
      <c r="J454">
        <v>30979633.139534883</v>
      </c>
      <c r="K454">
        <v>208250</v>
      </c>
      <c r="L454">
        <v>2</v>
      </c>
      <c r="M454">
        <v>304</v>
      </c>
      <c r="N454">
        <v>0.95968992248062013</v>
      </c>
      <c r="O454">
        <v>30719197.627906978</v>
      </c>
      <c r="P454">
        <v>209545</v>
      </c>
      <c r="Q454">
        <v>2</v>
      </c>
      <c r="R454">
        <v>305</v>
      </c>
      <c r="S454">
        <v>11.40192816891846</v>
      </c>
      <c r="T454">
        <v>0.98024691570372813</v>
      </c>
      <c r="W454">
        <f t="shared" si="28"/>
        <v>208250</v>
      </c>
      <c r="X454">
        <f t="shared" si="29"/>
        <v>0.96852712991625767</v>
      </c>
      <c r="Y454">
        <f t="shared" si="30"/>
        <v>0.98024691570372813</v>
      </c>
      <c r="Z454">
        <f t="shared" si="31"/>
        <v>11.40192816891846</v>
      </c>
    </row>
    <row r="455" spans="1:26" hidden="1" x14ac:dyDescent="0.25">
      <c r="A455" t="s">
        <v>106</v>
      </c>
      <c r="B455">
        <v>5</v>
      </c>
      <c r="C455">
        <v>2</v>
      </c>
      <c r="D455">
        <v>0</v>
      </c>
      <c r="E455" t="s">
        <v>227</v>
      </c>
      <c r="F455">
        <v>209536</v>
      </c>
      <c r="G455">
        <v>747583657</v>
      </c>
      <c r="H455">
        <v>0.96866665482521053</v>
      </c>
      <c r="I455">
        <v>0.95955555555555549</v>
      </c>
      <c r="J455">
        <v>31733601.399999999</v>
      </c>
      <c r="K455">
        <v>208250</v>
      </c>
      <c r="L455">
        <v>2</v>
      </c>
      <c r="M455">
        <v>304</v>
      </c>
      <c r="N455">
        <v>0.95711111111111113</v>
      </c>
      <c r="O455">
        <v>31577141</v>
      </c>
      <c r="P455">
        <v>209545</v>
      </c>
      <c r="Q455">
        <v>2</v>
      </c>
      <c r="R455">
        <v>305</v>
      </c>
      <c r="S455">
        <v>11.52203262703919</v>
      </c>
      <c r="T455">
        <v>0.97942386070887244</v>
      </c>
      <c r="W455">
        <f t="shared" si="28"/>
        <v>208250</v>
      </c>
      <c r="X455">
        <f t="shared" si="29"/>
        <v>0.96866665482521053</v>
      </c>
      <c r="Y455">
        <f t="shared" si="30"/>
        <v>0.97942386070887244</v>
      </c>
      <c r="Z455">
        <f t="shared" si="31"/>
        <v>11.52203262703919</v>
      </c>
    </row>
    <row r="456" spans="1:26" hidden="1" x14ac:dyDescent="0.25">
      <c r="A456" t="s">
        <v>106</v>
      </c>
      <c r="B456">
        <v>5</v>
      </c>
      <c r="C456">
        <v>3</v>
      </c>
      <c r="D456">
        <v>0</v>
      </c>
      <c r="E456" t="s">
        <v>283</v>
      </c>
      <c r="F456">
        <v>208969</v>
      </c>
      <c r="G456">
        <v>462104461.5</v>
      </c>
      <c r="H456">
        <v>0.96722222864627838</v>
      </c>
      <c r="I456">
        <v>0.97277777777777774</v>
      </c>
      <c r="J456">
        <v>32491886</v>
      </c>
      <c r="K456">
        <v>208250</v>
      </c>
      <c r="L456">
        <v>2</v>
      </c>
      <c r="M456">
        <v>304</v>
      </c>
      <c r="N456">
        <v>0.97111111111111104</v>
      </c>
      <c r="O456">
        <v>31650393</v>
      </c>
      <c r="P456">
        <v>209545</v>
      </c>
      <c r="Q456">
        <v>2</v>
      </c>
      <c r="R456">
        <v>305</v>
      </c>
      <c r="S456">
        <v>11.556986993774272</v>
      </c>
      <c r="T456">
        <v>0.95925925175348914</v>
      </c>
      <c r="W456">
        <f t="shared" si="28"/>
        <v>208250</v>
      </c>
      <c r="X456">
        <f t="shared" si="29"/>
        <v>0.96722222864627838</v>
      </c>
      <c r="Y456">
        <f t="shared" si="30"/>
        <v>0.95925925175348914</v>
      </c>
      <c r="Z456">
        <f t="shared" si="31"/>
        <v>11.556986993774272</v>
      </c>
    </row>
    <row r="457" spans="1:26" hidden="1" x14ac:dyDescent="0.25">
      <c r="A457" t="s">
        <v>106</v>
      </c>
      <c r="B457">
        <v>5</v>
      </c>
      <c r="C457">
        <v>4</v>
      </c>
      <c r="D457">
        <v>0</v>
      </c>
      <c r="E457" t="s">
        <v>263</v>
      </c>
      <c r="F457">
        <v>208935</v>
      </c>
      <c r="G457">
        <v>551251415.5</v>
      </c>
      <c r="H457">
        <v>0.94555555284023285</v>
      </c>
      <c r="I457">
        <v>0.95777777777777784</v>
      </c>
      <c r="J457">
        <v>33616524.25</v>
      </c>
      <c r="K457">
        <v>208250</v>
      </c>
      <c r="L457">
        <v>2</v>
      </c>
      <c r="M457">
        <v>304</v>
      </c>
      <c r="N457">
        <v>0.96499999999999997</v>
      </c>
      <c r="O457">
        <v>32412813.25</v>
      </c>
      <c r="P457">
        <v>209545</v>
      </c>
      <c r="Q457">
        <v>2</v>
      </c>
      <c r="R457">
        <v>305</v>
      </c>
      <c r="S457">
        <v>11.585842642059252</v>
      </c>
      <c r="T457">
        <v>0.95185184478759766</v>
      </c>
      <c r="W457">
        <f t="shared" si="28"/>
        <v>208250</v>
      </c>
      <c r="X457">
        <f t="shared" si="29"/>
        <v>0.94555555284023285</v>
      </c>
      <c r="Y457">
        <f t="shared" si="30"/>
        <v>0.95185184478759766</v>
      </c>
      <c r="Z457">
        <f t="shared" si="31"/>
        <v>11.585842642059252</v>
      </c>
    </row>
    <row r="458" spans="1:26" hidden="1" x14ac:dyDescent="0.25">
      <c r="A458" t="s">
        <v>106</v>
      </c>
      <c r="B458">
        <v>9</v>
      </c>
      <c r="C458">
        <v>2</v>
      </c>
      <c r="D458">
        <v>0</v>
      </c>
      <c r="E458" t="s">
        <v>270</v>
      </c>
      <c r="F458">
        <v>208937</v>
      </c>
      <c r="G458">
        <v>739852047.5</v>
      </c>
      <c r="H458">
        <v>0.90833334624767303</v>
      </c>
      <c r="I458">
        <v>0.9655555555555555</v>
      </c>
      <c r="J458">
        <v>31332235.75</v>
      </c>
      <c r="K458">
        <v>208250</v>
      </c>
      <c r="L458">
        <v>2</v>
      </c>
      <c r="M458">
        <v>304</v>
      </c>
      <c r="N458">
        <v>0.96888888888888891</v>
      </c>
      <c r="O458">
        <v>31733978.5</v>
      </c>
      <c r="P458">
        <v>209545</v>
      </c>
      <c r="Q458">
        <v>2</v>
      </c>
      <c r="R458">
        <v>305</v>
      </c>
      <c r="S458">
        <v>11.782142650211483</v>
      </c>
      <c r="T458">
        <v>0.88271605968475342</v>
      </c>
      <c r="W458">
        <f t="shared" si="28"/>
        <v>208250</v>
      </c>
      <c r="X458">
        <f t="shared" si="29"/>
        <v>0.90833334624767303</v>
      </c>
      <c r="Y458">
        <f t="shared" si="30"/>
        <v>0.88271605968475342</v>
      </c>
      <c r="Z458">
        <f t="shared" si="31"/>
        <v>11.782142650211483</v>
      </c>
    </row>
    <row r="459" spans="1:26" hidden="1" x14ac:dyDescent="0.25">
      <c r="A459" t="s">
        <v>106</v>
      </c>
      <c r="B459">
        <v>9</v>
      </c>
      <c r="C459">
        <v>3</v>
      </c>
      <c r="D459">
        <v>0</v>
      </c>
      <c r="E459" t="s">
        <v>121</v>
      </c>
      <c r="F459">
        <v>208522</v>
      </c>
      <c r="G459">
        <v>573012194.75</v>
      </c>
      <c r="H459">
        <v>0.92055556178092957</v>
      </c>
      <c r="I459">
        <v>0.96611111111111114</v>
      </c>
      <c r="J459">
        <v>32989170.5</v>
      </c>
      <c r="K459">
        <v>208250</v>
      </c>
      <c r="L459">
        <v>2</v>
      </c>
      <c r="M459">
        <v>304</v>
      </c>
      <c r="N459">
        <v>0.96</v>
      </c>
      <c r="O459">
        <v>32659074.75</v>
      </c>
      <c r="P459">
        <v>209545</v>
      </c>
      <c r="Q459">
        <v>2</v>
      </c>
      <c r="R459">
        <v>305</v>
      </c>
      <c r="S459">
        <v>11.930043972360231</v>
      </c>
      <c r="T459">
        <v>0.92345678806304932</v>
      </c>
      <c r="W459">
        <f t="shared" si="28"/>
        <v>208250</v>
      </c>
      <c r="X459">
        <f t="shared" si="29"/>
        <v>0.92055556178092957</v>
      </c>
      <c r="Y459">
        <f t="shared" si="30"/>
        <v>0.92345678806304932</v>
      </c>
      <c r="Z459">
        <f t="shared" si="31"/>
        <v>11.930043972360231</v>
      </c>
    </row>
    <row r="460" spans="1:26" hidden="1" x14ac:dyDescent="0.25">
      <c r="A460" t="s">
        <v>106</v>
      </c>
      <c r="B460">
        <v>9</v>
      </c>
      <c r="C460">
        <v>4</v>
      </c>
      <c r="D460">
        <v>0</v>
      </c>
      <c r="E460" t="s">
        <v>255</v>
      </c>
      <c r="F460">
        <v>209173</v>
      </c>
      <c r="G460">
        <v>452171735.75</v>
      </c>
      <c r="H460">
        <v>0.94388888776302338</v>
      </c>
      <c r="I460">
        <v>0.94833333333333336</v>
      </c>
      <c r="J460">
        <v>33583509.75</v>
      </c>
      <c r="K460">
        <v>208250</v>
      </c>
      <c r="L460">
        <v>2</v>
      </c>
      <c r="M460">
        <v>304</v>
      </c>
      <c r="N460">
        <v>0.95111111111111113</v>
      </c>
      <c r="O460">
        <v>33552242.25</v>
      </c>
      <c r="P460">
        <v>209545</v>
      </c>
      <c r="Q460">
        <v>2</v>
      </c>
      <c r="R460">
        <v>305</v>
      </c>
      <c r="S460">
        <v>12.151645527183327</v>
      </c>
      <c r="T460">
        <v>0.97163333333333335</v>
      </c>
      <c r="W460">
        <f t="shared" si="28"/>
        <v>208250</v>
      </c>
      <c r="X460">
        <f t="shared" si="29"/>
        <v>0.94388888776302338</v>
      </c>
      <c r="Y460">
        <f t="shared" si="30"/>
        <v>0.97163333333333335</v>
      </c>
      <c r="Z460">
        <f t="shared" si="31"/>
        <v>12.151645527183327</v>
      </c>
    </row>
    <row r="461" spans="1:26" hidden="1" x14ac:dyDescent="0.25">
      <c r="A461" t="s">
        <v>106</v>
      </c>
      <c r="B461">
        <v>3</v>
      </c>
      <c r="C461">
        <v>3</v>
      </c>
      <c r="D461">
        <v>0</v>
      </c>
      <c r="E461" t="s">
        <v>143</v>
      </c>
      <c r="F461">
        <v>118312</v>
      </c>
      <c r="G461">
        <v>371523081.64285713</v>
      </c>
      <c r="H461">
        <v>0.97174603598458431</v>
      </c>
      <c r="I461">
        <v>0.95904761904761904</v>
      </c>
      <c r="J461">
        <v>31855805</v>
      </c>
      <c r="K461">
        <v>209545</v>
      </c>
      <c r="L461">
        <v>2</v>
      </c>
      <c r="M461">
        <v>305</v>
      </c>
      <c r="N461">
        <v>0.96317460317460324</v>
      </c>
      <c r="O461">
        <v>31965762.928571429</v>
      </c>
      <c r="P461">
        <v>210844</v>
      </c>
      <c r="Q461">
        <v>2</v>
      </c>
      <c r="R461">
        <v>306</v>
      </c>
      <c r="S461">
        <v>11.402292613443668</v>
      </c>
      <c r="T461">
        <v>0.97977206798700189</v>
      </c>
      <c r="W461">
        <f t="shared" si="28"/>
        <v>209545</v>
      </c>
      <c r="X461">
        <f t="shared" si="29"/>
        <v>0.97174603598458431</v>
      </c>
      <c r="Y461">
        <f t="shared" si="30"/>
        <v>0.97977206798700189</v>
      </c>
      <c r="Z461">
        <f t="shared" si="31"/>
        <v>11.402292613443668</v>
      </c>
    </row>
    <row r="462" spans="1:26" hidden="1" x14ac:dyDescent="0.25">
      <c r="A462" t="s">
        <v>106</v>
      </c>
      <c r="B462">
        <v>3</v>
      </c>
      <c r="C462">
        <v>4</v>
      </c>
      <c r="D462">
        <v>0</v>
      </c>
      <c r="E462" t="s">
        <v>162</v>
      </c>
      <c r="F462">
        <v>110688</v>
      </c>
      <c r="G462">
        <v>420481378.16666669</v>
      </c>
      <c r="H462">
        <v>0.95740740497907006</v>
      </c>
      <c r="I462">
        <v>0.9681481481481482</v>
      </c>
      <c r="J462">
        <v>33142059.666666668</v>
      </c>
      <c r="K462">
        <v>209545</v>
      </c>
      <c r="L462">
        <v>2</v>
      </c>
      <c r="M462">
        <v>305</v>
      </c>
      <c r="N462">
        <v>0.9714814814814815</v>
      </c>
      <c r="O462">
        <v>34263295.333333336</v>
      </c>
      <c r="P462">
        <v>210844</v>
      </c>
      <c r="Q462">
        <v>2</v>
      </c>
      <c r="R462">
        <v>306</v>
      </c>
      <c r="S462">
        <v>11.416410256410256</v>
      </c>
      <c r="T462">
        <v>0.95407407283782963</v>
      </c>
      <c r="W462">
        <f t="shared" si="28"/>
        <v>209545</v>
      </c>
      <c r="X462">
        <f t="shared" si="29"/>
        <v>0.95740740497907006</v>
      </c>
      <c r="Y462">
        <f t="shared" si="30"/>
        <v>0.95407407283782963</v>
      </c>
      <c r="Z462">
        <f t="shared" si="31"/>
        <v>11.416410256410256</v>
      </c>
    </row>
    <row r="463" spans="1:26" hidden="1" x14ac:dyDescent="0.25">
      <c r="A463" t="s">
        <v>106</v>
      </c>
      <c r="B463">
        <v>5</v>
      </c>
      <c r="C463">
        <v>2</v>
      </c>
      <c r="D463">
        <v>0</v>
      </c>
      <c r="E463" t="s">
        <v>268</v>
      </c>
      <c r="F463">
        <v>210625</v>
      </c>
      <c r="G463">
        <v>902510286.25</v>
      </c>
      <c r="H463">
        <v>0.96499998867511749</v>
      </c>
      <c r="I463">
        <v>0.95111111111111113</v>
      </c>
      <c r="J463">
        <v>32644971.75</v>
      </c>
      <c r="K463">
        <v>209545</v>
      </c>
      <c r="L463">
        <v>2</v>
      </c>
      <c r="M463">
        <v>305</v>
      </c>
      <c r="N463">
        <v>0.95111111111111113</v>
      </c>
      <c r="O463">
        <v>30247012.25</v>
      </c>
      <c r="P463">
        <v>210844</v>
      </c>
      <c r="Q463">
        <v>2</v>
      </c>
      <c r="R463">
        <v>306</v>
      </c>
      <c r="S463">
        <v>11.52433918640255</v>
      </c>
      <c r="T463">
        <v>0.98148149251937866</v>
      </c>
      <c r="W463">
        <f t="shared" si="28"/>
        <v>209545</v>
      </c>
      <c r="X463">
        <f t="shared" si="29"/>
        <v>0.96499998867511749</v>
      </c>
      <c r="Y463">
        <f t="shared" si="30"/>
        <v>0.98148149251937866</v>
      </c>
      <c r="Z463">
        <f t="shared" si="31"/>
        <v>11.52433918640255</v>
      </c>
    </row>
    <row r="464" spans="1:26" hidden="1" x14ac:dyDescent="0.25">
      <c r="A464" t="s">
        <v>106</v>
      </c>
      <c r="B464">
        <v>5</v>
      </c>
      <c r="C464">
        <v>3</v>
      </c>
      <c r="D464">
        <v>0</v>
      </c>
      <c r="E464" t="s">
        <v>209</v>
      </c>
      <c r="F464">
        <v>210484</v>
      </c>
      <c r="G464">
        <v>458845282.25</v>
      </c>
      <c r="H464">
        <v>0.97611109912395477</v>
      </c>
      <c r="I464">
        <v>0.96611111111111114</v>
      </c>
      <c r="J464">
        <v>33454049.75</v>
      </c>
      <c r="K464">
        <v>209545</v>
      </c>
      <c r="L464">
        <v>2</v>
      </c>
      <c r="M464">
        <v>305</v>
      </c>
      <c r="N464">
        <v>0.95833333333333326</v>
      </c>
      <c r="O464">
        <v>32984709.75</v>
      </c>
      <c r="P464">
        <v>210844</v>
      </c>
      <c r="Q464">
        <v>2</v>
      </c>
      <c r="R464">
        <v>306</v>
      </c>
      <c r="S464">
        <v>11.557589203179885</v>
      </c>
      <c r="T464">
        <v>0.96419753630956018</v>
      </c>
      <c r="W464">
        <f t="shared" si="28"/>
        <v>209545</v>
      </c>
      <c r="X464">
        <f t="shared" si="29"/>
        <v>0.97611109912395477</v>
      </c>
      <c r="Y464">
        <f t="shared" si="30"/>
        <v>0.96419753630956018</v>
      </c>
      <c r="Z464">
        <f t="shared" si="31"/>
        <v>11.557589203179885</v>
      </c>
    </row>
    <row r="465" spans="1:26" hidden="1" x14ac:dyDescent="0.25">
      <c r="A465" t="s">
        <v>106</v>
      </c>
      <c r="B465">
        <v>5</v>
      </c>
      <c r="C465">
        <v>4</v>
      </c>
      <c r="D465">
        <v>0</v>
      </c>
      <c r="E465" t="s">
        <v>281</v>
      </c>
      <c r="F465">
        <v>210149</v>
      </c>
      <c r="G465">
        <v>519505907.5</v>
      </c>
      <c r="H465">
        <v>0.93333332240581512</v>
      </c>
      <c r="I465">
        <v>0.96611111111111114</v>
      </c>
      <c r="J465">
        <v>32528508</v>
      </c>
      <c r="K465">
        <v>209545</v>
      </c>
      <c r="L465">
        <v>2</v>
      </c>
      <c r="M465">
        <v>305</v>
      </c>
      <c r="N465">
        <v>0.96722222222222221</v>
      </c>
      <c r="O465">
        <v>31642140</v>
      </c>
      <c r="P465">
        <v>210844</v>
      </c>
      <c r="Q465">
        <v>2</v>
      </c>
      <c r="R465">
        <v>306</v>
      </c>
      <c r="S465">
        <v>11.586671522214129</v>
      </c>
      <c r="T465">
        <v>0.96296296517054236</v>
      </c>
      <c r="W465">
        <f t="shared" si="28"/>
        <v>209545</v>
      </c>
      <c r="X465">
        <f t="shared" si="29"/>
        <v>0.93333332240581512</v>
      </c>
      <c r="Y465">
        <f t="shared" si="30"/>
        <v>0.96296296517054236</v>
      </c>
      <c r="Z465">
        <f t="shared" si="31"/>
        <v>11.586671522214129</v>
      </c>
    </row>
    <row r="466" spans="1:26" hidden="1" x14ac:dyDescent="0.25">
      <c r="A466" t="s">
        <v>106</v>
      </c>
      <c r="B466">
        <v>5</v>
      </c>
      <c r="C466">
        <v>5</v>
      </c>
      <c r="D466">
        <v>0</v>
      </c>
      <c r="E466" t="s">
        <v>116</v>
      </c>
      <c r="F466">
        <v>209696</v>
      </c>
      <c r="G466">
        <v>330589794</v>
      </c>
      <c r="H466">
        <v>0.9561111181974411</v>
      </c>
      <c r="I466">
        <v>0.97888888888888892</v>
      </c>
      <c r="J466">
        <v>32462457.75</v>
      </c>
      <c r="K466">
        <v>209545</v>
      </c>
      <c r="L466">
        <v>2</v>
      </c>
      <c r="M466">
        <v>305</v>
      </c>
      <c r="N466">
        <v>0.97499999999999998</v>
      </c>
      <c r="O466">
        <v>32100637.75</v>
      </c>
      <c r="P466">
        <v>210844</v>
      </c>
      <c r="Q466">
        <v>2</v>
      </c>
      <c r="R466">
        <v>306</v>
      </c>
      <c r="S466">
        <v>11.612427624903003</v>
      </c>
      <c r="T466">
        <v>0.96172839403152466</v>
      </c>
      <c r="W466">
        <f t="shared" si="28"/>
        <v>209545</v>
      </c>
      <c r="X466">
        <f t="shared" si="29"/>
        <v>0.9561111181974411</v>
      </c>
      <c r="Y466">
        <f t="shared" si="30"/>
        <v>0.96172839403152466</v>
      </c>
      <c r="Z466">
        <f t="shared" si="31"/>
        <v>11.612427624903003</v>
      </c>
    </row>
    <row r="467" spans="1:26" hidden="1" x14ac:dyDescent="0.25">
      <c r="A467" t="s">
        <v>106</v>
      </c>
      <c r="B467">
        <v>9</v>
      </c>
      <c r="C467">
        <v>2</v>
      </c>
      <c r="D467">
        <v>0</v>
      </c>
      <c r="E467" t="s">
        <v>162</v>
      </c>
      <c r="F467">
        <v>210156</v>
      </c>
      <c r="G467">
        <v>767703335</v>
      </c>
      <c r="H467">
        <v>0.91499999165534973</v>
      </c>
      <c r="I467">
        <v>0.96388888888888891</v>
      </c>
      <c r="J467">
        <v>31518430.75</v>
      </c>
      <c r="K467">
        <v>209545</v>
      </c>
      <c r="L467">
        <v>2</v>
      </c>
      <c r="M467">
        <v>305</v>
      </c>
      <c r="N467">
        <v>0.96833333333333338</v>
      </c>
      <c r="O467">
        <v>33023673.25</v>
      </c>
      <c r="P467">
        <v>210844</v>
      </c>
      <c r="Q467">
        <v>2</v>
      </c>
      <c r="R467">
        <v>306</v>
      </c>
      <c r="S467">
        <v>11.784915715692522</v>
      </c>
      <c r="T467">
        <v>0.91604938109715783</v>
      </c>
      <c r="W467">
        <f t="shared" si="28"/>
        <v>209545</v>
      </c>
      <c r="X467">
        <f t="shared" si="29"/>
        <v>0.91499999165534973</v>
      </c>
      <c r="Y467">
        <f t="shared" si="30"/>
        <v>0.91604938109715783</v>
      </c>
      <c r="Z467">
        <f t="shared" si="31"/>
        <v>11.784915715692522</v>
      </c>
    </row>
    <row r="468" spans="1:26" hidden="1" x14ac:dyDescent="0.25">
      <c r="A468" t="s">
        <v>106</v>
      </c>
      <c r="B468">
        <v>9</v>
      </c>
      <c r="C468">
        <v>3</v>
      </c>
      <c r="D468">
        <v>0</v>
      </c>
      <c r="E468" t="s">
        <v>152</v>
      </c>
      <c r="F468">
        <v>210732</v>
      </c>
      <c r="G468">
        <v>554519076.42857146</v>
      </c>
      <c r="H468">
        <v>0.92761904001235962</v>
      </c>
      <c r="I468">
        <v>0.96190476190476193</v>
      </c>
      <c r="J468">
        <v>31883832.714285713</v>
      </c>
      <c r="K468">
        <v>209545</v>
      </c>
      <c r="L468">
        <v>2</v>
      </c>
      <c r="M468">
        <v>305</v>
      </c>
      <c r="N468">
        <v>0.95333333333333337</v>
      </c>
      <c r="O468">
        <v>31498047.571428571</v>
      </c>
      <c r="P468">
        <v>210844</v>
      </c>
      <c r="Q468">
        <v>2</v>
      </c>
      <c r="R468">
        <v>306</v>
      </c>
      <c r="S468">
        <v>11.933097385546295</v>
      </c>
      <c r="T468">
        <v>0.92716048161188758</v>
      </c>
      <c r="W468">
        <f t="shared" si="28"/>
        <v>209545</v>
      </c>
      <c r="X468">
        <f t="shared" si="29"/>
        <v>0.92761904001235962</v>
      </c>
      <c r="Y468">
        <f t="shared" si="30"/>
        <v>0.92716048161188758</v>
      </c>
      <c r="Z468">
        <f t="shared" si="31"/>
        <v>11.933097385546295</v>
      </c>
    </row>
    <row r="469" spans="1:26" hidden="1" x14ac:dyDescent="0.25">
      <c r="A469" t="s">
        <v>106</v>
      </c>
      <c r="B469">
        <v>3</v>
      </c>
      <c r="C469">
        <v>3</v>
      </c>
      <c r="D469">
        <v>0</v>
      </c>
      <c r="E469" t="s">
        <v>174</v>
      </c>
      <c r="F469">
        <v>118922</v>
      </c>
      <c r="G469">
        <v>333603639.51162791</v>
      </c>
      <c r="H469">
        <v>0.96847544298615562</v>
      </c>
      <c r="I469">
        <v>0.95762273901808781</v>
      </c>
      <c r="J469">
        <v>31460170.139534883</v>
      </c>
      <c r="K469">
        <v>210844</v>
      </c>
      <c r="L469">
        <v>2</v>
      </c>
      <c r="M469">
        <v>306</v>
      </c>
      <c r="N469">
        <v>0.95937984496124029</v>
      </c>
      <c r="O469">
        <v>30832975.372093022</v>
      </c>
      <c r="P469">
        <v>212147</v>
      </c>
      <c r="Q469">
        <v>2</v>
      </c>
      <c r="R469">
        <v>307</v>
      </c>
      <c r="S469">
        <v>11.405586365480861</v>
      </c>
      <c r="T469">
        <v>0.98095237783023292</v>
      </c>
      <c r="W469">
        <f t="shared" si="28"/>
        <v>210844</v>
      </c>
      <c r="X469">
        <f t="shared" si="29"/>
        <v>0.96847544298615562</v>
      </c>
      <c r="Y469">
        <f t="shared" si="30"/>
        <v>0.98095237783023292</v>
      </c>
      <c r="Z469">
        <f t="shared" si="31"/>
        <v>11.405586365480861</v>
      </c>
    </row>
    <row r="470" spans="1:26" hidden="1" x14ac:dyDescent="0.25">
      <c r="A470" t="s">
        <v>106</v>
      </c>
      <c r="B470">
        <v>5</v>
      </c>
      <c r="C470">
        <v>3</v>
      </c>
      <c r="D470">
        <v>0</v>
      </c>
      <c r="E470" t="s">
        <v>271</v>
      </c>
      <c r="F470">
        <v>211639</v>
      </c>
      <c r="G470">
        <v>475902957.75</v>
      </c>
      <c r="H470">
        <v>0.97833332419395447</v>
      </c>
      <c r="I470">
        <v>0.9605555555555555</v>
      </c>
      <c r="J470">
        <v>35234103</v>
      </c>
      <c r="K470">
        <v>210844</v>
      </c>
      <c r="L470">
        <v>2</v>
      </c>
      <c r="M470">
        <v>306</v>
      </c>
      <c r="N470">
        <v>0.96499999999999997</v>
      </c>
      <c r="O470">
        <v>32368598</v>
      </c>
      <c r="P470">
        <v>212147</v>
      </c>
      <c r="Q470">
        <v>2</v>
      </c>
      <c r="R470">
        <v>307</v>
      </c>
      <c r="S470">
        <v>11.558129505267697</v>
      </c>
      <c r="T470">
        <v>0.9580247004826864</v>
      </c>
      <c r="W470">
        <f t="shared" si="28"/>
        <v>210844</v>
      </c>
      <c r="X470">
        <f t="shared" si="29"/>
        <v>0.97833332419395447</v>
      </c>
      <c r="Y470">
        <f t="shared" si="30"/>
        <v>0.9580247004826864</v>
      </c>
      <c r="Z470">
        <f t="shared" si="31"/>
        <v>11.558129505267697</v>
      </c>
    </row>
    <row r="471" spans="1:26" hidden="1" x14ac:dyDescent="0.25">
      <c r="A471" t="s">
        <v>106</v>
      </c>
      <c r="B471">
        <v>5</v>
      </c>
      <c r="C471">
        <v>5</v>
      </c>
      <c r="D471">
        <v>0</v>
      </c>
      <c r="E471" t="s">
        <v>147</v>
      </c>
      <c r="F471">
        <v>212106</v>
      </c>
      <c r="G471">
        <v>411621830.75</v>
      </c>
      <c r="H471">
        <v>0.93777778744697571</v>
      </c>
      <c r="I471">
        <v>0.97555555555555551</v>
      </c>
      <c r="J471">
        <v>32896220.75</v>
      </c>
      <c r="K471">
        <v>210844</v>
      </c>
      <c r="L471">
        <v>2</v>
      </c>
      <c r="M471">
        <v>306</v>
      </c>
      <c r="N471">
        <v>0.97722222222222221</v>
      </c>
      <c r="O471">
        <v>34012216.25</v>
      </c>
      <c r="P471">
        <v>212147</v>
      </c>
      <c r="Q471">
        <v>2</v>
      </c>
      <c r="R471">
        <v>307</v>
      </c>
      <c r="S471">
        <v>11.612758847048994</v>
      </c>
      <c r="T471">
        <v>0.94320988655090332</v>
      </c>
      <c r="W471">
        <f t="shared" si="28"/>
        <v>210844</v>
      </c>
      <c r="X471">
        <f t="shared" si="29"/>
        <v>0.93777778744697571</v>
      </c>
      <c r="Y471">
        <f t="shared" si="30"/>
        <v>0.94320988655090332</v>
      </c>
      <c r="Z471">
        <f t="shared" si="31"/>
        <v>11.612758847048994</v>
      </c>
    </row>
    <row r="472" spans="1:26" hidden="1" x14ac:dyDescent="0.25">
      <c r="A472" t="s">
        <v>106</v>
      </c>
      <c r="B472">
        <v>9</v>
      </c>
      <c r="C472">
        <v>3</v>
      </c>
      <c r="D472">
        <v>0</v>
      </c>
      <c r="E472" t="s">
        <v>217</v>
      </c>
      <c r="F472">
        <v>211344</v>
      </c>
      <c r="G472">
        <v>846860998.5</v>
      </c>
      <c r="H472">
        <v>0.87888889014720917</v>
      </c>
      <c r="I472">
        <v>0.9588888888888889</v>
      </c>
      <c r="J472">
        <v>32011901.25</v>
      </c>
      <c r="K472">
        <v>210844</v>
      </c>
      <c r="L472">
        <v>2</v>
      </c>
      <c r="M472">
        <v>306</v>
      </c>
      <c r="N472">
        <v>0.95444444444444443</v>
      </c>
      <c r="O472">
        <v>31916867.5</v>
      </c>
      <c r="P472">
        <v>212147</v>
      </c>
      <c r="Q472">
        <v>2</v>
      </c>
      <c r="R472">
        <v>307</v>
      </c>
      <c r="S472">
        <v>11.936422782787353</v>
      </c>
      <c r="T472">
        <v>0.91975307464599609</v>
      </c>
      <c r="W472">
        <f t="shared" si="28"/>
        <v>210844</v>
      </c>
      <c r="X472">
        <f t="shared" si="29"/>
        <v>0.87888889014720917</v>
      </c>
      <c r="Y472">
        <f t="shared" si="30"/>
        <v>0.91975307464599609</v>
      </c>
      <c r="Z472">
        <f t="shared" si="31"/>
        <v>11.936422782787353</v>
      </c>
    </row>
    <row r="473" spans="1:26" hidden="1" x14ac:dyDescent="0.25">
      <c r="A473" t="s">
        <v>106</v>
      </c>
      <c r="B473">
        <v>3</v>
      </c>
      <c r="C473">
        <v>3</v>
      </c>
      <c r="D473">
        <v>0</v>
      </c>
      <c r="E473" t="s">
        <v>144</v>
      </c>
      <c r="F473">
        <v>119646</v>
      </c>
      <c r="G473">
        <v>377406782.7037037</v>
      </c>
      <c r="H473">
        <v>0.96469135858394484</v>
      </c>
      <c r="I473">
        <v>0.95942386831275717</v>
      </c>
      <c r="J473">
        <v>32001481.925925925</v>
      </c>
      <c r="K473">
        <v>212147</v>
      </c>
      <c r="L473">
        <v>2</v>
      </c>
      <c r="M473">
        <v>307</v>
      </c>
      <c r="N473">
        <v>0.95679012345679015</v>
      </c>
      <c r="O473">
        <v>31231729.185185187</v>
      </c>
      <c r="P473">
        <v>213454</v>
      </c>
      <c r="Q473">
        <v>2</v>
      </c>
      <c r="R473">
        <v>308</v>
      </c>
      <c r="S473">
        <v>11.408425032066429</v>
      </c>
      <c r="T473">
        <v>0.98176638438151431</v>
      </c>
      <c r="W473">
        <f t="shared" si="28"/>
        <v>212147</v>
      </c>
      <c r="X473">
        <f t="shared" si="29"/>
        <v>0.96469135858394484</v>
      </c>
      <c r="Y473">
        <f t="shared" si="30"/>
        <v>0.98176638438151431</v>
      </c>
      <c r="Z473">
        <f t="shared" si="31"/>
        <v>11.408425032066429</v>
      </c>
    </row>
    <row r="474" spans="1:26" hidden="1" x14ac:dyDescent="0.25">
      <c r="A474" t="s">
        <v>106</v>
      </c>
      <c r="B474">
        <v>3</v>
      </c>
      <c r="C474">
        <v>4</v>
      </c>
      <c r="D474">
        <v>0</v>
      </c>
      <c r="E474" t="s">
        <v>163</v>
      </c>
      <c r="F474">
        <v>112170</v>
      </c>
      <c r="G474">
        <v>316096640.5</v>
      </c>
      <c r="H474">
        <v>0.95814815163612366</v>
      </c>
      <c r="I474">
        <v>0.96666666666666667</v>
      </c>
      <c r="J474">
        <v>33790918.5</v>
      </c>
      <c r="K474">
        <v>212147</v>
      </c>
      <c r="L474">
        <v>2</v>
      </c>
      <c r="M474">
        <v>307</v>
      </c>
      <c r="N474">
        <v>0.96703703703703703</v>
      </c>
      <c r="O474">
        <v>33685795.166666664</v>
      </c>
      <c r="P474">
        <v>213454</v>
      </c>
      <c r="Q474">
        <v>2</v>
      </c>
      <c r="R474">
        <v>308</v>
      </c>
      <c r="S474">
        <v>11.41689093938229</v>
      </c>
      <c r="T474">
        <v>0.95999999046325679</v>
      </c>
      <c r="W474">
        <f t="shared" si="28"/>
        <v>212147</v>
      </c>
      <c r="X474">
        <f t="shared" si="29"/>
        <v>0.95814815163612366</v>
      </c>
      <c r="Y474">
        <f t="shared" si="30"/>
        <v>0.95999999046325679</v>
      </c>
      <c r="Z474">
        <f t="shared" si="31"/>
        <v>11.41689093938229</v>
      </c>
    </row>
    <row r="475" spans="1:26" hidden="1" x14ac:dyDescent="0.25">
      <c r="A475" t="s">
        <v>106</v>
      </c>
      <c r="B475">
        <v>5</v>
      </c>
      <c r="C475">
        <v>3</v>
      </c>
      <c r="D475">
        <v>0</v>
      </c>
      <c r="E475" t="s">
        <v>134</v>
      </c>
      <c r="F475">
        <v>212434</v>
      </c>
      <c r="G475">
        <v>462930292</v>
      </c>
      <c r="H475">
        <v>0.97277776896953583</v>
      </c>
      <c r="I475">
        <v>0.96277777777777773</v>
      </c>
      <c r="J475">
        <v>32867256.5</v>
      </c>
      <c r="K475">
        <v>212147</v>
      </c>
      <c r="L475">
        <v>2</v>
      </c>
      <c r="M475">
        <v>307</v>
      </c>
      <c r="N475">
        <v>0.96888888888888891</v>
      </c>
      <c r="O475">
        <v>33018146.75</v>
      </c>
      <c r="P475">
        <v>213454</v>
      </c>
      <c r="Q475">
        <v>2</v>
      </c>
      <c r="R475">
        <v>308</v>
      </c>
      <c r="S475">
        <v>11.558423159839853</v>
      </c>
      <c r="T475">
        <v>0.96666665871938073</v>
      </c>
      <c r="W475">
        <f t="shared" si="28"/>
        <v>212147</v>
      </c>
      <c r="X475">
        <f t="shared" si="29"/>
        <v>0.97277776896953583</v>
      </c>
      <c r="Y475">
        <f t="shared" si="30"/>
        <v>0.96666665871938073</v>
      </c>
      <c r="Z475">
        <f t="shared" si="31"/>
        <v>11.558423159839853</v>
      </c>
    </row>
    <row r="476" spans="1:26" hidden="1" x14ac:dyDescent="0.25">
      <c r="A476" t="s">
        <v>106</v>
      </c>
      <c r="B476">
        <v>5</v>
      </c>
      <c r="C476">
        <v>4</v>
      </c>
      <c r="D476">
        <v>0</v>
      </c>
      <c r="E476" t="s">
        <v>205</v>
      </c>
      <c r="F476">
        <v>212756</v>
      </c>
      <c r="G476">
        <v>423575936.25</v>
      </c>
      <c r="H476">
        <v>0.94388888776302338</v>
      </c>
      <c r="I476">
        <v>0.96</v>
      </c>
      <c r="J476">
        <v>33058398.25</v>
      </c>
      <c r="K476">
        <v>212147</v>
      </c>
      <c r="L476">
        <v>2</v>
      </c>
      <c r="M476">
        <v>307</v>
      </c>
      <c r="N476">
        <v>0.9588888888888889</v>
      </c>
      <c r="O476">
        <v>30500410.25</v>
      </c>
      <c r="P476">
        <v>213454</v>
      </c>
      <c r="Q476">
        <v>2</v>
      </c>
      <c r="R476">
        <v>308</v>
      </c>
      <c r="S476">
        <v>11.587196601941747</v>
      </c>
      <c r="T476">
        <v>0.97901233037312829</v>
      </c>
      <c r="W476">
        <f t="shared" si="28"/>
        <v>212147</v>
      </c>
      <c r="X476">
        <f t="shared" si="29"/>
        <v>0.94388888776302338</v>
      </c>
      <c r="Y476">
        <f t="shared" si="30"/>
        <v>0.97901233037312829</v>
      </c>
      <c r="Z476">
        <f t="shared" si="31"/>
        <v>11.587196601941747</v>
      </c>
    </row>
    <row r="477" spans="1:26" hidden="1" x14ac:dyDescent="0.25">
      <c r="A477" t="s">
        <v>106</v>
      </c>
      <c r="B477">
        <v>9</v>
      </c>
      <c r="C477">
        <v>2</v>
      </c>
      <c r="D477">
        <v>0</v>
      </c>
      <c r="E477" t="s">
        <v>223</v>
      </c>
      <c r="F477">
        <v>212964</v>
      </c>
      <c r="G477">
        <v>704034108.14285719</v>
      </c>
      <c r="H477">
        <v>0.88952380418777466</v>
      </c>
      <c r="I477">
        <v>0.95873015873015877</v>
      </c>
      <c r="J477">
        <v>31111271.142857142</v>
      </c>
      <c r="K477">
        <v>212147</v>
      </c>
      <c r="L477">
        <v>2</v>
      </c>
      <c r="M477">
        <v>307</v>
      </c>
      <c r="N477">
        <v>0.96190476190476193</v>
      </c>
      <c r="O477">
        <v>31151464.285714287</v>
      </c>
      <c r="P477">
        <v>213454</v>
      </c>
      <c r="Q477">
        <v>2</v>
      </c>
      <c r="R477">
        <v>308</v>
      </c>
      <c r="S477">
        <v>11.789114070642732</v>
      </c>
      <c r="T477">
        <v>0.87592593828837073</v>
      </c>
      <c r="W477">
        <f t="shared" si="28"/>
        <v>212147</v>
      </c>
      <c r="X477">
        <f t="shared" si="29"/>
        <v>0.88952380418777466</v>
      </c>
      <c r="Y477">
        <f t="shared" si="30"/>
        <v>0.87592593828837073</v>
      </c>
      <c r="Z477">
        <f t="shared" si="31"/>
        <v>11.789114070642732</v>
      </c>
    </row>
    <row r="478" spans="1:26" hidden="1" x14ac:dyDescent="0.25">
      <c r="A478" t="s">
        <v>106</v>
      </c>
      <c r="B478">
        <v>3</v>
      </c>
      <c r="C478">
        <v>3</v>
      </c>
      <c r="D478">
        <v>0</v>
      </c>
      <c r="E478" t="s">
        <v>175</v>
      </c>
      <c r="F478">
        <v>120292</v>
      </c>
      <c r="G478">
        <v>338599434.82758623</v>
      </c>
      <c r="H478">
        <v>0.97203064992510035</v>
      </c>
      <c r="I478">
        <v>0.96114942528735636</v>
      </c>
      <c r="J478">
        <v>31028217.862068966</v>
      </c>
      <c r="K478">
        <v>213454</v>
      </c>
      <c r="L478">
        <v>2</v>
      </c>
      <c r="M478">
        <v>308</v>
      </c>
      <c r="N478">
        <v>0.96007662835249041</v>
      </c>
      <c r="O478">
        <v>30848922.103448275</v>
      </c>
      <c r="P478">
        <v>214765</v>
      </c>
      <c r="Q478">
        <v>2</v>
      </c>
      <c r="R478">
        <v>309</v>
      </c>
      <c r="S478">
        <v>11.410861069936667</v>
      </c>
      <c r="T478">
        <v>0.98029100469180519</v>
      </c>
      <c r="W478">
        <f t="shared" si="28"/>
        <v>213454</v>
      </c>
      <c r="X478">
        <f t="shared" si="29"/>
        <v>0.97203064992510035</v>
      </c>
      <c r="Y478">
        <f t="shared" si="30"/>
        <v>0.98029100469180519</v>
      </c>
      <c r="Z478">
        <f t="shared" si="31"/>
        <v>11.410861069936667</v>
      </c>
    </row>
    <row r="479" spans="1:26" hidden="1" x14ac:dyDescent="0.25">
      <c r="A479" t="s">
        <v>106</v>
      </c>
      <c r="B479">
        <v>5</v>
      </c>
      <c r="C479">
        <v>3</v>
      </c>
      <c r="D479">
        <v>0</v>
      </c>
      <c r="E479" t="s">
        <v>290</v>
      </c>
      <c r="F479">
        <v>214479</v>
      </c>
      <c r="G479">
        <v>484112081</v>
      </c>
      <c r="H479">
        <v>0.96166667342185974</v>
      </c>
      <c r="I479">
        <v>0.95666666666666667</v>
      </c>
      <c r="J479">
        <v>32488689.75</v>
      </c>
      <c r="K479">
        <v>213454</v>
      </c>
      <c r="L479">
        <v>2</v>
      </c>
      <c r="M479">
        <v>308</v>
      </c>
      <c r="N479">
        <v>0.95944444444444443</v>
      </c>
      <c r="O479">
        <v>32053291.75</v>
      </c>
      <c r="P479">
        <v>214765</v>
      </c>
      <c r="Q479">
        <v>2</v>
      </c>
      <c r="R479">
        <v>309</v>
      </c>
      <c r="S479">
        <v>11.558962990331917</v>
      </c>
      <c r="T479">
        <v>0.98395059506098426</v>
      </c>
      <c r="W479">
        <f t="shared" si="28"/>
        <v>213454</v>
      </c>
      <c r="X479">
        <f t="shared" si="29"/>
        <v>0.96166667342185974</v>
      </c>
      <c r="Y479">
        <f t="shared" si="30"/>
        <v>0.98395059506098426</v>
      </c>
      <c r="Z479">
        <f t="shared" si="31"/>
        <v>11.558962990331917</v>
      </c>
    </row>
    <row r="480" spans="1:26" hidden="1" x14ac:dyDescent="0.25">
      <c r="A480" t="s">
        <v>106</v>
      </c>
      <c r="B480">
        <v>9</v>
      </c>
      <c r="C480">
        <v>2</v>
      </c>
      <c r="D480">
        <v>0</v>
      </c>
      <c r="E480" t="s">
        <v>276</v>
      </c>
      <c r="F480">
        <v>214753</v>
      </c>
      <c r="G480">
        <v>688545651.75</v>
      </c>
      <c r="H480">
        <v>0.86000001430511475</v>
      </c>
      <c r="I480">
        <v>0.95833333333333326</v>
      </c>
      <c r="J480">
        <v>34378079.25</v>
      </c>
      <c r="K480">
        <v>213454</v>
      </c>
      <c r="L480">
        <v>2</v>
      </c>
      <c r="M480">
        <v>308</v>
      </c>
      <c r="N480">
        <v>0.9622222222222222</v>
      </c>
      <c r="O480">
        <v>32716365.75</v>
      </c>
      <c r="P480">
        <v>214765</v>
      </c>
      <c r="Q480">
        <v>2</v>
      </c>
      <c r="R480">
        <v>309</v>
      </c>
      <c r="S480">
        <v>11.791478522635174</v>
      </c>
      <c r="T480">
        <v>0.84074072043100989</v>
      </c>
      <c r="W480">
        <f t="shared" si="28"/>
        <v>213454</v>
      </c>
      <c r="X480">
        <f t="shared" si="29"/>
        <v>0.86000001430511475</v>
      </c>
      <c r="Y480">
        <f t="shared" si="30"/>
        <v>0.84074072043100989</v>
      </c>
      <c r="Z480">
        <f t="shared" si="31"/>
        <v>11.791478522635174</v>
      </c>
    </row>
    <row r="481" spans="1:26" hidden="1" x14ac:dyDescent="0.25">
      <c r="A481" t="s">
        <v>106</v>
      </c>
      <c r="B481">
        <v>9</v>
      </c>
      <c r="C481">
        <v>3</v>
      </c>
      <c r="D481">
        <v>0</v>
      </c>
      <c r="E481" t="s">
        <v>274</v>
      </c>
      <c r="F481">
        <v>214295</v>
      </c>
      <c r="G481">
        <v>632084490.5</v>
      </c>
      <c r="H481">
        <v>0.90611112117767334</v>
      </c>
      <c r="I481">
        <v>0.97222222222222221</v>
      </c>
      <c r="J481">
        <v>34473374</v>
      </c>
      <c r="K481">
        <v>213454</v>
      </c>
      <c r="L481">
        <v>2</v>
      </c>
      <c r="M481">
        <v>308</v>
      </c>
      <c r="N481">
        <v>0.97555555555555551</v>
      </c>
      <c r="O481">
        <v>34513290</v>
      </c>
      <c r="P481">
        <v>214765</v>
      </c>
      <c r="Q481">
        <v>2</v>
      </c>
      <c r="R481">
        <v>309</v>
      </c>
      <c r="S481">
        <v>11.938149035718361</v>
      </c>
      <c r="T481">
        <v>0.92592593034108484</v>
      </c>
      <c r="W481">
        <f t="shared" si="28"/>
        <v>213454</v>
      </c>
      <c r="X481">
        <f t="shared" si="29"/>
        <v>0.90611112117767334</v>
      </c>
      <c r="Y481">
        <f t="shared" si="30"/>
        <v>0.92592593034108484</v>
      </c>
      <c r="Z481">
        <f t="shared" si="31"/>
        <v>11.938149035718361</v>
      </c>
    </row>
    <row r="482" spans="1:26" hidden="1" x14ac:dyDescent="0.25">
      <c r="A482" t="s">
        <v>106</v>
      </c>
      <c r="B482">
        <v>9</v>
      </c>
      <c r="C482">
        <v>5</v>
      </c>
      <c r="D482">
        <v>0</v>
      </c>
      <c r="E482" t="s">
        <v>254</v>
      </c>
      <c r="F482">
        <v>213529</v>
      </c>
      <c r="G482">
        <v>248782362.25</v>
      </c>
      <c r="H482">
        <v>0.89166666567325592</v>
      </c>
      <c r="I482">
        <v>0.95833333333333337</v>
      </c>
      <c r="J482">
        <v>30887949.25</v>
      </c>
      <c r="K482">
        <v>213454</v>
      </c>
      <c r="L482">
        <v>2</v>
      </c>
      <c r="M482">
        <v>308</v>
      </c>
      <c r="N482">
        <v>0.95555555555555549</v>
      </c>
      <c r="O482">
        <v>32667637.5</v>
      </c>
      <c r="P482">
        <v>214765</v>
      </c>
      <c r="Q482">
        <v>2</v>
      </c>
      <c r="R482">
        <v>309</v>
      </c>
      <c r="S482">
        <v>12.174917672886938</v>
      </c>
      <c r="T482">
        <v>0.93206666666666671</v>
      </c>
      <c r="W482">
        <f t="shared" si="28"/>
        <v>213454</v>
      </c>
      <c r="X482">
        <f t="shared" si="29"/>
        <v>0.89166666567325592</v>
      </c>
      <c r="Y482">
        <f t="shared" si="30"/>
        <v>0.93206666666666671</v>
      </c>
      <c r="Z482">
        <f t="shared" si="31"/>
        <v>12.174917672886938</v>
      </c>
    </row>
    <row r="483" spans="1:26" hidden="1" x14ac:dyDescent="0.25">
      <c r="A483" t="s">
        <v>106</v>
      </c>
      <c r="B483">
        <v>3</v>
      </c>
      <c r="C483">
        <v>3</v>
      </c>
      <c r="D483">
        <v>0</v>
      </c>
      <c r="E483" t="s">
        <v>145</v>
      </c>
      <c r="F483">
        <v>120980</v>
      </c>
      <c r="G483">
        <v>374212917.1111111</v>
      </c>
      <c r="H483">
        <v>0.96625514604427198</v>
      </c>
      <c r="I483">
        <v>0.9580246913580247</v>
      </c>
      <c r="J483">
        <v>32308612.074074075</v>
      </c>
      <c r="K483">
        <v>214765</v>
      </c>
      <c r="L483">
        <v>2</v>
      </c>
      <c r="M483">
        <v>309</v>
      </c>
      <c r="N483">
        <v>0.95909465020576135</v>
      </c>
      <c r="O483">
        <v>32007836.333333332</v>
      </c>
      <c r="P483">
        <v>216080</v>
      </c>
      <c r="Q483">
        <v>2</v>
      </c>
      <c r="R483">
        <v>310</v>
      </c>
      <c r="S483">
        <v>11.41213262492434</v>
      </c>
      <c r="T483">
        <v>0.97920227280029881</v>
      </c>
      <c r="W483">
        <f t="shared" si="28"/>
        <v>214765</v>
      </c>
      <c r="X483">
        <f t="shared" si="29"/>
        <v>0.96625514604427198</v>
      </c>
      <c r="Y483">
        <f t="shared" si="30"/>
        <v>0.97920227280029881</v>
      </c>
      <c r="Z483">
        <f t="shared" si="31"/>
        <v>11.41213262492434</v>
      </c>
    </row>
    <row r="484" spans="1:26" hidden="1" x14ac:dyDescent="0.25">
      <c r="A484" t="s">
        <v>106</v>
      </c>
      <c r="B484">
        <v>3</v>
      </c>
      <c r="C484">
        <v>4</v>
      </c>
      <c r="D484">
        <v>0</v>
      </c>
      <c r="E484" t="s">
        <v>164</v>
      </c>
      <c r="F484">
        <v>113652</v>
      </c>
      <c r="G484">
        <v>319491466.5</v>
      </c>
      <c r="H484">
        <v>0.95518518487612403</v>
      </c>
      <c r="I484">
        <v>0.9681481481481482</v>
      </c>
      <c r="J484">
        <v>33399215.333333332</v>
      </c>
      <c r="K484">
        <v>214765</v>
      </c>
      <c r="L484">
        <v>2</v>
      </c>
      <c r="M484">
        <v>309</v>
      </c>
      <c r="N484">
        <v>0.96518518518518515</v>
      </c>
      <c r="O484">
        <v>33152654.166666668</v>
      </c>
      <c r="P484">
        <v>216080</v>
      </c>
      <c r="Q484">
        <v>2</v>
      </c>
      <c r="R484">
        <v>310</v>
      </c>
      <c r="S484">
        <v>11.41717909300538</v>
      </c>
      <c r="T484">
        <v>0.95703703165054321</v>
      </c>
      <c r="W484">
        <f t="shared" si="28"/>
        <v>214765</v>
      </c>
      <c r="X484">
        <f t="shared" si="29"/>
        <v>0.95518518487612403</v>
      </c>
      <c r="Y484">
        <f t="shared" si="30"/>
        <v>0.95703703165054321</v>
      </c>
      <c r="Z484">
        <f t="shared" si="31"/>
        <v>11.41717909300538</v>
      </c>
    </row>
    <row r="485" spans="1:26" hidden="1" x14ac:dyDescent="0.25">
      <c r="A485" t="s">
        <v>106</v>
      </c>
      <c r="B485">
        <v>5</v>
      </c>
      <c r="C485">
        <v>2</v>
      </c>
      <c r="D485">
        <v>0</v>
      </c>
      <c r="E485" t="s">
        <v>286</v>
      </c>
      <c r="F485">
        <v>215691</v>
      </c>
      <c r="G485">
        <v>660964703.5</v>
      </c>
      <c r="H485">
        <v>0.96911112070083616</v>
      </c>
      <c r="I485">
        <v>0.95466666666666666</v>
      </c>
      <c r="J485">
        <v>32072497.600000001</v>
      </c>
      <c r="K485">
        <v>214765</v>
      </c>
      <c r="L485">
        <v>2</v>
      </c>
      <c r="M485">
        <v>309</v>
      </c>
      <c r="N485">
        <v>0.96044444444444443</v>
      </c>
      <c r="O485">
        <v>33454502.699999999</v>
      </c>
      <c r="P485">
        <v>216080</v>
      </c>
      <c r="Q485">
        <v>2</v>
      </c>
      <c r="R485">
        <v>310</v>
      </c>
      <c r="S485">
        <v>11.526572160119903</v>
      </c>
      <c r="T485">
        <v>0.97695473829905188</v>
      </c>
      <c r="W485">
        <f t="shared" si="28"/>
        <v>214765</v>
      </c>
      <c r="X485">
        <f t="shared" si="29"/>
        <v>0.96911112070083616</v>
      </c>
      <c r="Y485">
        <f t="shared" si="30"/>
        <v>0.97695473829905188</v>
      </c>
      <c r="Z485">
        <f t="shared" si="31"/>
        <v>11.526572160119903</v>
      </c>
    </row>
    <row r="486" spans="1:26" hidden="1" x14ac:dyDescent="0.25">
      <c r="A486" t="s">
        <v>106</v>
      </c>
      <c r="B486">
        <v>5</v>
      </c>
      <c r="C486">
        <v>4</v>
      </c>
      <c r="D486">
        <v>0</v>
      </c>
      <c r="E486" t="s">
        <v>269</v>
      </c>
      <c r="F486">
        <v>214943</v>
      </c>
      <c r="G486">
        <v>420845479</v>
      </c>
      <c r="H486">
        <v>0.95500001311302185</v>
      </c>
      <c r="I486">
        <v>0.96055555555555561</v>
      </c>
      <c r="J486">
        <v>34428186.5</v>
      </c>
      <c r="K486">
        <v>214765</v>
      </c>
      <c r="L486">
        <v>2</v>
      </c>
      <c r="M486">
        <v>309</v>
      </c>
      <c r="N486">
        <v>0.95555555555555549</v>
      </c>
      <c r="O486">
        <v>33174611.25</v>
      </c>
      <c r="P486">
        <v>216080</v>
      </c>
      <c r="Q486">
        <v>2</v>
      </c>
      <c r="R486">
        <v>310</v>
      </c>
      <c r="S486">
        <v>11.587721426838145</v>
      </c>
      <c r="T486">
        <v>0.96296294530232751</v>
      </c>
      <c r="W486">
        <f t="shared" si="28"/>
        <v>214765</v>
      </c>
      <c r="X486">
        <f t="shared" si="29"/>
        <v>0.95500001311302185</v>
      </c>
      <c r="Y486">
        <f t="shared" si="30"/>
        <v>0.96296294530232751</v>
      </c>
      <c r="Z486">
        <f t="shared" si="31"/>
        <v>11.587721426838145</v>
      </c>
    </row>
    <row r="487" spans="1:26" hidden="1" x14ac:dyDescent="0.25">
      <c r="A487" t="s">
        <v>106</v>
      </c>
      <c r="B487">
        <v>3</v>
      </c>
      <c r="C487">
        <v>3</v>
      </c>
      <c r="D487">
        <v>0</v>
      </c>
      <c r="E487" t="s">
        <v>146</v>
      </c>
      <c r="F487">
        <v>122314</v>
      </c>
      <c r="G487">
        <v>356134836.39999998</v>
      </c>
      <c r="H487">
        <v>0.9685925960540771</v>
      </c>
      <c r="I487">
        <v>0.95844444444444443</v>
      </c>
      <c r="J487">
        <v>30894840.233333334</v>
      </c>
      <c r="K487">
        <v>216080</v>
      </c>
      <c r="L487">
        <v>2</v>
      </c>
      <c r="M487">
        <v>310</v>
      </c>
      <c r="N487">
        <v>0.96148148148148149</v>
      </c>
      <c r="O487">
        <v>31072280.833333332</v>
      </c>
      <c r="P487">
        <v>217399</v>
      </c>
      <c r="Q487">
        <v>2</v>
      </c>
      <c r="R487">
        <v>311</v>
      </c>
      <c r="S487">
        <v>11.414390227532049</v>
      </c>
      <c r="T487">
        <v>0.97790548719208814</v>
      </c>
      <c r="W487">
        <f t="shared" si="28"/>
        <v>216080</v>
      </c>
      <c r="X487">
        <f t="shared" si="29"/>
        <v>0.9685925960540771</v>
      </c>
      <c r="Y487">
        <f t="shared" si="30"/>
        <v>0.97790548719208814</v>
      </c>
      <c r="Z487">
        <f t="shared" si="31"/>
        <v>11.414390227532049</v>
      </c>
    </row>
    <row r="488" spans="1:26" hidden="1" x14ac:dyDescent="0.25">
      <c r="A488" t="s">
        <v>106</v>
      </c>
      <c r="B488">
        <v>5</v>
      </c>
      <c r="C488">
        <v>2</v>
      </c>
      <c r="D488">
        <v>0</v>
      </c>
      <c r="E488" t="s">
        <v>273</v>
      </c>
      <c r="F488">
        <v>216417</v>
      </c>
      <c r="G488">
        <v>657620266.5</v>
      </c>
      <c r="H488">
        <v>0.95111110806465149</v>
      </c>
      <c r="I488">
        <v>0.9522222222222223</v>
      </c>
      <c r="J488">
        <v>31530758</v>
      </c>
      <c r="K488">
        <v>216080</v>
      </c>
      <c r="L488">
        <v>2</v>
      </c>
      <c r="M488">
        <v>310</v>
      </c>
      <c r="N488">
        <v>0.9505555555555556</v>
      </c>
      <c r="O488">
        <v>33945604</v>
      </c>
      <c r="P488">
        <v>217399</v>
      </c>
      <c r="Q488">
        <v>2</v>
      </c>
      <c r="R488">
        <v>311</v>
      </c>
      <c r="S488">
        <v>11.527502029094087</v>
      </c>
      <c r="T488">
        <v>0.98641975720723474</v>
      </c>
      <c r="W488">
        <f t="shared" si="28"/>
        <v>216080</v>
      </c>
      <c r="X488">
        <f t="shared" si="29"/>
        <v>0.95111110806465149</v>
      </c>
      <c r="Y488">
        <f t="shared" si="30"/>
        <v>0.98641975720723474</v>
      </c>
      <c r="Z488">
        <f t="shared" si="31"/>
        <v>11.527502029094087</v>
      </c>
    </row>
    <row r="489" spans="1:26" hidden="1" x14ac:dyDescent="0.25">
      <c r="A489" t="s">
        <v>106</v>
      </c>
      <c r="B489">
        <v>5</v>
      </c>
      <c r="C489">
        <v>3</v>
      </c>
      <c r="D489">
        <v>0</v>
      </c>
      <c r="E489" t="s">
        <v>224</v>
      </c>
      <c r="F489">
        <v>216174</v>
      </c>
      <c r="G489">
        <v>451656710.75</v>
      </c>
      <c r="H489">
        <v>0.97055554389953613</v>
      </c>
      <c r="I489">
        <v>0.96388888888888891</v>
      </c>
      <c r="J489">
        <v>33785258.75</v>
      </c>
      <c r="K489">
        <v>216080</v>
      </c>
      <c r="L489">
        <v>2</v>
      </c>
      <c r="M489">
        <v>310</v>
      </c>
      <c r="N489">
        <v>0.9655555555555555</v>
      </c>
      <c r="O489">
        <v>32787080</v>
      </c>
      <c r="P489">
        <v>217399</v>
      </c>
      <c r="Q489">
        <v>2</v>
      </c>
      <c r="R489">
        <v>311</v>
      </c>
      <c r="S489">
        <v>11.559317860001231</v>
      </c>
      <c r="T489">
        <v>0.95925925175348914</v>
      </c>
      <c r="W489">
        <f t="shared" si="28"/>
        <v>216080</v>
      </c>
      <c r="X489">
        <f t="shared" si="29"/>
        <v>0.97055554389953613</v>
      </c>
      <c r="Y489">
        <f t="shared" si="30"/>
        <v>0.95925925175348914</v>
      </c>
      <c r="Z489">
        <f t="shared" si="31"/>
        <v>11.559317860001231</v>
      </c>
    </row>
    <row r="490" spans="1:26" hidden="1" x14ac:dyDescent="0.25">
      <c r="A490" t="s">
        <v>106</v>
      </c>
      <c r="B490">
        <v>5</v>
      </c>
      <c r="C490">
        <v>4</v>
      </c>
      <c r="D490">
        <v>0</v>
      </c>
      <c r="E490" t="s">
        <v>157</v>
      </c>
      <c r="F490">
        <v>216710</v>
      </c>
      <c r="G490">
        <v>670263071.71428573</v>
      </c>
      <c r="H490">
        <v>0.95206350088119507</v>
      </c>
      <c r="I490">
        <v>0.96031746031746035</v>
      </c>
      <c r="J490">
        <v>33703126.142857142</v>
      </c>
      <c r="K490">
        <v>216080</v>
      </c>
      <c r="L490">
        <v>2</v>
      </c>
      <c r="M490">
        <v>310</v>
      </c>
      <c r="N490">
        <v>0.96063492063492062</v>
      </c>
      <c r="O490">
        <v>34688916.857142858</v>
      </c>
      <c r="P490">
        <v>217399</v>
      </c>
      <c r="Q490">
        <v>2</v>
      </c>
      <c r="R490">
        <v>311</v>
      </c>
      <c r="S490">
        <v>11.591534776544782</v>
      </c>
      <c r="T490">
        <v>0.94506173332532251</v>
      </c>
      <c r="W490">
        <f t="shared" si="28"/>
        <v>216080</v>
      </c>
      <c r="X490">
        <f t="shared" si="29"/>
        <v>0.95206350088119507</v>
      </c>
      <c r="Y490">
        <f t="shared" si="30"/>
        <v>0.94506173332532251</v>
      </c>
      <c r="Z490">
        <f t="shared" si="31"/>
        <v>11.591534776544782</v>
      </c>
    </row>
    <row r="491" spans="1:26" hidden="1" x14ac:dyDescent="0.25">
      <c r="A491" t="s">
        <v>106</v>
      </c>
      <c r="B491">
        <v>9</v>
      </c>
      <c r="C491">
        <v>2</v>
      </c>
      <c r="D491">
        <v>0</v>
      </c>
      <c r="E491" t="s">
        <v>265</v>
      </c>
      <c r="F491">
        <v>217191</v>
      </c>
      <c r="G491">
        <v>1106699745.75</v>
      </c>
      <c r="H491">
        <v>0.85000000894069672</v>
      </c>
      <c r="I491">
        <v>0.96388888888888891</v>
      </c>
      <c r="J491">
        <v>33515655</v>
      </c>
      <c r="K491">
        <v>216080</v>
      </c>
      <c r="L491">
        <v>2</v>
      </c>
      <c r="M491">
        <v>310</v>
      </c>
      <c r="N491">
        <v>0.9655555555555555</v>
      </c>
      <c r="O491">
        <v>35272568.75</v>
      </c>
      <c r="P491">
        <v>217399</v>
      </c>
      <c r="Q491">
        <v>2</v>
      </c>
      <c r="R491">
        <v>311</v>
      </c>
      <c r="S491">
        <v>11.796504225026045</v>
      </c>
      <c r="T491">
        <v>0.87283951044082642</v>
      </c>
      <c r="W491">
        <f t="shared" si="28"/>
        <v>216080</v>
      </c>
      <c r="X491">
        <f t="shared" si="29"/>
        <v>0.85000000894069672</v>
      </c>
      <c r="Y491">
        <f t="shared" si="30"/>
        <v>0.87283951044082642</v>
      </c>
      <c r="Z491">
        <f t="shared" si="31"/>
        <v>11.796504225026045</v>
      </c>
    </row>
    <row r="492" spans="1:26" hidden="1" x14ac:dyDescent="0.25">
      <c r="A492" t="s">
        <v>106</v>
      </c>
      <c r="B492">
        <v>9</v>
      </c>
      <c r="C492">
        <v>3</v>
      </c>
      <c r="D492">
        <v>0</v>
      </c>
      <c r="E492" t="s">
        <v>234</v>
      </c>
      <c r="F492">
        <v>216978</v>
      </c>
      <c r="G492">
        <v>659649340.25</v>
      </c>
      <c r="H492">
        <v>0.90166667103767395</v>
      </c>
      <c r="I492">
        <v>0.95833333333333326</v>
      </c>
      <c r="J492">
        <v>33256204.5</v>
      </c>
      <c r="K492">
        <v>216080</v>
      </c>
      <c r="L492">
        <v>2</v>
      </c>
      <c r="M492">
        <v>310</v>
      </c>
      <c r="N492">
        <v>0.96166666666666667</v>
      </c>
      <c r="O492">
        <v>34022038.75</v>
      </c>
      <c r="P492">
        <v>217399</v>
      </c>
      <c r="Q492">
        <v>2</v>
      </c>
      <c r="R492">
        <v>311</v>
      </c>
      <c r="S492">
        <v>11.940387906446093</v>
      </c>
      <c r="T492">
        <v>0.92345184478759768</v>
      </c>
      <c r="W492">
        <f t="shared" si="28"/>
        <v>216080</v>
      </c>
      <c r="X492">
        <f t="shared" si="29"/>
        <v>0.90166667103767395</v>
      </c>
      <c r="Y492">
        <f t="shared" si="30"/>
        <v>0.92345184478759768</v>
      </c>
      <c r="Z492">
        <f t="shared" si="31"/>
        <v>11.940387906446093</v>
      </c>
    </row>
    <row r="493" spans="1:26" hidden="1" x14ac:dyDescent="0.25">
      <c r="A493" t="s">
        <v>106</v>
      </c>
      <c r="B493">
        <v>3</v>
      </c>
      <c r="C493">
        <v>3</v>
      </c>
      <c r="D493">
        <v>0</v>
      </c>
      <c r="E493" t="s">
        <v>177</v>
      </c>
      <c r="F493">
        <v>123032</v>
      </c>
      <c r="G493">
        <v>397837432.97222221</v>
      </c>
      <c r="H493">
        <v>0.96814815368917251</v>
      </c>
      <c r="I493">
        <v>0.9588271604938271</v>
      </c>
      <c r="J493">
        <v>32692301.555555556</v>
      </c>
      <c r="K493">
        <v>217399</v>
      </c>
      <c r="L493">
        <v>2</v>
      </c>
      <c r="M493">
        <v>311</v>
      </c>
      <c r="N493">
        <v>0.95870370370370372</v>
      </c>
      <c r="O493">
        <v>32299223.583333332</v>
      </c>
      <c r="P493">
        <v>218722</v>
      </c>
      <c r="Q493">
        <v>2</v>
      </c>
      <c r="R493">
        <v>312</v>
      </c>
      <c r="S493">
        <v>11.416404419149648</v>
      </c>
      <c r="T493">
        <v>0.97756613492965694</v>
      </c>
      <c r="W493">
        <f t="shared" si="28"/>
        <v>217399</v>
      </c>
      <c r="X493">
        <f t="shared" si="29"/>
        <v>0.96814815368917251</v>
      </c>
      <c r="Y493">
        <f t="shared" si="30"/>
        <v>0.97756613492965694</v>
      </c>
      <c r="Z493">
        <f t="shared" si="31"/>
        <v>11.416404419149648</v>
      </c>
    </row>
    <row r="494" spans="1:26" hidden="1" x14ac:dyDescent="0.25">
      <c r="A494" t="s">
        <v>106</v>
      </c>
      <c r="B494">
        <v>3</v>
      </c>
      <c r="C494">
        <v>4</v>
      </c>
      <c r="D494">
        <v>0</v>
      </c>
      <c r="E494" t="s">
        <v>132</v>
      </c>
      <c r="F494">
        <v>115134</v>
      </c>
      <c r="G494">
        <v>404533223</v>
      </c>
      <c r="H494">
        <v>0.96666666865348816</v>
      </c>
      <c r="I494">
        <v>0.9655555555555555</v>
      </c>
      <c r="J494">
        <v>33217213</v>
      </c>
      <c r="K494">
        <v>217399</v>
      </c>
      <c r="L494">
        <v>2</v>
      </c>
      <c r="M494">
        <v>311</v>
      </c>
      <c r="N494">
        <v>0.96629629629629632</v>
      </c>
      <c r="O494">
        <v>33718239.333333336</v>
      </c>
      <c r="P494">
        <v>218722</v>
      </c>
      <c r="Q494">
        <v>2</v>
      </c>
      <c r="R494">
        <v>312</v>
      </c>
      <c r="S494">
        <v>11.418299398130362</v>
      </c>
      <c r="T494">
        <v>0.96888887882232666</v>
      </c>
      <c r="W494">
        <f t="shared" si="28"/>
        <v>217399</v>
      </c>
      <c r="X494">
        <f t="shared" si="29"/>
        <v>0.96666666865348816</v>
      </c>
      <c r="Y494">
        <f t="shared" si="30"/>
        <v>0.96888887882232666</v>
      </c>
      <c r="Z494">
        <f t="shared" si="31"/>
        <v>11.418299398130362</v>
      </c>
    </row>
    <row r="495" spans="1:26" hidden="1" x14ac:dyDescent="0.25">
      <c r="A495" t="s">
        <v>106</v>
      </c>
      <c r="B495">
        <v>5</v>
      </c>
      <c r="C495">
        <v>3</v>
      </c>
      <c r="D495">
        <v>0</v>
      </c>
      <c r="E495" t="s">
        <v>168</v>
      </c>
      <c r="F495">
        <v>218484</v>
      </c>
      <c r="G495">
        <v>549101228.25</v>
      </c>
      <c r="H495">
        <v>0.97333332896232605</v>
      </c>
      <c r="I495">
        <v>0.97111111111111115</v>
      </c>
      <c r="J495">
        <v>33943316.5</v>
      </c>
      <c r="K495">
        <v>217399</v>
      </c>
      <c r="L495">
        <v>2</v>
      </c>
      <c r="M495">
        <v>311</v>
      </c>
      <c r="N495">
        <v>0.96277777777777773</v>
      </c>
      <c r="O495">
        <v>32486895.5</v>
      </c>
      <c r="P495">
        <v>218722</v>
      </c>
      <c r="Q495">
        <v>2</v>
      </c>
      <c r="R495">
        <v>312</v>
      </c>
      <c r="S495">
        <v>11.5601034037053</v>
      </c>
      <c r="T495">
        <v>0.95185184478759766</v>
      </c>
      <c r="W495">
        <f t="shared" si="28"/>
        <v>217399</v>
      </c>
      <c r="X495">
        <f t="shared" si="29"/>
        <v>0.97333332896232605</v>
      </c>
      <c r="Y495">
        <f t="shared" si="30"/>
        <v>0.95185184478759766</v>
      </c>
      <c r="Z495">
        <f t="shared" si="31"/>
        <v>11.5601034037053</v>
      </c>
    </row>
    <row r="496" spans="1:26" hidden="1" x14ac:dyDescent="0.25">
      <c r="A496" t="s">
        <v>106</v>
      </c>
      <c r="B496">
        <v>5</v>
      </c>
      <c r="C496">
        <v>4</v>
      </c>
      <c r="D496">
        <v>0</v>
      </c>
      <c r="E496" t="s">
        <v>222</v>
      </c>
      <c r="F496">
        <v>218554</v>
      </c>
      <c r="G496">
        <v>500101265</v>
      </c>
      <c r="H496">
        <v>0.93777778744697571</v>
      </c>
      <c r="I496">
        <v>0.96333333333333337</v>
      </c>
      <c r="J496">
        <v>34124581.75</v>
      </c>
      <c r="K496">
        <v>217399</v>
      </c>
      <c r="L496">
        <v>2</v>
      </c>
      <c r="M496">
        <v>311</v>
      </c>
      <c r="N496">
        <v>0.95944444444444443</v>
      </c>
      <c r="O496">
        <v>34446221.75</v>
      </c>
      <c r="P496">
        <v>218722</v>
      </c>
      <c r="Q496">
        <v>2</v>
      </c>
      <c r="R496">
        <v>312</v>
      </c>
      <c r="S496">
        <v>11.592118823886025</v>
      </c>
      <c r="T496">
        <v>0.94567900896072388</v>
      </c>
      <c r="W496">
        <f t="shared" si="28"/>
        <v>217399</v>
      </c>
      <c r="X496">
        <f t="shared" si="29"/>
        <v>0.93777778744697571</v>
      </c>
      <c r="Y496">
        <f t="shared" si="30"/>
        <v>0.94567900896072388</v>
      </c>
      <c r="Z496">
        <f t="shared" si="31"/>
        <v>11.592118823886025</v>
      </c>
    </row>
    <row r="497" spans="1:26" hidden="1" x14ac:dyDescent="0.25">
      <c r="A497" t="s">
        <v>106</v>
      </c>
      <c r="B497">
        <v>5</v>
      </c>
      <c r="C497">
        <v>5</v>
      </c>
      <c r="D497">
        <v>0</v>
      </c>
      <c r="E497" t="s">
        <v>256</v>
      </c>
      <c r="F497">
        <v>218581</v>
      </c>
      <c r="G497">
        <v>483320259.25</v>
      </c>
      <c r="H497">
        <v>0.90222223103046417</v>
      </c>
      <c r="I497">
        <v>0.97277777777777774</v>
      </c>
      <c r="J497">
        <v>34444894.5</v>
      </c>
      <c r="K497">
        <v>217399</v>
      </c>
      <c r="L497">
        <v>2</v>
      </c>
      <c r="M497">
        <v>311</v>
      </c>
      <c r="N497">
        <v>0.97666666666666668</v>
      </c>
      <c r="O497">
        <v>32720134.5</v>
      </c>
      <c r="P497">
        <v>218722</v>
      </c>
      <c r="Q497">
        <v>2</v>
      </c>
      <c r="R497">
        <v>312</v>
      </c>
      <c r="S497">
        <v>11.613268898037109</v>
      </c>
      <c r="T497">
        <v>0.91358025868733728</v>
      </c>
      <c r="W497">
        <f t="shared" si="28"/>
        <v>217399</v>
      </c>
      <c r="X497">
        <f t="shared" si="29"/>
        <v>0.90222223103046417</v>
      </c>
      <c r="Y497">
        <f t="shared" si="30"/>
        <v>0.91358025868733728</v>
      </c>
      <c r="Z497">
        <f t="shared" si="31"/>
        <v>11.613268898037109</v>
      </c>
    </row>
    <row r="498" spans="1:26" hidden="1" x14ac:dyDescent="0.25">
      <c r="A498" t="s">
        <v>106</v>
      </c>
      <c r="B498">
        <v>9</v>
      </c>
      <c r="C498">
        <v>2</v>
      </c>
      <c r="D498">
        <v>0</v>
      </c>
      <c r="E498" t="s">
        <v>239</v>
      </c>
      <c r="F498">
        <v>218590</v>
      </c>
      <c r="G498">
        <v>838057221.28571427</v>
      </c>
      <c r="H498">
        <v>0.89650792734963558</v>
      </c>
      <c r="I498">
        <v>0.9676190476190476</v>
      </c>
      <c r="J498">
        <v>32292295.857142858</v>
      </c>
      <c r="K498">
        <v>217399</v>
      </c>
      <c r="L498">
        <v>2</v>
      </c>
      <c r="M498">
        <v>311</v>
      </c>
      <c r="N498">
        <v>0.96126984126984127</v>
      </c>
      <c r="O498">
        <v>33373375.142857142</v>
      </c>
      <c r="P498">
        <v>218722</v>
      </c>
      <c r="Q498">
        <v>2</v>
      </c>
      <c r="R498">
        <v>312</v>
      </c>
      <c r="S498">
        <v>11.801793462539774</v>
      </c>
      <c r="T498">
        <v>0.91358024875322974</v>
      </c>
      <c r="W498">
        <f t="shared" si="28"/>
        <v>217399</v>
      </c>
      <c r="X498">
        <f t="shared" si="29"/>
        <v>0.89650792734963558</v>
      </c>
      <c r="Y498">
        <f t="shared" si="30"/>
        <v>0.91358024875322974</v>
      </c>
      <c r="Z498">
        <f t="shared" si="31"/>
        <v>11.801793462539774</v>
      </c>
    </row>
    <row r="499" spans="1:26" hidden="1" x14ac:dyDescent="0.25">
      <c r="A499" t="s">
        <v>106</v>
      </c>
      <c r="B499">
        <v>9</v>
      </c>
      <c r="C499">
        <v>4</v>
      </c>
      <c r="D499">
        <v>0</v>
      </c>
      <c r="E499" t="s">
        <v>116</v>
      </c>
      <c r="F499">
        <v>218428</v>
      </c>
      <c r="G499">
        <v>396128241.75</v>
      </c>
      <c r="H499">
        <v>0.9466666579246521</v>
      </c>
      <c r="I499">
        <v>0.95111111111111113</v>
      </c>
      <c r="J499">
        <v>31165087.75</v>
      </c>
      <c r="K499">
        <v>217399</v>
      </c>
      <c r="L499">
        <v>2</v>
      </c>
      <c r="M499">
        <v>311</v>
      </c>
      <c r="N499">
        <v>0.94666666666666666</v>
      </c>
      <c r="O499">
        <v>32397376.5</v>
      </c>
      <c r="P499">
        <v>218722</v>
      </c>
      <c r="Q499">
        <v>2</v>
      </c>
      <c r="R499">
        <v>312</v>
      </c>
      <c r="S499">
        <v>12.151723367409643</v>
      </c>
      <c r="T499">
        <v>0.95433333333333337</v>
      </c>
      <c r="W499">
        <f t="shared" si="28"/>
        <v>217399</v>
      </c>
      <c r="X499">
        <f t="shared" si="29"/>
        <v>0.9466666579246521</v>
      </c>
      <c r="Y499">
        <f t="shared" si="30"/>
        <v>0.95433333333333337</v>
      </c>
      <c r="Z499">
        <f t="shared" si="31"/>
        <v>12.151723367409643</v>
      </c>
    </row>
    <row r="500" spans="1:26" hidden="1" x14ac:dyDescent="0.25">
      <c r="A500" t="s">
        <v>106</v>
      </c>
      <c r="B500">
        <v>3</v>
      </c>
      <c r="C500">
        <v>3</v>
      </c>
      <c r="D500">
        <v>0</v>
      </c>
      <c r="E500" t="s">
        <v>196</v>
      </c>
      <c r="F500">
        <v>123606</v>
      </c>
      <c r="G500">
        <v>358822079.62857145</v>
      </c>
      <c r="H500">
        <v>0.97130158799035204</v>
      </c>
      <c r="I500">
        <v>0.9622222222222222</v>
      </c>
      <c r="J500">
        <v>30988866.342857141</v>
      </c>
      <c r="K500">
        <v>218722</v>
      </c>
      <c r="L500">
        <v>2</v>
      </c>
      <c r="M500">
        <v>312</v>
      </c>
      <c r="N500">
        <v>0.96190476190476193</v>
      </c>
      <c r="O500">
        <v>30830320.171428572</v>
      </c>
      <c r="P500">
        <v>220049</v>
      </c>
      <c r="Q500">
        <v>2</v>
      </c>
      <c r="R500">
        <v>313</v>
      </c>
      <c r="S500">
        <v>11.418370073480293</v>
      </c>
      <c r="T500">
        <v>0.98006535978878251</v>
      </c>
      <c r="W500">
        <f t="shared" si="28"/>
        <v>218722</v>
      </c>
      <c r="X500">
        <f t="shared" si="29"/>
        <v>0.97130158799035204</v>
      </c>
      <c r="Y500">
        <f t="shared" si="30"/>
        <v>0.98006535978878251</v>
      </c>
      <c r="Z500">
        <f t="shared" si="31"/>
        <v>11.418370073480293</v>
      </c>
    </row>
    <row r="501" spans="1:26" hidden="1" x14ac:dyDescent="0.25">
      <c r="A501" t="s">
        <v>106</v>
      </c>
      <c r="B501">
        <v>5</v>
      </c>
      <c r="C501">
        <v>3</v>
      </c>
      <c r="D501">
        <v>0</v>
      </c>
      <c r="E501" t="s">
        <v>259</v>
      </c>
      <c r="F501">
        <v>219099</v>
      </c>
      <c r="G501">
        <v>587538601.85714281</v>
      </c>
      <c r="H501">
        <v>0.96793651580810547</v>
      </c>
      <c r="I501">
        <v>0.96476190476190471</v>
      </c>
      <c r="J501">
        <v>33431616.285714287</v>
      </c>
      <c r="K501">
        <v>218722</v>
      </c>
      <c r="L501">
        <v>2</v>
      </c>
      <c r="M501">
        <v>312</v>
      </c>
      <c r="N501">
        <v>0.96412698412698417</v>
      </c>
      <c r="O501">
        <v>33753201.142857142</v>
      </c>
      <c r="P501">
        <v>220049</v>
      </c>
      <c r="Q501">
        <v>2</v>
      </c>
      <c r="R501">
        <v>313</v>
      </c>
      <c r="S501">
        <v>11.561830933923957</v>
      </c>
      <c r="T501">
        <v>0.97098764777183533</v>
      </c>
      <c r="W501">
        <f t="shared" si="28"/>
        <v>218722</v>
      </c>
      <c r="X501">
        <f t="shared" si="29"/>
        <v>0.96793651580810547</v>
      </c>
      <c r="Y501">
        <f t="shared" si="30"/>
        <v>0.97098764777183533</v>
      </c>
      <c r="Z501">
        <f t="shared" si="31"/>
        <v>11.561830933923957</v>
      </c>
    </row>
    <row r="502" spans="1:26" hidden="1" x14ac:dyDescent="0.25">
      <c r="A502" t="s">
        <v>106</v>
      </c>
      <c r="B502">
        <v>9</v>
      </c>
      <c r="C502">
        <v>3</v>
      </c>
      <c r="D502">
        <v>0</v>
      </c>
      <c r="E502" t="s">
        <v>263</v>
      </c>
      <c r="F502">
        <v>218877</v>
      </c>
      <c r="G502">
        <v>717771442.92307687</v>
      </c>
      <c r="H502">
        <v>0.89982906213173497</v>
      </c>
      <c r="I502">
        <v>0.96136752136752135</v>
      </c>
      <c r="J502">
        <v>32610146.615384616</v>
      </c>
      <c r="K502">
        <v>218722</v>
      </c>
      <c r="L502">
        <v>2</v>
      </c>
      <c r="M502">
        <v>312</v>
      </c>
      <c r="N502">
        <v>0.96188034188034188</v>
      </c>
      <c r="O502">
        <v>33657955</v>
      </c>
      <c r="P502">
        <v>220049</v>
      </c>
      <c r="Q502">
        <v>2</v>
      </c>
      <c r="R502">
        <v>313</v>
      </c>
      <c r="S502">
        <v>11.949609530867013</v>
      </c>
      <c r="T502">
        <v>0.92067561294237776</v>
      </c>
      <c r="W502">
        <f t="shared" si="28"/>
        <v>218722</v>
      </c>
      <c r="X502">
        <f t="shared" si="29"/>
        <v>0.89982906213173497</v>
      </c>
      <c r="Y502">
        <f t="shared" si="30"/>
        <v>0.92067561294237776</v>
      </c>
      <c r="Z502">
        <f t="shared" si="31"/>
        <v>11.949609530867013</v>
      </c>
    </row>
    <row r="503" spans="1:26" hidden="1" x14ac:dyDescent="0.25">
      <c r="A503" t="s">
        <v>106</v>
      </c>
      <c r="B503">
        <v>3</v>
      </c>
      <c r="C503">
        <v>3</v>
      </c>
      <c r="D503">
        <v>0</v>
      </c>
      <c r="E503" t="s">
        <v>178</v>
      </c>
      <c r="F503">
        <v>124402</v>
      </c>
      <c r="G503">
        <v>417138187.57894737</v>
      </c>
      <c r="H503">
        <v>0.96514620279010976</v>
      </c>
      <c r="I503">
        <v>0.95684210526315794</v>
      </c>
      <c r="J503">
        <v>32776416</v>
      </c>
      <c r="K503">
        <v>220049</v>
      </c>
      <c r="L503">
        <v>2</v>
      </c>
      <c r="M503">
        <v>313</v>
      </c>
      <c r="N503">
        <v>0.95625730994152047</v>
      </c>
      <c r="O503">
        <v>33489902.684210528</v>
      </c>
      <c r="P503">
        <v>221380</v>
      </c>
      <c r="Q503">
        <v>2</v>
      </c>
      <c r="R503">
        <v>314</v>
      </c>
      <c r="S503">
        <v>11.419307492160918</v>
      </c>
      <c r="T503">
        <v>0.9835390945275625</v>
      </c>
      <c r="W503">
        <f t="shared" si="28"/>
        <v>220049</v>
      </c>
      <c r="X503">
        <f t="shared" si="29"/>
        <v>0.96514620279010976</v>
      </c>
      <c r="Y503">
        <f t="shared" si="30"/>
        <v>0.9835390945275625</v>
      </c>
      <c r="Z503">
        <f t="shared" si="31"/>
        <v>11.419307492160918</v>
      </c>
    </row>
    <row r="504" spans="1:26" hidden="1" x14ac:dyDescent="0.25">
      <c r="A504" t="s">
        <v>106</v>
      </c>
      <c r="B504">
        <v>5</v>
      </c>
      <c r="C504">
        <v>4</v>
      </c>
      <c r="D504">
        <v>0</v>
      </c>
      <c r="E504" t="s">
        <v>275</v>
      </c>
      <c r="F504">
        <v>220951</v>
      </c>
      <c r="G504">
        <v>381485496</v>
      </c>
      <c r="H504">
        <v>0.94555555284023285</v>
      </c>
      <c r="I504">
        <v>0.95666666666666667</v>
      </c>
      <c r="J504">
        <v>33181875</v>
      </c>
      <c r="K504">
        <v>220049</v>
      </c>
      <c r="L504">
        <v>2</v>
      </c>
      <c r="M504">
        <v>313</v>
      </c>
      <c r="N504">
        <v>0.9588888888888889</v>
      </c>
      <c r="O504">
        <v>33197845.75</v>
      </c>
      <c r="P504">
        <v>221380</v>
      </c>
      <c r="Q504">
        <v>2</v>
      </c>
      <c r="R504">
        <v>314</v>
      </c>
      <c r="S504">
        <v>11.592157100430329</v>
      </c>
      <c r="T504">
        <v>0.97037037213643396</v>
      </c>
      <c r="W504">
        <f t="shared" si="28"/>
        <v>220049</v>
      </c>
      <c r="X504">
        <f t="shared" si="29"/>
        <v>0.94555555284023285</v>
      </c>
      <c r="Y504">
        <f t="shared" si="30"/>
        <v>0.97037037213643396</v>
      </c>
      <c r="Z504">
        <f t="shared" si="31"/>
        <v>11.592157100430329</v>
      </c>
    </row>
    <row r="505" spans="1:26" hidden="1" x14ac:dyDescent="0.25">
      <c r="A505" t="s">
        <v>106</v>
      </c>
      <c r="B505">
        <v>5</v>
      </c>
      <c r="C505">
        <v>5</v>
      </c>
      <c r="D505">
        <v>0</v>
      </c>
      <c r="E505" t="s">
        <v>262</v>
      </c>
      <c r="F505">
        <v>220991</v>
      </c>
      <c r="G505">
        <v>637753624.42857146</v>
      </c>
      <c r="H505">
        <v>0.90761905908584595</v>
      </c>
      <c r="I505">
        <v>0.9676190476190476</v>
      </c>
      <c r="J505">
        <v>38803932.428571425</v>
      </c>
      <c r="K505">
        <v>220049</v>
      </c>
      <c r="L505">
        <v>2</v>
      </c>
      <c r="M505">
        <v>313</v>
      </c>
      <c r="N505">
        <v>0.96571428571428575</v>
      </c>
      <c r="O505">
        <v>37858839.714285716</v>
      </c>
      <c r="P505">
        <v>221380</v>
      </c>
      <c r="Q505">
        <v>2</v>
      </c>
      <c r="R505">
        <v>314</v>
      </c>
      <c r="S505">
        <v>11.614265267175572</v>
      </c>
      <c r="T505">
        <v>0.89753085374832153</v>
      </c>
      <c r="W505">
        <f t="shared" si="28"/>
        <v>220049</v>
      </c>
      <c r="X505">
        <f t="shared" si="29"/>
        <v>0.90761905908584595</v>
      </c>
      <c r="Y505">
        <f t="shared" si="30"/>
        <v>0.89753085374832153</v>
      </c>
      <c r="Z505">
        <f t="shared" si="31"/>
        <v>11.614265267175572</v>
      </c>
    </row>
    <row r="506" spans="1:26" hidden="1" x14ac:dyDescent="0.25">
      <c r="A506" t="s">
        <v>106</v>
      </c>
      <c r="B506">
        <v>9</v>
      </c>
      <c r="C506">
        <v>2</v>
      </c>
      <c r="D506">
        <v>0</v>
      </c>
      <c r="E506" t="s">
        <v>283</v>
      </c>
      <c r="F506">
        <v>220569</v>
      </c>
      <c r="G506">
        <v>582435596.5</v>
      </c>
      <c r="H506">
        <v>0.87888887524604797</v>
      </c>
      <c r="I506">
        <v>0.95611111111111113</v>
      </c>
      <c r="J506">
        <v>31740212</v>
      </c>
      <c r="K506">
        <v>220049</v>
      </c>
      <c r="L506">
        <v>2</v>
      </c>
      <c r="M506">
        <v>313</v>
      </c>
      <c r="N506">
        <v>0.9588888888888889</v>
      </c>
      <c r="O506">
        <v>31017983.5</v>
      </c>
      <c r="P506">
        <v>221380</v>
      </c>
      <c r="Q506">
        <v>2</v>
      </c>
      <c r="R506">
        <v>314</v>
      </c>
      <c r="S506">
        <v>11.803690207646481</v>
      </c>
      <c r="T506">
        <v>0.8703703681627909</v>
      </c>
      <c r="W506">
        <f t="shared" si="28"/>
        <v>220049</v>
      </c>
      <c r="X506">
        <f t="shared" si="29"/>
        <v>0.87888887524604797</v>
      </c>
      <c r="Y506">
        <f t="shared" si="30"/>
        <v>0.8703703681627909</v>
      </c>
      <c r="Z506">
        <f t="shared" si="31"/>
        <v>11.803690207646481</v>
      </c>
    </row>
    <row r="507" spans="1:26" hidden="1" x14ac:dyDescent="0.25">
      <c r="A507" t="s">
        <v>106</v>
      </c>
      <c r="B507">
        <v>9</v>
      </c>
      <c r="C507">
        <v>3</v>
      </c>
      <c r="D507">
        <v>0</v>
      </c>
      <c r="E507" t="s">
        <v>281</v>
      </c>
      <c r="F507">
        <v>220149</v>
      </c>
      <c r="G507">
        <v>1004570229.5</v>
      </c>
      <c r="H507">
        <v>0.88833333551883698</v>
      </c>
      <c r="I507">
        <v>0.96277777777777773</v>
      </c>
      <c r="J507">
        <v>33119337.75</v>
      </c>
      <c r="K507">
        <v>220049</v>
      </c>
      <c r="L507">
        <v>2</v>
      </c>
      <c r="M507">
        <v>313</v>
      </c>
      <c r="N507">
        <v>0.95944444444444443</v>
      </c>
      <c r="O507">
        <v>32957417.25</v>
      </c>
      <c r="P507">
        <v>221380</v>
      </c>
      <c r="Q507">
        <v>2</v>
      </c>
      <c r="R507">
        <v>314</v>
      </c>
      <c r="S507">
        <v>11.95400923234741</v>
      </c>
      <c r="T507">
        <v>0.92345678806304932</v>
      </c>
      <c r="W507">
        <f t="shared" si="28"/>
        <v>220049</v>
      </c>
      <c r="X507">
        <f t="shared" si="29"/>
        <v>0.88833333551883698</v>
      </c>
      <c r="Y507">
        <f t="shared" si="30"/>
        <v>0.92345678806304932</v>
      </c>
      <c r="Z507">
        <f t="shared" si="31"/>
        <v>11.95400923234741</v>
      </c>
    </row>
    <row r="508" spans="1:26" hidden="1" x14ac:dyDescent="0.25">
      <c r="A508" t="s">
        <v>106</v>
      </c>
      <c r="B508">
        <v>9</v>
      </c>
      <c r="C508">
        <v>4</v>
      </c>
      <c r="D508">
        <v>0</v>
      </c>
      <c r="E508" t="s">
        <v>147</v>
      </c>
      <c r="F508">
        <v>220938</v>
      </c>
      <c r="G508">
        <v>407740819.5</v>
      </c>
      <c r="H508">
        <v>0.93777778744697571</v>
      </c>
      <c r="I508">
        <v>0.95333333333333337</v>
      </c>
      <c r="J508">
        <v>28724165.5</v>
      </c>
      <c r="K508">
        <v>220049</v>
      </c>
      <c r="L508">
        <v>2</v>
      </c>
      <c r="M508">
        <v>313</v>
      </c>
      <c r="N508">
        <v>0.95111111111111113</v>
      </c>
      <c r="O508">
        <v>33078178.5</v>
      </c>
      <c r="P508">
        <v>221380</v>
      </c>
      <c r="Q508">
        <v>2</v>
      </c>
      <c r="R508">
        <v>314</v>
      </c>
      <c r="S508">
        <v>12.151633621893327</v>
      </c>
      <c r="T508">
        <v>0.94443333333333335</v>
      </c>
      <c r="W508">
        <f t="shared" si="28"/>
        <v>220049</v>
      </c>
      <c r="X508">
        <f t="shared" si="29"/>
        <v>0.93777778744697571</v>
      </c>
      <c r="Y508">
        <f t="shared" si="30"/>
        <v>0.94443333333333335</v>
      </c>
      <c r="Z508">
        <f t="shared" si="31"/>
        <v>12.151633621893327</v>
      </c>
    </row>
    <row r="509" spans="1:26" hidden="1" x14ac:dyDescent="0.25">
      <c r="A509" t="s">
        <v>106</v>
      </c>
      <c r="B509">
        <v>3</v>
      </c>
      <c r="C509">
        <v>3</v>
      </c>
      <c r="D509">
        <v>0</v>
      </c>
      <c r="E509" t="s">
        <v>197</v>
      </c>
      <c r="F509">
        <v>125012</v>
      </c>
      <c r="G509">
        <v>354897478.91428572</v>
      </c>
      <c r="H509">
        <v>0.96768253871372767</v>
      </c>
      <c r="I509">
        <v>0.96152380952380956</v>
      </c>
      <c r="J509">
        <v>30863763.057142857</v>
      </c>
      <c r="K509">
        <v>221380</v>
      </c>
      <c r="L509">
        <v>2</v>
      </c>
      <c r="M509">
        <v>314</v>
      </c>
      <c r="N509">
        <v>0.96292063492063495</v>
      </c>
      <c r="O509">
        <v>31418051.77142857</v>
      </c>
      <c r="P509">
        <v>222715</v>
      </c>
      <c r="Q509">
        <v>2</v>
      </c>
      <c r="R509">
        <v>315</v>
      </c>
      <c r="S509">
        <v>11.419595314164004</v>
      </c>
      <c r="T509">
        <v>0.98115468200515299</v>
      </c>
      <c r="W509">
        <f t="shared" si="28"/>
        <v>221380</v>
      </c>
      <c r="X509">
        <f t="shared" si="29"/>
        <v>0.96768253871372767</v>
      </c>
      <c r="Y509">
        <f t="shared" si="30"/>
        <v>0.98115468200515299</v>
      </c>
      <c r="Z509">
        <f t="shared" si="31"/>
        <v>11.419595314164004</v>
      </c>
    </row>
    <row r="510" spans="1:26" hidden="1" x14ac:dyDescent="0.25">
      <c r="A510" t="s">
        <v>106</v>
      </c>
      <c r="B510">
        <v>3</v>
      </c>
      <c r="C510">
        <v>4</v>
      </c>
      <c r="D510">
        <v>0</v>
      </c>
      <c r="E510" t="s">
        <v>133</v>
      </c>
      <c r="F510">
        <v>116616</v>
      </c>
      <c r="G510">
        <v>349577035.16666669</v>
      </c>
      <c r="H510">
        <v>0.95962964495023095</v>
      </c>
      <c r="I510">
        <v>0.96925925925925926</v>
      </c>
      <c r="J510">
        <v>33237476.5</v>
      </c>
      <c r="K510">
        <v>221380</v>
      </c>
      <c r="L510">
        <v>2</v>
      </c>
      <c r="M510">
        <v>314</v>
      </c>
      <c r="N510">
        <v>0.96629629629629632</v>
      </c>
      <c r="O510">
        <v>32734199.833333332</v>
      </c>
      <c r="P510">
        <v>222715</v>
      </c>
      <c r="Q510">
        <v>2</v>
      </c>
      <c r="R510">
        <v>315</v>
      </c>
      <c r="S510">
        <v>11.418970814132104</v>
      </c>
      <c r="T510">
        <v>0.96370370388031001</v>
      </c>
      <c r="W510">
        <f t="shared" si="28"/>
        <v>221380</v>
      </c>
      <c r="X510">
        <f t="shared" si="29"/>
        <v>0.95962964495023095</v>
      </c>
      <c r="Y510">
        <f t="shared" si="30"/>
        <v>0.96370370388031001</v>
      </c>
      <c r="Z510">
        <f t="shared" si="31"/>
        <v>11.418970814132104</v>
      </c>
    </row>
    <row r="511" spans="1:26" hidden="1" x14ac:dyDescent="0.25">
      <c r="A511" t="s">
        <v>106</v>
      </c>
      <c r="B511">
        <v>5</v>
      </c>
      <c r="C511">
        <v>2</v>
      </c>
      <c r="D511">
        <v>0</v>
      </c>
      <c r="E511" t="s">
        <v>280</v>
      </c>
      <c r="F511">
        <v>222209</v>
      </c>
      <c r="G511">
        <v>791947433.42857146</v>
      </c>
      <c r="H511">
        <v>0.96634920154299053</v>
      </c>
      <c r="I511">
        <v>0.95809523809523811</v>
      </c>
      <c r="J511">
        <v>34104051.285714284</v>
      </c>
      <c r="K511">
        <v>221380</v>
      </c>
      <c r="L511">
        <v>2</v>
      </c>
      <c r="M511">
        <v>314</v>
      </c>
      <c r="N511">
        <v>0.95746031746031746</v>
      </c>
      <c r="O511">
        <v>33959101.714285716</v>
      </c>
      <c r="P511">
        <v>222715</v>
      </c>
      <c r="Q511">
        <v>2</v>
      </c>
      <c r="R511">
        <v>315</v>
      </c>
      <c r="S511">
        <v>11.530766350474289</v>
      </c>
      <c r="T511">
        <v>0.97407407561937964</v>
      </c>
      <c r="W511">
        <f t="shared" si="28"/>
        <v>221380</v>
      </c>
      <c r="X511">
        <f t="shared" si="29"/>
        <v>0.96634920154299053</v>
      </c>
      <c r="Y511">
        <f t="shared" si="30"/>
        <v>0.97407407561937964</v>
      </c>
      <c r="Z511">
        <f t="shared" si="31"/>
        <v>11.530766350474289</v>
      </c>
    </row>
    <row r="512" spans="1:26" hidden="1" x14ac:dyDescent="0.25">
      <c r="A512" t="s">
        <v>106</v>
      </c>
      <c r="B512">
        <v>5</v>
      </c>
      <c r="C512">
        <v>3</v>
      </c>
      <c r="D512">
        <v>0</v>
      </c>
      <c r="E512" t="s">
        <v>240</v>
      </c>
      <c r="F512">
        <v>221864</v>
      </c>
      <c r="G512">
        <v>669222272.25</v>
      </c>
      <c r="H512">
        <v>0.97111111879348755</v>
      </c>
      <c r="I512">
        <v>0.96277777777777773</v>
      </c>
      <c r="J512">
        <v>32857466</v>
      </c>
      <c r="K512">
        <v>221380</v>
      </c>
      <c r="L512">
        <v>2</v>
      </c>
      <c r="M512">
        <v>314</v>
      </c>
      <c r="N512">
        <v>0.96944444444444444</v>
      </c>
      <c r="O512">
        <v>34908180.5</v>
      </c>
      <c r="P512">
        <v>222715</v>
      </c>
      <c r="Q512">
        <v>2</v>
      </c>
      <c r="R512">
        <v>315</v>
      </c>
      <c r="S512">
        <v>11.563414934186246</v>
      </c>
      <c r="T512">
        <v>0.96543210744857788</v>
      </c>
      <c r="W512">
        <f t="shared" si="28"/>
        <v>221380</v>
      </c>
      <c r="X512">
        <f t="shared" si="29"/>
        <v>0.97111111879348755</v>
      </c>
      <c r="Y512">
        <f t="shared" si="30"/>
        <v>0.96543210744857788</v>
      </c>
      <c r="Z512">
        <f t="shared" si="31"/>
        <v>11.563414934186246</v>
      </c>
    </row>
    <row r="513" spans="1:26" hidden="1" x14ac:dyDescent="0.25">
      <c r="A513" t="s">
        <v>106</v>
      </c>
      <c r="B513">
        <v>9</v>
      </c>
      <c r="C513">
        <v>2</v>
      </c>
      <c r="D513">
        <v>0</v>
      </c>
      <c r="E513" t="s">
        <v>209</v>
      </c>
      <c r="F513">
        <v>222168</v>
      </c>
      <c r="G513">
        <v>664640679.75</v>
      </c>
      <c r="H513">
        <v>0.85944442451000214</v>
      </c>
      <c r="I513">
        <v>0.9588888888888889</v>
      </c>
      <c r="J513">
        <v>33265634.75</v>
      </c>
      <c r="K513">
        <v>221380</v>
      </c>
      <c r="L513">
        <v>2</v>
      </c>
      <c r="M513">
        <v>314</v>
      </c>
      <c r="N513">
        <v>0.96444444444444444</v>
      </c>
      <c r="O513">
        <v>34802775.25</v>
      </c>
      <c r="P513">
        <v>222715</v>
      </c>
      <c r="Q513">
        <v>2</v>
      </c>
      <c r="R513">
        <v>315</v>
      </c>
      <c r="S513">
        <v>11.805643902156943</v>
      </c>
      <c r="T513">
        <v>0.82716049750645959</v>
      </c>
      <c r="W513">
        <f t="shared" si="28"/>
        <v>221380</v>
      </c>
      <c r="X513">
        <f t="shared" si="29"/>
        <v>0.85944442451000214</v>
      </c>
      <c r="Y513">
        <f t="shared" si="30"/>
        <v>0.82716049750645959</v>
      </c>
      <c r="Z513">
        <f t="shared" si="31"/>
        <v>11.805643902156943</v>
      </c>
    </row>
    <row r="514" spans="1:26" hidden="1" x14ac:dyDescent="0.25">
      <c r="A514" t="s">
        <v>106</v>
      </c>
      <c r="B514">
        <v>3</v>
      </c>
      <c r="C514">
        <v>3</v>
      </c>
      <c r="D514">
        <v>0</v>
      </c>
      <c r="E514" t="s">
        <v>179</v>
      </c>
      <c r="F514">
        <v>125772</v>
      </c>
      <c r="G514">
        <v>420337868.125</v>
      </c>
      <c r="H514">
        <v>0.96805554628372192</v>
      </c>
      <c r="I514">
        <v>0.95374999999999999</v>
      </c>
      <c r="J514">
        <v>34130851.625</v>
      </c>
      <c r="K514">
        <v>222715</v>
      </c>
      <c r="L514">
        <v>2</v>
      </c>
      <c r="M514">
        <v>315</v>
      </c>
      <c r="N514">
        <v>0.95402777777777781</v>
      </c>
      <c r="O514">
        <v>34092850.3125</v>
      </c>
      <c r="P514">
        <v>224054</v>
      </c>
      <c r="Q514">
        <v>2</v>
      </c>
      <c r="R514">
        <v>316</v>
      </c>
      <c r="S514">
        <v>11.420013297872341</v>
      </c>
      <c r="T514">
        <v>0.98469135761260984</v>
      </c>
      <c r="W514">
        <f t="shared" si="28"/>
        <v>222715</v>
      </c>
      <c r="X514">
        <f t="shared" si="29"/>
        <v>0.96805554628372192</v>
      </c>
      <c r="Y514">
        <f t="shared" si="30"/>
        <v>0.98469135761260984</v>
      </c>
      <c r="Z514">
        <f t="shared" si="31"/>
        <v>11.420013297872341</v>
      </c>
    </row>
    <row r="515" spans="1:26" hidden="1" x14ac:dyDescent="0.25">
      <c r="A515" t="s">
        <v>106</v>
      </c>
      <c r="B515">
        <v>5</v>
      </c>
      <c r="C515">
        <v>3</v>
      </c>
      <c r="D515">
        <v>0</v>
      </c>
      <c r="E515" t="s">
        <v>284</v>
      </c>
      <c r="F515">
        <v>223379</v>
      </c>
      <c r="G515">
        <v>543243263.75</v>
      </c>
      <c r="H515">
        <v>0.97222223877906799</v>
      </c>
      <c r="I515">
        <v>0.96944444444444444</v>
      </c>
      <c r="J515">
        <v>33814420.5</v>
      </c>
      <c r="K515">
        <v>222715</v>
      </c>
      <c r="L515">
        <v>2</v>
      </c>
      <c r="M515">
        <v>315</v>
      </c>
      <c r="N515">
        <v>0.97222222222222221</v>
      </c>
      <c r="O515">
        <v>35153208.75</v>
      </c>
      <c r="P515">
        <v>224054</v>
      </c>
      <c r="Q515">
        <v>2</v>
      </c>
      <c r="R515">
        <v>316</v>
      </c>
      <c r="S515">
        <v>11.56426023859304</v>
      </c>
      <c r="T515">
        <v>0.97530863682428992</v>
      </c>
      <c r="W515">
        <f t="shared" ref="W515:W578" si="32">K515</f>
        <v>222715</v>
      </c>
      <c r="X515">
        <f t="shared" ref="X515:X578" si="33">H515</f>
        <v>0.97222223877906799</v>
      </c>
      <c r="Y515">
        <f t="shared" ref="Y515:Y578" si="34">T515</f>
        <v>0.97530863682428992</v>
      </c>
      <c r="Z515">
        <f t="shared" ref="Z515:Z578" si="35">S515</f>
        <v>11.56426023859304</v>
      </c>
    </row>
    <row r="516" spans="1:26" hidden="1" x14ac:dyDescent="0.25">
      <c r="A516" t="s">
        <v>106</v>
      </c>
      <c r="B516">
        <v>5</v>
      </c>
      <c r="C516">
        <v>4</v>
      </c>
      <c r="D516">
        <v>0</v>
      </c>
      <c r="E516" t="s">
        <v>186</v>
      </c>
      <c r="F516">
        <v>222928</v>
      </c>
      <c r="G516">
        <v>357855188</v>
      </c>
      <c r="H516">
        <v>0.95555554330348969</v>
      </c>
      <c r="I516">
        <v>0.95499999999999996</v>
      </c>
      <c r="J516">
        <v>33722030.75</v>
      </c>
      <c r="K516">
        <v>222715</v>
      </c>
      <c r="L516">
        <v>2</v>
      </c>
      <c r="M516">
        <v>315</v>
      </c>
      <c r="N516">
        <v>0.9588888888888889</v>
      </c>
      <c r="O516">
        <v>34684687.75</v>
      </c>
      <c r="P516">
        <v>224054</v>
      </c>
      <c r="Q516">
        <v>2</v>
      </c>
      <c r="R516">
        <v>316</v>
      </c>
      <c r="S516">
        <v>11.592437738592983</v>
      </c>
      <c r="T516">
        <v>0.97037037213643396</v>
      </c>
      <c r="W516">
        <f t="shared" si="32"/>
        <v>222715</v>
      </c>
      <c r="X516">
        <f t="shared" si="33"/>
        <v>0.95555554330348969</v>
      </c>
      <c r="Y516">
        <f t="shared" si="34"/>
        <v>0.97037037213643396</v>
      </c>
      <c r="Z516">
        <f t="shared" si="35"/>
        <v>11.592437738592983</v>
      </c>
    </row>
    <row r="517" spans="1:26" hidden="1" x14ac:dyDescent="0.25">
      <c r="A517" t="s">
        <v>106</v>
      </c>
      <c r="B517">
        <v>9</v>
      </c>
      <c r="C517">
        <v>2</v>
      </c>
      <c r="D517">
        <v>0</v>
      </c>
      <c r="E517" t="s">
        <v>271</v>
      </c>
      <c r="F517">
        <v>223387</v>
      </c>
      <c r="G517">
        <v>730952782.5</v>
      </c>
      <c r="H517">
        <v>0.84999999403953552</v>
      </c>
      <c r="I517">
        <v>0.96666666666666667</v>
      </c>
      <c r="J517">
        <v>33171045.75</v>
      </c>
      <c r="K517">
        <v>222715</v>
      </c>
      <c r="L517">
        <v>2</v>
      </c>
      <c r="M517">
        <v>315</v>
      </c>
      <c r="N517">
        <v>0.96944444444444444</v>
      </c>
      <c r="O517">
        <v>33976367.25</v>
      </c>
      <c r="P517">
        <v>224054</v>
      </c>
      <c r="Q517">
        <v>2</v>
      </c>
      <c r="R517">
        <v>316</v>
      </c>
      <c r="S517">
        <v>11.808001387523849</v>
      </c>
      <c r="T517">
        <v>0.83456790447235107</v>
      </c>
      <c r="W517">
        <f t="shared" si="32"/>
        <v>222715</v>
      </c>
      <c r="X517">
        <f t="shared" si="33"/>
        <v>0.84999999403953552</v>
      </c>
      <c r="Y517">
        <f t="shared" si="34"/>
        <v>0.83456790447235107</v>
      </c>
      <c r="Z517">
        <f t="shared" si="35"/>
        <v>11.808001387523849</v>
      </c>
    </row>
    <row r="518" spans="1:26" hidden="1" x14ac:dyDescent="0.25">
      <c r="A518" t="s">
        <v>106</v>
      </c>
      <c r="B518">
        <v>9</v>
      </c>
      <c r="C518">
        <v>3</v>
      </c>
      <c r="D518">
        <v>0</v>
      </c>
      <c r="E518" t="s">
        <v>205</v>
      </c>
      <c r="F518">
        <v>222880</v>
      </c>
      <c r="G518">
        <v>707504064.5</v>
      </c>
      <c r="H518">
        <v>0.9072222113609314</v>
      </c>
      <c r="I518">
        <v>0.97166666666666668</v>
      </c>
      <c r="J518">
        <v>33176356.25</v>
      </c>
      <c r="K518">
        <v>222715</v>
      </c>
      <c r="L518">
        <v>2</v>
      </c>
      <c r="M518">
        <v>315</v>
      </c>
      <c r="N518">
        <v>0.97277777777777774</v>
      </c>
      <c r="O518">
        <v>34423845.75</v>
      </c>
      <c r="P518">
        <v>224054</v>
      </c>
      <c r="Q518">
        <v>2</v>
      </c>
      <c r="R518">
        <v>316</v>
      </c>
      <c r="S518">
        <v>11.956127855962624</v>
      </c>
      <c r="T518">
        <v>0.92469135920206702</v>
      </c>
      <c r="W518">
        <f t="shared" si="32"/>
        <v>222715</v>
      </c>
      <c r="X518">
        <f t="shared" si="33"/>
        <v>0.9072222113609314</v>
      </c>
      <c r="Y518">
        <f t="shared" si="34"/>
        <v>0.92469135920206702</v>
      </c>
      <c r="Z518">
        <f t="shared" si="35"/>
        <v>11.956127855962624</v>
      </c>
    </row>
    <row r="519" spans="1:26" hidden="1" x14ac:dyDescent="0.25">
      <c r="A519" t="s">
        <v>106</v>
      </c>
      <c r="B519">
        <v>9</v>
      </c>
      <c r="C519">
        <v>5</v>
      </c>
      <c r="D519">
        <v>0</v>
      </c>
      <c r="E519" t="s">
        <v>111</v>
      </c>
      <c r="F519">
        <v>223894</v>
      </c>
      <c r="G519">
        <v>300703704.5</v>
      </c>
      <c r="H519">
        <v>0.91555555164813995</v>
      </c>
      <c r="I519">
        <v>0.95611111111111113</v>
      </c>
      <c r="J519">
        <v>32628549.5</v>
      </c>
      <c r="K519">
        <v>222715</v>
      </c>
      <c r="L519">
        <v>2</v>
      </c>
      <c r="M519">
        <v>315</v>
      </c>
      <c r="N519">
        <v>0.95555555555555549</v>
      </c>
      <c r="O519">
        <v>29815719.25</v>
      </c>
      <c r="P519">
        <v>224054</v>
      </c>
      <c r="Q519">
        <v>2</v>
      </c>
      <c r="R519">
        <v>316</v>
      </c>
      <c r="S519">
        <v>12.174275680421422</v>
      </c>
      <c r="T519">
        <v>0.93826666666666669</v>
      </c>
      <c r="W519">
        <f t="shared" si="32"/>
        <v>222715</v>
      </c>
      <c r="X519">
        <f t="shared" si="33"/>
        <v>0.91555555164813995</v>
      </c>
      <c r="Y519">
        <f t="shared" si="34"/>
        <v>0.93826666666666669</v>
      </c>
      <c r="Z519">
        <f t="shared" si="35"/>
        <v>12.174275680421422</v>
      </c>
    </row>
    <row r="520" spans="1:26" hidden="1" x14ac:dyDescent="0.25">
      <c r="A520" t="s">
        <v>106</v>
      </c>
      <c r="B520">
        <v>3</v>
      </c>
      <c r="C520">
        <v>3</v>
      </c>
      <c r="D520">
        <v>0</v>
      </c>
      <c r="E520" t="s">
        <v>198</v>
      </c>
      <c r="F520">
        <v>126418</v>
      </c>
      <c r="G520">
        <v>379798297.74285716</v>
      </c>
      <c r="H520">
        <v>0.97333333321980064</v>
      </c>
      <c r="I520">
        <v>0.96120634920634918</v>
      </c>
      <c r="J520">
        <v>31607100.399999999</v>
      </c>
      <c r="K520">
        <v>224054</v>
      </c>
      <c r="L520">
        <v>2</v>
      </c>
      <c r="M520">
        <v>316</v>
      </c>
      <c r="N520">
        <v>0.96050793650793653</v>
      </c>
      <c r="O520">
        <v>31538330.199999999</v>
      </c>
      <c r="P520">
        <v>225397</v>
      </c>
      <c r="Q520">
        <v>2</v>
      </c>
      <c r="R520">
        <v>317</v>
      </c>
      <c r="S520">
        <v>11.421359867330017</v>
      </c>
      <c r="T520">
        <v>0.98213507147396317</v>
      </c>
      <c r="W520">
        <f t="shared" si="32"/>
        <v>224054</v>
      </c>
      <c r="X520">
        <f t="shared" si="33"/>
        <v>0.97333333321980064</v>
      </c>
      <c r="Y520">
        <f t="shared" si="34"/>
        <v>0.98213507147396317</v>
      </c>
      <c r="Z520">
        <f t="shared" si="35"/>
        <v>11.421359867330017</v>
      </c>
    </row>
    <row r="521" spans="1:26" hidden="1" x14ac:dyDescent="0.25">
      <c r="A521" t="s">
        <v>106</v>
      </c>
      <c r="B521">
        <v>3</v>
      </c>
      <c r="C521">
        <v>4</v>
      </c>
      <c r="D521">
        <v>0</v>
      </c>
      <c r="E521" t="s">
        <v>134</v>
      </c>
      <c r="F521">
        <v>118098</v>
      </c>
      <c r="G521">
        <v>441778810.66666669</v>
      </c>
      <c r="H521">
        <v>0.95185185472170508</v>
      </c>
      <c r="I521">
        <v>0.96851851851851856</v>
      </c>
      <c r="J521">
        <v>33661451.833333336</v>
      </c>
      <c r="K521">
        <v>224054</v>
      </c>
      <c r="L521">
        <v>2</v>
      </c>
      <c r="M521">
        <v>316</v>
      </c>
      <c r="N521">
        <v>0.96592592592592585</v>
      </c>
      <c r="O521">
        <v>34234210.5</v>
      </c>
      <c r="P521">
        <v>225397</v>
      </c>
      <c r="Q521">
        <v>2</v>
      </c>
      <c r="R521">
        <v>317</v>
      </c>
      <c r="S521">
        <v>11.419833653230967</v>
      </c>
      <c r="T521">
        <v>0.95777778625488286</v>
      </c>
      <c r="W521">
        <f t="shared" si="32"/>
        <v>224054</v>
      </c>
      <c r="X521">
        <f t="shared" si="33"/>
        <v>0.95185185472170508</v>
      </c>
      <c r="Y521">
        <f t="shared" si="34"/>
        <v>0.95777778625488286</v>
      </c>
      <c r="Z521">
        <f t="shared" si="35"/>
        <v>11.419833653230967</v>
      </c>
    </row>
    <row r="522" spans="1:26" hidden="1" x14ac:dyDescent="0.25">
      <c r="A522" t="s">
        <v>106</v>
      </c>
      <c r="B522">
        <v>5</v>
      </c>
      <c r="C522">
        <v>3</v>
      </c>
      <c r="D522">
        <v>0</v>
      </c>
      <c r="E522" t="s">
        <v>266</v>
      </c>
      <c r="F522">
        <v>225329</v>
      </c>
      <c r="G522">
        <v>487901022.25</v>
      </c>
      <c r="H522">
        <v>0.9722222238779068</v>
      </c>
      <c r="I522">
        <v>0.96444444444444444</v>
      </c>
      <c r="J522">
        <v>33881838.25</v>
      </c>
      <c r="K522">
        <v>224054</v>
      </c>
      <c r="L522">
        <v>2</v>
      </c>
      <c r="M522">
        <v>316</v>
      </c>
      <c r="N522">
        <v>0.96333333333333337</v>
      </c>
      <c r="O522">
        <v>34253394.75</v>
      </c>
      <c r="P522">
        <v>225397</v>
      </c>
      <c r="Q522">
        <v>2</v>
      </c>
      <c r="R522">
        <v>317</v>
      </c>
      <c r="S522">
        <v>11.564920693471043</v>
      </c>
      <c r="T522">
        <v>0.96666665871938073</v>
      </c>
      <c r="W522">
        <f t="shared" si="32"/>
        <v>224054</v>
      </c>
      <c r="X522">
        <f t="shared" si="33"/>
        <v>0.9722222238779068</v>
      </c>
      <c r="Y522">
        <f t="shared" si="34"/>
        <v>0.96666665871938073</v>
      </c>
      <c r="Z522">
        <f t="shared" si="35"/>
        <v>11.564920693471043</v>
      </c>
    </row>
    <row r="523" spans="1:26" hidden="1" x14ac:dyDescent="0.25">
      <c r="A523" t="s">
        <v>106</v>
      </c>
      <c r="B523">
        <v>5</v>
      </c>
      <c r="C523">
        <v>4</v>
      </c>
      <c r="D523">
        <v>0</v>
      </c>
      <c r="E523" t="s">
        <v>264</v>
      </c>
      <c r="F523">
        <v>224485</v>
      </c>
      <c r="G523">
        <v>508623327</v>
      </c>
      <c r="H523">
        <v>0.95388889312744141</v>
      </c>
      <c r="I523">
        <v>0.96333333333333337</v>
      </c>
      <c r="J523">
        <v>34345845.25</v>
      </c>
      <c r="K523">
        <v>224054</v>
      </c>
      <c r="L523">
        <v>2</v>
      </c>
      <c r="M523">
        <v>316</v>
      </c>
      <c r="N523">
        <v>0.97111111111111115</v>
      </c>
      <c r="O523">
        <v>34096770.25</v>
      </c>
      <c r="P523">
        <v>225397</v>
      </c>
      <c r="Q523">
        <v>2</v>
      </c>
      <c r="R523">
        <v>317</v>
      </c>
      <c r="S523">
        <v>11.593021142545586</v>
      </c>
      <c r="T523">
        <v>0.94567900896072388</v>
      </c>
      <c r="W523">
        <f t="shared" si="32"/>
        <v>224054</v>
      </c>
      <c r="X523">
        <f t="shared" si="33"/>
        <v>0.95388889312744141</v>
      </c>
      <c r="Y523">
        <f t="shared" si="34"/>
        <v>0.94567900896072388</v>
      </c>
      <c r="Z523">
        <f t="shared" si="35"/>
        <v>11.593021142545586</v>
      </c>
    </row>
    <row r="524" spans="1:26" hidden="1" x14ac:dyDescent="0.25">
      <c r="A524" t="s">
        <v>106</v>
      </c>
      <c r="B524">
        <v>5</v>
      </c>
      <c r="C524">
        <v>5</v>
      </c>
      <c r="D524">
        <v>0</v>
      </c>
      <c r="E524" t="s">
        <v>201</v>
      </c>
      <c r="F524">
        <v>224398</v>
      </c>
      <c r="G524">
        <v>711174117.25</v>
      </c>
      <c r="H524">
        <v>0.9005555659532547</v>
      </c>
      <c r="I524">
        <v>0.97333333333333338</v>
      </c>
      <c r="J524">
        <v>34433697</v>
      </c>
      <c r="K524">
        <v>224054</v>
      </c>
      <c r="L524">
        <v>2</v>
      </c>
      <c r="M524">
        <v>316</v>
      </c>
      <c r="N524">
        <v>0.97555555555555551</v>
      </c>
      <c r="O524">
        <v>33600469.5</v>
      </c>
      <c r="P524">
        <v>225397</v>
      </c>
      <c r="Q524">
        <v>2</v>
      </c>
      <c r="R524">
        <v>317</v>
      </c>
      <c r="S524">
        <v>11.615728595277844</v>
      </c>
      <c r="T524">
        <v>0.86790122588475549</v>
      </c>
      <c r="W524">
        <f t="shared" si="32"/>
        <v>224054</v>
      </c>
      <c r="X524">
        <f t="shared" si="33"/>
        <v>0.9005555659532547</v>
      </c>
      <c r="Y524">
        <f t="shared" si="34"/>
        <v>0.86790122588475549</v>
      </c>
      <c r="Z524">
        <f t="shared" si="35"/>
        <v>11.615728595277844</v>
      </c>
    </row>
    <row r="525" spans="1:26" hidden="1" x14ac:dyDescent="0.25">
      <c r="A525" t="s">
        <v>106</v>
      </c>
      <c r="B525">
        <v>9</v>
      </c>
      <c r="C525">
        <v>2</v>
      </c>
      <c r="D525">
        <v>0</v>
      </c>
      <c r="E525" t="s">
        <v>134</v>
      </c>
      <c r="F525">
        <v>224226</v>
      </c>
      <c r="G525">
        <v>942187668</v>
      </c>
      <c r="H525">
        <v>0.86333334445953369</v>
      </c>
      <c r="I525">
        <v>0.96499999999999997</v>
      </c>
      <c r="J525">
        <v>33779309.75</v>
      </c>
      <c r="K525">
        <v>224054</v>
      </c>
      <c r="L525">
        <v>2</v>
      </c>
      <c r="M525">
        <v>316</v>
      </c>
      <c r="N525">
        <v>0.9655555555555555</v>
      </c>
      <c r="O525">
        <v>32952191</v>
      </c>
      <c r="P525">
        <v>225397</v>
      </c>
      <c r="Q525">
        <v>2</v>
      </c>
      <c r="R525">
        <v>317</v>
      </c>
      <c r="S525">
        <v>11.811513785330328</v>
      </c>
      <c r="T525">
        <v>0.88641975323359168</v>
      </c>
      <c r="W525">
        <f t="shared" si="32"/>
        <v>224054</v>
      </c>
      <c r="X525">
        <f t="shared" si="33"/>
        <v>0.86333334445953369</v>
      </c>
      <c r="Y525">
        <f t="shared" si="34"/>
        <v>0.88641975323359168</v>
      </c>
      <c r="Z525">
        <f t="shared" si="35"/>
        <v>11.811513785330328</v>
      </c>
    </row>
    <row r="526" spans="1:26" hidden="1" x14ac:dyDescent="0.25">
      <c r="A526" t="s">
        <v>106</v>
      </c>
      <c r="B526">
        <v>9</v>
      </c>
      <c r="C526">
        <v>3</v>
      </c>
      <c r="D526">
        <v>0</v>
      </c>
      <c r="E526" t="s">
        <v>269</v>
      </c>
      <c r="F526">
        <v>225171</v>
      </c>
      <c r="G526">
        <v>704840728.75</v>
      </c>
      <c r="H526">
        <v>0.89333334565162659</v>
      </c>
      <c r="I526">
        <v>0.96166666666666667</v>
      </c>
      <c r="J526">
        <v>34211157.5</v>
      </c>
      <c r="K526">
        <v>224054</v>
      </c>
      <c r="L526">
        <v>2</v>
      </c>
      <c r="M526">
        <v>316</v>
      </c>
      <c r="N526">
        <v>0.96166666666666667</v>
      </c>
      <c r="O526">
        <v>33017753.25</v>
      </c>
      <c r="P526">
        <v>225397</v>
      </c>
      <c r="Q526">
        <v>2</v>
      </c>
      <c r="R526">
        <v>317</v>
      </c>
      <c r="S526">
        <v>11.958644260894332</v>
      </c>
      <c r="T526">
        <v>0.91481482982635498</v>
      </c>
      <c r="W526">
        <f t="shared" si="32"/>
        <v>224054</v>
      </c>
      <c r="X526">
        <f t="shared" si="33"/>
        <v>0.89333334565162659</v>
      </c>
      <c r="Y526">
        <f t="shared" si="34"/>
        <v>0.91481482982635498</v>
      </c>
      <c r="Z526">
        <f t="shared" si="35"/>
        <v>11.958644260894332</v>
      </c>
    </row>
    <row r="527" spans="1:26" hidden="1" x14ac:dyDescent="0.25">
      <c r="A527" t="s">
        <v>106</v>
      </c>
      <c r="B527">
        <v>3</v>
      </c>
      <c r="C527">
        <v>3</v>
      </c>
      <c r="D527">
        <v>0</v>
      </c>
      <c r="E527" t="s">
        <v>213</v>
      </c>
      <c r="F527">
        <v>126920</v>
      </c>
      <c r="G527">
        <v>416743389.85714287</v>
      </c>
      <c r="H527">
        <v>0.96873015591076439</v>
      </c>
      <c r="I527">
        <v>0.95301587301587298</v>
      </c>
      <c r="J527">
        <v>34803383.5</v>
      </c>
      <c r="K527">
        <v>225397</v>
      </c>
      <c r="L527">
        <v>2</v>
      </c>
      <c r="M527">
        <v>317</v>
      </c>
      <c r="N527">
        <v>0.95301587301587298</v>
      </c>
      <c r="O527">
        <v>34109256</v>
      </c>
      <c r="P527">
        <v>226744</v>
      </c>
      <c r="Q527">
        <v>2</v>
      </c>
      <c r="R527">
        <v>318</v>
      </c>
      <c r="S527">
        <v>11.42202929286235</v>
      </c>
      <c r="T527">
        <v>0.98888888267370367</v>
      </c>
      <c r="W527">
        <f t="shared" si="32"/>
        <v>225397</v>
      </c>
      <c r="X527">
        <f t="shared" si="33"/>
        <v>0.96873015591076439</v>
      </c>
      <c r="Y527">
        <f t="shared" si="34"/>
        <v>0.98888888267370367</v>
      </c>
      <c r="Z527">
        <f t="shared" si="35"/>
        <v>11.42202929286235</v>
      </c>
    </row>
    <row r="528" spans="1:26" hidden="1" x14ac:dyDescent="0.25">
      <c r="A528" t="s">
        <v>106</v>
      </c>
      <c r="B528">
        <v>5</v>
      </c>
      <c r="C528">
        <v>3</v>
      </c>
      <c r="D528">
        <v>0</v>
      </c>
      <c r="E528" t="s">
        <v>139</v>
      </c>
      <c r="F528">
        <v>225764</v>
      </c>
      <c r="G528">
        <v>464817024.4285714</v>
      </c>
      <c r="H528">
        <v>0.96920634167534969</v>
      </c>
      <c r="I528">
        <v>0.96857142857142853</v>
      </c>
      <c r="J528">
        <v>34887879</v>
      </c>
      <c r="K528">
        <v>225397</v>
      </c>
      <c r="L528">
        <v>2</v>
      </c>
      <c r="M528">
        <v>317</v>
      </c>
      <c r="N528">
        <v>0.96730158730158733</v>
      </c>
      <c r="O528">
        <v>34423885.857142858</v>
      </c>
      <c r="P528">
        <v>226744</v>
      </c>
      <c r="Q528">
        <v>2</v>
      </c>
      <c r="R528">
        <v>318</v>
      </c>
      <c r="S528">
        <v>11.565476556258833</v>
      </c>
      <c r="T528">
        <v>0.9629629751046499</v>
      </c>
      <c r="W528">
        <f t="shared" si="32"/>
        <v>225397</v>
      </c>
      <c r="X528">
        <f t="shared" si="33"/>
        <v>0.96920634167534969</v>
      </c>
      <c r="Y528">
        <f t="shared" si="34"/>
        <v>0.9629629751046499</v>
      </c>
      <c r="Z528">
        <f t="shared" si="35"/>
        <v>11.565476556258833</v>
      </c>
    </row>
    <row r="529" spans="1:26" hidden="1" x14ac:dyDescent="0.25">
      <c r="A529" t="s">
        <v>106</v>
      </c>
      <c r="B529">
        <v>9</v>
      </c>
      <c r="C529">
        <v>2</v>
      </c>
      <c r="D529">
        <v>0</v>
      </c>
      <c r="E529" t="s">
        <v>290</v>
      </c>
      <c r="F529">
        <v>226385</v>
      </c>
      <c r="G529">
        <v>969465673</v>
      </c>
      <c r="H529">
        <v>0.83777777850627899</v>
      </c>
      <c r="I529">
        <v>0.96333333333333326</v>
      </c>
      <c r="J529">
        <v>32696730.75</v>
      </c>
      <c r="K529">
        <v>225397</v>
      </c>
      <c r="L529">
        <v>2</v>
      </c>
      <c r="M529">
        <v>317</v>
      </c>
      <c r="N529">
        <v>0.95944444444444443</v>
      </c>
      <c r="O529">
        <v>31981786.75</v>
      </c>
      <c r="P529">
        <v>226744</v>
      </c>
      <c r="Q529">
        <v>2</v>
      </c>
      <c r="R529">
        <v>318</v>
      </c>
      <c r="S529">
        <v>11.815140132909564</v>
      </c>
      <c r="T529">
        <v>0.85061728954315186</v>
      </c>
      <c r="W529">
        <f t="shared" si="32"/>
        <v>225397</v>
      </c>
      <c r="X529">
        <f t="shared" si="33"/>
        <v>0.83777777850627899</v>
      </c>
      <c r="Y529">
        <f t="shared" si="34"/>
        <v>0.85061728954315186</v>
      </c>
      <c r="Z529">
        <f t="shared" si="35"/>
        <v>11.815140132909564</v>
      </c>
    </row>
    <row r="530" spans="1:26" hidden="1" x14ac:dyDescent="0.25">
      <c r="A530" t="s">
        <v>106</v>
      </c>
      <c r="B530">
        <v>9</v>
      </c>
      <c r="C530">
        <v>3</v>
      </c>
      <c r="D530">
        <v>0</v>
      </c>
      <c r="E530" t="s">
        <v>288</v>
      </c>
      <c r="F530">
        <v>226003</v>
      </c>
      <c r="G530">
        <v>691813868.25</v>
      </c>
      <c r="H530">
        <v>0.90944445133209229</v>
      </c>
      <c r="I530">
        <v>0.96333333333333337</v>
      </c>
      <c r="J530">
        <v>31866066.75</v>
      </c>
      <c r="K530">
        <v>225397</v>
      </c>
      <c r="L530">
        <v>2</v>
      </c>
      <c r="M530">
        <v>317</v>
      </c>
      <c r="N530">
        <v>0.96499999999999997</v>
      </c>
      <c r="O530">
        <v>31878251.5</v>
      </c>
      <c r="P530">
        <v>226744</v>
      </c>
      <c r="Q530">
        <v>2</v>
      </c>
      <c r="R530">
        <v>318</v>
      </c>
      <c r="S530">
        <v>11.96133037188906</v>
      </c>
      <c r="T530">
        <v>0.92097779102325439</v>
      </c>
      <c r="W530">
        <f t="shared" si="32"/>
        <v>225397</v>
      </c>
      <c r="X530">
        <f t="shared" si="33"/>
        <v>0.90944445133209229</v>
      </c>
      <c r="Y530">
        <f t="shared" si="34"/>
        <v>0.92097779102325439</v>
      </c>
      <c r="Z530">
        <f t="shared" si="35"/>
        <v>11.96133037188906</v>
      </c>
    </row>
    <row r="531" spans="1:26" hidden="1" x14ac:dyDescent="0.25">
      <c r="A531" t="s">
        <v>106</v>
      </c>
      <c r="B531">
        <v>3</v>
      </c>
      <c r="C531">
        <v>3</v>
      </c>
      <c r="D531">
        <v>0</v>
      </c>
      <c r="E531" t="s">
        <v>199</v>
      </c>
      <c r="F531">
        <v>127824</v>
      </c>
      <c r="G531">
        <v>338359464</v>
      </c>
      <c r="H531">
        <v>0.97020202604207129</v>
      </c>
      <c r="I531">
        <v>0.95717171717171723</v>
      </c>
      <c r="J531">
        <v>31208565.772727273</v>
      </c>
      <c r="K531">
        <v>226744</v>
      </c>
      <c r="L531">
        <v>2</v>
      </c>
      <c r="M531">
        <v>318</v>
      </c>
      <c r="N531">
        <v>0.96030303030303032</v>
      </c>
      <c r="O531">
        <v>30950725.90909091</v>
      </c>
      <c r="P531">
        <v>228095</v>
      </c>
      <c r="Q531">
        <v>2</v>
      </c>
      <c r="R531">
        <v>319</v>
      </c>
      <c r="S531">
        <v>11.423003110316987</v>
      </c>
      <c r="T531">
        <v>0.9823633233706156</v>
      </c>
      <c r="W531">
        <f t="shared" si="32"/>
        <v>226744</v>
      </c>
      <c r="X531">
        <f t="shared" si="33"/>
        <v>0.97020202604207129</v>
      </c>
      <c r="Y531">
        <f t="shared" si="34"/>
        <v>0.9823633233706156</v>
      </c>
      <c r="Z531">
        <f t="shared" si="35"/>
        <v>11.423003110316987</v>
      </c>
    </row>
    <row r="532" spans="1:26" hidden="1" x14ac:dyDescent="0.25">
      <c r="A532" t="s">
        <v>106</v>
      </c>
      <c r="B532">
        <v>3</v>
      </c>
      <c r="C532">
        <v>4</v>
      </c>
      <c r="D532">
        <v>0</v>
      </c>
      <c r="E532" t="s">
        <v>135</v>
      </c>
      <c r="F532">
        <v>119580</v>
      </c>
      <c r="G532">
        <v>597166825</v>
      </c>
      <c r="H532">
        <v>0.96349205289568218</v>
      </c>
      <c r="I532">
        <v>0.96666666666666667</v>
      </c>
      <c r="J532">
        <v>34460740.857142858</v>
      </c>
      <c r="K532">
        <v>226744</v>
      </c>
      <c r="L532">
        <v>2</v>
      </c>
      <c r="M532">
        <v>318</v>
      </c>
      <c r="N532">
        <v>0.96412698412698417</v>
      </c>
      <c r="O532">
        <v>32938474.142857142</v>
      </c>
      <c r="P532">
        <v>228095</v>
      </c>
      <c r="Q532">
        <v>2</v>
      </c>
      <c r="R532">
        <v>319</v>
      </c>
      <c r="S532">
        <v>11.422331649293342</v>
      </c>
      <c r="T532">
        <v>0.96666665871938073</v>
      </c>
      <c r="W532">
        <f t="shared" si="32"/>
        <v>226744</v>
      </c>
      <c r="X532">
        <f t="shared" si="33"/>
        <v>0.96349205289568218</v>
      </c>
      <c r="Y532">
        <f t="shared" si="34"/>
        <v>0.96666665871938073</v>
      </c>
      <c r="Z532">
        <f t="shared" si="35"/>
        <v>11.422331649293342</v>
      </c>
    </row>
    <row r="533" spans="1:26" hidden="1" x14ac:dyDescent="0.25">
      <c r="A533" t="s">
        <v>106</v>
      </c>
      <c r="B533">
        <v>5</v>
      </c>
      <c r="C533">
        <v>2</v>
      </c>
      <c r="D533">
        <v>0</v>
      </c>
      <c r="E533" t="s">
        <v>287</v>
      </c>
      <c r="F533">
        <v>228001</v>
      </c>
      <c r="G533">
        <v>796417233</v>
      </c>
      <c r="H533">
        <v>0.96634921857288902</v>
      </c>
      <c r="I533">
        <v>0.95650793650793653</v>
      </c>
      <c r="J533">
        <v>35318220</v>
      </c>
      <c r="K533">
        <v>226744</v>
      </c>
      <c r="L533">
        <v>2</v>
      </c>
      <c r="M533">
        <v>318</v>
      </c>
      <c r="N533">
        <v>0.95460317460317456</v>
      </c>
      <c r="O533">
        <v>34679399.428571425</v>
      </c>
      <c r="P533">
        <v>228095</v>
      </c>
      <c r="Q533">
        <v>2</v>
      </c>
      <c r="R533">
        <v>319</v>
      </c>
      <c r="S533">
        <v>11.533216892271225</v>
      </c>
      <c r="T533">
        <v>0.98271605372428894</v>
      </c>
      <c r="W533">
        <f t="shared" si="32"/>
        <v>226744</v>
      </c>
      <c r="X533">
        <f t="shared" si="33"/>
        <v>0.96634921857288902</v>
      </c>
      <c r="Y533">
        <f t="shared" si="34"/>
        <v>0.98271605372428894</v>
      </c>
      <c r="Z533">
        <f t="shared" si="35"/>
        <v>11.533216892271225</v>
      </c>
    </row>
    <row r="534" spans="1:26" hidden="1" x14ac:dyDescent="0.25">
      <c r="A534" t="s">
        <v>106</v>
      </c>
      <c r="B534">
        <v>5</v>
      </c>
      <c r="C534">
        <v>4</v>
      </c>
      <c r="D534">
        <v>0</v>
      </c>
      <c r="E534" t="s">
        <v>282</v>
      </c>
      <c r="F534">
        <v>226959</v>
      </c>
      <c r="G534">
        <v>539282827.85714281</v>
      </c>
      <c r="H534">
        <v>0.95206349236624577</v>
      </c>
      <c r="I534">
        <v>0.96253968253968258</v>
      </c>
      <c r="J534">
        <v>35001293.285714284</v>
      </c>
      <c r="K534">
        <v>226744</v>
      </c>
      <c r="L534">
        <v>2</v>
      </c>
      <c r="M534">
        <v>318</v>
      </c>
      <c r="N534">
        <v>0.95523809523809522</v>
      </c>
      <c r="O534">
        <v>34654611.571428575</v>
      </c>
      <c r="P534">
        <v>228095</v>
      </c>
      <c r="Q534">
        <v>2</v>
      </c>
      <c r="R534">
        <v>319</v>
      </c>
      <c r="S534">
        <v>11.594828630253119</v>
      </c>
      <c r="T534">
        <v>0.96666665871938073</v>
      </c>
      <c r="W534">
        <f t="shared" si="32"/>
        <v>226744</v>
      </c>
      <c r="X534">
        <f t="shared" si="33"/>
        <v>0.95206349236624577</v>
      </c>
      <c r="Y534">
        <f t="shared" si="34"/>
        <v>0.96666665871938073</v>
      </c>
      <c r="Z534">
        <f t="shared" si="35"/>
        <v>11.594828630253119</v>
      </c>
    </row>
    <row r="535" spans="1:26" hidden="1" x14ac:dyDescent="0.25">
      <c r="A535" t="s">
        <v>106</v>
      </c>
      <c r="B535">
        <v>5</v>
      </c>
      <c r="C535">
        <v>5</v>
      </c>
      <c r="D535">
        <v>0</v>
      </c>
      <c r="E535" t="s">
        <v>121</v>
      </c>
      <c r="F535">
        <v>227466</v>
      </c>
      <c r="G535">
        <v>556955692</v>
      </c>
      <c r="H535">
        <v>0.90611110627651215</v>
      </c>
      <c r="I535">
        <v>0.96833333333333338</v>
      </c>
      <c r="J535">
        <v>35331474.5</v>
      </c>
      <c r="K535">
        <v>226744</v>
      </c>
      <c r="L535">
        <v>2</v>
      </c>
      <c r="M535">
        <v>318</v>
      </c>
      <c r="N535">
        <v>0.96833333333333327</v>
      </c>
      <c r="O535">
        <v>33756430</v>
      </c>
      <c r="P535">
        <v>228095</v>
      </c>
      <c r="Q535">
        <v>2</v>
      </c>
      <c r="R535">
        <v>319</v>
      </c>
      <c r="S535">
        <v>11.616356700047687</v>
      </c>
      <c r="T535">
        <v>0.91728395223617554</v>
      </c>
      <c r="W535">
        <f t="shared" si="32"/>
        <v>226744</v>
      </c>
      <c r="X535">
        <f t="shared" si="33"/>
        <v>0.90611110627651215</v>
      </c>
      <c r="Y535">
        <f t="shared" si="34"/>
        <v>0.91728395223617554</v>
      </c>
      <c r="Z535">
        <f t="shared" si="35"/>
        <v>11.616356700047687</v>
      </c>
    </row>
    <row r="536" spans="1:26" hidden="1" x14ac:dyDescent="0.25">
      <c r="A536" t="s">
        <v>106</v>
      </c>
      <c r="B536">
        <v>9</v>
      </c>
      <c r="C536">
        <v>3</v>
      </c>
      <c r="D536">
        <v>0</v>
      </c>
      <c r="E536" t="s">
        <v>157</v>
      </c>
      <c r="F536">
        <v>227022</v>
      </c>
      <c r="G536">
        <v>765680380.60000002</v>
      </c>
      <c r="H536">
        <v>0.89244443774223325</v>
      </c>
      <c r="I536">
        <v>0.96311111111111114</v>
      </c>
      <c r="J536">
        <v>34841493.799999997</v>
      </c>
      <c r="K536">
        <v>226744</v>
      </c>
      <c r="L536">
        <v>2</v>
      </c>
      <c r="M536">
        <v>318</v>
      </c>
      <c r="N536">
        <v>0.96533333333333338</v>
      </c>
      <c r="O536">
        <v>34406370.200000003</v>
      </c>
      <c r="P536">
        <v>228095</v>
      </c>
      <c r="Q536">
        <v>2</v>
      </c>
      <c r="R536">
        <v>319</v>
      </c>
      <c r="S536">
        <v>11.968410268085833</v>
      </c>
      <c r="T536">
        <v>0.90616378640068906</v>
      </c>
      <c r="W536">
        <f t="shared" si="32"/>
        <v>226744</v>
      </c>
      <c r="X536">
        <f t="shared" si="33"/>
        <v>0.89244443774223325</v>
      </c>
      <c r="Y536">
        <f t="shared" si="34"/>
        <v>0.90616378640068906</v>
      </c>
      <c r="Z536">
        <f t="shared" si="35"/>
        <v>11.968410268085833</v>
      </c>
    </row>
    <row r="537" spans="1:26" hidden="1" x14ac:dyDescent="0.25">
      <c r="A537" t="s">
        <v>106</v>
      </c>
      <c r="B537">
        <v>9</v>
      </c>
      <c r="C537">
        <v>4</v>
      </c>
      <c r="D537">
        <v>0</v>
      </c>
      <c r="E537" t="s">
        <v>256</v>
      </c>
      <c r="F537">
        <v>227683</v>
      </c>
      <c r="G537">
        <v>454280213.75</v>
      </c>
      <c r="H537">
        <v>0.90888890624046326</v>
      </c>
      <c r="I537">
        <v>0.9588888888888889</v>
      </c>
      <c r="J537">
        <v>31679919.5</v>
      </c>
      <c r="K537">
        <v>226744</v>
      </c>
      <c r="L537">
        <v>2</v>
      </c>
      <c r="M537">
        <v>318</v>
      </c>
      <c r="N537">
        <v>0.9622222222222222</v>
      </c>
      <c r="O537">
        <v>32515701.25</v>
      </c>
      <c r="P537">
        <v>228095</v>
      </c>
      <c r="Q537">
        <v>2</v>
      </c>
      <c r="R537">
        <v>319</v>
      </c>
      <c r="S537">
        <v>12.152102294935506</v>
      </c>
      <c r="T537">
        <v>0.91853333333333331</v>
      </c>
      <c r="W537">
        <f t="shared" si="32"/>
        <v>226744</v>
      </c>
      <c r="X537">
        <f t="shared" si="33"/>
        <v>0.90888890624046326</v>
      </c>
      <c r="Y537">
        <f t="shared" si="34"/>
        <v>0.91853333333333331</v>
      </c>
      <c r="Z537">
        <f t="shared" si="35"/>
        <v>12.152102294935506</v>
      </c>
    </row>
    <row r="538" spans="1:26" hidden="1" x14ac:dyDescent="0.25">
      <c r="A538" t="s">
        <v>106</v>
      </c>
      <c r="B538">
        <v>3</v>
      </c>
      <c r="C538">
        <v>3</v>
      </c>
      <c r="D538">
        <v>0</v>
      </c>
      <c r="E538" t="s">
        <v>228</v>
      </c>
      <c r="F538">
        <v>128756</v>
      </c>
      <c r="G538">
        <v>378540217.7037037</v>
      </c>
      <c r="H538">
        <v>0.96930041136565037</v>
      </c>
      <c r="I538">
        <v>0.95761316872427982</v>
      </c>
      <c r="J538">
        <v>33636155.555555552</v>
      </c>
      <c r="K538">
        <v>228095</v>
      </c>
      <c r="L538">
        <v>2</v>
      </c>
      <c r="M538">
        <v>319</v>
      </c>
      <c r="N538">
        <v>0.9586008230452675</v>
      </c>
      <c r="O538">
        <v>33525175.666666668</v>
      </c>
      <c r="P538">
        <v>229450</v>
      </c>
      <c r="Q538">
        <v>2</v>
      </c>
      <c r="R538">
        <v>320</v>
      </c>
      <c r="S538">
        <v>11.42449464922711</v>
      </c>
      <c r="T538">
        <v>0.98404558117573082</v>
      </c>
      <c r="W538">
        <f t="shared" si="32"/>
        <v>228095</v>
      </c>
      <c r="X538">
        <f t="shared" si="33"/>
        <v>0.96930041136565037</v>
      </c>
      <c r="Y538">
        <f t="shared" si="34"/>
        <v>0.98404558117573082</v>
      </c>
      <c r="Z538">
        <f t="shared" si="35"/>
        <v>11.42449464922711</v>
      </c>
    </row>
    <row r="539" spans="1:26" hidden="1" x14ac:dyDescent="0.25">
      <c r="A539" t="s">
        <v>106</v>
      </c>
      <c r="B539">
        <v>5</v>
      </c>
      <c r="C539">
        <v>3</v>
      </c>
      <c r="D539">
        <v>0</v>
      </c>
      <c r="E539" t="s">
        <v>291</v>
      </c>
      <c r="F539">
        <v>229249</v>
      </c>
      <c r="G539">
        <v>461385915.5</v>
      </c>
      <c r="H539">
        <v>0.96999998390674591</v>
      </c>
      <c r="I539">
        <v>0.9605555555555555</v>
      </c>
      <c r="J539">
        <v>33453528.25</v>
      </c>
      <c r="K539">
        <v>228095</v>
      </c>
      <c r="L539">
        <v>2</v>
      </c>
      <c r="M539">
        <v>319</v>
      </c>
      <c r="N539">
        <v>0.96499999999999997</v>
      </c>
      <c r="O539">
        <v>34747304.75</v>
      </c>
      <c r="P539">
        <v>229450</v>
      </c>
      <c r="Q539">
        <v>2</v>
      </c>
      <c r="R539">
        <v>320</v>
      </c>
      <c r="S539">
        <v>11.56619770227929</v>
      </c>
      <c r="T539">
        <v>0.95679012934366858</v>
      </c>
      <c r="W539">
        <f t="shared" si="32"/>
        <v>228095</v>
      </c>
      <c r="X539">
        <f t="shared" si="33"/>
        <v>0.96999998390674591</v>
      </c>
      <c r="Y539">
        <f t="shared" si="34"/>
        <v>0.95679012934366858</v>
      </c>
      <c r="Z539">
        <f t="shared" si="35"/>
        <v>11.56619770227929</v>
      </c>
    </row>
    <row r="540" spans="1:26" hidden="1" x14ac:dyDescent="0.25">
      <c r="A540" t="s">
        <v>106</v>
      </c>
      <c r="B540">
        <v>5</v>
      </c>
      <c r="C540">
        <v>4</v>
      </c>
      <c r="D540">
        <v>0</v>
      </c>
      <c r="E540" t="s">
        <v>208</v>
      </c>
      <c r="F540">
        <v>229146</v>
      </c>
      <c r="G540">
        <v>414884059.75</v>
      </c>
      <c r="H540">
        <v>0.95111110806465149</v>
      </c>
      <c r="I540">
        <v>0.9622222222222222</v>
      </c>
      <c r="J540">
        <v>32230037.25</v>
      </c>
      <c r="K540">
        <v>228095</v>
      </c>
      <c r="L540">
        <v>2</v>
      </c>
      <c r="M540">
        <v>319</v>
      </c>
      <c r="N540">
        <v>0.95777777777777773</v>
      </c>
      <c r="O540">
        <v>32619151</v>
      </c>
      <c r="P540">
        <v>229450</v>
      </c>
      <c r="Q540">
        <v>2</v>
      </c>
      <c r="R540">
        <v>320</v>
      </c>
      <c r="S540">
        <v>11.594987286596441</v>
      </c>
      <c r="T540">
        <v>0.96666665871938073</v>
      </c>
      <c r="W540">
        <f t="shared" si="32"/>
        <v>228095</v>
      </c>
      <c r="X540">
        <f t="shared" si="33"/>
        <v>0.95111110806465149</v>
      </c>
      <c r="Y540">
        <f t="shared" si="34"/>
        <v>0.96666665871938073</v>
      </c>
      <c r="Z540">
        <f t="shared" si="35"/>
        <v>11.594987286596441</v>
      </c>
    </row>
    <row r="541" spans="1:26" hidden="1" x14ac:dyDescent="0.25">
      <c r="A541" t="s">
        <v>106</v>
      </c>
      <c r="B541">
        <v>9</v>
      </c>
      <c r="C541">
        <v>2</v>
      </c>
      <c r="D541">
        <v>0</v>
      </c>
      <c r="E541" t="s">
        <v>224</v>
      </c>
      <c r="F541">
        <v>228174</v>
      </c>
      <c r="G541">
        <v>909194030.5</v>
      </c>
      <c r="H541">
        <v>0.85833334922790527</v>
      </c>
      <c r="I541">
        <v>0.95944444444444443</v>
      </c>
      <c r="J541">
        <v>33528060</v>
      </c>
      <c r="K541">
        <v>228095</v>
      </c>
      <c r="L541">
        <v>2</v>
      </c>
      <c r="M541">
        <v>319</v>
      </c>
      <c r="N541">
        <v>0.94777777777777783</v>
      </c>
      <c r="O541">
        <v>32125042.75</v>
      </c>
      <c r="P541">
        <v>229450</v>
      </c>
      <c r="Q541">
        <v>2</v>
      </c>
      <c r="R541">
        <v>320</v>
      </c>
      <c r="S541">
        <v>11.819111444913052</v>
      </c>
      <c r="T541">
        <v>0.89629628260930383</v>
      </c>
      <c r="W541">
        <f t="shared" si="32"/>
        <v>228095</v>
      </c>
      <c r="X541">
        <f t="shared" si="33"/>
        <v>0.85833334922790527</v>
      </c>
      <c r="Y541">
        <f t="shared" si="34"/>
        <v>0.89629628260930383</v>
      </c>
      <c r="Z541">
        <f t="shared" si="35"/>
        <v>11.819111444913052</v>
      </c>
    </row>
    <row r="542" spans="1:26" hidden="1" x14ac:dyDescent="0.25">
      <c r="A542" t="s">
        <v>106</v>
      </c>
      <c r="B542">
        <v>9</v>
      </c>
      <c r="C542">
        <v>3</v>
      </c>
      <c r="D542">
        <v>0</v>
      </c>
      <c r="E542" t="s">
        <v>222</v>
      </c>
      <c r="F542">
        <v>228954</v>
      </c>
      <c r="G542">
        <v>1152239170.5</v>
      </c>
      <c r="H542">
        <v>0.90166667103767395</v>
      </c>
      <c r="I542">
        <v>0.96611111111111114</v>
      </c>
      <c r="J542">
        <v>34975228</v>
      </c>
      <c r="K542">
        <v>228095</v>
      </c>
      <c r="L542">
        <v>2</v>
      </c>
      <c r="M542">
        <v>319</v>
      </c>
      <c r="N542">
        <v>0.96166666666666667</v>
      </c>
      <c r="O542">
        <v>35111022.25</v>
      </c>
      <c r="P542">
        <v>229450</v>
      </c>
      <c r="Q542">
        <v>2</v>
      </c>
      <c r="R542">
        <v>320</v>
      </c>
      <c r="S542">
        <v>11.973140613441075</v>
      </c>
      <c r="T542">
        <v>0.92469135920206702</v>
      </c>
      <c r="W542">
        <f t="shared" si="32"/>
        <v>228095</v>
      </c>
      <c r="X542">
        <f t="shared" si="33"/>
        <v>0.90166667103767395</v>
      </c>
      <c r="Y542">
        <f t="shared" si="34"/>
        <v>0.92469135920206702</v>
      </c>
      <c r="Z542">
        <f t="shared" si="35"/>
        <v>11.973140613441075</v>
      </c>
    </row>
    <row r="543" spans="1:26" hidden="1" x14ac:dyDescent="0.25">
      <c r="A543" t="s">
        <v>106</v>
      </c>
      <c r="B543">
        <v>3</v>
      </c>
      <c r="C543">
        <v>3</v>
      </c>
      <c r="D543">
        <v>0</v>
      </c>
      <c r="E543" t="s">
        <v>200</v>
      </c>
      <c r="F543">
        <v>129230</v>
      </c>
      <c r="G543">
        <v>274433206</v>
      </c>
      <c r="H543">
        <v>0.96395061413447058</v>
      </c>
      <c r="I543">
        <v>0.95259259259259255</v>
      </c>
      <c r="J543">
        <v>26111748.222222224</v>
      </c>
      <c r="K543">
        <v>229450</v>
      </c>
      <c r="L543">
        <v>2</v>
      </c>
      <c r="M543">
        <v>320</v>
      </c>
      <c r="N543">
        <v>0.95481481481481478</v>
      </c>
      <c r="O543">
        <v>26858386.666666668</v>
      </c>
      <c r="P543">
        <v>230809</v>
      </c>
      <c r="Q543">
        <v>2</v>
      </c>
      <c r="R543">
        <v>321</v>
      </c>
      <c r="S543">
        <v>11.424770581633327</v>
      </c>
      <c r="T543">
        <v>0.97592592239379883</v>
      </c>
      <c r="W543">
        <f t="shared" si="32"/>
        <v>229450</v>
      </c>
      <c r="X543">
        <f t="shared" si="33"/>
        <v>0.96395061413447058</v>
      </c>
      <c r="Y543">
        <f t="shared" si="34"/>
        <v>0.97592592239379883</v>
      </c>
      <c r="Z543">
        <f t="shared" si="35"/>
        <v>11.424770581633327</v>
      </c>
    </row>
    <row r="544" spans="1:26" hidden="1" x14ac:dyDescent="0.25">
      <c r="A544" t="s">
        <v>106</v>
      </c>
      <c r="B544">
        <v>3</v>
      </c>
      <c r="C544">
        <v>4</v>
      </c>
      <c r="D544">
        <v>0</v>
      </c>
      <c r="E544" t="s">
        <v>136</v>
      </c>
      <c r="F544">
        <v>121062</v>
      </c>
      <c r="G544">
        <v>574583520.5</v>
      </c>
      <c r="H544">
        <v>0.95185184478759766</v>
      </c>
      <c r="I544">
        <v>0.96481481481481479</v>
      </c>
      <c r="J544">
        <v>32756778</v>
      </c>
      <c r="K544">
        <v>229450</v>
      </c>
      <c r="L544">
        <v>2</v>
      </c>
      <c r="M544">
        <v>320</v>
      </c>
      <c r="N544">
        <v>0.96370370370370373</v>
      </c>
      <c r="O544">
        <v>34652073.166666664</v>
      </c>
      <c r="P544">
        <v>230809</v>
      </c>
      <c r="Q544">
        <v>2</v>
      </c>
      <c r="R544">
        <v>321</v>
      </c>
      <c r="S544">
        <v>11.424854567538196</v>
      </c>
      <c r="T544">
        <v>0.97629629373550419</v>
      </c>
      <c r="W544">
        <f t="shared" si="32"/>
        <v>229450</v>
      </c>
      <c r="X544">
        <f t="shared" si="33"/>
        <v>0.95185184478759766</v>
      </c>
      <c r="Y544">
        <f t="shared" si="34"/>
        <v>0.97629629373550419</v>
      </c>
      <c r="Z544">
        <f t="shared" si="35"/>
        <v>11.424854567538196</v>
      </c>
    </row>
    <row r="545" spans="1:26" hidden="1" x14ac:dyDescent="0.25">
      <c r="A545" t="s">
        <v>106</v>
      </c>
      <c r="B545">
        <v>5</v>
      </c>
      <c r="C545">
        <v>3</v>
      </c>
      <c r="D545">
        <v>0</v>
      </c>
      <c r="E545" t="s">
        <v>211</v>
      </c>
      <c r="F545">
        <v>230584</v>
      </c>
      <c r="G545">
        <v>601792885.25</v>
      </c>
      <c r="H545">
        <v>0.96499998867511749</v>
      </c>
      <c r="I545">
        <v>0.97222222222222221</v>
      </c>
      <c r="J545">
        <v>34095118.25</v>
      </c>
      <c r="K545">
        <v>229450</v>
      </c>
      <c r="L545">
        <v>2</v>
      </c>
      <c r="M545">
        <v>320</v>
      </c>
      <c r="N545">
        <v>0.96833333333333338</v>
      </c>
      <c r="O545">
        <v>36234030</v>
      </c>
      <c r="P545">
        <v>230809</v>
      </c>
      <c r="Q545">
        <v>2</v>
      </c>
      <c r="R545">
        <v>321</v>
      </c>
      <c r="S545">
        <v>11.567962655856521</v>
      </c>
      <c r="T545">
        <v>0.96296296517054236</v>
      </c>
      <c r="W545">
        <f t="shared" si="32"/>
        <v>229450</v>
      </c>
      <c r="X545">
        <f t="shared" si="33"/>
        <v>0.96499998867511749</v>
      </c>
      <c r="Y545">
        <f t="shared" si="34"/>
        <v>0.96296296517054236</v>
      </c>
      <c r="Z545">
        <f t="shared" si="35"/>
        <v>11.567962655856521</v>
      </c>
    </row>
    <row r="546" spans="1:26" hidden="1" x14ac:dyDescent="0.25">
      <c r="A546" t="s">
        <v>106</v>
      </c>
      <c r="B546">
        <v>5</v>
      </c>
      <c r="C546">
        <v>5</v>
      </c>
      <c r="D546">
        <v>0</v>
      </c>
      <c r="E546" t="s">
        <v>152</v>
      </c>
      <c r="F546">
        <v>229876</v>
      </c>
      <c r="G546">
        <v>662625763.57142854</v>
      </c>
      <c r="H546">
        <v>0.9228571483067104</v>
      </c>
      <c r="I546">
        <v>0.96603174603174602</v>
      </c>
      <c r="J546">
        <v>37966119.285714284</v>
      </c>
      <c r="K546">
        <v>229450</v>
      </c>
      <c r="L546">
        <v>2</v>
      </c>
      <c r="M546">
        <v>320</v>
      </c>
      <c r="N546">
        <v>0.96920634920634918</v>
      </c>
      <c r="O546">
        <v>38395063.857142858</v>
      </c>
      <c r="P546">
        <v>230809</v>
      </c>
      <c r="Q546">
        <v>2</v>
      </c>
      <c r="R546">
        <v>321</v>
      </c>
      <c r="S546">
        <v>11.6174104748853</v>
      </c>
      <c r="T546">
        <v>0.93456790844599402</v>
      </c>
      <c r="W546">
        <f t="shared" si="32"/>
        <v>229450</v>
      </c>
      <c r="X546">
        <f t="shared" si="33"/>
        <v>0.9228571483067104</v>
      </c>
      <c r="Y546">
        <f t="shared" si="34"/>
        <v>0.93456790844599402</v>
      </c>
      <c r="Z546">
        <f t="shared" si="35"/>
        <v>11.6174104748853</v>
      </c>
    </row>
    <row r="547" spans="1:26" hidden="1" x14ac:dyDescent="0.25">
      <c r="A547" t="s">
        <v>106</v>
      </c>
      <c r="B547">
        <v>9</v>
      </c>
      <c r="C547">
        <v>2</v>
      </c>
      <c r="D547">
        <v>0</v>
      </c>
      <c r="E547" t="s">
        <v>168</v>
      </c>
      <c r="F547">
        <v>230612</v>
      </c>
      <c r="G547">
        <v>969234157.75</v>
      </c>
      <c r="H547">
        <v>0.88833333551883698</v>
      </c>
      <c r="I547">
        <v>0.96</v>
      </c>
      <c r="J547">
        <v>35636528</v>
      </c>
      <c r="K547">
        <v>229450</v>
      </c>
      <c r="L547">
        <v>2</v>
      </c>
      <c r="M547">
        <v>320</v>
      </c>
      <c r="N547">
        <v>0.96333333333333337</v>
      </c>
      <c r="O547">
        <v>33773807.5</v>
      </c>
      <c r="P547">
        <v>230809</v>
      </c>
      <c r="Q547">
        <v>2</v>
      </c>
      <c r="R547">
        <v>321</v>
      </c>
      <c r="S547">
        <v>11.82296540172125</v>
      </c>
      <c r="T547">
        <v>0.89135801792144775</v>
      </c>
      <c r="W547">
        <f t="shared" si="32"/>
        <v>229450</v>
      </c>
      <c r="X547">
        <f t="shared" si="33"/>
        <v>0.88833333551883698</v>
      </c>
      <c r="Y547">
        <f t="shared" si="34"/>
        <v>0.89135801792144775</v>
      </c>
      <c r="Z547">
        <f t="shared" si="35"/>
        <v>11.82296540172125</v>
      </c>
    </row>
    <row r="548" spans="1:26" hidden="1" x14ac:dyDescent="0.25">
      <c r="A548" t="s">
        <v>106</v>
      </c>
      <c r="B548">
        <v>9</v>
      </c>
      <c r="C548">
        <v>4</v>
      </c>
      <c r="D548">
        <v>0</v>
      </c>
      <c r="E548" t="s">
        <v>262</v>
      </c>
      <c r="F548">
        <v>230193</v>
      </c>
      <c r="G548">
        <v>507008913.71428573</v>
      </c>
      <c r="H548">
        <v>0.8844444581440517</v>
      </c>
      <c r="I548">
        <v>0.96285714285714286</v>
      </c>
      <c r="J548">
        <v>32331031</v>
      </c>
      <c r="K548">
        <v>229450</v>
      </c>
      <c r="L548">
        <v>2</v>
      </c>
      <c r="M548">
        <v>320</v>
      </c>
      <c r="N548">
        <v>0.96</v>
      </c>
      <c r="O548">
        <v>32950038</v>
      </c>
      <c r="P548">
        <v>230809</v>
      </c>
      <c r="Q548">
        <v>2</v>
      </c>
      <c r="R548">
        <v>321</v>
      </c>
      <c r="S548">
        <v>12.153270819379326</v>
      </c>
      <c r="T548">
        <v>0.94073333333333331</v>
      </c>
      <c r="W548">
        <f t="shared" si="32"/>
        <v>229450</v>
      </c>
      <c r="X548">
        <f t="shared" si="33"/>
        <v>0.8844444581440517</v>
      </c>
      <c r="Y548">
        <f t="shared" si="34"/>
        <v>0.94073333333333331</v>
      </c>
      <c r="Z548">
        <f t="shared" si="35"/>
        <v>12.153270819379326</v>
      </c>
    </row>
    <row r="549" spans="1:26" hidden="1" x14ac:dyDescent="0.25">
      <c r="A549" t="s">
        <v>106</v>
      </c>
      <c r="B549">
        <v>3</v>
      </c>
      <c r="C549">
        <v>3</v>
      </c>
      <c r="D549">
        <v>0</v>
      </c>
      <c r="E549" t="s">
        <v>229</v>
      </c>
      <c r="F549">
        <v>130234</v>
      </c>
      <c r="G549">
        <v>409538431.66666669</v>
      </c>
      <c r="H549">
        <v>0.97415637307696867</v>
      </c>
      <c r="I549">
        <v>0.95893004115226332</v>
      </c>
      <c r="J549">
        <v>33378753.666666668</v>
      </c>
      <c r="K549">
        <v>230809</v>
      </c>
      <c r="L549">
        <v>2</v>
      </c>
      <c r="M549">
        <v>321</v>
      </c>
      <c r="N549">
        <v>0.95613168724279829</v>
      </c>
      <c r="O549">
        <v>33373844.851851851</v>
      </c>
      <c r="P549">
        <v>232172</v>
      </c>
      <c r="Q549">
        <v>2</v>
      </c>
      <c r="R549">
        <v>322</v>
      </c>
      <c r="S549">
        <v>11.425860023724793</v>
      </c>
      <c r="T549">
        <v>0.98589742642182565</v>
      </c>
      <c r="W549">
        <f t="shared" si="32"/>
        <v>230809</v>
      </c>
      <c r="X549">
        <f t="shared" si="33"/>
        <v>0.97415637307696867</v>
      </c>
      <c r="Y549">
        <f t="shared" si="34"/>
        <v>0.98589742642182565</v>
      </c>
      <c r="Z549">
        <f t="shared" si="35"/>
        <v>11.425860023724793</v>
      </c>
    </row>
    <row r="550" spans="1:26" hidden="1" x14ac:dyDescent="0.25">
      <c r="A550" t="s">
        <v>106</v>
      </c>
      <c r="B550">
        <v>5</v>
      </c>
      <c r="C550">
        <v>3</v>
      </c>
      <c r="D550">
        <v>0</v>
      </c>
      <c r="E550" t="s">
        <v>272</v>
      </c>
      <c r="F550">
        <v>231559</v>
      </c>
      <c r="G550">
        <v>508945820.5</v>
      </c>
      <c r="H550">
        <v>0.96944443881511688</v>
      </c>
      <c r="I550">
        <v>0.97055555555555562</v>
      </c>
      <c r="J550">
        <v>35116272.75</v>
      </c>
      <c r="K550">
        <v>230809</v>
      </c>
      <c r="L550">
        <v>2</v>
      </c>
      <c r="M550">
        <v>321</v>
      </c>
      <c r="N550">
        <v>0.96666666666666667</v>
      </c>
      <c r="O550">
        <v>34400090.25</v>
      </c>
      <c r="P550">
        <v>232172</v>
      </c>
      <c r="Q550">
        <v>2</v>
      </c>
      <c r="R550">
        <v>322</v>
      </c>
      <c r="S550">
        <v>11.56874424316856</v>
      </c>
      <c r="T550">
        <v>0.96543208758036292</v>
      </c>
      <c r="W550">
        <f t="shared" si="32"/>
        <v>230809</v>
      </c>
      <c r="X550">
        <f t="shared" si="33"/>
        <v>0.96944443881511688</v>
      </c>
      <c r="Y550">
        <f t="shared" si="34"/>
        <v>0.96543208758036292</v>
      </c>
      <c r="Z550">
        <f t="shared" si="35"/>
        <v>11.56874424316856</v>
      </c>
    </row>
    <row r="551" spans="1:26" hidden="1" x14ac:dyDescent="0.25">
      <c r="A551" t="s">
        <v>106</v>
      </c>
      <c r="B551">
        <v>5</v>
      </c>
      <c r="C551">
        <v>4</v>
      </c>
      <c r="D551">
        <v>0</v>
      </c>
      <c r="E551" t="s">
        <v>270</v>
      </c>
      <c r="F551">
        <v>230913</v>
      </c>
      <c r="G551">
        <v>433177905.25</v>
      </c>
      <c r="H551">
        <v>0.93333335220813751</v>
      </c>
      <c r="I551">
        <v>0.9588888888888889</v>
      </c>
      <c r="J551">
        <v>33718184.5</v>
      </c>
      <c r="K551">
        <v>230809</v>
      </c>
      <c r="L551">
        <v>2</v>
      </c>
      <c r="M551">
        <v>321</v>
      </c>
      <c r="N551">
        <v>0.96611111111111114</v>
      </c>
      <c r="O551">
        <v>33799517.75</v>
      </c>
      <c r="P551">
        <v>232172</v>
      </c>
      <c r="Q551">
        <v>2</v>
      </c>
      <c r="R551">
        <v>322</v>
      </c>
      <c r="S551">
        <v>11.595085340757777</v>
      </c>
      <c r="T551">
        <v>0.93827160199483239</v>
      </c>
      <c r="W551">
        <f t="shared" si="32"/>
        <v>230809</v>
      </c>
      <c r="X551">
        <f t="shared" si="33"/>
        <v>0.93333335220813751</v>
      </c>
      <c r="Y551">
        <f t="shared" si="34"/>
        <v>0.93827160199483239</v>
      </c>
      <c r="Z551">
        <f t="shared" si="35"/>
        <v>11.595085340757777</v>
      </c>
    </row>
    <row r="552" spans="1:26" hidden="1" x14ac:dyDescent="0.25">
      <c r="A552" t="s">
        <v>106</v>
      </c>
      <c r="B552">
        <v>9</v>
      </c>
      <c r="C552">
        <v>2</v>
      </c>
      <c r="D552">
        <v>0</v>
      </c>
      <c r="E552" t="s">
        <v>259</v>
      </c>
      <c r="F552">
        <v>231261</v>
      </c>
      <c r="G552">
        <v>879790121.28571427</v>
      </c>
      <c r="H552">
        <v>0.87904762370245793</v>
      </c>
      <c r="I552">
        <v>0.96349206349206351</v>
      </c>
      <c r="J552">
        <v>34604291.285714284</v>
      </c>
      <c r="K552">
        <v>230809</v>
      </c>
      <c r="L552">
        <v>2</v>
      </c>
      <c r="M552">
        <v>321</v>
      </c>
      <c r="N552">
        <v>0.9676190476190476</v>
      </c>
      <c r="O552">
        <v>33917412.571428575</v>
      </c>
      <c r="P552">
        <v>232172</v>
      </c>
      <c r="Q552">
        <v>2</v>
      </c>
      <c r="R552">
        <v>322</v>
      </c>
      <c r="S552">
        <v>11.828464203233256</v>
      </c>
      <c r="T552">
        <v>0.87654321392377221</v>
      </c>
      <c r="W552">
        <f t="shared" si="32"/>
        <v>230809</v>
      </c>
      <c r="X552">
        <f t="shared" si="33"/>
        <v>0.87904762370245793</v>
      </c>
      <c r="Y552">
        <f t="shared" si="34"/>
        <v>0.87654321392377221</v>
      </c>
      <c r="Z552">
        <f t="shared" si="35"/>
        <v>11.828464203233256</v>
      </c>
    </row>
    <row r="553" spans="1:26" hidden="1" x14ac:dyDescent="0.25">
      <c r="A553" t="s">
        <v>106</v>
      </c>
      <c r="B553">
        <v>9</v>
      </c>
      <c r="C553">
        <v>3</v>
      </c>
      <c r="D553">
        <v>0</v>
      </c>
      <c r="E553" t="s">
        <v>275</v>
      </c>
      <c r="F553">
        <v>231465</v>
      </c>
      <c r="G553">
        <v>1021957762.25</v>
      </c>
      <c r="H553">
        <v>0.92166666686534882</v>
      </c>
      <c r="I553">
        <v>0.97277777777777774</v>
      </c>
      <c r="J553">
        <v>35988279.5</v>
      </c>
      <c r="K553">
        <v>230809</v>
      </c>
      <c r="L553">
        <v>2</v>
      </c>
      <c r="M553">
        <v>321</v>
      </c>
      <c r="N553">
        <v>0.97666666666666668</v>
      </c>
      <c r="O553">
        <v>35343541</v>
      </c>
      <c r="P553">
        <v>232172</v>
      </c>
      <c r="Q553">
        <v>2</v>
      </c>
      <c r="R553">
        <v>322</v>
      </c>
      <c r="S553">
        <v>11.976958525345623</v>
      </c>
      <c r="T553">
        <v>0.92592593034108484</v>
      </c>
      <c r="W553">
        <f t="shared" si="32"/>
        <v>230809</v>
      </c>
      <c r="X553">
        <f t="shared" si="33"/>
        <v>0.92166666686534882</v>
      </c>
      <c r="Y553">
        <f t="shared" si="34"/>
        <v>0.92592593034108484</v>
      </c>
      <c r="Z553">
        <f t="shared" si="35"/>
        <v>11.976958525345623</v>
      </c>
    </row>
    <row r="554" spans="1:26" hidden="1" x14ac:dyDescent="0.25">
      <c r="A554" t="s">
        <v>106</v>
      </c>
      <c r="B554">
        <v>3</v>
      </c>
      <c r="C554">
        <v>3</v>
      </c>
      <c r="D554">
        <v>0</v>
      </c>
      <c r="E554" t="s">
        <v>215</v>
      </c>
      <c r="F554">
        <v>131246</v>
      </c>
      <c r="G554">
        <v>329104540</v>
      </c>
      <c r="H554">
        <v>0.96987654103173149</v>
      </c>
      <c r="I554">
        <v>0.95481481481481478</v>
      </c>
      <c r="J554">
        <v>27030219.111111112</v>
      </c>
      <c r="K554">
        <v>232172</v>
      </c>
      <c r="L554">
        <v>2</v>
      </c>
      <c r="M554">
        <v>322</v>
      </c>
      <c r="N554">
        <v>0.95506172839506176</v>
      </c>
      <c r="O554">
        <v>27961425.888888888</v>
      </c>
      <c r="P554">
        <v>233539</v>
      </c>
      <c r="Q554">
        <v>2</v>
      </c>
      <c r="R554">
        <v>323</v>
      </c>
      <c r="S554">
        <v>11.427122439570573</v>
      </c>
      <c r="T554">
        <v>0.98749999701976776</v>
      </c>
      <c r="W554">
        <f t="shared" si="32"/>
        <v>232172</v>
      </c>
      <c r="X554">
        <f t="shared" si="33"/>
        <v>0.96987654103173149</v>
      </c>
      <c r="Y554">
        <f t="shared" si="34"/>
        <v>0.98749999701976776</v>
      </c>
      <c r="Z554">
        <f t="shared" si="35"/>
        <v>11.427122439570573</v>
      </c>
    </row>
    <row r="555" spans="1:26" hidden="1" x14ac:dyDescent="0.25">
      <c r="A555" t="s">
        <v>106</v>
      </c>
      <c r="B555">
        <v>3</v>
      </c>
      <c r="C555">
        <v>4</v>
      </c>
      <c r="D555">
        <v>0</v>
      </c>
      <c r="E555" t="s">
        <v>137</v>
      </c>
      <c r="F555">
        <v>122544</v>
      </c>
      <c r="G555">
        <v>352263450.66666669</v>
      </c>
      <c r="H555">
        <v>0.95777777830759681</v>
      </c>
      <c r="I555">
        <v>0.96629629629629632</v>
      </c>
      <c r="J555">
        <v>32094441.666666668</v>
      </c>
      <c r="K555">
        <v>232172</v>
      </c>
      <c r="L555">
        <v>2</v>
      </c>
      <c r="M555">
        <v>322</v>
      </c>
      <c r="N555">
        <v>0.96518518518518515</v>
      </c>
      <c r="O555">
        <v>32705125.833333332</v>
      </c>
      <c r="P555">
        <v>233539</v>
      </c>
      <c r="Q555">
        <v>2</v>
      </c>
      <c r="R555">
        <v>323</v>
      </c>
      <c r="S555">
        <v>11.425330692057001</v>
      </c>
      <c r="T555">
        <v>0.96962962150573728</v>
      </c>
      <c r="W555">
        <f t="shared" si="32"/>
        <v>232172</v>
      </c>
      <c r="X555">
        <f t="shared" si="33"/>
        <v>0.95777777830759681</v>
      </c>
      <c r="Y555">
        <f t="shared" si="34"/>
        <v>0.96962962150573728</v>
      </c>
      <c r="Z555">
        <f t="shared" si="35"/>
        <v>11.425330692057001</v>
      </c>
    </row>
    <row r="556" spans="1:26" hidden="1" x14ac:dyDescent="0.25">
      <c r="A556" t="s">
        <v>106</v>
      </c>
      <c r="B556">
        <v>5</v>
      </c>
      <c r="C556">
        <v>3</v>
      </c>
      <c r="D556">
        <v>0</v>
      </c>
      <c r="E556" t="s">
        <v>260</v>
      </c>
      <c r="F556">
        <v>232429</v>
      </c>
      <c r="G556">
        <v>476168578</v>
      </c>
      <c r="H556">
        <v>0.976666659116745</v>
      </c>
      <c r="I556">
        <v>0.97</v>
      </c>
      <c r="J556">
        <v>35695684.75</v>
      </c>
      <c r="K556">
        <v>232172</v>
      </c>
      <c r="L556">
        <v>2</v>
      </c>
      <c r="M556">
        <v>322</v>
      </c>
      <c r="N556">
        <v>0.96722222222222221</v>
      </c>
      <c r="O556">
        <v>32821603</v>
      </c>
      <c r="P556">
        <v>233539</v>
      </c>
      <c r="Q556">
        <v>2</v>
      </c>
      <c r="R556">
        <v>323</v>
      </c>
      <c r="S556">
        <v>11.569341273251888</v>
      </c>
      <c r="T556">
        <v>0.96419751644134521</v>
      </c>
      <c r="W556">
        <f t="shared" si="32"/>
        <v>232172</v>
      </c>
      <c r="X556">
        <f t="shared" si="33"/>
        <v>0.976666659116745</v>
      </c>
      <c r="Y556">
        <f t="shared" si="34"/>
        <v>0.96419751644134521</v>
      </c>
      <c r="Z556">
        <f t="shared" si="35"/>
        <v>11.569341273251888</v>
      </c>
    </row>
    <row r="557" spans="1:26" hidden="1" x14ac:dyDescent="0.25">
      <c r="A557" t="s">
        <v>106</v>
      </c>
      <c r="B557">
        <v>5</v>
      </c>
      <c r="C557">
        <v>4</v>
      </c>
      <c r="D557">
        <v>0</v>
      </c>
      <c r="E557" t="s">
        <v>162</v>
      </c>
      <c r="F557">
        <v>232260</v>
      </c>
      <c r="G557">
        <v>506993016</v>
      </c>
      <c r="H557">
        <v>0.95222222805023193</v>
      </c>
      <c r="I557">
        <v>0.96611111111111114</v>
      </c>
      <c r="J557">
        <v>33803288</v>
      </c>
      <c r="K557">
        <v>232172</v>
      </c>
      <c r="L557">
        <v>2</v>
      </c>
      <c r="M557">
        <v>322</v>
      </c>
      <c r="N557">
        <v>0.97111111111111115</v>
      </c>
      <c r="O557">
        <v>35920999.25</v>
      </c>
      <c r="P557">
        <v>233539</v>
      </c>
      <c r="Q557">
        <v>2</v>
      </c>
      <c r="R557">
        <v>323</v>
      </c>
      <c r="S557">
        <v>11.595546411714874</v>
      </c>
      <c r="T557">
        <v>0.94691358009974158</v>
      </c>
      <c r="W557">
        <f t="shared" si="32"/>
        <v>232172</v>
      </c>
      <c r="X557">
        <f t="shared" si="33"/>
        <v>0.95222222805023193</v>
      </c>
      <c r="Y557">
        <f t="shared" si="34"/>
        <v>0.94691358009974158</v>
      </c>
      <c r="Z557">
        <f t="shared" si="35"/>
        <v>11.595546411714874</v>
      </c>
    </row>
    <row r="558" spans="1:26" hidden="1" x14ac:dyDescent="0.25">
      <c r="A558" t="s">
        <v>106</v>
      </c>
      <c r="B558">
        <v>9</v>
      </c>
      <c r="C558">
        <v>3</v>
      </c>
      <c r="D558">
        <v>0</v>
      </c>
      <c r="E558" t="s">
        <v>186</v>
      </c>
      <c r="F558">
        <v>233536</v>
      </c>
      <c r="G558">
        <v>747944669.75</v>
      </c>
      <c r="H558">
        <v>0.90333332121372223</v>
      </c>
      <c r="I558">
        <v>0.96722222222222221</v>
      </c>
      <c r="J558">
        <v>34461971</v>
      </c>
      <c r="K558">
        <v>232172</v>
      </c>
      <c r="L558">
        <v>2</v>
      </c>
      <c r="M558">
        <v>322</v>
      </c>
      <c r="N558">
        <v>0.96833333333333338</v>
      </c>
      <c r="O558">
        <v>33153112.25</v>
      </c>
      <c r="P558">
        <v>233539</v>
      </c>
      <c r="Q558">
        <v>2</v>
      </c>
      <c r="R558">
        <v>323</v>
      </c>
      <c r="S558">
        <v>11.979523349070019</v>
      </c>
      <c r="T558">
        <v>0.89382716019948327</v>
      </c>
      <c r="W558">
        <f t="shared" si="32"/>
        <v>232172</v>
      </c>
      <c r="X558">
        <f t="shared" si="33"/>
        <v>0.90333332121372223</v>
      </c>
      <c r="Y558">
        <f t="shared" si="34"/>
        <v>0.89382716019948327</v>
      </c>
      <c r="Z558">
        <f t="shared" si="35"/>
        <v>11.979523349070019</v>
      </c>
    </row>
    <row r="559" spans="1:26" hidden="1" x14ac:dyDescent="0.25">
      <c r="A559" t="s">
        <v>106</v>
      </c>
      <c r="B559">
        <v>3</v>
      </c>
      <c r="C559">
        <v>3</v>
      </c>
      <c r="D559">
        <v>0</v>
      </c>
      <c r="E559" t="s">
        <v>230</v>
      </c>
      <c r="F559">
        <v>131712</v>
      </c>
      <c r="G559">
        <v>404585548.5714286</v>
      </c>
      <c r="H559">
        <v>0.96809524297714233</v>
      </c>
      <c r="I559">
        <v>0.95523809523809522</v>
      </c>
      <c r="J559">
        <v>32892855.428571429</v>
      </c>
      <c r="K559">
        <v>233539</v>
      </c>
      <c r="L559">
        <v>2</v>
      </c>
      <c r="M559">
        <v>323</v>
      </c>
      <c r="N559">
        <v>0.95793650793650786</v>
      </c>
      <c r="O559">
        <v>33562979.5</v>
      </c>
      <c r="P559">
        <v>234910</v>
      </c>
      <c r="Q559">
        <v>2</v>
      </c>
      <c r="R559">
        <v>324</v>
      </c>
      <c r="S559">
        <v>11.428110811344345</v>
      </c>
      <c r="T559">
        <v>0.98205127624364996</v>
      </c>
      <c r="W559">
        <f t="shared" si="32"/>
        <v>233539</v>
      </c>
      <c r="X559">
        <f t="shared" si="33"/>
        <v>0.96809524297714233</v>
      </c>
      <c r="Y559">
        <f t="shared" si="34"/>
        <v>0.98205127624364996</v>
      </c>
      <c r="Z559">
        <f t="shared" si="35"/>
        <v>11.428110811344345</v>
      </c>
    </row>
    <row r="560" spans="1:26" hidden="1" x14ac:dyDescent="0.25">
      <c r="A560" t="s">
        <v>106</v>
      </c>
      <c r="B560">
        <v>5</v>
      </c>
      <c r="C560">
        <v>5</v>
      </c>
      <c r="D560">
        <v>0</v>
      </c>
      <c r="E560" t="s">
        <v>274</v>
      </c>
      <c r="F560">
        <v>233763</v>
      </c>
      <c r="G560">
        <v>724291541.5</v>
      </c>
      <c r="H560">
        <v>0.88800000548362734</v>
      </c>
      <c r="I560">
        <v>0.96288888888888891</v>
      </c>
      <c r="J560">
        <v>30740248</v>
      </c>
      <c r="K560">
        <v>233539</v>
      </c>
      <c r="L560">
        <v>2</v>
      </c>
      <c r="M560">
        <v>323</v>
      </c>
      <c r="N560">
        <v>0.96688888888888891</v>
      </c>
      <c r="O560">
        <v>30711871.5</v>
      </c>
      <c r="P560">
        <v>234910</v>
      </c>
      <c r="Q560">
        <v>2</v>
      </c>
      <c r="R560">
        <v>324</v>
      </c>
      <c r="S560">
        <v>11.623057226225212</v>
      </c>
      <c r="T560">
        <v>0.89341934063169692</v>
      </c>
      <c r="W560">
        <f t="shared" si="32"/>
        <v>233539</v>
      </c>
      <c r="X560">
        <f t="shared" si="33"/>
        <v>0.88800000548362734</v>
      </c>
      <c r="Y560">
        <f t="shared" si="34"/>
        <v>0.89341934063169692</v>
      </c>
      <c r="Z560">
        <f t="shared" si="35"/>
        <v>11.623057226225212</v>
      </c>
    </row>
    <row r="561" spans="1:26" hidden="1" x14ac:dyDescent="0.25">
      <c r="A561" t="s">
        <v>106</v>
      </c>
      <c r="B561">
        <v>9</v>
      </c>
      <c r="C561">
        <v>2</v>
      </c>
      <c r="D561">
        <v>0</v>
      </c>
      <c r="E561" t="s">
        <v>240</v>
      </c>
      <c r="F561">
        <v>234180</v>
      </c>
      <c r="G561">
        <v>789005684.25</v>
      </c>
      <c r="H561">
        <v>0.89166668057441711</v>
      </c>
      <c r="I561">
        <v>0.9622222222222222</v>
      </c>
      <c r="J561">
        <v>33374997.75</v>
      </c>
      <c r="K561">
        <v>233539</v>
      </c>
      <c r="L561">
        <v>2</v>
      </c>
      <c r="M561">
        <v>323</v>
      </c>
      <c r="N561">
        <v>0.96611111111111114</v>
      </c>
      <c r="O561">
        <v>31933657.75</v>
      </c>
      <c r="P561">
        <v>234910</v>
      </c>
      <c r="Q561">
        <v>2</v>
      </c>
      <c r="R561">
        <v>324</v>
      </c>
      <c r="S561">
        <v>11.830755021934888</v>
      </c>
      <c r="T561">
        <v>0.89259260892868042</v>
      </c>
      <c r="W561">
        <f t="shared" si="32"/>
        <v>233539</v>
      </c>
      <c r="X561">
        <f t="shared" si="33"/>
        <v>0.89166668057441711</v>
      </c>
      <c r="Y561">
        <f t="shared" si="34"/>
        <v>0.89259260892868042</v>
      </c>
      <c r="Z561">
        <f t="shared" si="35"/>
        <v>11.830755021934888</v>
      </c>
    </row>
    <row r="562" spans="1:26" hidden="1" x14ac:dyDescent="0.25">
      <c r="A562" t="s">
        <v>106</v>
      </c>
      <c r="B562">
        <v>9</v>
      </c>
      <c r="C562">
        <v>4</v>
      </c>
      <c r="D562">
        <v>0</v>
      </c>
      <c r="E562" t="s">
        <v>201</v>
      </c>
      <c r="F562">
        <v>233742</v>
      </c>
      <c r="G562">
        <v>435638304.75</v>
      </c>
      <c r="H562">
        <v>0.81222222745418549</v>
      </c>
      <c r="I562">
        <v>0.96722222222222221</v>
      </c>
      <c r="J562">
        <v>31825250.5</v>
      </c>
      <c r="K562">
        <v>233539</v>
      </c>
      <c r="L562">
        <v>2</v>
      </c>
      <c r="M562">
        <v>323</v>
      </c>
      <c r="N562">
        <v>0.96888888888888891</v>
      </c>
      <c r="O562">
        <v>33013726</v>
      </c>
      <c r="P562">
        <v>234910</v>
      </c>
      <c r="Q562">
        <v>2</v>
      </c>
      <c r="R562">
        <v>324</v>
      </c>
      <c r="S562">
        <v>12.153459821428571</v>
      </c>
      <c r="T562">
        <v>0.90369999999999995</v>
      </c>
      <c r="W562">
        <f t="shared" si="32"/>
        <v>233539</v>
      </c>
      <c r="X562">
        <f t="shared" si="33"/>
        <v>0.81222222745418549</v>
      </c>
      <c r="Y562">
        <f t="shared" si="34"/>
        <v>0.90369999999999995</v>
      </c>
      <c r="Z562">
        <f t="shared" si="35"/>
        <v>12.153459821428571</v>
      </c>
    </row>
    <row r="563" spans="1:26" hidden="1" x14ac:dyDescent="0.25">
      <c r="A563" t="s">
        <v>106</v>
      </c>
      <c r="B563">
        <v>9</v>
      </c>
      <c r="C563">
        <v>5</v>
      </c>
      <c r="D563">
        <v>0</v>
      </c>
      <c r="E563" t="s">
        <v>255</v>
      </c>
      <c r="F563">
        <v>234259</v>
      </c>
      <c r="G563">
        <v>276648851.5</v>
      </c>
      <c r="H563">
        <v>0.90166665613651276</v>
      </c>
      <c r="I563">
        <v>0.95444444444444443</v>
      </c>
      <c r="J563">
        <v>33747287.5</v>
      </c>
      <c r="K563">
        <v>233539</v>
      </c>
      <c r="L563">
        <v>2</v>
      </c>
      <c r="M563">
        <v>323</v>
      </c>
      <c r="N563">
        <v>0.95222222222222219</v>
      </c>
      <c r="O563">
        <v>32265174.25</v>
      </c>
      <c r="P563">
        <v>234910</v>
      </c>
      <c r="Q563">
        <v>2</v>
      </c>
      <c r="R563">
        <v>324</v>
      </c>
      <c r="S563">
        <v>12.173359666447224</v>
      </c>
      <c r="T563">
        <v>0.93453333333333333</v>
      </c>
      <c r="W563">
        <f t="shared" si="32"/>
        <v>233539</v>
      </c>
      <c r="X563">
        <f t="shared" si="33"/>
        <v>0.90166665613651276</v>
      </c>
      <c r="Y563">
        <f t="shared" si="34"/>
        <v>0.93453333333333333</v>
      </c>
      <c r="Z563">
        <f t="shared" si="35"/>
        <v>12.173359666447224</v>
      </c>
    </row>
    <row r="564" spans="1:26" hidden="1" x14ac:dyDescent="0.25">
      <c r="A564" t="s">
        <v>106</v>
      </c>
      <c r="B564">
        <v>3</v>
      </c>
      <c r="C564">
        <v>3</v>
      </c>
      <c r="D564">
        <v>0</v>
      </c>
      <c r="E564" t="s">
        <v>216</v>
      </c>
      <c r="F564">
        <v>132688</v>
      </c>
      <c r="G564">
        <v>287427715.75</v>
      </c>
      <c r="H564">
        <v>0.96805555373430252</v>
      </c>
      <c r="I564">
        <v>0.96166666666666667</v>
      </c>
      <c r="J564">
        <v>25922563</v>
      </c>
      <c r="K564">
        <v>234910</v>
      </c>
      <c r="L564">
        <v>2</v>
      </c>
      <c r="M564">
        <v>324</v>
      </c>
      <c r="N564">
        <v>0.95583333333333331</v>
      </c>
      <c r="O564">
        <v>27087353.75</v>
      </c>
      <c r="P564">
        <v>236285</v>
      </c>
      <c r="Q564">
        <v>2</v>
      </c>
      <c r="R564">
        <v>325</v>
      </c>
      <c r="S564">
        <v>11.428477474514962</v>
      </c>
      <c r="T564">
        <v>0.98518518890653339</v>
      </c>
      <c r="W564">
        <f t="shared" si="32"/>
        <v>234910</v>
      </c>
      <c r="X564">
        <f t="shared" si="33"/>
        <v>0.96805555373430252</v>
      </c>
      <c r="Y564">
        <f t="shared" si="34"/>
        <v>0.98518518890653339</v>
      </c>
      <c r="Z564">
        <f t="shared" si="35"/>
        <v>11.428477474514962</v>
      </c>
    </row>
    <row r="565" spans="1:26" hidden="1" x14ac:dyDescent="0.25">
      <c r="A565" t="s">
        <v>106</v>
      </c>
      <c r="B565">
        <v>3</v>
      </c>
      <c r="C565">
        <v>4</v>
      </c>
      <c r="D565">
        <v>0</v>
      </c>
      <c r="E565" t="s">
        <v>138</v>
      </c>
      <c r="F565">
        <v>124026</v>
      </c>
      <c r="G565">
        <v>498234670.83333331</v>
      </c>
      <c r="H565">
        <v>0.96259259184201562</v>
      </c>
      <c r="I565">
        <v>0.96259259259259256</v>
      </c>
      <c r="J565">
        <v>30859987</v>
      </c>
      <c r="K565">
        <v>234910</v>
      </c>
      <c r="L565">
        <v>2</v>
      </c>
      <c r="M565">
        <v>324</v>
      </c>
      <c r="N565">
        <v>0.96296296296296291</v>
      </c>
      <c r="O565">
        <v>32366783.833333332</v>
      </c>
      <c r="P565">
        <v>236285</v>
      </c>
      <c r="Q565">
        <v>2</v>
      </c>
      <c r="R565">
        <v>325</v>
      </c>
      <c r="S565">
        <v>11.427020121366976</v>
      </c>
      <c r="T565">
        <v>0.97407406568527222</v>
      </c>
      <c r="W565">
        <f t="shared" si="32"/>
        <v>234910</v>
      </c>
      <c r="X565">
        <f t="shared" si="33"/>
        <v>0.96259259184201562</v>
      </c>
      <c r="Y565">
        <f t="shared" si="34"/>
        <v>0.97407406568527222</v>
      </c>
      <c r="Z565">
        <f t="shared" si="35"/>
        <v>11.427020121366976</v>
      </c>
    </row>
    <row r="566" spans="1:26" hidden="1" x14ac:dyDescent="0.25">
      <c r="A566" t="s">
        <v>106</v>
      </c>
      <c r="B566">
        <v>5</v>
      </c>
      <c r="C566">
        <v>4</v>
      </c>
      <c r="D566">
        <v>0</v>
      </c>
      <c r="E566" t="s">
        <v>223</v>
      </c>
      <c r="F566">
        <v>235364</v>
      </c>
      <c r="G566">
        <v>443456880.4285714</v>
      </c>
      <c r="H566">
        <v>0.96380951574870521</v>
      </c>
      <c r="I566">
        <v>0.96666666666666667</v>
      </c>
      <c r="J566">
        <v>34517831</v>
      </c>
      <c r="K566">
        <v>234910</v>
      </c>
      <c r="L566">
        <v>2</v>
      </c>
      <c r="M566">
        <v>324</v>
      </c>
      <c r="N566">
        <v>0.96349206349206351</v>
      </c>
      <c r="O566">
        <v>35386745.142857142</v>
      </c>
      <c r="P566">
        <v>236285</v>
      </c>
      <c r="Q566">
        <v>2</v>
      </c>
      <c r="R566">
        <v>325</v>
      </c>
      <c r="S566">
        <v>11.596503961773422</v>
      </c>
      <c r="T566">
        <v>0.96666666865348816</v>
      </c>
      <c r="W566">
        <f t="shared" si="32"/>
        <v>234910</v>
      </c>
      <c r="X566">
        <f t="shared" si="33"/>
        <v>0.96380951574870521</v>
      </c>
      <c r="Y566">
        <f t="shared" si="34"/>
        <v>0.96666666865348816</v>
      </c>
      <c r="Z566">
        <f t="shared" si="35"/>
        <v>11.596503961773422</v>
      </c>
    </row>
    <row r="567" spans="1:26" hidden="1" x14ac:dyDescent="0.25">
      <c r="A567" t="s">
        <v>106</v>
      </c>
      <c r="B567">
        <v>9</v>
      </c>
      <c r="C567">
        <v>2</v>
      </c>
      <c r="D567">
        <v>0</v>
      </c>
      <c r="E567" t="s">
        <v>284</v>
      </c>
      <c r="F567">
        <v>235779</v>
      </c>
      <c r="G567">
        <v>797185946</v>
      </c>
      <c r="H567">
        <v>0.89000000059604645</v>
      </c>
      <c r="I567">
        <v>0.95777777777777773</v>
      </c>
      <c r="J567">
        <v>32189771</v>
      </c>
      <c r="K567">
        <v>234910</v>
      </c>
      <c r="L567">
        <v>2</v>
      </c>
      <c r="M567">
        <v>324</v>
      </c>
      <c r="N567">
        <v>0.96</v>
      </c>
      <c r="O567">
        <v>31641254.5</v>
      </c>
      <c r="P567">
        <v>236285</v>
      </c>
      <c r="Q567">
        <v>2</v>
      </c>
      <c r="R567">
        <v>325</v>
      </c>
      <c r="S567">
        <v>11.833852723915051</v>
      </c>
      <c r="T567">
        <v>0.87407408157984412</v>
      </c>
      <c r="W567">
        <f t="shared" si="32"/>
        <v>234910</v>
      </c>
      <c r="X567">
        <f t="shared" si="33"/>
        <v>0.89000000059604645</v>
      </c>
      <c r="Y567">
        <f t="shared" si="34"/>
        <v>0.87407408157984412</v>
      </c>
      <c r="Z567">
        <f t="shared" si="35"/>
        <v>11.833852723915051</v>
      </c>
    </row>
    <row r="568" spans="1:26" hidden="1" x14ac:dyDescent="0.25">
      <c r="A568" t="s">
        <v>106</v>
      </c>
      <c r="B568">
        <v>9</v>
      </c>
      <c r="C568">
        <v>3</v>
      </c>
      <c r="D568">
        <v>0</v>
      </c>
      <c r="E568" t="s">
        <v>236</v>
      </c>
      <c r="F568">
        <v>235028</v>
      </c>
      <c r="G568">
        <v>868608833.75</v>
      </c>
      <c r="H568">
        <v>0.91499999165534973</v>
      </c>
      <c r="I568">
        <v>0.9655555555555555</v>
      </c>
      <c r="J568">
        <v>33356809.25</v>
      </c>
      <c r="K568">
        <v>234910</v>
      </c>
      <c r="L568">
        <v>2</v>
      </c>
      <c r="M568">
        <v>324</v>
      </c>
      <c r="N568">
        <v>0.96777777777777785</v>
      </c>
      <c r="O568">
        <v>32313346.5</v>
      </c>
      <c r="P568">
        <v>236285</v>
      </c>
      <c r="Q568">
        <v>2</v>
      </c>
      <c r="R568">
        <v>325</v>
      </c>
      <c r="S568">
        <v>11.983281205572931</v>
      </c>
      <c r="T568">
        <v>0.91482964375813802</v>
      </c>
      <c r="W568">
        <f t="shared" si="32"/>
        <v>234910</v>
      </c>
      <c r="X568">
        <f t="shared" si="33"/>
        <v>0.91499999165534973</v>
      </c>
      <c r="Y568">
        <f t="shared" si="34"/>
        <v>0.91482964375813802</v>
      </c>
      <c r="Z568">
        <f t="shared" si="35"/>
        <v>11.983281205572931</v>
      </c>
    </row>
    <row r="569" spans="1:26" hidden="1" x14ac:dyDescent="0.25">
      <c r="A569" t="s">
        <v>106</v>
      </c>
      <c r="B569">
        <v>3</v>
      </c>
      <c r="C569">
        <v>3</v>
      </c>
      <c r="D569">
        <v>0</v>
      </c>
      <c r="E569" t="s">
        <v>231</v>
      </c>
      <c r="F569">
        <v>133190</v>
      </c>
      <c r="G569">
        <v>432017432.19999999</v>
      </c>
      <c r="H569">
        <v>0.96866665482521053</v>
      </c>
      <c r="I569">
        <v>0.95444444444444443</v>
      </c>
      <c r="J569">
        <v>32585568.399999999</v>
      </c>
      <c r="K569">
        <v>236285</v>
      </c>
      <c r="L569">
        <v>2</v>
      </c>
      <c r="M569">
        <v>325</v>
      </c>
      <c r="N569">
        <v>0.95599999999999996</v>
      </c>
      <c r="O569">
        <v>32887715.300000001</v>
      </c>
      <c r="P569">
        <v>237664</v>
      </c>
      <c r="Q569">
        <v>2</v>
      </c>
      <c r="R569">
        <v>326</v>
      </c>
      <c r="S569">
        <v>11.428853105488006</v>
      </c>
      <c r="T569">
        <v>0.9802469147576226</v>
      </c>
      <c r="W569">
        <f t="shared" si="32"/>
        <v>236285</v>
      </c>
      <c r="X569">
        <f t="shared" si="33"/>
        <v>0.96866665482521053</v>
      </c>
      <c r="Y569">
        <f t="shared" si="34"/>
        <v>0.9802469147576226</v>
      </c>
      <c r="Z569">
        <f t="shared" si="35"/>
        <v>11.428853105488006</v>
      </c>
    </row>
    <row r="570" spans="1:26" hidden="1" x14ac:dyDescent="0.25">
      <c r="A570" t="s">
        <v>106</v>
      </c>
      <c r="B570">
        <v>5</v>
      </c>
      <c r="C570">
        <v>3</v>
      </c>
      <c r="D570">
        <v>0</v>
      </c>
      <c r="E570" t="s">
        <v>226</v>
      </c>
      <c r="F570">
        <v>236634</v>
      </c>
      <c r="G570">
        <v>529661621.71428573</v>
      </c>
      <c r="H570">
        <v>0.97206349032265804</v>
      </c>
      <c r="I570">
        <v>0.96730158730158733</v>
      </c>
      <c r="J570">
        <v>34234387.285714284</v>
      </c>
      <c r="K570">
        <v>236285</v>
      </c>
      <c r="L570">
        <v>2</v>
      </c>
      <c r="M570">
        <v>325</v>
      </c>
      <c r="N570">
        <v>0.96730158730158733</v>
      </c>
      <c r="O570">
        <v>33277740.857142858</v>
      </c>
      <c r="P570">
        <v>237664</v>
      </c>
      <c r="Q570">
        <v>2</v>
      </c>
      <c r="R570">
        <v>326</v>
      </c>
      <c r="S570">
        <v>11.570753559155621</v>
      </c>
      <c r="T570">
        <v>0.96234566966692603</v>
      </c>
      <c r="W570">
        <f t="shared" si="32"/>
        <v>236285</v>
      </c>
      <c r="X570">
        <f t="shared" si="33"/>
        <v>0.97206349032265804</v>
      </c>
      <c r="Y570">
        <f t="shared" si="34"/>
        <v>0.96234566966692603</v>
      </c>
      <c r="Z570">
        <f t="shared" si="35"/>
        <v>11.570753559155621</v>
      </c>
    </row>
    <row r="571" spans="1:26" hidden="1" x14ac:dyDescent="0.25">
      <c r="A571" t="s">
        <v>106</v>
      </c>
      <c r="B571">
        <v>5</v>
      </c>
      <c r="C571">
        <v>4</v>
      </c>
      <c r="D571">
        <v>0</v>
      </c>
      <c r="E571" t="s">
        <v>276</v>
      </c>
      <c r="F571">
        <v>237341</v>
      </c>
      <c r="G571">
        <v>440656517</v>
      </c>
      <c r="H571">
        <v>0.94944442808628082</v>
      </c>
      <c r="I571">
        <v>0.95499999999999996</v>
      </c>
      <c r="J571">
        <v>34246476.75</v>
      </c>
      <c r="K571">
        <v>236285</v>
      </c>
      <c r="L571">
        <v>2</v>
      </c>
      <c r="M571">
        <v>325</v>
      </c>
      <c r="N571">
        <v>0.96111111111111114</v>
      </c>
      <c r="O571">
        <v>33357285.5</v>
      </c>
      <c r="P571">
        <v>237664</v>
      </c>
      <c r="Q571">
        <v>2</v>
      </c>
      <c r="R571">
        <v>326</v>
      </c>
      <c r="S571">
        <v>11.597266735199854</v>
      </c>
      <c r="T571">
        <v>0.96666665871938073</v>
      </c>
      <c r="W571">
        <f t="shared" si="32"/>
        <v>236285</v>
      </c>
      <c r="X571">
        <f t="shared" si="33"/>
        <v>0.94944442808628082</v>
      </c>
      <c r="Y571">
        <f t="shared" si="34"/>
        <v>0.96666665871938073</v>
      </c>
      <c r="Z571">
        <f t="shared" si="35"/>
        <v>11.597266735199854</v>
      </c>
    </row>
    <row r="572" spans="1:26" hidden="1" x14ac:dyDescent="0.25">
      <c r="A572" t="s">
        <v>106</v>
      </c>
      <c r="B572">
        <v>5</v>
      </c>
      <c r="C572">
        <v>5</v>
      </c>
      <c r="D572">
        <v>0</v>
      </c>
      <c r="E572" t="s">
        <v>234</v>
      </c>
      <c r="F572">
        <v>236690</v>
      </c>
      <c r="G572">
        <v>783621384.5</v>
      </c>
      <c r="H572">
        <v>0.9027777761220932</v>
      </c>
      <c r="I572">
        <v>0.96777777777777774</v>
      </c>
      <c r="J572">
        <v>33521981.25</v>
      </c>
      <c r="K572">
        <v>236285</v>
      </c>
      <c r="L572">
        <v>2</v>
      </c>
      <c r="M572">
        <v>325</v>
      </c>
      <c r="N572">
        <v>0.96833333333333338</v>
      </c>
      <c r="O572">
        <v>33790873.25</v>
      </c>
      <c r="P572">
        <v>237664</v>
      </c>
      <c r="Q572">
        <v>2</v>
      </c>
      <c r="R572">
        <v>326</v>
      </c>
      <c r="S572">
        <v>11.625290230398285</v>
      </c>
      <c r="T572">
        <v>0.9074074228604635</v>
      </c>
      <c r="W572">
        <f t="shared" si="32"/>
        <v>236285</v>
      </c>
      <c r="X572">
        <f t="shared" si="33"/>
        <v>0.9027777761220932</v>
      </c>
      <c r="Y572">
        <f t="shared" si="34"/>
        <v>0.9074074228604635</v>
      </c>
      <c r="Z572">
        <f t="shared" si="35"/>
        <v>11.625290230398285</v>
      </c>
    </row>
    <row r="573" spans="1:26" hidden="1" x14ac:dyDescent="0.25">
      <c r="A573" t="s">
        <v>106</v>
      </c>
      <c r="B573">
        <v>9</v>
      </c>
      <c r="C573">
        <v>2</v>
      </c>
      <c r="D573">
        <v>0</v>
      </c>
      <c r="E573" t="s">
        <v>195</v>
      </c>
      <c r="F573">
        <v>236998</v>
      </c>
      <c r="G573">
        <v>1126148129</v>
      </c>
      <c r="H573">
        <v>0.86722223460674286</v>
      </c>
      <c r="I573">
        <v>0.96</v>
      </c>
      <c r="J573">
        <v>35344827.5</v>
      </c>
      <c r="K573">
        <v>236285</v>
      </c>
      <c r="L573">
        <v>2</v>
      </c>
      <c r="M573">
        <v>325</v>
      </c>
      <c r="N573">
        <v>0.96333333333333337</v>
      </c>
      <c r="O573">
        <v>33762488.25</v>
      </c>
      <c r="P573">
        <v>237664</v>
      </c>
      <c r="Q573">
        <v>2</v>
      </c>
      <c r="R573">
        <v>326</v>
      </c>
      <c r="S573">
        <v>11.838506808216017</v>
      </c>
      <c r="T573">
        <v>0.86419753233591712</v>
      </c>
      <c r="W573">
        <f t="shared" si="32"/>
        <v>236285</v>
      </c>
      <c r="X573">
        <f t="shared" si="33"/>
        <v>0.86722223460674286</v>
      </c>
      <c r="Y573">
        <f t="shared" si="34"/>
        <v>0.86419753233591712</v>
      </c>
      <c r="Z573">
        <f t="shared" si="35"/>
        <v>11.838506808216017</v>
      </c>
    </row>
    <row r="574" spans="1:26" hidden="1" x14ac:dyDescent="0.25">
      <c r="A574" t="s">
        <v>106</v>
      </c>
      <c r="B574">
        <v>9</v>
      </c>
      <c r="C574">
        <v>4</v>
      </c>
      <c r="D574">
        <v>0</v>
      </c>
      <c r="E574" t="s">
        <v>121</v>
      </c>
      <c r="F574">
        <v>236938</v>
      </c>
      <c r="G574">
        <v>530456682.5</v>
      </c>
      <c r="H574">
        <v>0.77222222089767456</v>
      </c>
      <c r="I574">
        <v>0.95777777777777784</v>
      </c>
      <c r="J574">
        <v>35657719.75</v>
      </c>
      <c r="K574">
        <v>236285</v>
      </c>
      <c r="L574">
        <v>2</v>
      </c>
      <c r="M574">
        <v>325</v>
      </c>
      <c r="N574">
        <v>0.95666666666666667</v>
      </c>
      <c r="O574">
        <v>35143148.5</v>
      </c>
      <c r="P574">
        <v>237664</v>
      </c>
      <c r="Q574">
        <v>2</v>
      </c>
      <c r="R574">
        <v>326</v>
      </c>
      <c r="S574">
        <v>12.153927694711003</v>
      </c>
      <c r="T574">
        <v>0.90990000000000004</v>
      </c>
      <c r="W574">
        <f t="shared" si="32"/>
        <v>236285</v>
      </c>
      <c r="X574">
        <f t="shared" si="33"/>
        <v>0.77222222089767456</v>
      </c>
      <c r="Y574">
        <f t="shared" si="34"/>
        <v>0.90990000000000004</v>
      </c>
      <c r="Z574">
        <f t="shared" si="35"/>
        <v>12.153927694711003</v>
      </c>
    </row>
    <row r="575" spans="1:26" hidden="1" x14ac:dyDescent="0.25">
      <c r="A575" t="s">
        <v>106</v>
      </c>
      <c r="B575">
        <v>3</v>
      </c>
      <c r="C575">
        <v>4</v>
      </c>
      <c r="D575">
        <v>0</v>
      </c>
      <c r="E575" t="s">
        <v>139</v>
      </c>
      <c r="F575">
        <v>125508</v>
      </c>
      <c r="G575">
        <v>380462835.83333331</v>
      </c>
      <c r="H575">
        <v>0.95333333810170495</v>
      </c>
      <c r="I575">
        <v>0.95925925925925926</v>
      </c>
      <c r="J575">
        <v>33768842.5</v>
      </c>
      <c r="K575">
        <v>237664</v>
      </c>
      <c r="L575">
        <v>2</v>
      </c>
      <c r="M575">
        <v>326</v>
      </c>
      <c r="N575">
        <v>0.96185185185185185</v>
      </c>
      <c r="O575">
        <v>34795751.666666664</v>
      </c>
      <c r="P575">
        <v>239047</v>
      </c>
      <c r="Q575">
        <v>2</v>
      </c>
      <c r="R575">
        <v>327</v>
      </c>
      <c r="S575">
        <v>11.427558904284528</v>
      </c>
      <c r="T575">
        <v>0.96148148775100706</v>
      </c>
      <c r="W575">
        <f t="shared" si="32"/>
        <v>237664</v>
      </c>
      <c r="X575">
        <f t="shared" si="33"/>
        <v>0.95333333810170495</v>
      </c>
      <c r="Y575">
        <f t="shared" si="34"/>
        <v>0.96148148775100706</v>
      </c>
      <c r="Z575">
        <f t="shared" si="35"/>
        <v>11.427558904284528</v>
      </c>
    </row>
    <row r="576" spans="1:26" hidden="1" x14ac:dyDescent="0.25">
      <c r="A576" t="s">
        <v>106</v>
      </c>
      <c r="B576">
        <v>5</v>
      </c>
      <c r="C576">
        <v>3</v>
      </c>
      <c r="D576">
        <v>0</v>
      </c>
      <c r="E576" t="s">
        <v>267</v>
      </c>
      <c r="F576">
        <v>239019</v>
      </c>
      <c r="G576">
        <v>457653037.75</v>
      </c>
      <c r="H576">
        <v>0.96722222864627838</v>
      </c>
      <c r="I576">
        <v>0.96277777777777773</v>
      </c>
      <c r="J576">
        <v>34928909.5</v>
      </c>
      <c r="K576">
        <v>237664</v>
      </c>
      <c r="L576">
        <v>2</v>
      </c>
      <c r="M576">
        <v>326</v>
      </c>
      <c r="N576">
        <v>0.96888888888888891</v>
      </c>
      <c r="O576">
        <v>35781488.75</v>
      </c>
      <c r="P576">
        <v>239047</v>
      </c>
      <c r="Q576">
        <v>2</v>
      </c>
      <c r="R576">
        <v>327</v>
      </c>
      <c r="S576">
        <v>11.571226993865031</v>
      </c>
      <c r="T576">
        <v>0.95925925175348914</v>
      </c>
      <c r="W576">
        <f t="shared" si="32"/>
        <v>237664</v>
      </c>
      <c r="X576">
        <f t="shared" si="33"/>
        <v>0.96722222864627838</v>
      </c>
      <c r="Y576">
        <f t="shared" si="34"/>
        <v>0.95925925175348914</v>
      </c>
      <c r="Z576">
        <f t="shared" si="35"/>
        <v>11.571226993865031</v>
      </c>
    </row>
    <row r="577" spans="1:26" hidden="1" x14ac:dyDescent="0.25">
      <c r="A577" t="s">
        <v>106</v>
      </c>
      <c r="B577">
        <v>5</v>
      </c>
      <c r="C577">
        <v>4</v>
      </c>
      <c r="D577">
        <v>0</v>
      </c>
      <c r="E577" t="s">
        <v>189</v>
      </c>
      <c r="F577">
        <v>238898</v>
      </c>
      <c r="G577">
        <v>478938143.75</v>
      </c>
      <c r="H577">
        <v>0.96555554866790771</v>
      </c>
      <c r="I577">
        <v>0.9588888888888889</v>
      </c>
      <c r="J577">
        <v>34703232.75</v>
      </c>
      <c r="K577">
        <v>237664</v>
      </c>
      <c r="L577">
        <v>2</v>
      </c>
      <c r="M577">
        <v>326</v>
      </c>
      <c r="N577">
        <v>0.9572222222222222</v>
      </c>
      <c r="O577">
        <v>35971010.25</v>
      </c>
      <c r="P577">
        <v>239047</v>
      </c>
      <c r="Q577">
        <v>2</v>
      </c>
      <c r="R577">
        <v>327</v>
      </c>
      <c r="S577">
        <v>11.598150051387462</v>
      </c>
      <c r="T577">
        <v>0.97530865669250488</v>
      </c>
      <c r="W577">
        <f t="shared" si="32"/>
        <v>237664</v>
      </c>
      <c r="X577">
        <f t="shared" si="33"/>
        <v>0.96555554866790771</v>
      </c>
      <c r="Y577">
        <f t="shared" si="34"/>
        <v>0.97530865669250488</v>
      </c>
      <c r="Z577">
        <f t="shared" si="35"/>
        <v>11.598150051387462</v>
      </c>
    </row>
    <row r="578" spans="1:26" hidden="1" x14ac:dyDescent="0.25">
      <c r="A578" t="s">
        <v>106</v>
      </c>
      <c r="B578">
        <v>5</v>
      </c>
      <c r="C578">
        <v>5</v>
      </c>
      <c r="D578">
        <v>0</v>
      </c>
      <c r="E578" t="s">
        <v>263</v>
      </c>
      <c r="F578">
        <v>238761</v>
      </c>
      <c r="G578">
        <v>598327972.58333337</v>
      </c>
      <c r="H578">
        <v>0.89555555582046509</v>
      </c>
      <c r="I578">
        <v>0.96018518518518525</v>
      </c>
      <c r="J578">
        <v>34022842.916666664</v>
      </c>
      <c r="K578">
        <v>237664</v>
      </c>
      <c r="L578">
        <v>2</v>
      </c>
      <c r="M578">
        <v>326</v>
      </c>
      <c r="N578">
        <v>0.96203703703703702</v>
      </c>
      <c r="O578">
        <v>34192620.583333336</v>
      </c>
      <c r="P578">
        <v>239047</v>
      </c>
      <c r="Q578">
        <v>2</v>
      </c>
      <c r="R578">
        <v>327</v>
      </c>
      <c r="S578">
        <v>11.629246237134868</v>
      </c>
      <c r="T578">
        <v>0.90841684123819522</v>
      </c>
      <c r="W578">
        <f t="shared" si="32"/>
        <v>237664</v>
      </c>
      <c r="X578">
        <f t="shared" si="33"/>
        <v>0.89555555582046509</v>
      </c>
      <c r="Y578">
        <f t="shared" si="34"/>
        <v>0.90841684123819522</v>
      </c>
      <c r="Z578">
        <f t="shared" si="35"/>
        <v>11.629246237134868</v>
      </c>
    </row>
    <row r="579" spans="1:26" hidden="1" x14ac:dyDescent="0.25">
      <c r="A579" t="s">
        <v>106</v>
      </c>
      <c r="B579">
        <v>9</v>
      </c>
      <c r="C579">
        <v>2</v>
      </c>
      <c r="D579">
        <v>0</v>
      </c>
      <c r="E579" t="s">
        <v>139</v>
      </c>
      <c r="F579">
        <v>238296</v>
      </c>
      <c r="G579">
        <v>1079741531.25</v>
      </c>
      <c r="H579">
        <v>0.89000000059604645</v>
      </c>
      <c r="I579">
        <v>0.96666666666666667</v>
      </c>
      <c r="J579">
        <v>34895133.5</v>
      </c>
      <c r="K579">
        <v>237664</v>
      </c>
      <c r="L579">
        <v>2</v>
      </c>
      <c r="M579">
        <v>326</v>
      </c>
      <c r="N579">
        <v>0.9622222222222222</v>
      </c>
      <c r="O579">
        <v>33413571</v>
      </c>
      <c r="P579">
        <v>239047</v>
      </c>
      <c r="Q579">
        <v>2</v>
      </c>
      <c r="R579">
        <v>327</v>
      </c>
      <c r="S579">
        <v>11.842639593908629</v>
      </c>
      <c r="T579">
        <v>0.88518518209457397</v>
      </c>
      <c r="W579">
        <f t="shared" ref="W579:W642" si="36">K579</f>
        <v>237664</v>
      </c>
      <c r="X579">
        <f t="shared" ref="X579:X642" si="37">H579</f>
        <v>0.89000000059604645</v>
      </c>
      <c r="Y579">
        <f t="shared" ref="Y579:Y642" si="38">T579</f>
        <v>0.88518518209457397</v>
      </c>
      <c r="Z579">
        <f t="shared" ref="Z579:Z642" si="39">S579</f>
        <v>11.842639593908629</v>
      </c>
    </row>
    <row r="580" spans="1:26" hidden="1" x14ac:dyDescent="0.25">
      <c r="A580" t="s">
        <v>106</v>
      </c>
      <c r="B580">
        <v>9</v>
      </c>
      <c r="C580">
        <v>3</v>
      </c>
      <c r="D580">
        <v>0</v>
      </c>
      <c r="E580" t="s">
        <v>282</v>
      </c>
      <c r="F580">
        <v>237759</v>
      </c>
      <c r="G580">
        <v>901501498.92307687</v>
      </c>
      <c r="H580">
        <v>0.89743590813416696</v>
      </c>
      <c r="I580">
        <v>0.96239316239316242</v>
      </c>
      <c r="J580">
        <v>35180980.153846152</v>
      </c>
      <c r="K580">
        <v>237664</v>
      </c>
      <c r="L580">
        <v>2</v>
      </c>
      <c r="M580">
        <v>326</v>
      </c>
      <c r="N580">
        <v>0.9622222222222222</v>
      </c>
      <c r="O580">
        <v>35172229.153846152</v>
      </c>
      <c r="P580">
        <v>239047</v>
      </c>
      <c r="Q580">
        <v>2</v>
      </c>
      <c r="R580">
        <v>327</v>
      </c>
      <c r="S580">
        <v>11.994488010001136</v>
      </c>
      <c r="T580">
        <v>0.92222407561937969</v>
      </c>
      <c r="W580">
        <f t="shared" si="36"/>
        <v>237664</v>
      </c>
      <c r="X580">
        <f t="shared" si="37"/>
        <v>0.89743590813416696</v>
      </c>
      <c r="Y580">
        <f t="shared" si="38"/>
        <v>0.92222407561937969</v>
      </c>
      <c r="Z580">
        <f t="shared" si="39"/>
        <v>11.994488010001136</v>
      </c>
    </row>
    <row r="581" spans="1:26" hidden="1" x14ac:dyDescent="0.25">
      <c r="A581" t="s">
        <v>106</v>
      </c>
      <c r="B581">
        <v>3</v>
      </c>
      <c r="C581">
        <v>3</v>
      </c>
      <c r="D581">
        <v>0</v>
      </c>
      <c r="E581" t="s">
        <v>232</v>
      </c>
      <c r="F581">
        <v>134668</v>
      </c>
      <c r="G581">
        <v>233895738.66666666</v>
      </c>
      <c r="H581">
        <v>0.9674073954423269</v>
      </c>
      <c r="I581">
        <v>0.9555555555555556</v>
      </c>
      <c r="J581">
        <v>21871423.833333332</v>
      </c>
      <c r="K581">
        <v>239047</v>
      </c>
      <c r="L581">
        <v>2</v>
      </c>
      <c r="M581">
        <v>327</v>
      </c>
      <c r="N581">
        <v>0.95629629629629631</v>
      </c>
      <c r="O581">
        <v>21660837</v>
      </c>
      <c r="P581">
        <v>240434</v>
      </c>
      <c r="Q581">
        <v>2</v>
      </c>
      <c r="R581">
        <v>328</v>
      </c>
      <c r="S581">
        <v>11.429078247158531</v>
      </c>
      <c r="T581">
        <v>0.98296297788619991</v>
      </c>
      <c r="W581">
        <f t="shared" si="36"/>
        <v>239047</v>
      </c>
      <c r="X581">
        <f t="shared" si="37"/>
        <v>0.9674073954423269</v>
      </c>
      <c r="Y581">
        <f t="shared" si="38"/>
        <v>0.98296297788619991</v>
      </c>
      <c r="Z581">
        <f t="shared" si="39"/>
        <v>11.429078247158531</v>
      </c>
    </row>
    <row r="582" spans="1:26" hidden="1" x14ac:dyDescent="0.25">
      <c r="A582" t="s">
        <v>106</v>
      </c>
      <c r="B582">
        <v>5</v>
      </c>
      <c r="C582">
        <v>3</v>
      </c>
      <c r="D582">
        <v>0</v>
      </c>
      <c r="E582" t="s">
        <v>144</v>
      </c>
      <c r="F582">
        <v>239094</v>
      </c>
      <c r="G582">
        <v>575230327.70000005</v>
      </c>
      <c r="H582">
        <v>0.97399999499320988</v>
      </c>
      <c r="I582">
        <v>0.96777777777777785</v>
      </c>
      <c r="J582">
        <v>34578849.399999999</v>
      </c>
      <c r="K582">
        <v>239047</v>
      </c>
      <c r="L582">
        <v>2</v>
      </c>
      <c r="M582">
        <v>327</v>
      </c>
      <c r="N582">
        <v>0.9695555555555555</v>
      </c>
      <c r="O582">
        <v>34430252.799999997</v>
      </c>
      <c r="P582">
        <v>240434</v>
      </c>
      <c r="Q582">
        <v>2</v>
      </c>
      <c r="R582">
        <v>328</v>
      </c>
      <c r="S582">
        <v>11.573206621704475</v>
      </c>
      <c r="T582">
        <v>0.96090534660551286</v>
      </c>
      <c r="W582">
        <f t="shared" si="36"/>
        <v>239047</v>
      </c>
      <c r="X582">
        <f t="shared" si="37"/>
        <v>0.97399999499320988</v>
      </c>
      <c r="Y582">
        <f t="shared" si="38"/>
        <v>0.96090534660551286</v>
      </c>
      <c r="Z582">
        <f t="shared" si="39"/>
        <v>11.573206621704475</v>
      </c>
    </row>
    <row r="583" spans="1:26" hidden="1" x14ac:dyDescent="0.25">
      <c r="A583" t="s">
        <v>106</v>
      </c>
      <c r="B583">
        <v>5</v>
      </c>
      <c r="C583">
        <v>4</v>
      </c>
      <c r="D583">
        <v>0</v>
      </c>
      <c r="E583" t="s">
        <v>265</v>
      </c>
      <c r="F583">
        <v>240035</v>
      </c>
      <c r="G583">
        <v>439490770.75</v>
      </c>
      <c r="H583">
        <v>0.95666667819023132</v>
      </c>
      <c r="I583">
        <v>0.96333333333333337</v>
      </c>
      <c r="J583">
        <v>35728217</v>
      </c>
      <c r="K583">
        <v>239047</v>
      </c>
      <c r="L583">
        <v>2</v>
      </c>
      <c r="M583">
        <v>327</v>
      </c>
      <c r="N583">
        <v>0.96722222222222221</v>
      </c>
      <c r="O583">
        <v>36264804.5</v>
      </c>
      <c r="P583">
        <v>240434</v>
      </c>
      <c r="Q583">
        <v>2</v>
      </c>
      <c r="R583">
        <v>328</v>
      </c>
      <c r="S583">
        <v>11.598549410698096</v>
      </c>
      <c r="T583">
        <v>0.9592592716217041</v>
      </c>
      <c r="W583">
        <f t="shared" si="36"/>
        <v>239047</v>
      </c>
      <c r="X583">
        <f t="shared" si="37"/>
        <v>0.95666667819023132</v>
      </c>
      <c r="Y583">
        <f t="shared" si="38"/>
        <v>0.9592592716217041</v>
      </c>
      <c r="Z583">
        <f t="shared" si="39"/>
        <v>11.598549410698096</v>
      </c>
    </row>
    <row r="584" spans="1:26" hidden="1" x14ac:dyDescent="0.25">
      <c r="A584" t="s">
        <v>106</v>
      </c>
      <c r="B584">
        <v>5</v>
      </c>
      <c r="C584">
        <v>5</v>
      </c>
      <c r="D584">
        <v>0</v>
      </c>
      <c r="E584" t="s">
        <v>281</v>
      </c>
      <c r="F584">
        <v>240149</v>
      </c>
      <c r="G584">
        <v>845115240.75</v>
      </c>
      <c r="H584">
        <v>0.88777777552604675</v>
      </c>
      <c r="I584">
        <v>0.97333333333333338</v>
      </c>
      <c r="J584">
        <v>37266528.25</v>
      </c>
      <c r="K584">
        <v>239047</v>
      </c>
      <c r="L584">
        <v>2</v>
      </c>
      <c r="M584">
        <v>327</v>
      </c>
      <c r="N584">
        <v>0.97833333333333328</v>
      </c>
      <c r="O584">
        <v>36078063.5</v>
      </c>
      <c r="P584">
        <v>240434</v>
      </c>
      <c r="Q584">
        <v>2</v>
      </c>
      <c r="R584">
        <v>328</v>
      </c>
      <c r="S584">
        <v>11.63088086599655</v>
      </c>
      <c r="T584">
        <v>0.88396048161188756</v>
      </c>
      <c r="W584">
        <f t="shared" si="36"/>
        <v>239047</v>
      </c>
      <c r="X584">
        <f t="shared" si="37"/>
        <v>0.88777777552604675</v>
      </c>
      <c r="Y584">
        <f t="shared" si="38"/>
        <v>0.88396048161188756</v>
      </c>
      <c r="Z584">
        <f t="shared" si="39"/>
        <v>11.63088086599655</v>
      </c>
    </row>
    <row r="585" spans="1:26" hidden="1" x14ac:dyDescent="0.25">
      <c r="A585" t="s">
        <v>106</v>
      </c>
      <c r="B585">
        <v>9</v>
      </c>
      <c r="C585">
        <v>3</v>
      </c>
      <c r="D585">
        <v>0</v>
      </c>
      <c r="E585" t="s">
        <v>208</v>
      </c>
      <c r="F585">
        <v>240050</v>
      </c>
      <c r="G585">
        <v>760853538.75</v>
      </c>
      <c r="H585">
        <v>0.93388889729976654</v>
      </c>
      <c r="I585">
        <v>0.97444444444444445</v>
      </c>
      <c r="J585">
        <v>37678863</v>
      </c>
      <c r="K585">
        <v>239047</v>
      </c>
      <c r="L585">
        <v>2</v>
      </c>
      <c r="M585">
        <v>327</v>
      </c>
      <c r="N585">
        <v>0.97444444444444445</v>
      </c>
      <c r="O585">
        <v>34839263</v>
      </c>
      <c r="P585">
        <v>240434</v>
      </c>
      <c r="Q585">
        <v>2</v>
      </c>
      <c r="R585">
        <v>328</v>
      </c>
      <c r="S585">
        <v>11.996534484717646</v>
      </c>
      <c r="T585">
        <v>0.93209876616795861</v>
      </c>
      <c r="W585">
        <f t="shared" si="36"/>
        <v>239047</v>
      </c>
      <c r="X585">
        <f t="shared" si="37"/>
        <v>0.93388889729976654</v>
      </c>
      <c r="Y585">
        <f t="shared" si="38"/>
        <v>0.93209876616795861</v>
      </c>
      <c r="Z585">
        <f t="shared" si="39"/>
        <v>11.996534484717646</v>
      </c>
    </row>
    <row r="586" spans="1:26" hidden="1" x14ac:dyDescent="0.25">
      <c r="A586" t="s">
        <v>106</v>
      </c>
      <c r="B586">
        <v>9</v>
      </c>
      <c r="C586">
        <v>4</v>
      </c>
      <c r="D586">
        <v>0</v>
      </c>
      <c r="E586" t="s">
        <v>152</v>
      </c>
      <c r="F586">
        <v>239448</v>
      </c>
      <c r="G586">
        <v>459192967.5714286</v>
      </c>
      <c r="H586">
        <v>0.91396825654166081</v>
      </c>
      <c r="I586">
        <v>0.96253968253968258</v>
      </c>
      <c r="J586">
        <v>32143250.285714287</v>
      </c>
      <c r="K586">
        <v>239047</v>
      </c>
      <c r="L586">
        <v>2</v>
      </c>
      <c r="M586">
        <v>327</v>
      </c>
      <c r="N586">
        <v>0.96063492063492062</v>
      </c>
      <c r="O586">
        <v>33070260</v>
      </c>
      <c r="P586">
        <v>240434</v>
      </c>
      <c r="Q586">
        <v>2</v>
      </c>
      <c r="R586">
        <v>328</v>
      </c>
      <c r="S586">
        <v>12.154592604985778</v>
      </c>
      <c r="T586">
        <v>0.93640000000000001</v>
      </c>
      <c r="W586">
        <f t="shared" si="36"/>
        <v>239047</v>
      </c>
      <c r="X586">
        <f t="shared" si="37"/>
        <v>0.91396825654166081</v>
      </c>
      <c r="Y586">
        <f t="shared" si="38"/>
        <v>0.93640000000000001</v>
      </c>
      <c r="Z586">
        <f t="shared" si="39"/>
        <v>12.154592604985778</v>
      </c>
    </row>
    <row r="587" spans="1:26" hidden="1" x14ac:dyDescent="0.25">
      <c r="A587" t="s">
        <v>106</v>
      </c>
      <c r="B587">
        <v>3</v>
      </c>
      <c r="C587">
        <v>4</v>
      </c>
      <c r="D587">
        <v>0</v>
      </c>
      <c r="E587" t="s">
        <v>140</v>
      </c>
      <c r="F587">
        <v>126990</v>
      </c>
      <c r="G587">
        <v>531657396.66666669</v>
      </c>
      <c r="H587">
        <v>0.95148148139317834</v>
      </c>
      <c r="I587">
        <v>0.96592592592592597</v>
      </c>
      <c r="J587">
        <v>35592464.333333336</v>
      </c>
      <c r="K587">
        <v>240434</v>
      </c>
      <c r="L587">
        <v>2</v>
      </c>
      <c r="M587">
        <v>328</v>
      </c>
      <c r="N587">
        <v>0.96259259259259256</v>
      </c>
      <c r="O587">
        <v>35083059.666666664</v>
      </c>
      <c r="P587">
        <v>241825</v>
      </c>
      <c r="Q587">
        <v>2</v>
      </c>
      <c r="R587">
        <v>329</v>
      </c>
      <c r="S587">
        <v>11.42879938724708</v>
      </c>
      <c r="T587">
        <v>0.96888889074325557</v>
      </c>
      <c r="W587">
        <f t="shared" si="36"/>
        <v>240434</v>
      </c>
      <c r="X587">
        <f t="shared" si="37"/>
        <v>0.95148148139317834</v>
      </c>
      <c r="Y587">
        <f t="shared" si="38"/>
        <v>0.96888889074325557</v>
      </c>
      <c r="Z587">
        <f t="shared" si="39"/>
        <v>11.42879938724708</v>
      </c>
    </row>
    <row r="588" spans="1:26" hidden="1" x14ac:dyDescent="0.25">
      <c r="A588" t="s">
        <v>106</v>
      </c>
      <c r="B588">
        <v>5</v>
      </c>
      <c r="C588">
        <v>4</v>
      </c>
      <c r="D588">
        <v>0</v>
      </c>
      <c r="E588" t="s">
        <v>239</v>
      </c>
      <c r="F588">
        <v>241582</v>
      </c>
      <c r="G588">
        <v>498959870</v>
      </c>
      <c r="H588">
        <v>0.95000000298023224</v>
      </c>
      <c r="I588">
        <v>0.96277777777777773</v>
      </c>
      <c r="J588">
        <v>35408382.75</v>
      </c>
      <c r="K588">
        <v>240434</v>
      </c>
      <c r="L588">
        <v>2</v>
      </c>
      <c r="M588">
        <v>328</v>
      </c>
      <c r="N588">
        <v>0.96444444444444444</v>
      </c>
      <c r="O588">
        <v>35684050.75</v>
      </c>
      <c r="P588">
        <v>241825</v>
      </c>
      <c r="Q588">
        <v>2</v>
      </c>
      <c r="R588">
        <v>329</v>
      </c>
      <c r="S588">
        <v>11.598586017282011</v>
      </c>
      <c r="T588">
        <v>0.95308643579483032</v>
      </c>
      <c r="W588">
        <f t="shared" si="36"/>
        <v>240434</v>
      </c>
      <c r="X588">
        <f t="shared" si="37"/>
        <v>0.95000000298023224</v>
      </c>
      <c r="Y588">
        <f t="shared" si="38"/>
        <v>0.95308643579483032</v>
      </c>
      <c r="Z588">
        <f t="shared" si="39"/>
        <v>11.598586017282011</v>
      </c>
    </row>
    <row r="589" spans="1:26" hidden="1" x14ac:dyDescent="0.25">
      <c r="A589" t="s">
        <v>106</v>
      </c>
      <c r="B589">
        <v>3</v>
      </c>
      <c r="C589">
        <v>3</v>
      </c>
      <c r="D589">
        <v>0</v>
      </c>
      <c r="E589" t="s">
        <v>233</v>
      </c>
      <c r="F589">
        <v>136146</v>
      </c>
      <c r="G589">
        <v>232392621.33333334</v>
      </c>
      <c r="H589">
        <v>0.96629628539085388</v>
      </c>
      <c r="I589">
        <v>0.9588888888888889</v>
      </c>
      <c r="J589">
        <v>21965039.5</v>
      </c>
      <c r="K589">
        <v>241825</v>
      </c>
      <c r="L589">
        <v>2</v>
      </c>
      <c r="M589">
        <v>329</v>
      </c>
      <c r="N589">
        <v>0.95518518518518514</v>
      </c>
      <c r="O589">
        <v>21555337.5</v>
      </c>
      <c r="P589">
        <v>243220</v>
      </c>
      <c r="Q589">
        <v>2</v>
      </c>
      <c r="R589">
        <v>330</v>
      </c>
      <c r="S589">
        <v>11.429368884218821</v>
      </c>
      <c r="T589">
        <v>0.98074074983596804</v>
      </c>
      <c r="W589">
        <f t="shared" si="36"/>
        <v>241825</v>
      </c>
      <c r="X589">
        <f t="shared" si="37"/>
        <v>0.96629628539085388</v>
      </c>
      <c r="Y589">
        <f t="shared" si="38"/>
        <v>0.98074074983596804</v>
      </c>
      <c r="Z589">
        <f t="shared" si="39"/>
        <v>11.429368884218821</v>
      </c>
    </row>
    <row r="590" spans="1:26" hidden="1" x14ac:dyDescent="0.25">
      <c r="A590" t="s">
        <v>106</v>
      </c>
      <c r="B590">
        <v>5</v>
      </c>
      <c r="C590">
        <v>5</v>
      </c>
      <c r="D590">
        <v>0</v>
      </c>
      <c r="E590" t="s">
        <v>205</v>
      </c>
      <c r="F590">
        <v>243128</v>
      </c>
      <c r="G590">
        <v>470124941.5714286</v>
      </c>
      <c r="H590">
        <v>0.87174602065767559</v>
      </c>
      <c r="I590">
        <v>0.95968253968253969</v>
      </c>
      <c r="J590">
        <v>31774165.142857142</v>
      </c>
      <c r="K590">
        <v>241825</v>
      </c>
      <c r="L590">
        <v>2</v>
      </c>
      <c r="M590">
        <v>329</v>
      </c>
      <c r="N590">
        <v>0.95873015873015877</v>
      </c>
      <c r="O590">
        <v>31272251.142857142</v>
      </c>
      <c r="P590">
        <v>243220</v>
      </c>
      <c r="Q590">
        <v>2</v>
      </c>
      <c r="R590">
        <v>330</v>
      </c>
      <c r="S590">
        <v>11.632045184304399</v>
      </c>
      <c r="T590">
        <v>0.87469630049069724</v>
      </c>
      <c r="W590">
        <f t="shared" si="36"/>
        <v>241825</v>
      </c>
      <c r="X590">
        <f t="shared" si="37"/>
        <v>0.87174602065767559</v>
      </c>
      <c r="Y590">
        <f t="shared" si="38"/>
        <v>0.87469630049069724</v>
      </c>
      <c r="Z590">
        <f t="shared" si="39"/>
        <v>11.632045184304399</v>
      </c>
    </row>
    <row r="591" spans="1:26" hidden="1" x14ac:dyDescent="0.25">
      <c r="A591" t="s">
        <v>106</v>
      </c>
      <c r="B591">
        <v>9</v>
      </c>
      <c r="C591">
        <v>2</v>
      </c>
      <c r="D591">
        <v>0</v>
      </c>
      <c r="E591" t="s">
        <v>291</v>
      </c>
      <c r="F591">
        <v>241975</v>
      </c>
      <c r="G591">
        <v>1112029936.5714285</v>
      </c>
      <c r="H591">
        <v>0.8990476131439209</v>
      </c>
      <c r="I591">
        <v>0.96349206349206351</v>
      </c>
      <c r="J591">
        <v>34538583.285714284</v>
      </c>
      <c r="K591">
        <v>241825</v>
      </c>
      <c r="L591">
        <v>2</v>
      </c>
      <c r="M591">
        <v>329</v>
      </c>
      <c r="N591">
        <v>0.95968253968253969</v>
      </c>
      <c r="O591">
        <v>35399586.714285716</v>
      </c>
      <c r="P591">
        <v>243220</v>
      </c>
      <c r="Q591">
        <v>2</v>
      </c>
      <c r="R591">
        <v>330</v>
      </c>
      <c r="S591">
        <v>11.849679986161563</v>
      </c>
      <c r="T591">
        <v>0.89876543482144677</v>
      </c>
      <c r="W591">
        <f t="shared" si="36"/>
        <v>241825</v>
      </c>
      <c r="X591">
        <f t="shared" si="37"/>
        <v>0.8990476131439209</v>
      </c>
      <c r="Y591">
        <f t="shared" si="38"/>
        <v>0.89876543482144677</v>
      </c>
      <c r="Z591">
        <f t="shared" si="39"/>
        <v>11.849679986161563</v>
      </c>
    </row>
    <row r="592" spans="1:26" hidden="1" x14ac:dyDescent="0.25">
      <c r="A592" t="s">
        <v>106</v>
      </c>
      <c r="B592">
        <v>9</v>
      </c>
      <c r="C592">
        <v>3</v>
      </c>
      <c r="D592">
        <v>0</v>
      </c>
      <c r="E592" t="s">
        <v>270</v>
      </c>
      <c r="F592">
        <v>241901</v>
      </c>
      <c r="G592">
        <v>844464205.25</v>
      </c>
      <c r="H592">
        <v>0.93444445729255676</v>
      </c>
      <c r="I592">
        <v>0.96611111111111114</v>
      </c>
      <c r="J592">
        <v>34614518.5</v>
      </c>
      <c r="K592">
        <v>241825</v>
      </c>
      <c r="L592">
        <v>2</v>
      </c>
      <c r="M592">
        <v>329</v>
      </c>
      <c r="N592">
        <v>0.96833333333333327</v>
      </c>
      <c r="O592">
        <v>33360713.25</v>
      </c>
      <c r="P592">
        <v>243220</v>
      </c>
      <c r="Q592">
        <v>2</v>
      </c>
      <c r="R592">
        <v>330</v>
      </c>
      <c r="S592">
        <v>11.999772804725662</v>
      </c>
      <c r="T592">
        <v>0.93456790844599402</v>
      </c>
      <c r="W592">
        <f t="shared" si="36"/>
        <v>241825</v>
      </c>
      <c r="X592">
        <f t="shared" si="37"/>
        <v>0.93444445729255676</v>
      </c>
      <c r="Y592">
        <f t="shared" si="38"/>
        <v>0.93456790844599402</v>
      </c>
      <c r="Z592">
        <f t="shared" si="39"/>
        <v>11.999772804725662</v>
      </c>
    </row>
    <row r="593" spans="1:26" hidden="1" x14ac:dyDescent="0.25">
      <c r="A593" t="s">
        <v>106</v>
      </c>
      <c r="B593">
        <v>3</v>
      </c>
      <c r="C593">
        <v>4</v>
      </c>
      <c r="D593">
        <v>0</v>
      </c>
      <c r="E593" t="s">
        <v>141</v>
      </c>
      <c r="F593">
        <v>128472</v>
      </c>
      <c r="G593">
        <v>483164133.33333331</v>
      </c>
      <c r="H593">
        <v>0.9481481512387594</v>
      </c>
      <c r="I593">
        <v>0.96703703703703703</v>
      </c>
      <c r="J593">
        <v>35218044.166666664</v>
      </c>
      <c r="K593">
        <v>243220</v>
      </c>
      <c r="L593">
        <v>2</v>
      </c>
      <c r="M593">
        <v>330</v>
      </c>
      <c r="N593">
        <v>0.96518518518518515</v>
      </c>
      <c r="O593">
        <v>34460630.833333336</v>
      </c>
      <c r="P593">
        <v>244619</v>
      </c>
      <c r="Q593">
        <v>2</v>
      </c>
      <c r="R593">
        <v>331</v>
      </c>
      <c r="S593">
        <v>11.429656096471639</v>
      </c>
      <c r="T593">
        <v>0.96592593193054199</v>
      </c>
      <c r="W593">
        <f t="shared" si="36"/>
        <v>243220</v>
      </c>
      <c r="X593">
        <f t="shared" si="37"/>
        <v>0.9481481512387594</v>
      </c>
      <c r="Y593">
        <f t="shared" si="38"/>
        <v>0.96592593193054199</v>
      </c>
      <c r="Z593">
        <f t="shared" si="39"/>
        <v>11.429656096471639</v>
      </c>
    </row>
    <row r="594" spans="1:26" hidden="1" x14ac:dyDescent="0.25">
      <c r="A594" t="s">
        <v>106</v>
      </c>
      <c r="B594">
        <v>5</v>
      </c>
      <c r="C594">
        <v>3</v>
      </c>
      <c r="D594">
        <v>0</v>
      </c>
      <c r="E594" t="s">
        <v>285</v>
      </c>
      <c r="F594">
        <v>244019</v>
      </c>
      <c r="G594">
        <v>708474159</v>
      </c>
      <c r="H594">
        <v>0.96833333373069763</v>
      </c>
      <c r="I594">
        <v>0.97</v>
      </c>
      <c r="J594">
        <v>34262781</v>
      </c>
      <c r="K594">
        <v>243220</v>
      </c>
      <c r="L594">
        <v>2</v>
      </c>
      <c r="M594">
        <v>330</v>
      </c>
      <c r="N594">
        <v>0.96777777777777785</v>
      </c>
      <c r="O594">
        <v>36296522.25</v>
      </c>
      <c r="P594">
        <v>244619</v>
      </c>
      <c r="Q594">
        <v>2</v>
      </c>
      <c r="R594">
        <v>331</v>
      </c>
      <c r="S594">
        <v>11.574414613215643</v>
      </c>
      <c r="T594">
        <v>0.95061727364857995</v>
      </c>
      <c r="W594">
        <f t="shared" si="36"/>
        <v>243220</v>
      </c>
      <c r="X594">
        <f t="shared" si="37"/>
        <v>0.96833333373069763</v>
      </c>
      <c r="Y594">
        <f t="shared" si="38"/>
        <v>0.95061727364857995</v>
      </c>
      <c r="Z594">
        <f t="shared" si="39"/>
        <v>11.574414613215643</v>
      </c>
    </row>
    <row r="595" spans="1:26" hidden="1" x14ac:dyDescent="0.25">
      <c r="A595" t="s">
        <v>106</v>
      </c>
      <c r="B595">
        <v>5</v>
      </c>
      <c r="C595">
        <v>4</v>
      </c>
      <c r="D595">
        <v>0</v>
      </c>
      <c r="E595" t="s">
        <v>283</v>
      </c>
      <c r="F595">
        <v>243769</v>
      </c>
      <c r="G595">
        <v>467771022.5</v>
      </c>
      <c r="H595">
        <v>0.94388888776302338</v>
      </c>
      <c r="I595">
        <v>0.96</v>
      </c>
      <c r="J595">
        <v>34212918.25</v>
      </c>
      <c r="K595">
        <v>243220</v>
      </c>
      <c r="L595">
        <v>2</v>
      </c>
      <c r="M595">
        <v>330</v>
      </c>
      <c r="N595">
        <v>0.9588888888888889</v>
      </c>
      <c r="O595">
        <v>35514667.25</v>
      </c>
      <c r="P595">
        <v>244619</v>
      </c>
      <c r="Q595">
        <v>2</v>
      </c>
      <c r="R595">
        <v>331</v>
      </c>
      <c r="S595">
        <v>11.59904549024346</v>
      </c>
      <c r="T595">
        <v>0.95432096719741821</v>
      </c>
      <c r="W595">
        <f t="shared" si="36"/>
        <v>243220</v>
      </c>
      <c r="X595">
        <f t="shared" si="37"/>
        <v>0.94388888776302338</v>
      </c>
      <c r="Y595">
        <f t="shared" si="38"/>
        <v>0.95432096719741821</v>
      </c>
      <c r="Z595">
        <f t="shared" si="39"/>
        <v>11.59904549024346</v>
      </c>
    </row>
    <row r="596" spans="1:26" hidden="1" x14ac:dyDescent="0.25">
      <c r="A596" t="s">
        <v>106</v>
      </c>
      <c r="B596">
        <v>9</v>
      </c>
      <c r="C596">
        <v>2</v>
      </c>
      <c r="D596">
        <v>0</v>
      </c>
      <c r="E596" t="s">
        <v>272</v>
      </c>
      <c r="F596">
        <v>244413</v>
      </c>
      <c r="G596">
        <v>960648987.5</v>
      </c>
      <c r="H596">
        <v>0.87111109495162964</v>
      </c>
      <c r="I596">
        <v>0.95833333333333337</v>
      </c>
      <c r="J596">
        <v>33098659</v>
      </c>
      <c r="K596">
        <v>243220</v>
      </c>
      <c r="L596">
        <v>2</v>
      </c>
      <c r="M596">
        <v>330</v>
      </c>
      <c r="N596">
        <v>0.95333333333333337</v>
      </c>
      <c r="O596">
        <v>32898478.75</v>
      </c>
      <c r="P596">
        <v>244619</v>
      </c>
      <c r="Q596">
        <v>2</v>
      </c>
      <c r="R596">
        <v>331</v>
      </c>
      <c r="S596">
        <v>11.853749927941431</v>
      </c>
      <c r="T596">
        <v>0.88148148854573571</v>
      </c>
      <c r="W596">
        <f t="shared" si="36"/>
        <v>243220</v>
      </c>
      <c r="X596">
        <f t="shared" si="37"/>
        <v>0.87111109495162964</v>
      </c>
      <c r="Y596">
        <f t="shared" si="38"/>
        <v>0.88148148854573571</v>
      </c>
      <c r="Z596">
        <f t="shared" si="39"/>
        <v>11.853749927941431</v>
      </c>
    </row>
    <row r="597" spans="1:26" hidden="1" x14ac:dyDescent="0.25">
      <c r="A597" t="s">
        <v>106</v>
      </c>
      <c r="B597">
        <v>9</v>
      </c>
      <c r="C597">
        <v>3</v>
      </c>
      <c r="D597">
        <v>0</v>
      </c>
      <c r="E597" t="s">
        <v>289</v>
      </c>
      <c r="F597">
        <v>244053</v>
      </c>
      <c r="G597">
        <v>764995837.5</v>
      </c>
      <c r="H597">
        <v>0.9305555671453476</v>
      </c>
      <c r="I597">
        <v>0.96166666666666667</v>
      </c>
      <c r="J597">
        <v>33224272</v>
      </c>
      <c r="K597">
        <v>243220</v>
      </c>
      <c r="L597">
        <v>2</v>
      </c>
      <c r="M597">
        <v>330</v>
      </c>
      <c r="N597">
        <v>0.96444444444444444</v>
      </c>
      <c r="O597">
        <v>34799760.5</v>
      </c>
      <c r="P597">
        <v>244619</v>
      </c>
      <c r="Q597">
        <v>2</v>
      </c>
      <c r="R597">
        <v>331</v>
      </c>
      <c r="S597">
        <v>12.002555366269165</v>
      </c>
      <c r="T597">
        <v>0.93084936917622885</v>
      </c>
      <c r="W597">
        <f t="shared" si="36"/>
        <v>243220</v>
      </c>
      <c r="X597">
        <f t="shared" si="37"/>
        <v>0.9305555671453476</v>
      </c>
      <c r="Y597">
        <f t="shared" si="38"/>
        <v>0.93084936917622885</v>
      </c>
      <c r="Z597">
        <f t="shared" si="39"/>
        <v>12.002555366269165</v>
      </c>
    </row>
    <row r="598" spans="1:26" hidden="1" x14ac:dyDescent="0.25">
      <c r="A598" t="s">
        <v>106</v>
      </c>
      <c r="B598">
        <v>9</v>
      </c>
      <c r="C598">
        <v>4</v>
      </c>
      <c r="D598">
        <v>0</v>
      </c>
      <c r="E598" t="s">
        <v>274</v>
      </c>
      <c r="F598">
        <v>243497</v>
      </c>
      <c r="G598">
        <v>488524077.5714286</v>
      </c>
      <c r="H598">
        <v>0.90380953039441791</v>
      </c>
      <c r="I598">
        <v>0.96126984126984127</v>
      </c>
      <c r="J598">
        <v>33708443.285714284</v>
      </c>
      <c r="K598">
        <v>243220</v>
      </c>
      <c r="L598">
        <v>2</v>
      </c>
      <c r="M598">
        <v>330</v>
      </c>
      <c r="N598">
        <v>0.95714285714285718</v>
      </c>
      <c r="O598">
        <v>33815695.857142858</v>
      </c>
      <c r="P598">
        <v>244619</v>
      </c>
      <c r="Q598">
        <v>2</v>
      </c>
      <c r="R598">
        <v>331</v>
      </c>
      <c r="S598">
        <v>12.155591481770543</v>
      </c>
      <c r="T598">
        <v>0.91233333333333333</v>
      </c>
      <c r="W598">
        <f t="shared" si="36"/>
        <v>243220</v>
      </c>
      <c r="X598">
        <f t="shared" si="37"/>
        <v>0.90380953039441791</v>
      </c>
      <c r="Y598">
        <f t="shared" si="38"/>
        <v>0.91233333333333333</v>
      </c>
      <c r="Z598">
        <f t="shared" si="39"/>
        <v>12.155591481770543</v>
      </c>
    </row>
    <row r="599" spans="1:26" hidden="1" x14ac:dyDescent="0.25">
      <c r="A599" t="s">
        <v>106</v>
      </c>
      <c r="B599">
        <v>5</v>
      </c>
      <c r="C599">
        <v>3</v>
      </c>
      <c r="D599">
        <v>0</v>
      </c>
      <c r="E599" t="s">
        <v>261</v>
      </c>
      <c r="F599">
        <v>245759</v>
      </c>
      <c r="G599">
        <v>584434362.5</v>
      </c>
      <c r="H599">
        <v>0.97500000894069672</v>
      </c>
      <c r="I599">
        <v>0.96944444444444444</v>
      </c>
      <c r="J599">
        <v>35567642.5</v>
      </c>
      <c r="K599">
        <v>244619</v>
      </c>
      <c r="L599">
        <v>2</v>
      </c>
      <c r="M599">
        <v>331</v>
      </c>
      <c r="N599">
        <v>0.97</v>
      </c>
      <c r="O599">
        <v>36945933</v>
      </c>
      <c r="P599">
        <v>246022</v>
      </c>
      <c r="Q599">
        <v>2</v>
      </c>
      <c r="R599">
        <v>332</v>
      </c>
      <c r="S599">
        <v>11.575193038362544</v>
      </c>
      <c r="T599">
        <v>0.96296296517054236</v>
      </c>
      <c r="W599">
        <f t="shared" si="36"/>
        <v>244619</v>
      </c>
      <c r="X599">
        <f t="shared" si="37"/>
        <v>0.97500000894069672</v>
      </c>
      <c r="Y599">
        <f t="shared" si="38"/>
        <v>0.96296296517054236</v>
      </c>
      <c r="Z599">
        <f t="shared" si="39"/>
        <v>11.575193038362544</v>
      </c>
    </row>
    <row r="600" spans="1:26" hidden="1" x14ac:dyDescent="0.25">
      <c r="A600" t="s">
        <v>106</v>
      </c>
      <c r="B600">
        <v>5</v>
      </c>
      <c r="C600">
        <v>4</v>
      </c>
      <c r="D600">
        <v>0</v>
      </c>
      <c r="E600" t="s">
        <v>209</v>
      </c>
      <c r="F600">
        <v>245536</v>
      </c>
      <c r="G600">
        <v>483433008.25</v>
      </c>
      <c r="H600">
        <v>0.95722222328186035</v>
      </c>
      <c r="I600">
        <v>0.9588888888888889</v>
      </c>
      <c r="J600">
        <v>33886013.5</v>
      </c>
      <c r="K600">
        <v>244619</v>
      </c>
      <c r="L600">
        <v>2</v>
      </c>
      <c r="M600">
        <v>331</v>
      </c>
      <c r="N600">
        <v>0.95500000000000007</v>
      </c>
      <c r="O600">
        <v>34220488.75</v>
      </c>
      <c r="P600">
        <v>246022</v>
      </c>
      <c r="Q600">
        <v>2</v>
      </c>
      <c r="R600">
        <v>332</v>
      </c>
      <c r="S600">
        <v>11.599867125687021</v>
      </c>
      <c r="T600">
        <v>0.96419751644134521</v>
      </c>
      <c r="W600">
        <f t="shared" si="36"/>
        <v>244619</v>
      </c>
      <c r="X600">
        <f t="shared" si="37"/>
        <v>0.95722222328186035</v>
      </c>
      <c r="Y600">
        <f t="shared" si="38"/>
        <v>0.96419751644134521</v>
      </c>
      <c r="Z600">
        <f t="shared" si="39"/>
        <v>11.599867125687021</v>
      </c>
    </row>
    <row r="601" spans="1:26" hidden="1" x14ac:dyDescent="0.25">
      <c r="A601" t="s">
        <v>106</v>
      </c>
      <c r="B601">
        <v>5</v>
      </c>
      <c r="C601">
        <v>5</v>
      </c>
      <c r="D601">
        <v>0</v>
      </c>
      <c r="E601" t="s">
        <v>269</v>
      </c>
      <c r="F601">
        <v>245627</v>
      </c>
      <c r="G601">
        <v>691952092.5</v>
      </c>
      <c r="H601">
        <v>0.85333333909511566</v>
      </c>
      <c r="I601">
        <v>0.96500000000000008</v>
      </c>
      <c r="J601">
        <v>36827460.5</v>
      </c>
      <c r="K601">
        <v>244619</v>
      </c>
      <c r="L601">
        <v>2</v>
      </c>
      <c r="M601">
        <v>331</v>
      </c>
      <c r="N601">
        <v>0.96111111111111114</v>
      </c>
      <c r="O601">
        <v>36209590.5</v>
      </c>
      <c r="P601">
        <v>246022</v>
      </c>
      <c r="Q601">
        <v>2</v>
      </c>
      <c r="R601">
        <v>332</v>
      </c>
      <c r="S601">
        <v>11.6330242510699</v>
      </c>
      <c r="T601">
        <v>0.83580247561136878</v>
      </c>
      <c r="W601">
        <f t="shared" si="36"/>
        <v>244619</v>
      </c>
      <c r="X601">
        <f t="shared" si="37"/>
        <v>0.85333333909511566</v>
      </c>
      <c r="Y601">
        <f t="shared" si="38"/>
        <v>0.83580247561136878</v>
      </c>
      <c r="Z601">
        <f t="shared" si="39"/>
        <v>11.6330242510699</v>
      </c>
    </row>
    <row r="602" spans="1:26" hidden="1" x14ac:dyDescent="0.25">
      <c r="A602" t="s">
        <v>106</v>
      </c>
      <c r="B602">
        <v>9</v>
      </c>
      <c r="C602">
        <v>2</v>
      </c>
      <c r="D602">
        <v>0</v>
      </c>
      <c r="E602" t="s">
        <v>260</v>
      </c>
      <c r="F602">
        <v>245331</v>
      </c>
      <c r="G602">
        <v>1090285276.1428571</v>
      </c>
      <c r="H602">
        <v>0.8968253902026585</v>
      </c>
      <c r="I602">
        <v>0.96317460317460313</v>
      </c>
      <c r="J602">
        <v>33683307.142857142</v>
      </c>
      <c r="K602">
        <v>244619</v>
      </c>
      <c r="L602">
        <v>2</v>
      </c>
      <c r="M602">
        <v>331</v>
      </c>
      <c r="N602">
        <v>0.96031746031746035</v>
      </c>
      <c r="O602">
        <v>34739183</v>
      </c>
      <c r="P602">
        <v>246022</v>
      </c>
      <c r="Q602">
        <v>2</v>
      </c>
      <c r="R602">
        <v>332</v>
      </c>
      <c r="S602">
        <v>11.860723752449003</v>
      </c>
      <c r="T602">
        <v>0.89938271045684814</v>
      </c>
      <c r="W602">
        <f t="shared" si="36"/>
        <v>244619</v>
      </c>
      <c r="X602">
        <f t="shared" si="37"/>
        <v>0.8968253902026585</v>
      </c>
      <c r="Y602">
        <f t="shared" si="38"/>
        <v>0.89938271045684814</v>
      </c>
      <c r="Z602">
        <f t="shared" si="39"/>
        <v>11.860723752449003</v>
      </c>
    </row>
    <row r="603" spans="1:26" hidden="1" x14ac:dyDescent="0.25">
      <c r="A603" t="s">
        <v>106</v>
      </c>
      <c r="B603">
        <v>9</v>
      </c>
      <c r="C603">
        <v>5</v>
      </c>
      <c r="D603">
        <v>0</v>
      </c>
      <c r="E603" t="s">
        <v>116</v>
      </c>
      <c r="F603">
        <v>244624</v>
      </c>
      <c r="G603">
        <v>273525437.5</v>
      </c>
      <c r="H603">
        <v>0.91888889670372009</v>
      </c>
      <c r="I603">
        <v>0.95499999999999996</v>
      </c>
      <c r="J603">
        <v>33248914.5</v>
      </c>
      <c r="K603">
        <v>244619</v>
      </c>
      <c r="L603">
        <v>2</v>
      </c>
      <c r="M603">
        <v>331</v>
      </c>
      <c r="N603">
        <v>0.9572222222222222</v>
      </c>
      <c r="O603">
        <v>32901908.25</v>
      </c>
      <c r="P603">
        <v>246022</v>
      </c>
      <c r="Q603">
        <v>2</v>
      </c>
      <c r="R603">
        <v>332</v>
      </c>
      <c r="S603">
        <v>12.172389205792014</v>
      </c>
      <c r="T603">
        <v>0.93826666666666669</v>
      </c>
      <c r="W603">
        <f t="shared" si="36"/>
        <v>244619</v>
      </c>
      <c r="X603">
        <f t="shared" si="37"/>
        <v>0.91888889670372009</v>
      </c>
      <c r="Y603">
        <f t="shared" si="38"/>
        <v>0.93826666666666669</v>
      </c>
      <c r="Z603">
        <f t="shared" si="39"/>
        <v>12.172389205792014</v>
      </c>
    </row>
    <row r="604" spans="1:26" hidden="1" x14ac:dyDescent="0.25">
      <c r="A604" t="s">
        <v>106</v>
      </c>
      <c r="B604">
        <v>3</v>
      </c>
      <c r="C604">
        <v>4</v>
      </c>
      <c r="D604">
        <v>0</v>
      </c>
      <c r="E604" t="s">
        <v>142</v>
      </c>
      <c r="F604">
        <v>129954</v>
      </c>
      <c r="G604">
        <v>409625838.83333331</v>
      </c>
      <c r="H604">
        <v>0.95407407482465112</v>
      </c>
      <c r="I604">
        <v>0.96925925925925926</v>
      </c>
      <c r="J604">
        <v>34514641.333333336</v>
      </c>
      <c r="K604">
        <v>246022</v>
      </c>
      <c r="L604">
        <v>2</v>
      </c>
      <c r="M604">
        <v>332</v>
      </c>
      <c r="N604">
        <v>0.96407407407407408</v>
      </c>
      <c r="O604">
        <v>31530043</v>
      </c>
      <c r="P604">
        <v>247429</v>
      </c>
      <c r="Q604">
        <v>2</v>
      </c>
      <c r="R604">
        <v>333</v>
      </c>
      <c r="S604">
        <v>11.430384590854009</v>
      </c>
      <c r="T604">
        <v>0.97629629373550419</v>
      </c>
      <c r="W604">
        <f t="shared" si="36"/>
        <v>246022</v>
      </c>
      <c r="X604">
        <f t="shared" si="37"/>
        <v>0.95407407482465112</v>
      </c>
      <c r="Y604">
        <f t="shared" si="38"/>
        <v>0.97629629373550419</v>
      </c>
      <c r="Z604">
        <f t="shared" si="39"/>
        <v>11.430384590854009</v>
      </c>
    </row>
    <row r="605" spans="1:26" hidden="1" x14ac:dyDescent="0.25">
      <c r="A605" t="s">
        <v>106</v>
      </c>
      <c r="B605">
        <v>5</v>
      </c>
      <c r="C605">
        <v>4</v>
      </c>
      <c r="D605">
        <v>0</v>
      </c>
      <c r="E605" t="s">
        <v>271</v>
      </c>
      <c r="F605">
        <v>246883</v>
      </c>
      <c r="G605">
        <v>461603977.75</v>
      </c>
      <c r="H605">
        <v>0.95000000298023224</v>
      </c>
      <c r="I605">
        <v>0.9588888888888889</v>
      </c>
      <c r="J605">
        <v>34643545.5</v>
      </c>
      <c r="K605">
        <v>246022</v>
      </c>
      <c r="L605">
        <v>2</v>
      </c>
      <c r="M605">
        <v>332</v>
      </c>
      <c r="N605">
        <v>0.95500000000000007</v>
      </c>
      <c r="O605">
        <v>35183629</v>
      </c>
      <c r="P605">
        <v>247429</v>
      </c>
      <c r="Q605">
        <v>2</v>
      </c>
      <c r="R605">
        <v>333</v>
      </c>
      <c r="S605">
        <v>11.600265684439345</v>
      </c>
      <c r="T605">
        <v>0.96419751644134521</v>
      </c>
      <c r="W605">
        <f t="shared" si="36"/>
        <v>246022</v>
      </c>
      <c r="X605">
        <f t="shared" si="37"/>
        <v>0.95000000298023224</v>
      </c>
      <c r="Y605">
        <f t="shared" si="38"/>
        <v>0.96419751644134521</v>
      </c>
      <c r="Z605">
        <f t="shared" si="39"/>
        <v>11.600265684439345</v>
      </c>
    </row>
    <row r="606" spans="1:26" hidden="1" x14ac:dyDescent="0.25">
      <c r="A606" t="s">
        <v>106</v>
      </c>
      <c r="B606">
        <v>5</v>
      </c>
      <c r="C606">
        <v>5</v>
      </c>
      <c r="D606">
        <v>0</v>
      </c>
      <c r="E606" t="s">
        <v>288</v>
      </c>
      <c r="F606">
        <v>246535</v>
      </c>
      <c r="G606">
        <v>884810720</v>
      </c>
      <c r="H606">
        <v>0.90944443643093109</v>
      </c>
      <c r="I606">
        <v>0.95777777777777784</v>
      </c>
      <c r="J606">
        <v>39571160</v>
      </c>
      <c r="K606">
        <v>246022</v>
      </c>
      <c r="L606">
        <v>2</v>
      </c>
      <c r="M606">
        <v>332</v>
      </c>
      <c r="N606">
        <v>0.95777777777777784</v>
      </c>
      <c r="O606">
        <v>42526001.5</v>
      </c>
      <c r="P606">
        <v>247429</v>
      </c>
      <c r="Q606">
        <v>2</v>
      </c>
      <c r="R606">
        <v>333</v>
      </c>
      <c r="S606">
        <v>11.634121701925363</v>
      </c>
      <c r="T606">
        <v>0.91728395223617554</v>
      </c>
      <c r="W606">
        <f t="shared" si="36"/>
        <v>246022</v>
      </c>
      <c r="X606">
        <f t="shared" si="37"/>
        <v>0.90944443643093109</v>
      </c>
      <c r="Y606">
        <f t="shared" si="38"/>
        <v>0.91728395223617554</v>
      </c>
      <c r="Z606">
        <f t="shared" si="39"/>
        <v>11.634121701925363</v>
      </c>
    </row>
    <row r="607" spans="1:26" hidden="1" x14ac:dyDescent="0.25">
      <c r="A607" t="s">
        <v>106</v>
      </c>
      <c r="B607">
        <v>9</v>
      </c>
      <c r="C607">
        <v>3</v>
      </c>
      <c r="D607">
        <v>0</v>
      </c>
      <c r="E607" t="s">
        <v>223</v>
      </c>
      <c r="F607">
        <v>246564</v>
      </c>
      <c r="G607">
        <v>920499743.76923072</v>
      </c>
      <c r="H607">
        <v>0.91777777671813965</v>
      </c>
      <c r="I607">
        <v>0.96085470085470082</v>
      </c>
      <c r="J607">
        <v>34798896.538461536</v>
      </c>
      <c r="K607">
        <v>246022</v>
      </c>
      <c r="L607">
        <v>2</v>
      </c>
      <c r="M607">
        <v>332</v>
      </c>
      <c r="N607">
        <v>0.9605128205128205</v>
      </c>
      <c r="O607">
        <v>35245884.92307692</v>
      </c>
      <c r="P607">
        <v>247429</v>
      </c>
      <c r="Q607">
        <v>2</v>
      </c>
      <c r="R607">
        <v>333</v>
      </c>
      <c r="S607">
        <v>12.012767406230495</v>
      </c>
      <c r="T607">
        <v>0.92807900697390244</v>
      </c>
      <c r="W607">
        <f t="shared" si="36"/>
        <v>246022</v>
      </c>
      <c r="X607">
        <f t="shared" si="37"/>
        <v>0.91777777671813965</v>
      </c>
      <c r="Y607">
        <f t="shared" si="38"/>
        <v>0.92807900697390244</v>
      </c>
      <c r="Z607">
        <f t="shared" si="39"/>
        <v>12.012767406230495</v>
      </c>
    </row>
    <row r="608" spans="1:26" hidden="1" x14ac:dyDescent="0.25">
      <c r="A608" t="s">
        <v>106</v>
      </c>
      <c r="B608">
        <v>9</v>
      </c>
      <c r="C608">
        <v>4</v>
      </c>
      <c r="D608">
        <v>0</v>
      </c>
      <c r="E608" t="s">
        <v>185</v>
      </c>
      <c r="F608">
        <v>246350</v>
      </c>
      <c r="G608">
        <v>579053221.75</v>
      </c>
      <c r="H608">
        <v>0.9049999862909317</v>
      </c>
      <c r="I608">
        <v>0.95222222222222219</v>
      </c>
      <c r="J608">
        <v>36175110.5</v>
      </c>
      <c r="K608">
        <v>246022</v>
      </c>
      <c r="L608">
        <v>2</v>
      </c>
      <c r="M608">
        <v>332</v>
      </c>
      <c r="N608">
        <v>0.96166666666666667</v>
      </c>
      <c r="O608">
        <v>37368402.75</v>
      </c>
      <c r="P608">
        <v>247429</v>
      </c>
      <c r="Q608">
        <v>2</v>
      </c>
      <c r="R608">
        <v>333</v>
      </c>
      <c r="S608">
        <v>12.156225615873369</v>
      </c>
      <c r="T608">
        <v>0.91603333333333337</v>
      </c>
      <c r="W608">
        <f t="shared" si="36"/>
        <v>246022</v>
      </c>
      <c r="X608">
        <f t="shared" si="37"/>
        <v>0.9049999862909317</v>
      </c>
      <c r="Y608">
        <f t="shared" si="38"/>
        <v>0.91603333333333337</v>
      </c>
      <c r="Z608">
        <f t="shared" si="39"/>
        <v>12.156225615873369</v>
      </c>
    </row>
    <row r="609" spans="1:26" hidden="1" x14ac:dyDescent="0.25">
      <c r="A609" t="s">
        <v>106</v>
      </c>
      <c r="B609">
        <v>5</v>
      </c>
      <c r="C609">
        <v>4</v>
      </c>
      <c r="D609">
        <v>0</v>
      </c>
      <c r="E609" t="s">
        <v>134</v>
      </c>
      <c r="F609">
        <v>247810</v>
      </c>
      <c r="G609">
        <v>418387283.5</v>
      </c>
      <c r="H609">
        <v>0.9677777886390686</v>
      </c>
      <c r="I609">
        <v>0.96888888888888891</v>
      </c>
      <c r="J609">
        <v>34703019</v>
      </c>
      <c r="K609">
        <v>247429</v>
      </c>
      <c r="L609">
        <v>2</v>
      </c>
      <c r="M609">
        <v>333</v>
      </c>
      <c r="N609">
        <v>0.96388888888888891</v>
      </c>
      <c r="O609">
        <v>36831187</v>
      </c>
      <c r="P609">
        <v>248840</v>
      </c>
      <c r="Q609">
        <v>2</v>
      </c>
      <c r="R609">
        <v>334</v>
      </c>
      <c r="S609">
        <v>11.600724418955629</v>
      </c>
      <c r="T609">
        <v>0.95679012934366858</v>
      </c>
      <c r="W609">
        <f t="shared" si="36"/>
        <v>247429</v>
      </c>
      <c r="X609">
        <f t="shared" si="37"/>
        <v>0.9677777886390686</v>
      </c>
      <c r="Y609">
        <f t="shared" si="38"/>
        <v>0.95679012934366858</v>
      </c>
      <c r="Z609">
        <f t="shared" si="39"/>
        <v>11.600724418955629</v>
      </c>
    </row>
    <row r="610" spans="1:26" hidden="1" x14ac:dyDescent="0.25">
      <c r="A610" t="s">
        <v>106</v>
      </c>
      <c r="B610">
        <v>5</v>
      </c>
      <c r="C610">
        <v>5</v>
      </c>
      <c r="D610">
        <v>0</v>
      </c>
      <c r="E610" t="s">
        <v>157</v>
      </c>
      <c r="F610">
        <v>247646</v>
      </c>
      <c r="G610">
        <v>451737856.14285713</v>
      </c>
      <c r="H610">
        <v>0.90825396776199341</v>
      </c>
      <c r="I610">
        <v>0.96412698412698417</v>
      </c>
      <c r="J610">
        <v>29483074.142857142</v>
      </c>
      <c r="K610">
        <v>247429</v>
      </c>
      <c r="L610">
        <v>2</v>
      </c>
      <c r="M610">
        <v>333</v>
      </c>
      <c r="N610">
        <v>0.96476190476190482</v>
      </c>
      <c r="O610">
        <v>30634538.428571429</v>
      </c>
      <c r="P610">
        <v>248840</v>
      </c>
      <c r="Q610">
        <v>2</v>
      </c>
      <c r="R610">
        <v>334</v>
      </c>
      <c r="S610">
        <v>11.635699435699436</v>
      </c>
      <c r="T610">
        <v>0.91851851344108582</v>
      </c>
      <c r="W610">
        <f t="shared" si="36"/>
        <v>247429</v>
      </c>
      <c r="X610">
        <f t="shared" si="37"/>
        <v>0.90825396776199341</v>
      </c>
      <c r="Y610">
        <f t="shared" si="38"/>
        <v>0.91851851344108582</v>
      </c>
      <c r="Z610">
        <f t="shared" si="39"/>
        <v>11.635699435699436</v>
      </c>
    </row>
    <row r="611" spans="1:26" hidden="1" x14ac:dyDescent="0.25">
      <c r="A611" t="s">
        <v>106</v>
      </c>
      <c r="B611">
        <v>9</v>
      </c>
      <c r="C611">
        <v>3</v>
      </c>
      <c r="D611">
        <v>0</v>
      </c>
      <c r="E611" t="s">
        <v>276</v>
      </c>
      <c r="F611">
        <v>248635</v>
      </c>
      <c r="G611">
        <v>871773204</v>
      </c>
      <c r="H611">
        <v>0.92166666686534882</v>
      </c>
      <c r="I611">
        <v>0.97666666666666668</v>
      </c>
      <c r="J611">
        <v>35534898</v>
      </c>
      <c r="K611">
        <v>247429</v>
      </c>
      <c r="L611">
        <v>2</v>
      </c>
      <c r="M611">
        <v>333</v>
      </c>
      <c r="N611">
        <v>0.97499999999999998</v>
      </c>
      <c r="O611">
        <v>36090970.75</v>
      </c>
      <c r="P611">
        <v>248840</v>
      </c>
      <c r="Q611">
        <v>2</v>
      </c>
      <c r="R611">
        <v>334</v>
      </c>
      <c r="S611">
        <v>12.01537414194134</v>
      </c>
      <c r="T611">
        <v>0.92592593034108484</v>
      </c>
      <c r="W611">
        <f t="shared" si="36"/>
        <v>247429</v>
      </c>
      <c r="X611">
        <f t="shared" si="37"/>
        <v>0.92166666686534882</v>
      </c>
      <c r="Y611">
        <f t="shared" si="38"/>
        <v>0.92592593034108484</v>
      </c>
      <c r="Z611">
        <f t="shared" si="39"/>
        <v>12.01537414194134</v>
      </c>
    </row>
    <row r="612" spans="1:26" hidden="1" x14ac:dyDescent="0.25">
      <c r="A612" t="s">
        <v>106</v>
      </c>
      <c r="B612">
        <v>9</v>
      </c>
      <c r="C612">
        <v>4</v>
      </c>
      <c r="D612">
        <v>0</v>
      </c>
      <c r="E612" t="s">
        <v>263</v>
      </c>
      <c r="F612">
        <v>248703</v>
      </c>
      <c r="G612">
        <v>392110339</v>
      </c>
      <c r="H612">
        <v>0.90222222464425228</v>
      </c>
      <c r="I612">
        <v>0.96349206349206351</v>
      </c>
      <c r="J612">
        <v>33400767</v>
      </c>
      <c r="K612">
        <v>247429</v>
      </c>
      <c r="L612">
        <v>2</v>
      </c>
      <c r="M612">
        <v>333</v>
      </c>
      <c r="N612">
        <v>0.96380952380952378</v>
      </c>
      <c r="O612">
        <v>33757984.142857142</v>
      </c>
      <c r="P612">
        <v>248840</v>
      </c>
      <c r="Q612">
        <v>2</v>
      </c>
      <c r="R612">
        <v>334</v>
      </c>
      <c r="S612">
        <v>12.156164688840605</v>
      </c>
      <c r="T612">
        <v>0.91110000000000002</v>
      </c>
      <c r="W612">
        <f t="shared" si="36"/>
        <v>247429</v>
      </c>
      <c r="X612">
        <f t="shared" si="37"/>
        <v>0.90222222464425228</v>
      </c>
      <c r="Y612">
        <f t="shared" si="38"/>
        <v>0.91110000000000002</v>
      </c>
      <c r="Z612">
        <f t="shared" si="39"/>
        <v>12.156164688840605</v>
      </c>
    </row>
    <row r="613" spans="1:26" hidden="1" x14ac:dyDescent="0.25">
      <c r="A613" t="s">
        <v>106</v>
      </c>
      <c r="B613">
        <v>9</v>
      </c>
      <c r="C613">
        <v>5</v>
      </c>
      <c r="D613">
        <v>0</v>
      </c>
      <c r="E613" t="s">
        <v>147</v>
      </c>
      <c r="F613">
        <v>247434</v>
      </c>
      <c r="G613">
        <v>333900780.5</v>
      </c>
      <c r="H613">
        <v>0.89666666090488434</v>
      </c>
      <c r="I613">
        <v>0.9522222222222223</v>
      </c>
      <c r="J613">
        <v>34403534.5</v>
      </c>
      <c r="K613">
        <v>247429</v>
      </c>
      <c r="L613">
        <v>2</v>
      </c>
      <c r="M613">
        <v>333</v>
      </c>
      <c r="N613">
        <v>0.96111111111111103</v>
      </c>
      <c r="O613">
        <v>35606988.25</v>
      </c>
      <c r="P613">
        <v>248840</v>
      </c>
      <c r="Q613">
        <v>2</v>
      </c>
      <c r="R613">
        <v>334</v>
      </c>
      <c r="S613">
        <v>12.171803026979601</v>
      </c>
      <c r="T613">
        <v>0.90739999999999998</v>
      </c>
      <c r="W613">
        <f t="shared" si="36"/>
        <v>247429</v>
      </c>
      <c r="X613">
        <f t="shared" si="37"/>
        <v>0.89666666090488434</v>
      </c>
      <c r="Y613">
        <f t="shared" si="38"/>
        <v>0.90739999999999998</v>
      </c>
      <c r="Z613">
        <f t="shared" si="39"/>
        <v>12.171803026979601</v>
      </c>
    </row>
    <row r="614" spans="1:26" hidden="1" x14ac:dyDescent="0.25">
      <c r="A614" t="s">
        <v>106</v>
      </c>
      <c r="B614">
        <v>3</v>
      </c>
      <c r="C614">
        <v>4</v>
      </c>
      <c r="D614">
        <v>0</v>
      </c>
      <c r="E614" t="s">
        <v>143</v>
      </c>
      <c r="F614">
        <v>131436</v>
      </c>
      <c r="G614">
        <v>545514776.16666663</v>
      </c>
      <c r="H614">
        <v>0.95592593153317773</v>
      </c>
      <c r="I614">
        <v>0.96481481481481479</v>
      </c>
      <c r="J614">
        <v>33578461.333333336</v>
      </c>
      <c r="K614">
        <v>248840</v>
      </c>
      <c r="L614">
        <v>2</v>
      </c>
      <c r="M614">
        <v>334</v>
      </c>
      <c r="N614">
        <v>0.96185185185185185</v>
      </c>
      <c r="O614">
        <v>31529704.833333332</v>
      </c>
      <c r="P614">
        <v>250255</v>
      </c>
      <c r="Q614">
        <v>2</v>
      </c>
      <c r="R614">
        <v>335</v>
      </c>
      <c r="S614">
        <v>11.431877590054192</v>
      </c>
      <c r="T614">
        <v>0.96814815998077397</v>
      </c>
      <c r="W614">
        <f t="shared" si="36"/>
        <v>248840</v>
      </c>
      <c r="X614">
        <f t="shared" si="37"/>
        <v>0.95592593153317773</v>
      </c>
      <c r="Y614">
        <f t="shared" si="38"/>
        <v>0.96814815998077397</v>
      </c>
      <c r="Z614">
        <f t="shared" si="39"/>
        <v>11.431877590054192</v>
      </c>
    </row>
    <row r="615" spans="1:26" hidden="1" x14ac:dyDescent="0.25">
      <c r="A615" t="s">
        <v>106</v>
      </c>
      <c r="B615">
        <v>5</v>
      </c>
      <c r="C615">
        <v>4</v>
      </c>
      <c r="D615">
        <v>0</v>
      </c>
      <c r="E615" t="s">
        <v>290</v>
      </c>
      <c r="F615">
        <v>250197</v>
      </c>
      <c r="G615">
        <v>522866860</v>
      </c>
      <c r="H615">
        <v>0.95944444835186005</v>
      </c>
      <c r="I615">
        <v>0.96388888888888891</v>
      </c>
      <c r="J615">
        <v>36737007.75</v>
      </c>
      <c r="K615">
        <v>248840</v>
      </c>
      <c r="L615">
        <v>2</v>
      </c>
      <c r="M615">
        <v>334</v>
      </c>
      <c r="N615">
        <v>0.96888888888888891</v>
      </c>
      <c r="O615">
        <v>35959784.5</v>
      </c>
      <c r="P615">
        <v>250255</v>
      </c>
      <c r="Q615">
        <v>2</v>
      </c>
      <c r="R615">
        <v>335</v>
      </c>
      <c r="S615">
        <v>11.601001870963849</v>
      </c>
      <c r="T615">
        <v>0.95925925175348914</v>
      </c>
      <c r="W615">
        <f t="shared" si="36"/>
        <v>248840</v>
      </c>
      <c r="X615">
        <f t="shared" si="37"/>
        <v>0.95944444835186005</v>
      </c>
      <c r="Y615">
        <f t="shared" si="38"/>
        <v>0.95925925175348914</v>
      </c>
      <c r="Z615">
        <f t="shared" si="39"/>
        <v>11.601001870963849</v>
      </c>
    </row>
    <row r="616" spans="1:26" hidden="1" x14ac:dyDescent="0.25">
      <c r="A616" t="s">
        <v>106</v>
      </c>
      <c r="B616">
        <v>5</v>
      </c>
      <c r="C616">
        <v>5</v>
      </c>
      <c r="D616">
        <v>0</v>
      </c>
      <c r="E616" t="s">
        <v>222</v>
      </c>
      <c r="F616">
        <v>249754</v>
      </c>
      <c r="G616">
        <v>817628966.75</v>
      </c>
      <c r="H616">
        <v>0.89722223579883575</v>
      </c>
      <c r="I616">
        <v>0.97777777777777786</v>
      </c>
      <c r="J616">
        <v>36665008.5</v>
      </c>
      <c r="K616">
        <v>248840</v>
      </c>
      <c r="L616">
        <v>2</v>
      </c>
      <c r="M616">
        <v>334</v>
      </c>
      <c r="N616">
        <v>0.9655555555555555</v>
      </c>
      <c r="O616">
        <v>35921261</v>
      </c>
      <c r="P616">
        <v>250255</v>
      </c>
      <c r="Q616">
        <v>2</v>
      </c>
      <c r="R616">
        <v>335</v>
      </c>
      <c r="S616">
        <v>11.636973692024467</v>
      </c>
      <c r="T616">
        <v>0.89629135920206704</v>
      </c>
      <c r="W616">
        <f t="shared" si="36"/>
        <v>248840</v>
      </c>
      <c r="X616">
        <f t="shared" si="37"/>
        <v>0.89722223579883575</v>
      </c>
      <c r="Y616">
        <f t="shared" si="38"/>
        <v>0.89629135920206704</v>
      </c>
      <c r="Z616">
        <f t="shared" si="39"/>
        <v>11.636973692024467</v>
      </c>
    </row>
    <row r="617" spans="1:26" hidden="1" x14ac:dyDescent="0.25">
      <c r="A617" t="s">
        <v>106</v>
      </c>
      <c r="B617">
        <v>9</v>
      </c>
      <c r="C617">
        <v>2</v>
      </c>
      <c r="D617">
        <v>0</v>
      </c>
      <c r="E617" t="s">
        <v>226</v>
      </c>
      <c r="F617">
        <v>249770</v>
      </c>
      <c r="G617">
        <v>924834103.71428573</v>
      </c>
      <c r="H617">
        <v>0.87841270651136127</v>
      </c>
      <c r="I617">
        <v>0.9663492063492064</v>
      </c>
      <c r="J617">
        <v>34867176.857142858</v>
      </c>
      <c r="K617">
        <v>248840</v>
      </c>
      <c r="L617">
        <v>2</v>
      </c>
      <c r="M617">
        <v>334</v>
      </c>
      <c r="N617">
        <v>0.96412698412698417</v>
      </c>
      <c r="O617">
        <v>34043594</v>
      </c>
      <c r="P617">
        <v>250255</v>
      </c>
      <c r="Q617">
        <v>2</v>
      </c>
      <c r="R617">
        <v>335</v>
      </c>
      <c r="S617">
        <v>11.865445538851448</v>
      </c>
      <c r="T617">
        <v>0.89691357811292016</v>
      </c>
      <c r="W617">
        <f t="shared" si="36"/>
        <v>248840</v>
      </c>
      <c r="X617">
        <f t="shared" si="37"/>
        <v>0.87841270651136127</v>
      </c>
      <c r="Y617">
        <f t="shared" si="38"/>
        <v>0.89691357811292016</v>
      </c>
      <c r="Z617">
        <f t="shared" si="39"/>
        <v>11.865445538851448</v>
      </c>
    </row>
    <row r="618" spans="1:26" hidden="1" x14ac:dyDescent="0.25">
      <c r="A618" t="s">
        <v>106</v>
      </c>
      <c r="B618">
        <v>9</v>
      </c>
      <c r="C618">
        <v>4</v>
      </c>
      <c r="D618">
        <v>0</v>
      </c>
      <c r="E618" t="s">
        <v>281</v>
      </c>
      <c r="F618">
        <v>250149</v>
      </c>
      <c r="G618">
        <v>396756548.5</v>
      </c>
      <c r="H618">
        <v>0.90944445133209229</v>
      </c>
      <c r="I618">
        <v>0.9655555555555555</v>
      </c>
      <c r="J618">
        <v>33558673.75</v>
      </c>
      <c r="K618">
        <v>248840</v>
      </c>
      <c r="L618">
        <v>2</v>
      </c>
      <c r="M618">
        <v>334</v>
      </c>
      <c r="N618">
        <v>0.96777777777777785</v>
      </c>
      <c r="O618">
        <v>33005856.25</v>
      </c>
      <c r="P618">
        <v>250255</v>
      </c>
      <c r="Q618">
        <v>2</v>
      </c>
      <c r="R618">
        <v>335</v>
      </c>
      <c r="S618">
        <v>12.156074193728069</v>
      </c>
      <c r="T618">
        <v>0.93330000000000002</v>
      </c>
      <c r="W618">
        <f t="shared" si="36"/>
        <v>248840</v>
      </c>
      <c r="X618">
        <f t="shared" si="37"/>
        <v>0.90944445133209229</v>
      </c>
      <c r="Y618">
        <f t="shared" si="38"/>
        <v>0.93330000000000002</v>
      </c>
      <c r="Z618">
        <f t="shared" si="39"/>
        <v>12.156074193728069</v>
      </c>
    </row>
    <row r="619" spans="1:26" hidden="1" x14ac:dyDescent="0.25">
      <c r="A619" t="s">
        <v>106</v>
      </c>
      <c r="B619">
        <v>5</v>
      </c>
      <c r="C619">
        <v>3</v>
      </c>
      <c r="D619">
        <v>0</v>
      </c>
      <c r="E619" t="s">
        <v>227</v>
      </c>
      <c r="F619">
        <v>251404</v>
      </c>
      <c r="G619">
        <v>591279106.84615386</v>
      </c>
      <c r="H619">
        <v>0.97196581730475795</v>
      </c>
      <c r="I619">
        <v>0.96974358974358976</v>
      </c>
      <c r="J619">
        <v>35895815.92307692</v>
      </c>
      <c r="K619">
        <v>250255</v>
      </c>
      <c r="L619">
        <v>2</v>
      </c>
      <c r="M619">
        <v>335</v>
      </c>
      <c r="N619">
        <v>0.96649572649572646</v>
      </c>
      <c r="O619">
        <v>35068918.153846152</v>
      </c>
      <c r="P619">
        <v>251674</v>
      </c>
      <c r="Q619">
        <v>2</v>
      </c>
      <c r="R619">
        <v>336</v>
      </c>
      <c r="S619">
        <v>11.577980527830507</v>
      </c>
      <c r="T619">
        <v>0.9635802457729975</v>
      </c>
      <c r="W619">
        <f t="shared" si="36"/>
        <v>250255</v>
      </c>
      <c r="X619">
        <f t="shared" si="37"/>
        <v>0.97196581730475795</v>
      </c>
      <c r="Y619">
        <f t="shared" si="38"/>
        <v>0.9635802457729975</v>
      </c>
      <c r="Z619">
        <f t="shared" si="39"/>
        <v>11.577980527830507</v>
      </c>
    </row>
    <row r="620" spans="1:26" hidden="1" x14ac:dyDescent="0.25">
      <c r="A620" t="s">
        <v>106</v>
      </c>
      <c r="B620">
        <v>9</v>
      </c>
      <c r="C620">
        <v>2</v>
      </c>
      <c r="D620">
        <v>0</v>
      </c>
      <c r="E620" t="s">
        <v>278</v>
      </c>
      <c r="F620">
        <v>250989</v>
      </c>
      <c r="G620">
        <v>1056113462.75</v>
      </c>
      <c r="H620">
        <v>0.89444446563720703</v>
      </c>
      <c r="I620">
        <v>0.95833333333333326</v>
      </c>
      <c r="J620">
        <v>34578853.25</v>
      </c>
      <c r="K620">
        <v>250255</v>
      </c>
      <c r="L620">
        <v>2</v>
      </c>
      <c r="M620">
        <v>335</v>
      </c>
      <c r="N620">
        <v>0.95944444444444443</v>
      </c>
      <c r="O620">
        <v>34229052.75</v>
      </c>
      <c r="P620">
        <v>251674</v>
      </c>
      <c r="Q620">
        <v>2</v>
      </c>
      <c r="R620">
        <v>336</v>
      </c>
      <c r="S620">
        <v>11.86996832709473</v>
      </c>
      <c r="T620">
        <v>0.90987656513849891</v>
      </c>
      <c r="W620">
        <f t="shared" si="36"/>
        <v>250255</v>
      </c>
      <c r="X620">
        <f t="shared" si="37"/>
        <v>0.89444446563720703</v>
      </c>
      <c r="Y620">
        <f t="shared" si="38"/>
        <v>0.90987656513849891</v>
      </c>
      <c r="Z620">
        <f t="shared" si="39"/>
        <v>11.86996832709473</v>
      </c>
    </row>
    <row r="621" spans="1:26" hidden="1" x14ac:dyDescent="0.25">
      <c r="A621" t="s">
        <v>106</v>
      </c>
      <c r="B621">
        <v>9</v>
      </c>
      <c r="C621">
        <v>3</v>
      </c>
      <c r="D621">
        <v>0</v>
      </c>
      <c r="E621" t="s">
        <v>265</v>
      </c>
      <c r="F621">
        <v>251457</v>
      </c>
      <c r="G621">
        <v>916115770.75</v>
      </c>
      <c r="H621">
        <v>0.90833333134651184</v>
      </c>
      <c r="I621">
        <v>0.96055555555555561</v>
      </c>
      <c r="J621">
        <v>35462717.25</v>
      </c>
      <c r="K621">
        <v>250255</v>
      </c>
      <c r="L621">
        <v>2</v>
      </c>
      <c r="M621">
        <v>335</v>
      </c>
      <c r="N621">
        <v>0.96388888888888891</v>
      </c>
      <c r="O621">
        <v>36942880.75</v>
      </c>
      <c r="P621">
        <v>251674</v>
      </c>
      <c r="Q621">
        <v>2</v>
      </c>
      <c r="R621">
        <v>336</v>
      </c>
      <c r="S621">
        <v>12.018376722817765</v>
      </c>
      <c r="T621">
        <v>0.9308641950289408</v>
      </c>
      <c r="W621">
        <f t="shared" si="36"/>
        <v>250255</v>
      </c>
      <c r="X621">
        <f t="shared" si="37"/>
        <v>0.90833333134651184</v>
      </c>
      <c r="Y621">
        <f t="shared" si="38"/>
        <v>0.9308641950289408</v>
      </c>
      <c r="Z621">
        <f t="shared" si="39"/>
        <v>12.018376722817765</v>
      </c>
    </row>
    <row r="622" spans="1:26" hidden="1" x14ac:dyDescent="0.25">
      <c r="A622" t="s">
        <v>106</v>
      </c>
      <c r="B622">
        <v>3</v>
      </c>
      <c r="C622">
        <v>4</v>
      </c>
      <c r="D622">
        <v>0</v>
      </c>
      <c r="E622" t="s">
        <v>144</v>
      </c>
      <c r="F622">
        <v>132918</v>
      </c>
      <c r="G622">
        <v>427921542.5</v>
      </c>
      <c r="H622">
        <v>0.96000000834465027</v>
      </c>
      <c r="I622">
        <v>0.9588888888888889</v>
      </c>
      <c r="J622">
        <v>34536474.5</v>
      </c>
      <c r="K622">
        <v>251674</v>
      </c>
      <c r="L622">
        <v>2</v>
      </c>
      <c r="M622">
        <v>336</v>
      </c>
      <c r="N622">
        <v>0.96185185185185185</v>
      </c>
      <c r="O622">
        <v>34632187.833333336</v>
      </c>
      <c r="P622">
        <v>253097</v>
      </c>
      <c r="Q622">
        <v>2</v>
      </c>
      <c r="R622">
        <v>337</v>
      </c>
      <c r="S622">
        <v>11.432222293034224</v>
      </c>
      <c r="T622">
        <v>0.96814814805984495</v>
      </c>
      <c r="W622">
        <f t="shared" si="36"/>
        <v>251674</v>
      </c>
      <c r="X622">
        <f t="shared" si="37"/>
        <v>0.96000000834465027</v>
      </c>
      <c r="Y622">
        <f t="shared" si="38"/>
        <v>0.96814814805984495</v>
      </c>
      <c r="Z622">
        <f t="shared" si="39"/>
        <v>11.432222293034224</v>
      </c>
    </row>
    <row r="623" spans="1:26" hidden="1" x14ac:dyDescent="0.25">
      <c r="A623" t="s">
        <v>106</v>
      </c>
      <c r="B623">
        <v>5</v>
      </c>
      <c r="C623">
        <v>3</v>
      </c>
      <c r="D623">
        <v>0</v>
      </c>
      <c r="E623" t="s">
        <v>268</v>
      </c>
      <c r="F623">
        <v>252709</v>
      </c>
      <c r="G623">
        <v>702369533.5</v>
      </c>
      <c r="H623">
        <v>0.97111110389232635</v>
      </c>
      <c r="I623">
        <v>0.96888888888888891</v>
      </c>
      <c r="J623">
        <v>34832458.25</v>
      </c>
      <c r="K623">
        <v>251674</v>
      </c>
      <c r="L623">
        <v>2</v>
      </c>
      <c r="M623">
        <v>336</v>
      </c>
      <c r="N623">
        <v>0.96444444444444444</v>
      </c>
      <c r="O623">
        <v>35974635.75</v>
      </c>
      <c r="P623">
        <v>253097</v>
      </c>
      <c r="Q623">
        <v>2</v>
      </c>
      <c r="R623">
        <v>337</v>
      </c>
      <c r="S623">
        <v>11.579185797367616</v>
      </c>
      <c r="T623">
        <v>0.96296296517054236</v>
      </c>
      <c r="W623">
        <f t="shared" si="36"/>
        <v>251674</v>
      </c>
      <c r="X623">
        <f t="shared" si="37"/>
        <v>0.97111110389232635</v>
      </c>
      <c r="Y623">
        <f t="shared" si="38"/>
        <v>0.96296296517054236</v>
      </c>
      <c r="Z623">
        <f t="shared" si="39"/>
        <v>11.579185797367616</v>
      </c>
    </row>
    <row r="624" spans="1:26" hidden="1" x14ac:dyDescent="0.25">
      <c r="A624" t="s">
        <v>106</v>
      </c>
      <c r="B624">
        <v>5</v>
      </c>
      <c r="C624">
        <v>4</v>
      </c>
      <c r="D624">
        <v>0</v>
      </c>
      <c r="E624" t="s">
        <v>224</v>
      </c>
      <c r="F624">
        <v>252174</v>
      </c>
      <c r="G624">
        <v>592486233.75</v>
      </c>
      <c r="H624">
        <v>0.94277778267860413</v>
      </c>
      <c r="I624">
        <v>0.96055555555555561</v>
      </c>
      <c r="J624">
        <v>36695698.5</v>
      </c>
      <c r="K624">
        <v>251674</v>
      </c>
      <c r="L624">
        <v>2</v>
      </c>
      <c r="M624">
        <v>336</v>
      </c>
      <c r="N624">
        <v>0.95833333333333326</v>
      </c>
      <c r="O624">
        <v>35616457.5</v>
      </c>
      <c r="P624">
        <v>253097</v>
      </c>
      <c r="Q624">
        <v>2</v>
      </c>
      <c r="R624">
        <v>337</v>
      </c>
      <c r="S624">
        <v>11.602063597417485</v>
      </c>
      <c r="T624">
        <v>0.9308641950289408</v>
      </c>
      <c r="W624">
        <f t="shared" si="36"/>
        <v>251674</v>
      </c>
      <c r="X624">
        <f t="shared" si="37"/>
        <v>0.94277778267860413</v>
      </c>
      <c r="Y624">
        <f t="shared" si="38"/>
        <v>0.9308641950289408</v>
      </c>
      <c r="Z624">
        <f t="shared" si="39"/>
        <v>11.602063597417485</v>
      </c>
    </row>
    <row r="625" spans="1:26" hidden="1" x14ac:dyDescent="0.25">
      <c r="A625" t="s">
        <v>106</v>
      </c>
      <c r="B625">
        <v>5</v>
      </c>
      <c r="C625">
        <v>5</v>
      </c>
      <c r="D625">
        <v>0</v>
      </c>
      <c r="E625" t="s">
        <v>275</v>
      </c>
      <c r="F625">
        <v>252493</v>
      </c>
      <c r="G625">
        <v>617617519.57142854</v>
      </c>
      <c r="H625">
        <v>0.90412698473249165</v>
      </c>
      <c r="I625">
        <v>0.95714285714285718</v>
      </c>
      <c r="J625">
        <v>31462987.285714287</v>
      </c>
      <c r="K625">
        <v>251674</v>
      </c>
      <c r="L625">
        <v>2</v>
      </c>
      <c r="M625">
        <v>336</v>
      </c>
      <c r="N625">
        <v>0.95873015873015877</v>
      </c>
      <c r="O625">
        <v>29918075.428571429</v>
      </c>
      <c r="P625">
        <v>253097</v>
      </c>
      <c r="Q625">
        <v>2</v>
      </c>
      <c r="R625">
        <v>337</v>
      </c>
      <c r="S625">
        <v>11.639617713403775</v>
      </c>
      <c r="T625">
        <v>0.92037037809689837</v>
      </c>
      <c r="W625">
        <f t="shared" si="36"/>
        <v>251674</v>
      </c>
      <c r="X625">
        <f t="shared" si="37"/>
        <v>0.90412698473249165</v>
      </c>
      <c r="Y625">
        <f t="shared" si="38"/>
        <v>0.92037037809689837</v>
      </c>
      <c r="Z625">
        <f t="shared" si="39"/>
        <v>11.639617713403775</v>
      </c>
    </row>
    <row r="626" spans="1:26" hidden="1" x14ac:dyDescent="0.25">
      <c r="A626" t="s">
        <v>106</v>
      </c>
      <c r="B626">
        <v>9</v>
      </c>
      <c r="C626">
        <v>2</v>
      </c>
      <c r="D626">
        <v>0</v>
      </c>
      <c r="E626" t="s">
        <v>144</v>
      </c>
      <c r="F626">
        <v>252366</v>
      </c>
      <c r="G626">
        <v>1111793235.75</v>
      </c>
      <c r="H626">
        <v>0.89555557072162628</v>
      </c>
      <c r="I626">
        <v>0.96166666666666667</v>
      </c>
      <c r="J626">
        <v>34063209.75</v>
      </c>
      <c r="K626">
        <v>251674</v>
      </c>
      <c r="L626">
        <v>2</v>
      </c>
      <c r="M626">
        <v>336</v>
      </c>
      <c r="N626">
        <v>0.96333333333333337</v>
      </c>
      <c r="O626">
        <v>34475310.25</v>
      </c>
      <c r="P626">
        <v>253097</v>
      </c>
      <c r="Q626">
        <v>2</v>
      </c>
      <c r="R626">
        <v>337</v>
      </c>
      <c r="S626">
        <v>11.873682998445506</v>
      </c>
      <c r="T626">
        <v>0.90123456716537476</v>
      </c>
      <c r="W626">
        <f t="shared" si="36"/>
        <v>251674</v>
      </c>
      <c r="X626">
        <f t="shared" si="37"/>
        <v>0.89555557072162628</v>
      </c>
      <c r="Y626">
        <f t="shared" si="38"/>
        <v>0.90123456716537476</v>
      </c>
      <c r="Z626">
        <f t="shared" si="39"/>
        <v>11.873682998445506</v>
      </c>
    </row>
    <row r="627" spans="1:26" hidden="1" x14ac:dyDescent="0.25">
      <c r="A627" t="s">
        <v>106</v>
      </c>
      <c r="B627">
        <v>9</v>
      </c>
      <c r="C627">
        <v>3</v>
      </c>
      <c r="D627">
        <v>0</v>
      </c>
      <c r="E627" t="s">
        <v>239</v>
      </c>
      <c r="F627">
        <v>253078</v>
      </c>
      <c r="G627">
        <v>949190553</v>
      </c>
      <c r="H627">
        <v>0.92412698268890381</v>
      </c>
      <c r="I627">
        <v>0.96190476190476193</v>
      </c>
      <c r="J627">
        <v>34227702.714285716</v>
      </c>
      <c r="K627">
        <v>251674</v>
      </c>
      <c r="L627">
        <v>2</v>
      </c>
      <c r="M627">
        <v>336</v>
      </c>
      <c r="N627">
        <v>0.96190476190476193</v>
      </c>
      <c r="O627">
        <v>34354918</v>
      </c>
      <c r="P627">
        <v>253097</v>
      </c>
      <c r="Q627">
        <v>2</v>
      </c>
      <c r="R627">
        <v>337</v>
      </c>
      <c r="S627">
        <v>12.024889443247535</v>
      </c>
      <c r="T627">
        <v>0.93332716218630474</v>
      </c>
      <c r="W627">
        <f t="shared" si="36"/>
        <v>251674</v>
      </c>
      <c r="X627">
        <f t="shared" si="37"/>
        <v>0.92412698268890381</v>
      </c>
      <c r="Y627">
        <f t="shared" si="38"/>
        <v>0.93332716218630474</v>
      </c>
      <c r="Z627">
        <f t="shared" si="39"/>
        <v>12.024889443247535</v>
      </c>
    </row>
    <row r="628" spans="1:26" hidden="1" x14ac:dyDescent="0.25">
      <c r="A628" t="s">
        <v>106</v>
      </c>
      <c r="B628">
        <v>5</v>
      </c>
      <c r="C628">
        <v>4</v>
      </c>
      <c r="D628">
        <v>0</v>
      </c>
      <c r="E628" t="s">
        <v>277</v>
      </c>
      <c r="F628">
        <v>253731</v>
      </c>
      <c r="G628">
        <v>519056087.5</v>
      </c>
      <c r="H628">
        <v>0.9349999874830246</v>
      </c>
      <c r="I628">
        <v>0.96055555555555561</v>
      </c>
      <c r="J628">
        <v>34630102.25</v>
      </c>
      <c r="K628">
        <v>253097</v>
      </c>
      <c r="L628">
        <v>2</v>
      </c>
      <c r="M628">
        <v>337</v>
      </c>
      <c r="N628">
        <v>0.95833333333333326</v>
      </c>
      <c r="O628">
        <v>35013005.25</v>
      </c>
      <c r="P628">
        <v>254524</v>
      </c>
      <c r="Q628">
        <v>2</v>
      </c>
      <c r="R628">
        <v>338</v>
      </c>
      <c r="S628">
        <v>11.602461241479158</v>
      </c>
      <c r="T628">
        <v>0.94567898909250891</v>
      </c>
      <c r="W628">
        <f t="shared" si="36"/>
        <v>253097</v>
      </c>
      <c r="X628">
        <f t="shared" si="37"/>
        <v>0.9349999874830246</v>
      </c>
      <c r="Y628">
        <f t="shared" si="38"/>
        <v>0.94567898909250891</v>
      </c>
      <c r="Z628">
        <f t="shared" si="39"/>
        <v>11.602461241479158</v>
      </c>
    </row>
    <row r="629" spans="1:26" hidden="1" x14ac:dyDescent="0.25">
      <c r="A629" t="s">
        <v>106</v>
      </c>
      <c r="B629">
        <v>9</v>
      </c>
      <c r="C629">
        <v>4</v>
      </c>
      <c r="D629">
        <v>0</v>
      </c>
      <c r="E629" t="s">
        <v>205</v>
      </c>
      <c r="F629">
        <v>253252</v>
      </c>
      <c r="G629">
        <v>514170769.75</v>
      </c>
      <c r="H629">
        <v>0.8866666704416275</v>
      </c>
      <c r="I629">
        <v>0.95166666666666666</v>
      </c>
      <c r="J629">
        <v>34748070.75</v>
      </c>
      <c r="K629">
        <v>253097</v>
      </c>
      <c r="L629">
        <v>2</v>
      </c>
      <c r="M629">
        <v>337</v>
      </c>
      <c r="N629">
        <v>0.95777777777777773</v>
      </c>
      <c r="O629">
        <v>36338266.25</v>
      </c>
      <c r="P629">
        <v>254524</v>
      </c>
      <c r="Q629">
        <v>2</v>
      </c>
      <c r="R629">
        <v>338</v>
      </c>
      <c r="S629">
        <v>12.156484936236565</v>
      </c>
      <c r="T629">
        <v>0.89876666666666671</v>
      </c>
      <c r="W629">
        <f t="shared" si="36"/>
        <v>253097</v>
      </c>
      <c r="X629">
        <f t="shared" si="37"/>
        <v>0.8866666704416275</v>
      </c>
      <c r="Y629">
        <f t="shared" si="38"/>
        <v>0.89876666666666671</v>
      </c>
      <c r="Z629">
        <f t="shared" si="39"/>
        <v>12.156484936236565</v>
      </c>
    </row>
    <row r="630" spans="1:26" hidden="1" x14ac:dyDescent="0.25">
      <c r="A630" t="s">
        <v>106</v>
      </c>
      <c r="B630">
        <v>3</v>
      </c>
      <c r="C630">
        <v>4</v>
      </c>
      <c r="D630">
        <v>0</v>
      </c>
      <c r="E630" t="s">
        <v>145</v>
      </c>
      <c r="F630">
        <v>134400</v>
      </c>
      <c r="G630">
        <v>478428769.16666669</v>
      </c>
      <c r="H630">
        <v>0.95777777830759681</v>
      </c>
      <c r="I630">
        <v>0.96333333333333337</v>
      </c>
      <c r="J630">
        <v>33563518.666666664</v>
      </c>
      <c r="K630">
        <v>254524</v>
      </c>
      <c r="L630">
        <v>2</v>
      </c>
      <c r="M630">
        <v>338</v>
      </c>
      <c r="N630">
        <v>0.96296296296296291</v>
      </c>
      <c r="O630">
        <v>31991002</v>
      </c>
      <c r="P630">
        <v>255955</v>
      </c>
      <c r="Q630">
        <v>2</v>
      </c>
      <c r="R630">
        <v>339</v>
      </c>
      <c r="S630">
        <v>11.432694145378099</v>
      </c>
      <c r="T630">
        <v>0.97037037611007693</v>
      </c>
      <c r="W630">
        <f t="shared" si="36"/>
        <v>254524</v>
      </c>
      <c r="X630">
        <f t="shared" si="37"/>
        <v>0.95777777830759681</v>
      </c>
      <c r="Y630">
        <f t="shared" si="38"/>
        <v>0.97037037611007693</v>
      </c>
      <c r="Z630">
        <f t="shared" si="39"/>
        <v>11.432694145378099</v>
      </c>
    </row>
    <row r="631" spans="1:26" hidden="1" x14ac:dyDescent="0.25">
      <c r="A631" t="s">
        <v>106</v>
      </c>
      <c r="B631">
        <v>5</v>
      </c>
      <c r="C631">
        <v>4</v>
      </c>
      <c r="D631">
        <v>0</v>
      </c>
      <c r="E631" t="s">
        <v>259</v>
      </c>
      <c r="F631">
        <v>255585</v>
      </c>
      <c r="G631">
        <v>445921143</v>
      </c>
      <c r="H631">
        <v>0.92222222685813904</v>
      </c>
      <c r="I631">
        <v>0.95833333333333326</v>
      </c>
      <c r="J631">
        <v>34917794.5</v>
      </c>
      <c r="K631">
        <v>254524</v>
      </c>
      <c r="L631">
        <v>2</v>
      </c>
      <c r="M631">
        <v>338</v>
      </c>
      <c r="N631">
        <v>0.95611111111111113</v>
      </c>
      <c r="O631">
        <v>35350664.75</v>
      </c>
      <c r="P631">
        <v>255955</v>
      </c>
      <c r="Q631">
        <v>2</v>
      </c>
      <c r="R631">
        <v>339</v>
      </c>
      <c r="S631">
        <v>11.602557143718714</v>
      </c>
      <c r="T631">
        <v>0.95308641592661536</v>
      </c>
      <c r="W631">
        <f t="shared" si="36"/>
        <v>254524</v>
      </c>
      <c r="X631">
        <f t="shared" si="37"/>
        <v>0.92222222685813904</v>
      </c>
      <c r="Y631">
        <f t="shared" si="38"/>
        <v>0.95308641592661536</v>
      </c>
      <c r="Z631">
        <f t="shared" si="39"/>
        <v>11.602557143718714</v>
      </c>
    </row>
    <row r="632" spans="1:26" hidden="1" x14ac:dyDescent="0.25">
      <c r="A632" t="s">
        <v>106</v>
      </c>
      <c r="B632">
        <v>5</v>
      </c>
      <c r="C632">
        <v>5</v>
      </c>
      <c r="D632">
        <v>0</v>
      </c>
      <c r="E632" t="s">
        <v>186</v>
      </c>
      <c r="F632">
        <v>254752</v>
      </c>
      <c r="G632">
        <v>826004298.5</v>
      </c>
      <c r="H632">
        <v>0.89722222089767456</v>
      </c>
      <c r="I632">
        <v>0.96777777777777774</v>
      </c>
      <c r="J632">
        <v>35881815</v>
      </c>
      <c r="K632">
        <v>254524</v>
      </c>
      <c r="L632">
        <v>2</v>
      </c>
      <c r="M632">
        <v>338</v>
      </c>
      <c r="N632">
        <v>0.96388888888888891</v>
      </c>
      <c r="O632">
        <v>36934513.5</v>
      </c>
      <c r="P632">
        <v>255955</v>
      </c>
      <c r="Q632">
        <v>2</v>
      </c>
      <c r="R632">
        <v>339</v>
      </c>
      <c r="S632">
        <v>11.641483679525223</v>
      </c>
      <c r="T632">
        <v>0.91604936122894287</v>
      </c>
      <c r="W632">
        <f t="shared" si="36"/>
        <v>254524</v>
      </c>
      <c r="X632">
        <f t="shared" si="37"/>
        <v>0.89722222089767456</v>
      </c>
      <c r="Y632">
        <f t="shared" si="38"/>
        <v>0.91604936122894287</v>
      </c>
      <c r="Z632">
        <f t="shared" si="39"/>
        <v>11.641483679525223</v>
      </c>
    </row>
    <row r="633" spans="1:26" hidden="1" x14ac:dyDescent="0.25">
      <c r="A633" t="s">
        <v>106</v>
      </c>
      <c r="B633">
        <v>9</v>
      </c>
      <c r="C633">
        <v>3</v>
      </c>
      <c r="D633">
        <v>0</v>
      </c>
      <c r="E633" t="s">
        <v>283</v>
      </c>
      <c r="F633">
        <v>255369</v>
      </c>
      <c r="G633">
        <v>877384280.20000005</v>
      </c>
      <c r="H633">
        <v>0.90355556607246401</v>
      </c>
      <c r="I633">
        <v>0.96399999999999997</v>
      </c>
      <c r="J633">
        <v>36375707.899999999</v>
      </c>
      <c r="K633">
        <v>254524</v>
      </c>
      <c r="L633">
        <v>2</v>
      </c>
      <c r="M633">
        <v>338</v>
      </c>
      <c r="N633">
        <v>0.96466666666666667</v>
      </c>
      <c r="O633">
        <v>35849475.899999999</v>
      </c>
      <c r="P633">
        <v>255955</v>
      </c>
      <c r="Q633">
        <v>2</v>
      </c>
      <c r="R633">
        <v>339</v>
      </c>
      <c r="S633">
        <v>12.032071622846782</v>
      </c>
      <c r="T633">
        <v>0.9102897087944879</v>
      </c>
      <c r="W633">
        <f t="shared" si="36"/>
        <v>254524</v>
      </c>
      <c r="X633">
        <f t="shared" si="37"/>
        <v>0.90355556607246401</v>
      </c>
      <c r="Y633">
        <f t="shared" si="38"/>
        <v>0.9102897087944879</v>
      </c>
      <c r="Z633">
        <f t="shared" si="39"/>
        <v>12.032071622846782</v>
      </c>
    </row>
    <row r="634" spans="1:26" hidden="1" x14ac:dyDescent="0.25">
      <c r="A634" t="s">
        <v>106</v>
      </c>
      <c r="B634">
        <v>9</v>
      </c>
      <c r="C634">
        <v>4</v>
      </c>
      <c r="D634">
        <v>0</v>
      </c>
      <c r="E634" t="s">
        <v>269</v>
      </c>
      <c r="F634">
        <v>255855</v>
      </c>
      <c r="G634">
        <v>515920760.25</v>
      </c>
      <c r="H634">
        <v>0.90277779102325439</v>
      </c>
      <c r="I634">
        <v>0.95611111111111113</v>
      </c>
      <c r="J634">
        <v>34494624.5</v>
      </c>
      <c r="K634">
        <v>254524</v>
      </c>
      <c r="L634">
        <v>2</v>
      </c>
      <c r="M634">
        <v>338</v>
      </c>
      <c r="N634">
        <v>0.96777777777777774</v>
      </c>
      <c r="O634">
        <v>38120454.75</v>
      </c>
      <c r="P634">
        <v>255955</v>
      </c>
      <c r="Q634">
        <v>2</v>
      </c>
      <c r="R634">
        <v>339</v>
      </c>
      <c r="S634">
        <v>12.156672791047269</v>
      </c>
      <c r="T634">
        <v>0.91233333333333333</v>
      </c>
      <c r="W634">
        <f t="shared" si="36"/>
        <v>254524</v>
      </c>
      <c r="X634">
        <f t="shared" si="37"/>
        <v>0.90277779102325439</v>
      </c>
      <c r="Y634">
        <f t="shared" si="38"/>
        <v>0.91233333333333333</v>
      </c>
      <c r="Z634">
        <f t="shared" si="39"/>
        <v>12.156672791047269</v>
      </c>
    </row>
    <row r="635" spans="1:26" hidden="1" x14ac:dyDescent="0.25">
      <c r="A635" t="s">
        <v>106</v>
      </c>
      <c r="B635">
        <v>9</v>
      </c>
      <c r="C635">
        <v>5</v>
      </c>
      <c r="D635">
        <v>0</v>
      </c>
      <c r="E635" t="s">
        <v>256</v>
      </c>
      <c r="F635">
        <v>254989</v>
      </c>
      <c r="G635">
        <v>461536483.25</v>
      </c>
      <c r="H635">
        <v>0.8449999988079071</v>
      </c>
      <c r="I635">
        <v>0.95500000000000007</v>
      </c>
      <c r="J635">
        <v>33300540.75</v>
      </c>
      <c r="K635">
        <v>254524</v>
      </c>
      <c r="L635">
        <v>2</v>
      </c>
      <c r="M635">
        <v>338</v>
      </c>
      <c r="N635">
        <v>0.9572222222222222</v>
      </c>
      <c r="O635">
        <v>36521335.75</v>
      </c>
      <c r="P635">
        <v>255955</v>
      </c>
      <c r="Q635">
        <v>2</v>
      </c>
      <c r="R635">
        <v>339</v>
      </c>
      <c r="S635">
        <v>12.171929824561403</v>
      </c>
      <c r="T635">
        <v>0.87036666666666662</v>
      </c>
      <c r="W635">
        <f t="shared" si="36"/>
        <v>254524</v>
      </c>
      <c r="X635">
        <f t="shared" si="37"/>
        <v>0.8449999988079071</v>
      </c>
      <c r="Y635">
        <f t="shared" si="38"/>
        <v>0.87036666666666662</v>
      </c>
      <c r="Z635">
        <f t="shared" si="39"/>
        <v>12.171929824561403</v>
      </c>
    </row>
    <row r="636" spans="1:26" hidden="1" x14ac:dyDescent="0.25">
      <c r="A636" t="s">
        <v>106</v>
      </c>
      <c r="B636">
        <v>5</v>
      </c>
      <c r="C636">
        <v>5</v>
      </c>
      <c r="D636">
        <v>0</v>
      </c>
      <c r="E636" t="s">
        <v>236</v>
      </c>
      <c r="F636">
        <v>256380</v>
      </c>
      <c r="G636">
        <v>665418231.25</v>
      </c>
      <c r="H636">
        <v>0.86055554449558258</v>
      </c>
      <c r="I636">
        <v>0.96166666666666667</v>
      </c>
      <c r="J636">
        <v>41901531.75</v>
      </c>
      <c r="K636">
        <v>255955</v>
      </c>
      <c r="L636">
        <v>2</v>
      </c>
      <c r="M636">
        <v>339</v>
      </c>
      <c r="N636">
        <v>0.96166666666666667</v>
      </c>
      <c r="O636">
        <v>41280660.75</v>
      </c>
      <c r="P636">
        <v>257390</v>
      </c>
      <c r="Q636">
        <v>2</v>
      </c>
      <c r="R636">
        <v>340</v>
      </c>
      <c r="S636">
        <v>11.642340097306278</v>
      </c>
      <c r="T636">
        <v>0.88641975323359168</v>
      </c>
      <c r="W636">
        <f t="shared" si="36"/>
        <v>255955</v>
      </c>
      <c r="X636">
        <f t="shared" si="37"/>
        <v>0.86055554449558258</v>
      </c>
      <c r="Y636">
        <f t="shared" si="38"/>
        <v>0.88641975323359168</v>
      </c>
      <c r="Z636">
        <f t="shared" si="39"/>
        <v>11.642340097306278</v>
      </c>
    </row>
    <row r="637" spans="1:26" hidden="1" x14ac:dyDescent="0.25">
      <c r="A637" t="s">
        <v>106</v>
      </c>
      <c r="B637">
        <v>9</v>
      </c>
      <c r="C637">
        <v>3</v>
      </c>
      <c r="D637">
        <v>0</v>
      </c>
      <c r="E637" t="s">
        <v>209</v>
      </c>
      <c r="F637">
        <v>257220</v>
      </c>
      <c r="G637">
        <v>1042805748.25</v>
      </c>
      <c r="H637">
        <v>0.89388889074325562</v>
      </c>
      <c r="I637">
        <v>0.97444444444444445</v>
      </c>
      <c r="J637">
        <v>36801191</v>
      </c>
      <c r="K637">
        <v>255955</v>
      </c>
      <c r="L637">
        <v>2</v>
      </c>
      <c r="M637">
        <v>339</v>
      </c>
      <c r="N637">
        <v>0.97833333333333328</v>
      </c>
      <c r="O637">
        <v>36285669.5</v>
      </c>
      <c r="P637">
        <v>257390</v>
      </c>
      <c r="Q637">
        <v>2</v>
      </c>
      <c r="R637">
        <v>340</v>
      </c>
      <c r="S637">
        <v>12.035236800362565</v>
      </c>
      <c r="T637">
        <v>0.88271605968475342</v>
      </c>
      <c r="W637">
        <f t="shared" si="36"/>
        <v>255955</v>
      </c>
      <c r="X637">
        <f t="shared" si="37"/>
        <v>0.89388889074325562</v>
      </c>
      <c r="Y637">
        <f t="shared" si="38"/>
        <v>0.88271605968475342</v>
      </c>
      <c r="Z637">
        <f t="shared" si="39"/>
        <v>12.035236800362565</v>
      </c>
    </row>
    <row r="638" spans="1:26" hidden="1" x14ac:dyDescent="0.25">
      <c r="A638" t="s">
        <v>106</v>
      </c>
      <c r="B638">
        <v>9</v>
      </c>
      <c r="C638">
        <v>4</v>
      </c>
      <c r="D638">
        <v>0</v>
      </c>
      <c r="E638" t="s">
        <v>288</v>
      </c>
      <c r="F638">
        <v>256801</v>
      </c>
      <c r="G638">
        <v>450095186</v>
      </c>
      <c r="H638">
        <v>0.91000001132488251</v>
      </c>
      <c r="I638">
        <v>0.96500000000000008</v>
      </c>
      <c r="J638">
        <v>35004010.75</v>
      </c>
      <c r="K638">
        <v>255955</v>
      </c>
      <c r="L638">
        <v>2</v>
      </c>
      <c r="M638">
        <v>339</v>
      </c>
      <c r="N638">
        <v>0.97333333333333338</v>
      </c>
      <c r="O638">
        <v>34239766.25</v>
      </c>
      <c r="P638">
        <v>257390</v>
      </c>
      <c r="Q638">
        <v>2</v>
      </c>
      <c r="R638">
        <v>340</v>
      </c>
      <c r="S638">
        <v>12.156860562204287</v>
      </c>
      <c r="T638">
        <v>0.9308333333333334</v>
      </c>
      <c r="W638">
        <f t="shared" si="36"/>
        <v>255955</v>
      </c>
      <c r="X638">
        <f t="shared" si="37"/>
        <v>0.91000001132488251</v>
      </c>
      <c r="Y638">
        <f t="shared" si="38"/>
        <v>0.9308333333333334</v>
      </c>
      <c r="Z638">
        <f t="shared" si="39"/>
        <v>12.156860562204287</v>
      </c>
    </row>
    <row r="639" spans="1:26" hidden="1" x14ac:dyDescent="0.25">
      <c r="A639" t="s">
        <v>106</v>
      </c>
      <c r="B639">
        <v>3</v>
      </c>
      <c r="C639">
        <v>4</v>
      </c>
      <c r="D639">
        <v>0</v>
      </c>
      <c r="E639" t="s">
        <v>146</v>
      </c>
      <c r="F639">
        <v>135882</v>
      </c>
      <c r="G639">
        <v>520077671.5</v>
      </c>
      <c r="H639">
        <v>0.96148147185643518</v>
      </c>
      <c r="I639">
        <v>0.9655555555555555</v>
      </c>
      <c r="J639">
        <v>33914227.833333336</v>
      </c>
      <c r="K639">
        <v>257390</v>
      </c>
      <c r="L639">
        <v>2</v>
      </c>
      <c r="M639">
        <v>340</v>
      </c>
      <c r="N639">
        <v>0.96629629629629632</v>
      </c>
      <c r="O639">
        <v>33120171.666666668</v>
      </c>
      <c r="P639">
        <v>258829</v>
      </c>
      <c r="Q639">
        <v>2</v>
      </c>
      <c r="R639">
        <v>341</v>
      </c>
      <c r="S639">
        <v>11.432974590842514</v>
      </c>
      <c r="T639">
        <v>0.96370370388031001</v>
      </c>
      <c r="W639">
        <f t="shared" si="36"/>
        <v>257390</v>
      </c>
      <c r="X639">
        <f t="shared" si="37"/>
        <v>0.96148147185643518</v>
      </c>
      <c r="Y639">
        <f t="shared" si="38"/>
        <v>0.96370370388031001</v>
      </c>
      <c r="Z639">
        <f t="shared" si="39"/>
        <v>11.432974590842514</v>
      </c>
    </row>
    <row r="640" spans="1:26" hidden="1" x14ac:dyDescent="0.25">
      <c r="A640" t="s">
        <v>106</v>
      </c>
      <c r="B640">
        <v>5</v>
      </c>
      <c r="C640">
        <v>3</v>
      </c>
      <c r="D640">
        <v>0</v>
      </c>
      <c r="E640" t="s">
        <v>286</v>
      </c>
      <c r="F640">
        <v>258789</v>
      </c>
      <c r="G640">
        <v>556767634.89999998</v>
      </c>
      <c r="H640">
        <v>0.97422221899032591</v>
      </c>
      <c r="I640">
        <v>0.9662222222222222</v>
      </c>
      <c r="J640">
        <v>35111680.700000003</v>
      </c>
      <c r="K640">
        <v>257390</v>
      </c>
      <c r="L640">
        <v>2</v>
      </c>
      <c r="M640">
        <v>340</v>
      </c>
      <c r="N640">
        <v>0.97177777777777785</v>
      </c>
      <c r="O640">
        <v>36589160.799999997</v>
      </c>
      <c r="P640">
        <v>258829</v>
      </c>
      <c r="Q640">
        <v>2</v>
      </c>
      <c r="R640">
        <v>341</v>
      </c>
      <c r="S640">
        <v>11.580360966656469</v>
      </c>
      <c r="T640">
        <v>0.96748969952265418</v>
      </c>
      <c r="W640">
        <f t="shared" si="36"/>
        <v>257390</v>
      </c>
      <c r="X640">
        <f t="shared" si="37"/>
        <v>0.97422221899032591</v>
      </c>
      <c r="Y640">
        <f t="shared" si="38"/>
        <v>0.96748969952265418</v>
      </c>
      <c r="Z640">
        <f t="shared" si="39"/>
        <v>11.580360966656469</v>
      </c>
    </row>
    <row r="641" spans="1:26" hidden="1" x14ac:dyDescent="0.25">
      <c r="A641" t="s">
        <v>106</v>
      </c>
      <c r="B641">
        <v>5</v>
      </c>
      <c r="C641">
        <v>4</v>
      </c>
      <c r="D641">
        <v>0</v>
      </c>
      <c r="E641" t="s">
        <v>240</v>
      </c>
      <c r="F641">
        <v>258812</v>
      </c>
      <c r="G641">
        <v>620274028.42857146</v>
      </c>
      <c r="H641">
        <v>0.95174603802817204</v>
      </c>
      <c r="I641">
        <v>0.96888888888888891</v>
      </c>
      <c r="J641">
        <v>38122628.285714284</v>
      </c>
      <c r="K641">
        <v>257390</v>
      </c>
      <c r="L641">
        <v>2</v>
      </c>
      <c r="M641">
        <v>340</v>
      </c>
      <c r="N641">
        <v>0.96825396825396826</v>
      </c>
      <c r="O641">
        <v>36434258.142857142</v>
      </c>
      <c r="P641">
        <v>258829</v>
      </c>
      <c r="Q641">
        <v>2</v>
      </c>
      <c r="R641">
        <v>341</v>
      </c>
      <c r="S641">
        <v>11.604292259464673</v>
      </c>
      <c r="T641">
        <v>0.95679012934366858</v>
      </c>
      <c r="W641">
        <f t="shared" si="36"/>
        <v>257390</v>
      </c>
      <c r="X641">
        <f t="shared" si="37"/>
        <v>0.95174603802817204</v>
      </c>
      <c r="Y641">
        <f t="shared" si="38"/>
        <v>0.95679012934366858</v>
      </c>
      <c r="Z641">
        <f t="shared" si="39"/>
        <v>11.604292259464673</v>
      </c>
    </row>
    <row r="642" spans="1:26" hidden="1" x14ac:dyDescent="0.25">
      <c r="A642" t="s">
        <v>106</v>
      </c>
      <c r="B642">
        <v>9</v>
      </c>
      <c r="C642">
        <v>2</v>
      </c>
      <c r="D642">
        <v>0</v>
      </c>
      <c r="E642" t="s">
        <v>212</v>
      </c>
      <c r="F642">
        <v>258594</v>
      </c>
      <c r="G642">
        <v>1089482530</v>
      </c>
      <c r="H642">
        <v>0.89133333563804629</v>
      </c>
      <c r="I642">
        <v>0.96733333333333338</v>
      </c>
      <c r="J642">
        <v>35656713.799999997</v>
      </c>
      <c r="K642">
        <v>257390</v>
      </c>
      <c r="L642">
        <v>2</v>
      </c>
      <c r="M642">
        <v>340</v>
      </c>
      <c r="N642">
        <v>0.96311111111111114</v>
      </c>
      <c r="O642">
        <v>36020018.299999997</v>
      </c>
      <c r="P642">
        <v>258829</v>
      </c>
      <c r="Q642">
        <v>2</v>
      </c>
      <c r="R642">
        <v>341</v>
      </c>
      <c r="S642">
        <v>11.882099085102711</v>
      </c>
      <c r="T642">
        <v>0.88559670580757988</v>
      </c>
      <c r="W642">
        <f t="shared" si="36"/>
        <v>257390</v>
      </c>
      <c r="X642">
        <f t="shared" si="37"/>
        <v>0.89133333563804629</v>
      </c>
      <c r="Y642">
        <f t="shared" si="38"/>
        <v>0.88559670580757988</v>
      </c>
      <c r="Z642">
        <f t="shared" si="39"/>
        <v>11.882099085102711</v>
      </c>
    </row>
    <row r="643" spans="1:26" hidden="1" x14ac:dyDescent="0.25">
      <c r="A643" t="s">
        <v>106</v>
      </c>
      <c r="B643">
        <v>9</v>
      </c>
      <c r="C643">
        <v>3</v>
      </c>
      <c r="D643">
        <v>0</v>
      </c>
      <c r="E643" t="s">
        <v>271</v>
      </c>
      <c r="F643">
        <v>258631</v>
      </c>
      <c r="G643">
        <v>765798602.75</v>
      </c>
      <c r="H643">
        <v>0.92222222685813904</v>
      </c>
      <c r="I643">
        <v>0.96333333333333337</v>
      </c>
      <c r="J643">
        <v>35682962.75</v>
      </c>
      <c r="K643">
        <v>257390</v>
      </c>
      <c r="L643">
        <v>2</v>
      </c>
      <c r="M643">
        <v>340</v>
      </c>
      <c r="N643">
        <v>0.96111111111111114</v>
      </c>
      <c r="O643">
        <v>35282362.75</v>
      </c>
      <c r="P643">
        <v>258829</v>
      </c>
      <c r="Q643">
        <v>2</v>
      </c>
      <c r="R643">
        <v>341</v>
      </c>
      <c r="S643">
        <v>12.037324422292706</v>
      </c>
      <c r="T643">
        <v>0.90617283185323083</v>
      </c>
      <c r="W643">
        <f t="shared" ref="W643:W706" si="40">K643</f>
        <v>257390</v>
      </c>
      <c r="X643">
        <f t="shared" ref="X643:X706" si="41">H643</f>
        <v>0.92222222685813904</v>
      </c>
      <c r="Y643">
        <f t="shared" ref="Y643:Y706" si="42">T643</f>
        <v>0.90617283185323083</v>
      </c>
      <c r="Z643">
        <f t="shared" ref="Z643:Z706" si="43">S643</f>
        <v>12.037324422292706</v>
      </c>
    </row>
    <row r="644" spans="1:26" hidden="1" x14ac:dyDescent="0.25">
      <c r="A644" t="s">
        <v>106</v>
      </c>
      <c r="B644">
        <v>9</v>
      </c>
      <c r="C644">
        <v>4</v>
      </c>
      <c r="D644">
        <v>0</v>
      </c>
      <c r="E644" t="s">
        <v>157</v>
      </c>
      <c r="F644">
        <v>257958</v>
      </c>
      <c r="G644">
        <v>537277086.5</v>
      </c>
      <c r="H644">
        <v>0.89611110091209412</v>
      </c>
      <c r="I644">
        <v>0.96166666666666667</v>
      </c>
      <c r="J644">
        <v>39974948</v>
      </c>
      <c r="K644">
        <v>257390</v>
      </c>
      <c r="L644">
        <v>2</v>
      </c>
      <c r="M644">
        <v>340</v>
      </c>
      <c r="N644">
        <v>0.96444444444444444</v>
      </c>
      <c r="O644">
        <v>38521524</v>
      </c>
      <c r="P644">
        <v>258829</v>
      </c>
      <c r="Q644">
        <v>2</v>
      </c>
      <c r="R644">
        <v>341</v>
      </c>
      <c r="S644">
        <v>12.157159552562748</v>
      </c>
      <c r="T644">
        <v>0.90123333333333333</v>
      </c>
      <c r="W644">
        <f t="shared" si="40"/>
        <v>257390</v>
      </c>
      <c r="X644">
        <f t="shared" si="41"/>
        <v>0.89611110091209412</v>
      </c>
      <c r="Y644">
        <f t="shared" si="42"/>
        <v>0.90123333333333333</v>
      </c>
      <c r="Z644">
        <f t="shared" si="43"/>
        <v>12.157159552562748</v>
      </c>
    </row>
    <row r="645" spans="1:26" hidden="1" x14ac:dyDescent="0.25">
      <c r="A645" t="s">
        <v>106</v>
      </c>
      <c r="B645">
        <v>9</v>
      </c>
      <c r="C645">
        <v>5</v>
      </c>
      <c r="D645">
        <v>0</v>
      </c>
      <c r="E645" t="s">
        <v>262</v>
      </c>
      <c r="F645">
        <v>257799</v>
      </c>
      <c r="G645">
        <v>522182398.28571427</v>
      </c>
      <c r="H645">
        <v>0.80507936647960121</v>
      </c>
      <c r="I645">
        <v>0.95809523809523811</v>
      </c>
      <c r="J645">
        <v>34004609.857142858</v>
      </c>
      <c r="K645">
        <v>257390</v>
      </c>
      <c r="L645">
        <v>2</v>
      </c>
      <c r="M645">
        <v>340</v>
      </c>
      <c r="N645">
        <v>0.95873015873015865</v>
      </c>
      <c r="O645">
        <v>35220622</v>
      </c>
      <c r="P645">
        <v>258829</v>
      </c>
      <c r="Q645">
        <v>2</v>
      </c>
      <c r="R645">
        <v>341</v>
      </c>
      <c r="S645">
        <v>12.172521510385268</v>
      </c>
      <c r="T645">
        <v>0.86543333333333339</v>
      </c>
      <c r="W645">
        <f t="shared" si="40"/>
        <v>257390</v>
      </c>
      <c r="X645">
        <f t="shared" si="41"/>
        <v>0.80507936647960121</v>
      </c>
      <c r="Y645">
        <f t="shared" si="42"/>
        <v>0.86543333333333339</v>
      </c>
      <c r="Z645">
        <f t="shared" si="43"/>
        <v>12.172521510385268</v>
      </c>
    </row>
    <row r="646" spans="1:26" hidden="1" x14ac:dyDescent="0.25">
      <c r="A646" t="s">
        <v>106</v>
      </c>
      <c r="B646">
        <v>5</v>
      </c>
      <c r="C646">
        <v>3</v>
      </c>
      <c r="D646">
        <v>0</v>
      </c>
      <c r="E646" t="s">
        <v>273</v>
      </c>
      <c r="F646">
        <v>259659</v>
      </c>
      <c r="G646">
        <v>597069142.5</v>
      </c>
      <c r="H646">
        <v>0.97111111879348755</v>
      </c>
      <c r="I646">
        <v>0.96944444444444444</v>
      </c>
      <c r="J646">
        <v>36537005.75</v>
      </c>
      <c r="K646">
        <v>258829</v>
      </c>
      <c r="L646">
        <v>2</v>
      </c>
      <c r="M646">
        <v>341</v>
      </c>
      <c r="N646">
        <v>0.97277777777777774</v>
      </c>
      <c r="O646">
        <v>36772981</v>
      </c>
      <c r="P646">
        <v>260272</v>
      </c>
      <c r="Q646">
        <v>2</v>
      </c>
      <c r="R646">
        <v>342</v>
      </c>
      <c r="S646">
        <v>11.580708300201847</v>
      </c>
      <c r="T646">
        <v>0.97283951441446936</v>
      </c>
      <c r="W646">
        <f t="shared" si="40"/>
        <v>258829</v>
      </c>
      <c r="X646">
        <f t="shared" si="41"/>
        <v>0.97111111879348755</v>
      </c>
      <c r="Y646">
        <f t="shared" si="42"/>
        <v>0.97283951441446936</v>
      </c>
      <c r="Z646">
        <f t="shared" si="43"/>
        <v>11.580708300201847</v>
      </c>
    </row>
    <row r="647" spans="1:26" hidden="1" x14ac:dyDescent="0.25">
      <c r="A647" t="s">
        <v>106</v>
      </c>
      <c r="B647">
        <v>5</v>
      </c>
      <c r="C647">
        <v>5</v>
      </c>
      <c r="D647">
        <v>0</v>
      </c>
      <c r="E647" t="s">
        <v>282</v>
      </c>
      <c r="F647">
        <v>259359</v>
      </c>
      <c r="G647">
        <v>643255498.70000005</v>
      </c>
      <c r="H647">
        <v>0.90777778029441836</v>
      </c>
      <c r="I647">
        <v>0.96644444444444444</v>
      </c>
      <c r="J647">
        <v>33245949.600000001</v>
      </c>
      <c r="K647">
        <v>258829</v>
      </c>
      <c r="L647">
        <v>2</v>
      </c>
      <c r="M647">
        <v>341</v>
      </c>
      <c r="N647">
        <v>0.96777777777777774</v>
      </c>
      <c r="O647">
        <v>32574891.399999999</v>
      </c>
      <c r="P647">
        <v>260272</v>
      </c>
      <c r="Q647">
        <v>2</v>
      </c>
      <c r="R647">
        <v>342</v>
      </c>
      <c r="S647">
        <v>11.646821631878558</v>
      </c>
      <c r="T647">
        <v>0.92551070910559763</v>
      </c>
      <c r="W647">
        <f t="shared" si="40"/>
        <v>258829</v>
      </c>
      <c r="X647">
        <f t="shared" si="41"/>
        <v>0.90777778029441836</v>
      </c>
      <c r="Y647">
        <f t="shared" si="42"/>
        <v>0.92551070910559763</v>
      </c>
      <c r="Z647">
        <f t="shared" si="43"/>
        <v>11.646821631878558</v>
      </c>
    </row>
    <row r="648" spans="1:26" hidden="1" x14ac:dyDescent="0.25">
      <c r="A648" t="s">
        <v>106</v>
      </c>
      <c r="B648">
        <v>9</v>
      </c>
      <c r="C648">
        <v>2</v>
      </c>
      <c r="D648">
        <v>0</v>
      </c>
      <c r="E648" t="s">
        <v>261</v>
      </c>
      <c r="F648">
        <v>259401</v>
      </c>
      <c r="G648">
        <v>924624363.42857146</v>
      </c>
      <c r="H648">
        <v>0.90539682762963436</v>
      </c>
      <c r="I648">
        <v>0.95936507936507942</v>
      </c>
      <c r="J648">
        <v>34243963.857142858</v>
      </c>
      <c r="K648">
        <v>258829</v>
      </c>
      <c r="L648">
        <v>2</v>
      </c>
      <c r="M648">
        <v>341</v>
      </c>
      <c r="N648">
        <v>0.95873015873015877</v>
      </c>
      <c r="O648">
        <v>35050954.428571425</v>
      </c>
      <c r="P648">
        <v>260272</v>
      </c>
      <c r="Q648">
        <v>2</v>
      </c>
      <c r="R648">
        <v>342</v>
      </c>
      <c r="S648">
        <v>11.886920510755781</v>
      </c>
      <c r="T648">
        <v>0.91234566768010461</v>
      </c>
      <c r="W648">
        <f t="shared" si="40"/>
        <v>258829</v>
      </c>
      <c r="X648">
        <f t="shared" si="41"/>
        <v>0.90539682762963436</v>
      </c>
      <c r="Y648">
        <f t="shared" si="42"/>
        <v>0.91234566768010461</v>
      </c>
      <c r="Z648">
        <f t="shared" si="43"/>
        <v>11.886920510755781</v>
      </c>
    </row>
    <row r="649" spans="1:26" hidden="1" x14ac:dyDescent="0.25">
      <c r="A649" t="s">
        <v>106</v>
      </c>
      <c r="B649">
        <v>9</v>
      </c>
      <c r="C649">
        <v>3</v>
      </c>
      <c r="D649">
        <v>0</v>
      </c>
      <c r="E649" t="s">
        <v>134</v>
      </c>
      <c r="F649">
        <v>259602</v>
      </c>
      <c r="G649">
        <v>805266039.25</v>
      </c>
      <c r="H649">
        <v>0.92555555701255798</v>
      </c>
      <c r="I649">
        <v>0.96333333333333337</v>
      </c>
      <c r="J649">
        <v>33253654</v>
      </c>
      <c r="K649">
        <v>258829</v>
      </c>
      <c r="L649">
        <v>2</v>
      </c>
      <c r="M649">
        <v>341</v>
      </c>
      <c r="N649">
        <v>0.95833333333333337</v>
      </c>
      <c r="O649">
        <v>34423963.5</v>
      </c>
      <c r="P649">
        <v>260272</v>
      </c>
      <c r="Q649">
        <v>2</v>
      </c>
      <c r="R649">
        <v>342</v>
      </c>
      <c r="S649">
        <v>12.040203850509627</v>
      </c>
      <c r="T649">
        <v>0.90123456716537476</v>
      </c>
      <c r="W649">
        <f t="shared" si="40"/>
        <v>258829</v>
      </c>
      <c r="X649">
        <f t="shared" si="41"/>
        <v>0.92555555701255798</v>
      </c>
      <c r="Y649">
        <f t="shared" si="42"/>
        <v>0.90123456716537476</v>
      </c>
      <c r="Z649">
        <f t="shared" si="43"/>
        <v>12.040203850509627</v>
      </c>
    </row>
    <row r="650" spans="1:26" hidden="1" x14ac:dyDescent="0.25">
      <c r="A650" t="s">
        <v>106</v>
      </c>
      <c r="B650">
        <v>9</v>
      </c>
      <c r="C650">
        <v>4</v>
      </c>
      <c r="D650">
        <v>0</v>
      </c>
      <c r="E650" t="s">
        <v>222</v>
      </c>
      <c r="F650">
        <v>260154</v>
      </c>
      <c r="G650">
        <v>394559294.25</v>
      </c>
      <c r="H650">
        <v>0.85277777910232544</v>
      </c>
      <c r="I650">
        <v>0.96611111111111114</v>
      </c>
      <c r="J650">
        <v>36021423.25</v>
      </c>
      <c r="K650">
        <v>258829</v>
      </c>
      <c r="L650">
        <v>2</v>
      </c>
      <c r="M650">
        <v>341</v>
      </c>
      <c r="N650">
        <v>0.96111111111111103</v>
      </c>
      <c r="O650">
        <v>33745608.5</v>
      </c>
      <c r="P650">
        <v>260272</v>
      </c>
      <c r="Q650">
        <v>2</v>
      </c>
      <c r="R650">
        <v>342</v>
      </c>
      <c r="S650">
        <v>12.157013297724363</v>
      </c>
      <c r="T650">
        <v>0.88396666666666668</v>
      </c>
      <c r="W650">
        <f t="shared" si="40"/>
        <v>258829</v>
      </c>
      <c r="X650">
        <f t="shared" si="41"/>
        <v>0.85277777910232544</v>
      </c>
      <c r="Y650">
        <f t="shared" si="42"/>
        <v>0.88396666666666668</v>
      </c>
      <c r="Z650">
        <f t="shared" si="43"/>
        <v>12.157013297724363</v>
      </c>
    </row>
    <row r="651" spans="1:26" hidden="1" x14ac:dyDescent="0.25">
      <c r="A651" t="s">
        <v>106</v>
      </c>
      <c r="B651">
        <v>5</v>
      </c>
      <c r="C651">
        <v>4</v>
      </c>
      <c r="D651">
        <v>0</v>
      </c>
      <c r="E651" t="s">
        <v>284</v>
      </c>
      <c r="F651">
        <v>260579</v>
      </c>
      <c r="G651">
        <v>585802049</v>
      </c>
      <c r="H651">
        <v>0.94777777791023254</v>
      </c>
      <c r="I651">
        <v>0.96</v>
      </c>
      <c r="J651">
        <v>37253916.25</v>
      </c>
      <c r="K651">
        <v>260272</v>
      </c>
      <c r="L651">
        <v>2</v>
      </c>
      <c r="M651">
        <v>342</v>
      </c>
      <c r="N651">
        <v>0.96277777777777773</v>
      </c>
      <c r="O651">
        <v>35086460.5</v>
      </c>
      <c r="P651">
        <v>261719</v>
      </c>
      <c r="Q651">
        <v>2</v>
      </c>
      <c r="R651">
        <v>343</v>
      </c>
      <c r="S651">
        <v>11.604869816779171</v>
      </c>
      <c r="T651">
        <v>0.96172841389973962</v>
      </c>
      <c r="W651">
        <f t="shared" si="40"/>
        <v>260272</v>
      </c>
      <c r="X651">
        <f t="shared" si="41"/>
        <v>0.94777777791023254</v>
      </c>
      <c r="Y651">
        <f t="shared" si="42"/>
        <v>0.96172841389973962</v>
      </c>
      <c r="Z651">
        <f t="shared" si="43"/>
        <v>11.604869816779171</v>
      </c>
    </row>
    <row r="652" spans="1:26" hidden="1" x14ac:dyDescent="0.25">
      <c r="A652" t="s">
        <v>106</v>
      </c>
      <c r="B652">
        <v>5</v>
      </c>
      <c r="C652">
        <v>4</v>
      </c>
      <c r="D652">
        <v>0</v>
      </c>
      <c r="E652" t="s">
        <v>266</v>
      </c>
      <c r="F652">
        <v>262853</v>
      </c>
      <c r="G652">
        <v>549712651.75</v>
      </c>
      <c r="H652">
        <v>0.94555555284023285</v>
      </c>
      <c r="I652">
        <v>0.9622222222222222</v>
      </c>
      <c r="J652">
        <v>37367445</v>
      </c>
      <c r="K652">
        <v>261719</v>
      </c>
      <c r="L652">
        <v>2</v>
      </c>
      <c r="M652">
        <v>343</v>
      </c>
      <c r="N652">
        <v>0.95833333333333326</v>
      </c>
      <c r="O652">
        <v>36932238</v>
      </c>
      <c r="P652">
        <v>263170</v>
      </c>
      <c r="Q652">
        <v>2</v>
      </c>
      <c r="R652">
        <v>344</v>
      </c>
      <c r="S652">
        <v>11.605507351168956</v>
      </c>
      <c r="T652">
        <v>0.95679010947545373</v>
      </c>
      <c r="W652">
        <f t="shared" si="40"/>
        <v>261719</v>
      </c>
      <c r="X652">
        <f t="shared" si="41"/>
        <v>0.94555555284023285</v>
      </c>
      <c r="Y652">
        <f t="shared" si="42"/>
        <v>0.95679010947545373</v>
      </c>
      <c r="Z652">
        <f t="shared" si="43"/>
        <v>11.605507351168956</v>
      </c>
    </row>
    <row r="653" spans="1:26" hidden="1" x14ac:dyDescent="0.25">
      <c r="A653" t="s">
        <v>106</v>
      </c>
      <c r="B653">
        <v>5</v>
      </c>
      <c r="C653">
        <v>5</v>
      </c>
      <c r="D653">
        <v>0</v>
      </c>
      <c r="E653" t="s">
        <v>208</v>
      </c>
      <c r="F653">
        <v>261858</v>
      </c>
      <c r="G653">
        <v>575902349.57142854</v>
      </c>
      <c r="H653">
        <v>0.90222223315920147</v>
      </c>
      <c r="I653">
        <v>0.95523809523809522</v>
      </c>
      <c r="J653">
        <v>31241510</v>
      </c>
      <c r="K653">
        <v>261719</v>
      </c>
      <c r="L653">
        <v>2</v>
      </c>
      <c r="M653">
        <v>343</v>
      </c>
      <c r="N653">
        <v>0.96031746031746035</v>
      </c>
      <c r="O653">
        <v>32513444.714285713</v>
      </c>
      <c r="P653">
        <v>263170</v>
      </c>
      <c r="Q653">
        <v>2</v>
      </c>
      <c r="R653">
        <v>344</v>
      </c>
      <c r="S653">
        <v>11.648509276272895</v>
      </c>
      <c r="T653">
        <v>0.90431791838010156</v>
      </c>
      <c r="W653">
        <f t="shared" si="40"/>
        <v>261719</v>
      </c>
      <c r="X653">
        <f t="shared" si="41"/>
        <v>0.90222223315920147</v>
      </c>
      <c r="Y653">
        <f t="shared" si="42"/>
        <v>0.90431791838010156</v>
      </c>
      <c r="Z653">
        <f t="shared" si="43"/>
        <v>11.648509276272895</v>
      </c>
    </row>
    <row r="654" spans="1:26" hidden="1" x14ac:dyDescent="0.25">
      <c r="A654" t="s">
        <v>106</v>
      </c>
      <c r="B654">
        <v>9</v>
      </c>
      <c r="C654">
        <v>3</v>
      </c>
      <c r="D654">
        <v>0</v>
      </c>
      <c r="E654" t="s">
        <v>290</v>
      </c>
      <c r="F654">
        <v>262103</v>
      </c>
      <c r="G654">
        <v>996824861.75</v>
      </c>
      <c r="H654">
        <v>0.93333332240581512</v>
      </c>
      <c r="I654">
        <v>0.96277777777777773</v>
      </c>
      <c r="J654">
        <v>34615757.5</v>
      </c>
      <c r="K654">
        <v>261719</v>
      </c>
      <c r="L654">
        <v>2</v>
      </c>
      <c r="M654">
        <v>343</v>
      </c>
      <c r="N654">
        <v>0.96111111111111114</v>
      </c>
      <c r="O654">
        <v>36232857.75</v>
      </c>
      <c r="P654">
        <v>263170</v>
      </c>
      <c r="Q654">
        <v>2</v>
      </c>
      <c r="R654">
        <v>344</v>
      </c>
      <c r="S654">
        <v>12.043874547101449</v>
      </c>
      <c r="T654">
        <v>0.93334321988423663</v>
      </c>
      <c r="W654">
        <f t="shared" si="40"/>
        <v>261719</v>
      </c>
      <c r="X654">
        <f t="shared" si="41"/>
        <v>0.93333332240581512</v>
      </c>
      <c r="Y654">
        <f t="shared" si="42"/>
        <v>0.93334321988423663</v>
      </c>
      <c r="Z654">
        <f t="shared" si="43"/>
        <v>12.043874547101449</v>
      </c>
    </row>
    <row r="655" spans="1:26" hidden="1" x14ac:dyDescent="0.25">
      <c r="A655" t="s">
        <v>106</v>
      </c>
      <c r="B655">
        <v>9</v>
      </c>
      <c r="C655">
        <v>4</v>
      </c>
      <c r="D655">
        <v>0</v>
      </c>
      <c r="E655" t="s">
        <v>275</v>
      </c>
      <c r="F655">
        <v>263007</v>
      </c>
      <c r="G655">
        <v>449570866.25</v>
      </c>
      <c r="H655">
        <v>0.89388889074325562</v>
      </c>
      <c r="I655">
        <v>0.95222222222222219</v>
      </c>
      <c r="J655">
        <v>37567598</v>
      </c>
      <c r="K655">
        <v>261719</v>
      </c>
      <c r="L655">
        <v>2</v>
      </c>
      <c r="M655">
        <v>343</v>
      </c>
      <c r="N655">
        <v>0.96277777777777773</v>
      </c>
      <c r="O655">
        <v>37215783.5</v>
      </c>
      <c r="P655">
        <v>263170</v>
      </c>
      <c r="Q655">
        <v>2</v>
      </c>
      <c r="R655">
        <v>344</v>
      </c>
      <c r="S655">
        <v>12.156867107971296</v>
      </c>
      <c r="T655">
        <v>0.89136666666666664</v>
      </c>
      <c r="W655">
        <f t="shared" si="40"/>
        <v>261719</v>
      </c>
      <c r="X655">
        <f t="shared" si="41"/>
        <v>0.89388889074325562</v>
      </c>
      <c r="Y655">
        <f t="shared" si="42"/>
        <v>0.89136666666666664</v>
      </c>
      <c r="Z655">
        <f t="shared" si="43"/>
        <v>12.156867107971296</v>
      </c>
    </row>
    <row r="656" spans="1:26" hidden="1" x14ac:dyDescent="0.25">
      <c r="A656" t="s">
        <v>106</v>
      </c>
      <c r="B656">
        <v>9</v>
      </c>
      <c r="C656">
        <v>5</v>
      </c>
      <c r="D656">
        <v>0</v>
      </c>
      <c r="E656" t="s">
        <v>201</v>
      </c>
      <c r="F656">
        <v>261774</v>
      </c>
      <c r="G656">
        <v>571870783</v>
      </c>
      <c r="H656">
        <v>0.74277777969837189</v>
      </c>
      <c r="I656">
        <v>0.9588888888888889</v>
      </c>
      <c r="J656">
        <v>34348313.75</v>
      </c>
      <c r="K656">
        <v>261719</v>
      </c>
      <c r="L656">
        <v>2</v>
      </c>
      <c r="M656">
        <v>343</v>
      </c>
      <c r="N656">
        <v>0.9572222222222222</v>
      </c>
      <c r="O656">
        <v>34861547.5</v>
      </c>
      <c r="P656">
        <v>263170</v>
      </c>
      <c r="Q656">
        <v>2</v>
      </c>
      <c r="R656">
        <v>344</v>
      </c>
      <c r="S656">
        <v>12.173031614706044</v>
      </c>
      <c r="T656">
        <v>0.79876666666666662</v>
      </c>
      <c r="W656">
        <f t="shared" si="40"/>
        <v>261719</v>
      </c>
      <c r="X656">
        <f t="shared" si="41"/>
        <v>0.74277777969837189</v>
      </c>
      <c r="Y656">
        <f t="shared" si="42"/>
        <v>0.79876666666666662</v>
      </c>
      <c r="Z656">
        <f t="shared" si="43"/>
        <v>12.173031614706044</v>
      </c>
    </row>
    <row r="657" spans="1:26" hidden="1" x14ac:dyDescent="0.25">
      <c r="A657" t="s">
        <v>106</v>
      </c>
      <c r="B657">
        <v>5</v>
      </c>
      <c r="C657">
        <v>4</v>
      </c>
      <c r="D657">
        <v>0</v>
      </c>
      <c r="E657" t="s">
        <v>139</v>
      </c>
      <c r="F657">
        <v>263360</v>
      </c>
      <c r="G657">
        <v>468078132.4285714</v>
      </c>
      <c r="H657">
        <v>0.95809522696903771</v>
      </c>
      <c r="I657">
        <v>0.96253968253968258</v>
      </c>
      <c r="J657">
        <v>36481254.714285716</v>
      </c>
      <c r="K657">
        <v>263170</v>
      </c>
      <c r="L657">
        <v>2</v>
      </c>
      <c r="M657">
        <v>344</v>
      </c>
      <c r="N657">
        <v>0.96190476190476193</v>
      </c>
      <c r="O657">
        <v>36848100.142857142</v>
      </c>
      <c r="P657">
        <v>264625</v>
      </c>
      <c r="Q657">
        <v>2</v>
      </c>
      <c r="R657">
        <v>345</v>
      </c>
      <c r="S657">
        <v>11.605974823827019</v>
      </c>
      <c r="T657">
        <v>0.97160493334134423</v>
      </c>
      <c r="W657">
        <f t="shared" si="40"/>
        <v>263170</v>
      </c>
      <c r="X657">
        <f t="shared" si="41"/>
        <v>0.95809522696903771</v>
      </c>
      <c r="Y657">
        <f t="shared" si="42"/>
        <v>0.97160493334134423</v>
      </c>
      <c r="Z657">
        <f t="shared" si="43"/>
        <v>11.605974823827019</v>
      </c>
    </row>
    <row r="658" spans="1:26" hidden="1" x14ac:dyDescent="0.25">
      <c r="A658" t="s">
        <v>106</v>
      </c>
      <c r="B658">
        <v>5</v>
      </c>
      <c r="C658">
        <v>5</v>
      </c>
      <c r="D658">
        <v>0</v>
      </c>
      <c r="E658" t="s">
        <v>270</v>
      </c>
      <c r="F658">
        <v>263877</v>
      </c>
      <c r="G658">
        <v>572217788.42857146</v>
      </c>
      <c r="H658">
        <v>0.87555554934910362</v>
      </c>
      <c r="I658">
        <v>0.95714285714285718</v>
      </c>
      <c r="J658">
        <v>31733433.571428571</v>
      </c>
      <c r="K658">
        <v>263170</v>
      </c>
      <c r="L658">
        <v>2</v>
      </c>
      <c r="M658">
        <v>344</v>
      </c>
      <c r="N658">
        <v>0.95936507936507942</v>
      </c>
      <c r="O658">
        <v>32214347.857142858</v>
      </c>
      <c r="P658">
        <v>264625</v>
      </c>
      <c r="Q658">
        <v>2</v>
      </c>
      <c r="R658">
        <v>345</v>
      </c>
      <c r="S658">
        <v>11.650254769522455</v>
      </c>
      <c r="T658">
        <v>0.89691357811292016</v>
      </c>
      <c r="W658">
        <f t="shared" si="40"/>
        <v>263170</v>
      </c>
      <c r="X658">
        <f t="shared" si="41"/>
        <v>0.87555554934910362</v>
      </c>
      <c r="Y658">
        <f t="shared" si="42"/>
        <v>0.89691357811292016</v>
      </c>
      <c r="Z658">
        <f t="shared" si="43"/>
        <v>11.650254769522455</v>
      </c>
    </row>
    <row r="659" spans="1:26" hidden="1" x14ac:dyDescent="0.25">
      <c r="A659" t="s">
        <v>106</v>
      </c>
      <c r="B659">
        <v>9</v>
      </c>
      <c r="C659">
        <v>3</v>
      </c>
      <c r="D659">
        <v>0</v>
      </c>
      <c r="E659" t="s">
        <v>224</v>
      </c>
      <c r="F659">
        <v>264174</v>
      </c>
      <c r="G659">
        <v>909804192</v>
      </c>
      <c r="H659">
        <v>0.92733334302902226</v>
      </c>
      <c r="I659">
        <v>0.96066666666666667</v>
      </c>
      <c r="J659">
        <v>36953298.399999999</v>
      </c>
      <c r="K659">
        <v>263170</v>
      </c>
      <c r="L659">
        <v>2</v>
      </c>
      <c r="M659">
        <v>344</v>
      </c>
      <c r="N659">
        <v>0.9615555555555555</v>
      </c>
      <c r="O659">
        <v>36323203.899999999</v>
      </c>
      <c r="P659">
        <v>264625</v>
      </c>
      <c r="Q659">
        <v>2</v>
      </c>
      <c r="R659">
        <v>345</v>
      </c>
      <c r="S659">
        <v>12.05075251782279</v>
      </c>
      <c r="T659">
        <v>0.93498270913230053</v>
      </c>
      <c r="W659">
        <f t="shared" si="40"/>
        <v>263170</v>
      </c>
      <c r="X659">
        <f t="shared" si="41"/>
        <v>0.92733334302902226</v>
      </c>
      <c r="Y659">
        <f t="shared" si="42"/>
        <v>0.93498270913230053</v>
      </c>
      <c r="Z659">
        <f t="shared" si="43"/>
        <v>12.05075251782279</v>
      </c>
    </row>
    <row r="660" spans="1:26" hidden="1" x14ac:dyDescent="0.25">
      <c r="A660" t="s">
        <v>106</v>
      </c>
      <c r="B660">
        <v>5</v>
      </c>
      <c r="C660">
        <v>5</v>
      </c>
      <c r="D660">
        <v>0</v>
      </c>
      <c r="E660" t="s">
        <v>162</v>
      </c>
      <c r="F660">
        <v>265416</v>
      </c>
      <c r="G660">
        <v>832309540</v>
      </c>
      <c r="H660">
        <v>0.8911111056804657</v>
      </c>
      <c r="I660">
        <v>0.95833333333333337</v>
      </c>
      <c r="J660">
        <v>42013613.75</v>
      </c>
      <c r="K660">
        <v>264625</v>
      </c>
      <c r="L660">
        <v>2</v>
      </c>
      <c r="M660">
        <v>345</v>
      </c>
      <c r="N660">
        <v>0.96833333333333338</v>
      </c>
      <c r="O660">
        <v>42481827.5</v>
      </c>
      <c r="P660">
        <v>266084</v>
      </c>
      <c r="Q660">
        <v>2</v>
      </c>
      <c r="R660">
        <v>346</v>
      </c>
      <c r="S660">
        <v>11.650989219286814</v>
      </c>
      <c r="T660">
        <v>0.8975308736165365</v>
      </c>
      <c r="W660">
        <f t="shared" si="40"/>
        <v>264625</v>
      </c>
      <c r="X660">
        <f t="shared" si="41"/>
        <v>0.8911111056804657</v>
      </c>
      <c r="Y660">
        <f t="shared" si="42"/>
        <v>0.8975308736165365</v>
      </c>
      <c r="Z660">
        <f t="shared" si="43"/>
        <v>11.650989219286814</v>
      </c>
    </row>
    <row r="661" spans="1:26" hidden="1" x14ac:dyDescent="0.25">
      <c r="A661" t="s">
        <v>106</v>
      </c>
      <c r="B661">
        <v>9</v>
      </c>
      <c r="C661">
        <v>2</v>
      </c>
      <c r="D661">
        <v>0</v>
      </c>
      <c r="E661" t="s">
        <v>227</v>
      </c>
      <c r="F661">
        <v>265360</v>
      </c>
      <c r="G661">
        <v>1151250075.3</v>
      </c>
      <c r="H661">
        <v>0.87955556511878963</v>
      </c>
      <c r="I661">
        <v>0.9635555555555555</v>
      </c>
      <c r="J661">
        <v>36651497.299999997</v>
      </c>
      <c r="K661">
        <v>264625</v>
      </c>
      <c r="L661">
        <v>2</v>
      </c>
      <c r="M661">
        <v>345</v>
      </c>
      <c r="N661">
        <v>0.96288888888888891</v>
      </c>
      <c r="O661">
        <v>37738188</v>
      </c>
      <c r="P661">
        <v>266084</v>
      </c>
      <c r="Q661">
        <v>2</v>
      </c>
      <c r="R661">
        <v>346</v>
      </c>
      <c r="S661">
        <v>11.895378247873074</v>
      </c>
      <c r="T661">
        <v>0.88765431774987114</v>
      </c>
      <c r="W661">
        <f t="shared" si="40"/>
        <v>264625</v>
      </c>
      <c r="X661">
        <f t="shared" si="41"/>
        <v>0.87955556511878963</v>
      </c>
      <c r="Y661">
        <f t="shared" si="42"/>
        <v>0.88765431774987114</v>
      </c>
      <c r="Z661">
        <f t="shared" si="43"/>
        <v>11.895378247873074</v>
      </c>
    </row>
    <row r="662" spans="1:26" hidden="1" x14ac:dyDescent="0.25">
      <c r="A662" t="s">
        <v>106</v>
      </c>
      <c r="B662">
        <v>9</v>
      </c>
      <c r="C662">
        <v>3</v>
      </c>
      <c r="D662">
        <v>0</v>
      </c>
      <c r="E662" t="s">
        <v>277</v>
      </c>
      <c r="F662">
        <v>265805</v>
      </c>
      <c r="G662">
        <v>809399704.14285719</v>
      </c>
      <c r="H662">
        <v>0.91206349645342144</v>
      </c>
      <c r="I662">
        <v>0.96730158730158733</v>
      </c>
      <c r="J662">
        <v>37147750.285714284</v>
      </c>
      <c r="K662">
        <v>264625</v>
      </c>
      <c r="L662">
        <v>2</v>
      </c>
      <c r="M662">
        <v>345</v>
      </c>
      <c r="N662">
        <v>0.96730158730158733</v>
      </c>
      <c r="O662">
        <v>36917567.714285716</v>
      </c>
      <c r="P662">
        <v>266084</v>
      </c>
      <c r="Q662">
        <v>2</v>
      </c>
      <c r="R662">
        <v>346</v>
      </c>
      <c r="S662">
        <v>12.05384310842147</v>
      </c>
      <c r="T662">
        <v>0.9203703741232554</v>
      </c>
      <c r="W662">
        <f t="shared" si="40"/>
        <v>264625</v>
      </c>
      <c r="X662">
        <f t="shared" si="41"/>
        <v>0.91206349645342144</v>
      </c>
      <c r="Y662">
        <f t="shared" si="42"/>
        <v>0.9203703741232554</v>
      </c>
      <c r="Z662">
        <f t="shared" si="43"/>
        <v>12.05384310842147</v>
      </c>
    </row>
    <row r="663" spans="1:26" hidden="1" x14ac:dyDescent="0.25">
      <c r="A663" t="s">
        <v>106</v>
      </c>
      <c r="B663">
        <v>9</v>
      </c>
      <c r="C663">
        <v>4</v>
      </c>
      <c r="D663">
        <v>0</v>
      </c>
      <c r="E663" t="s">
        <v>186</v>
      </c>
      <c r="F663">
        <v>265360</v>
      </c>
      <c r="G663">
        <v>776829522</v>
      </c>
      <c r="H663">
        <v>0.92166666686534882</v>
      </c>
      <c r="I663">
        <v>0.95777777777777773</v>
      </c>
      <c r="J663">
        <v>38532885.25</v>
      </c>
      <c r="K663">
        <v>264625</v>
      </c>
      <c r="L663">
        <v>2</v>
      </c>
      <c r="M663">
        <v>345</v>
      </c>
      <c r="N663">
        <v>0.95833333333333337</v>
      </c>
      <c r="O663">
        <v>37529263.75</v>
      </c>
      <c r="P663">
        <v>266084</v>
      </c>
      <c r="Q663">
        <v>2</v>
      </c>
      <c r="R663">
        <v>346</v>
      </c>
      <c r="S663">
        <v>12.158278182525999</v>
      </c>
      <c r="T663">
        <v>0.92220000000000002</v>
      </c>
      <c r="W663">
        <f t="shared" si="40"/>
        <v>264625</v>
      </c>
      <c r="X663">
        <f t="shared" si="41"/>
        <v>0.92166666686534882</v>
      </c>
      <c r="Y663">
        <f t="shared" si="42"/>
        <v>0.92220000000000002</v>
      </c>
      <c r="Z663">
        <f t="shared" si="43"/>
        <v>12.158278182525999</v>
      </c>
    </row>
    <row r="664" spans="1:26" hidden="1" x14ac:dyDescent="0.25">
      <c r="A664" t="s">
        <v>106</v>
      </c>
      <c r="B664">
        <v>9</v>
      </c>
      <c r="C664">
        <v>5</v>
      </c>
      <c r="D664">
        <v>0</v>
      </c>
      <c r="E664" t="s">
        <v>121</v>
      </c>
      <c r="F664">
        <v>265354</v>
      </c>
      <c r="G664">
        <v>575532226</v>
      </c>
      <c r="H664">
        <v>0.75277778506278992</v>
      </c>
      <c r="I664">
        <v>0.95833333333333326</v>
      </c>
      <c r="J664">
        <v>36990923.5</v>
      </c>
      <c r="K664">
        <v>264625</v>
      </c>
      <c r="L664">
        <v>2</v>
      </c>
      <c r="M664">
        <v>345</v>
      </c>
      <c r="N664">
        <v>0.95111111111111113</v>
      </c>
      <c r="O664">
        <v>36548384.5</v>
      </c>
      <c r="P664">
        <v>266084</v>
      </c>
      <c r="Q664">
        <v>2</v>
      </c>
      <c r="R664">
        <v>346</v>
      </c>
      <c r="S664">
        <v>12.173322377430841</v>
      </c>
      <c r="T664">
        <v>0.88766666666666671</v>
      </c>
      <c r="W664">
        <f t="shared" si="40"/>
        <v>264625</v>
      </c>
      <c r="X664">
        <f t="shared" si="41"/>
        <v>0.75277778506278992</v>
      </c>
      <c r="Y664">
        <f t="shared" si="42"/>
        <v>0.88766666666666671</v>
      </c>
      <c r="Z664">
        <f t="shared" si="43"/>
        <v>12.173322377430841</v>
      </c>
    </row>
    <row r="665" spans="1:26" hidden="1" x14ac:dyDescent="0.25">
      <c r="A665" t="s">
        <v>106</v>
      </c>
      <c r="B665">
        <v>5</v>
      </c>
      <c r="C665">
        <v>3</v>
      </c>
      <c r="D665">
        <v>0</v>
      </c>
      <c r="E665" t="s">
        <v>280</v>
      </c>
      <c r="F665">
        <v>266609</v>
      </c>
      <c r="G665">
        <v>680684445.28571427</v>
      </c>
      <c r="H665">
        <v>0.96888888733727596</v>
      </c>
      <c r="I665">
        <v>0.96571428571428575</v>
      </c>
      <c r="J665">
        <v>36585670.714285716</v>
      </c>
      <c r="K665">
        <v>266084</v>
      </c>
      <c r="L665">
        <v>2</v>
      </c>
      <c r="M665">
        <v>346</v>
      </c>
      <c r="N665">
        <v>0.97396825396825393</v>
      </c>
      <c r="O665">
        <v>36869682.571428575</v>
      </c>
      <c r="P665">
        <v>267547</v>
      </c>
      <c r="Q665">
        <v>2</v>
      </c>
      <c r="R665">
        <v>347</v>
      </c>
      <c r="S665">
        <v>11.581682562973832</v>
      </c>
      <c r="T665">
        <v>0.9635802606741587</v>
      </c>
      <c r="W665">
        <f t="shared" si="40"/>
        <v>266084</v>
      </c>
      <c r="X665">
        <f t="shared" si="41"/>
        <v>0.96888888733727596</v>
      </c>
      <c r="Y665">
        <f t="shared" si="42"/>
        <v>0.9635802606741587</v>
      </c>
      <c r="Z665">
        <f t="shared" si="43"/>
        <v>11.581682562973832</v>
      </c>
    </row>
    <row r="666" spans="1:26" hidden="1" x14ac:dyDescent="0.25">
      <c r="A666" t="s">
        <v>106</v>
      </c>
      <c r="B666">
        <v>5</v>
      </c>
      <c r="C666">
        <v>4</v>
      </c>
      <c r="D666">
        <v>0</v>
      </c>
      <c r="E666" t="s">
        <v>291</v>
      </c>
      <c r="F666">
        <v>267427</v>
      </c>
      <c r="G666">
        <v>683693608.75</v>
      </c>
      <c r="H666">
        <v>0.9605555534362793</v>
      </c>
      <c r="I666">
        <v>0.9655555555555555</v>
      </c>
      <c r="J666">
        <v>37751654.5</v>
      </c>
      <c r="K666">
        <v>266084</v>
      </c>
      <c r="L666">
        <v>2</v>
      </c>
      <c r="M666">
        <v>346</v>
      </c>
      <c r="N666">
        <v>0.96666666666666667</v>
      </c>
      <c r="O666">
        <v>38158773</v>
      </c>
      <c r="P666">
        <v>267547</v>
      </c>
      <c r="Q666">
        <v>2</v>
      </c>
      <c r="R666">
        <v>347</v>
      </c>
      <c r="S666">
        <v>11.606852532064792</v>
      </c>
      <c r="T666">
        <v>0.95185184478759766</v>
      </c>
      <c r="W666">
        <f t="shared" si="40"/>
        <v>266084</v>
      </c>
      <c r="X666">
        <f t="shared" si="41"/>
        <v>0.9605555534362793</v>
      </c>
      <c r="Y666">
        <f t="shared" si="42"/>
        <v>0.95185184478759766</v>
      </c>
      <c r="Z666">
        <f t="shared" si="43"/>
        <v>11.606852532064792</v>
      </c>
    </row>
    <row r="667" spans="1:26" hidden="1" x14ac:dyDescent="0.25">
      <c r="A667" t="s">
        <v>106</v>
      </c>
      <c r="B667">
        <v>5</v>
      </c>
      <c r="C667">
        <v>5</v>
      </c>
      <c r="D667">
        <v>0</v>
      </c>
      <c r="E667" t="s">
        <v>289</v>
      </c>
      <c r="F667">
        <v>266225</v>
      </c>
      <c r="G667">
        <v>872239437.75</v>
      </c>
      <c r="H667">
        <v>0.87444445490837097</v>
      </c>
      <c r="I667">
        <v>0.97333333333333338</v>
      </c>
      <c r="J667">
        <v>36552053.5</v>
      </c>
      <c r="K667">
        <v>266084</v>
      </c>
      <c r="L667">
        <v>2</v>
      </c>
      <c r="M667">
        <v>346</v>
      </c>
      <c r="N667">
        <v>0.98055555555555551</v>
      </c>
      <c r="O667">
        <v>38525747.75</v>
      </c>
      <c r="P667">
        <v>267547</v>
      </c>
      <c r="Q667">
        <v>2</v>
      </c>
      <c r="R667">
        <v>347</v>
      </c>
      <c r="S667">
        <v>11.652907734217695</v>
      </c>
      <c r="T667">
        <v>0.87530865271886193</v>
      </c>
      <c r="W667">
        <f t="shared" si="40"/>
        <v>266084</v>
      </c>
      <c r="X667">
        <f t="shared" si="41"/>
        <v>0.87444445490837097</v>
      </c>
      <c r="Y667">
        <f t="shared" si="42"/>
        <v>0.87530865271886193</v>
      </c>
      <c r="Z667">
        <f t="shared" si="43"/>
        <v>11.652907734217695</v>
      </c>
    </row>
    <row r="668" spans="1:26" hidden="1" x14ac:dyDescent="0.25">
      <c r="A668" t="s">
        <v>106</v>
      </c>
      <c r="B668">
        <v>9</v>
      </c>
      <c r="C668">
        <v>2</v>
      </c>
      <c r="D668">
        <v>0</v>
      </c>
      <c r="E668" t="s">
        <v>268</v>
      </c>
      <c r="F668">
        <v>266737</v>
      </c>
      <c r="G668">
        <v>1175398887.25</v>
      </c>
      <c r="H668">
        <v>0.89388887584209442</v>
      </c>
      <c r="I668">
        <v>0.95944444444444443</v>
      </c>
      <c r="J668">
        <v>35889817.25</v>
      </c>
      <c r="K668">
        <v>266084</v>
      </c>
      <c r="L668">
        <v>2</v>
      </c>
      <c r="M668">
        <v>346</v>
      </c>
      <c r="N668">
        <v>0.96111111111111114</v>
      </c>
      <c r="O668">
        <v>35605079.5</v>
      </c>
      <c r="P668">
        <v>267547</v>
      </c>
      <c r="Q668">
        <v>2</v>
      </c>
      <c r="R668">
        <v>347</v>
      </c>
      <c r="S668">
        <v>11.899425287356323</v>
      </c>
      <c r="T668">
        <v>0.89135801792144775</v>
      </c>
      <c r="W668">
        <f t="shared" si="40"/>
        <v>266084</v>
      </c>
      <c r="X668">
        <f t="shared" si="41"/>
        <v>0.89388887584209442</v>
      </c>
      <c r="Y668">
        <f t="shared" si="42"/>
        <v>0.89135801792144775</v>
      </c>
      <c r="Z668">
        <f t="shared" si="43"/>
        <v>11.899425287356323</v>
      </c>
    </row>
    <row r="669" spans="1:26" hidden="1" x14ac:dyDescent="0.25">
      <c r="A669" t="s">
        <v>106</v>
      </c>
      <c r="B669">
        <v>9</v>
      </c>
      <c r="C669">
        <v>3</v>
      </c>
      <c r="D669">
        <v>0</v>
      </c>
      <c r="E669" t="s">
        <v>168</v>
      </c>
      <c r="F669">
        <v>266996</v>
      </c>
      <c r="G669">
        <v>695861992.5</v>
      </c>
      <c r="H669">
        <v>0.89888888597488403</v>
      </c>
      <c r="I669">
        <v>0.96666666666666667</v>
      </c>
      <c r="J669">
        <v>36509656</v>
      </c>
      <c r="K669">
        <v>266084</v>
      </c>
      <c r="L669">
        <v>2</v>
      </c>
      <c r="M669">
        <v>346</v>
      </c>
      <c r="N669">
        <v>0.96888888888888891</v>
      </c>
      <c r="O669">
        <v>36192994</v>
      </c>
      <c r="P669">
        <v>267547</v>
      </c>
      <c r="Q669">
        <v>2</v>
      </c>
      <c r="R669">
        <v>347</v>
      </c>
      <c r="S669">
        <v>12.055470737913486</v>
      </c>
      <c r="T669">
        <v>0.91481480995814002</v>
      </c>
      <c r="W669">
        <f t="shared" si="40"/>
        <v>266084</v>
      </c>
      <c r="X669">
        <f t="shared" si="41"/>
        <v>0.89888888597488403</v>
      </c>
      <c r="Y669">
        <f t="shared" si="42"/>
        <v>0.91481480995814002</v>
      </c>
      <c r="Z669">
        <f t="shared" si="43"/>
        <v>12.055470737913486</v>
      </c>
    </row>
    <row r="670" spans="1:26" hidden="1" x14ac:dyDescent="0.25">
      <c r="A670" t="s">
        <v>106</v>
      </c>
      <c r="B670">
        <v>9</v>
      </c>
      <c r="C670">
        <v>4</v>
      </c>
      <c r="D670">
        <v>0</v>
      </c>
      <c r="E670" t="s">
        <v>264</v>
      </c>
      <c r="F670">
        <v>267213</v>
      </c>
      <c r="G670">
        <v>513230067</v>
      </c>
      <c r="H670">
        <v>0.91555553674697876</v>
      </c>
      <c r="I670">
        <v>0.97333333333333338</v>
      </c>
      <c r="J670">
        <v>35629248.75</v>
      </c>
      <c r="K670">
        <v>266084</v>
      </c>
      <c r="L670">
        <v>2</v>
      </c>
      <c r="M670">
        <v>346</v>
      </c>
      <c r="N670">
        <v>0.96611111111111114</v>
      </c>
      <c r="O670">
        <v>33488033.5</v>
      </c>
      <c r="P670">
        <v>267547</v>
      </c>
      <c r="Q670">
        <v>2</v>
      </c>
      <c r="R670">
        <v>347</v>
      </c>
      <c r="S670">
        <v>12.158798999165972</v>
      </c>
      <c r="T670">
        <v>0.93206666666666671</v>
      </c>
      <c r="W670">
        <f t="shared" si="40"/>
        <v>266084</v>
      </c>
      <c r="X670">
        <f t="shared" si="41"/>
        <v>0.91555553674697876</v>
      </c>
      <c r="Y670">
        <f t="shared" si="42"/>
        <v>0.93206666666666671</v>
      </c>
      <c r="Z670">
        <f t="shared" si="43"/>
        <v>12.158798999165972</v>
      </c>
    </row>
    <row r="671" spans="1:26" hidden="1" x14ac:dyDescent="0.25">
      <c r="A671" t="s">
        <v>106</v>
      </c>
      <c r="B671">
        <v>5</v>
      </c>
      <c r="C671">
        <v>4</v>
      </c>
      <c r="D671">
        <v>0</v>
      </c>
      <c r="E671" t="s">
        <v>211</v>
      </c>
      <c r="F671">
        <v>268984</v>
      </c>
      <c r="G671">
        <v>790246645.5</v>
      </c>
      <c r="H671">
        <v>0.93999999761581421</v>
      </c>
      <c r="I671">
        <v>0.95444444444444443</v>
      </c>
      <c r="J671">
        <v>37615132.75</v>
      </c>
      <c r="K671">
        <v>267547</v>
      </c>
      <c r="L671">
        <v>2</v>
      </c>
      <c r="M671">
        <v>347</v>
      </c>
      <c r="N671">
        <v>0.9588888888888889</v>
      </c>
      <c r="O671">
        <v>37047605.25</v>
      </c>
      <c r="P671">
        <v>269014</v>
      </c>
      <c r="Q671">
        <v>2</v>
      </c>
      <c r="R671">
        <v>348</v>
      </c>
      <c r="S671">
        <v>11.608331828306543</v>
      </c>
      <c r="T671">
        <v>0.95432098706563318</v>
      </c>
      <c r="W671">
        <f t="shared" si="40"/>
        <v>267547</v>
      </c>
      <c r="X671">
        <f t="shared" si="41"/>
        <v>0.93999999761581421</v>
      </c>
      <c r="Y671">
        <f t="shared" si="42"/>
        <v>0.95432098706563318</v>
      </c>
      <c r="Z671">
        <f t="shared" si="43"/>
        <v>11.608331828306543</v>
      </c>
    </row>
    <row r="672" spans="1:26" hidden="1" x14ac:dyDescent="0.25">
      <c r="A672" t="s">
        <v>106</v>
      </c>
      <c r="B672">
        <v>5</v>
      </c>
      <c r="C672">
        <v>5</v>
      </c>
      <c r="D672">
        <v>0</v>
      </c>
      <c r="E672" t="s">
        <v>223</v>
      </c>
      <c r="F672">
        <v>268964</v>
      </c>
      <c r="G672">
        <v>550062646.85714281</v>
      </c>
      <c r="H672">
        <v>0.85365079130445209</v>
      </c>
      <c r="I672">
        <v>0.96349206349206351</v>
      </c>
      <c r="J672">
        <v>30585465.428571429</v>
      </c>
      <c r="K672">
        <v>267547</v>
      </c>
      <c r="L672">
        <v>2</v>
      </c>
      <c r="M672">
        <v>347</v>
      </c>
      <c r="N672">
        <v>0.96571428571428575</v>
      </c>
      <c r="O672">
        <v>31078647.142857142</v>
      </c>
      <c r="P672">
        <v>269014</v>
      </c>
      <c r="Q672">
        <v>2</v>
      </c>
      <c r="R672">
        <v>348</v>
      </c>
      <c r="S672">
        <v>11.655005031669923</v>
      </c>
      <c r="T672">
        <v>0.88271852933565775</v>
      </c>
      <c r="W672">
        <f t="shared" si="40"/>
        <v>267547</v>
      </c>
      <c r="X672">
        <f t="shared" si="41"/>
        <v>0.85365079130445209</v>
      </c>
      <c r="Y672">
        <f t="shared" si="42"/>
        <v>0.88271852933565775</v>
      </c>
      <c r="Z672">
        <f t="shared" si="43"/>
        <v>11.655005031669923</v>
      </c>
    </row>
    <row r="673" spans="1:26" hidden="1" x14ac:dyDescent="0.25">
      <c r="A673" t="s">
        <v>106</v>
      </c>
      <c r="B673">
        <v>9</v>
      </c>
      <c r="C673">
        <v>3</v>
      </c>
      <c r="D673">
        <v>0</v>
      </c>
      <c r="E673" t="s">
        <v>259</v>
      </c>
      <c r="F673">
        <v>267747</v>
      </c>
      <c r="G673">
        <v>761256671.5</v>
      </c>
      <c r="H673">
        <v>0.91944444179534912</v>
      </c>
      <c r="I673">
        <v>0.9655555555555555</v>
      </c>
      <c r="J673">
        <v>34430062</v>
      </c>
      <c r="K673">
        <v>267547</v>
      </c>
      <c r="L673">
        <v>2</v>
      </c>
      <c r="M673">
        <v>347</v>
      </c>
      <c r="N673">
        <v>0.96944444444444444</v>
      </c>
      <c r="O673">
        <v>33878501.5</v>
      </c>
      <c r="P673">
        <v>269014</v>
      </c>
      <c r="Q673">
        <v>2</v>
      </c>
      <c r="R673">
        <v>348</v>
      </c>
      <c r="S673">
        <v>12.057889083611284</v>
      </c>
      <c r="T673">
        <v>0.90493826071421302</v>
      </c>
      <c r="W673">
        <f t="shared" si="40"/>
        <v>267547</v>
      </c>
      <c r="X673">
        <f t="shared" si="41"/>
        <v>0.91944444179534912</v>
      </c>
      <c r="Y673">
        <f t="shared" si="42"/>
        <v>0.90493826071421302</v>
      </c>
      <c r="Z673">
        <f t="shared" si="43"/>
        <v>12.057889083611284</v>
      </c>
    </row>
    <row r="674" spans="1:26" hidden="1" x14ac:dyDescent="0.25">
      <c r="A674" t="s">
        <v>106</v>
      </c>
      <c r="B674">
        <v>9</v>
      </c>
      <c r="C674">
        <v>5</v>
      </c>
      <c r="D674">
        <v>0</v>
      </c>
      <c r="E674" t="s">
        <v>217</v>
      </c>
      <c r="F674">
        <v>268944</v>
      </c>
      <c r="G674">
        <v>475685773.14285713</v>
      </c>
      <c r="H674">
        <v>0.73555554662431988</v>
      </c>
      <c r="I674">
        <v>0.96126984126984127</v>
      </c>
      <c r="J674">
        <v>35675550.571428575</v>
      </c>
      <c r="K674">
        <v>267547</v>
      </c>
      <c r="L674">
        <v>2</v>
      </c>
      <c r="M674">
        <v>347</v>
      </c>
      <c r="N674">
        <v>0.95777777777777784</v>
      </c>
      <c r="O674">
        <v>35351391</v>
      </c>
      <c r="P674">
        <v>269014</v>
      </c>
      <c r="Q674">
        <v>2</v>
      </c>
      <c r="R674">
        <v>348</v>
      </c>
      <c r="S674">
        <v>12.173255941298873</v>
      </c>
      <c r="T674">
        <v>0.85306666666666664</v>
      </c>
      <c r="W674">
        <f t="shared" si="40"/>
        <v>267547</v>
      </c>
      <c r="X674">
        <f t="shared" si="41"/>
        <v>0.73555554662431988</v>
      </c>
      <c r="Y674">
        <f t="shared" si="42"/>
        <v>0.85306666666666664</v>
      </c>
      <c r="Z674">
        <f t="shared" si="43"/>
        <v>12.173255941298873</v>
      </c>
    </row>
    <row r="675" spans="1:26" hidden="1" x14ac:dyDescent="0.25">
      <c r="A675" t="s">
        <v>106</v>
      </c>
      <c r="B675">
        <v>5</v>
      </c>
      <c r="C675">
        <v>4</v>
      </c>
      <c r="D675">
        <v>0</v>
      </c>
      <c r="E675" t="s">
        <v>272</v>
      </c>
      <c r="F675">
        <v>270121</v>
      </c>
      <c r="G675">
        <v>624049445.25</v>
      </c>
      <c r="H675">
        <v>0.94277778267860413</v>
      </c>
      <c r="I675">
        <v>0.95833333333333326</v>
      </c>
      <c r="J675">
        <v>36116732.5</v>
      </c>
      <c r="K675">
        <v>269014</v>
      </c>
      <c r="L675">
        <v>2</v>
      </c>
      <c r="M675">
        <v>348</v>
      </c>
      <c r="N675">
        <v>0.96111111111111114</v>
      </c>
      <c r="O675">
        <v>37513665</v>
      </c>
      <c r="P675">
        <v>270485</v>
      </c>
      <c r="Q675">
        <v>2</v>
      </c>
      <c r="R675">
        <v>349</v>
      </c>
      <c r="S675">
        <v>11.609208546494132</v>
      </c>
      <c r="T675">
        <v>0.95061727364857995</v>
      </c>
      <c r="W675">
        <f t="shared" si="40"/>
        <v>269014</v>
      </c>
      <c r="X675">
        <f t="shared" si="41"/>
        <v>0.94277778267860413</v>
      </c>
      <c r="Y675">
        <f t="shared" si="42"/>
        <v>0.95061727364857995</v>
      </c>
      <c r="Z675">
        <f t="shared" si="43"/>
        <v>11.609208546494132</v>
      </c>
    </row>
    <row r="676" spans="1:26" hidden="1" x14ac:dyDescent="0.25">
      <c r="A676" t="s">
        <v>106</v>
      </c>
      <c r="B676">
        <v>9</v>
      </c>
      <c r="C676">
        <v>4</v>
      </c>
      <c r="D676">
        <v>0</v>
      </c>
      <c r="E676" t="s">
        <v>282</v>
      </c>
      <c r="F676">
        <v>270159</v>
      </c>
      <c r="G676">
        <v>618379633</v>
      </c>
      <c r="H676">
        <v>0.9126984051295689</v>
      </c>
      <c r="I676">
        <v>0.96190476190476193</v>
      </c>
      <c r="J676">
        <v>40036379.285714284</v>
      </c>
      <c r="K676">
        <v>269014</v>
      </c>
      <c r="L676">
        <v>2</v>
      </c>
      <c r="M676">
        <v>348</v>
      </c>
      <c r="N676">
        <v>0.96507936507936509</v>
      </c>
      <c r="O676">
        <v>38489075.571428575</v>
      </c>
      <c r="P676">
        <v>270485</v>
      </c>
      <c r="Q676">
        <v>2</v>
      </c>
      <c r="R676">
        <v>349</v>
      </c>
      <c r="S676">
        <v>12.159904401956425</v>
      </c>
      <c r="T676">
        <v>0.92220000000000002</v>
      </c>
      <c r="W676">
        <f t="shared" si="40"/>
        <v>269014</v>
      </c>
      <c r="X676">
        <f t="shared" si="41"/>
        <v>0.9126984051295689</v>
      </c>
      <c r="Y676">
        <f t="shared" si="42"/>
        <v>0.92220000000000002</v>
      </c>
      <c r="Z676">
        <f t="shared" si="43"/>
        <v>12.159904401956425</v>
      </c>
    </row>
    <row r="677" spans="1:26" hidden="1" x14ac:dyDescent="0.25">
      <c r="A677" t="s">
        <v>106</v>
      </c>
      <c r="B677">
        <v>5</v>
      </c>
      <c r="C677">
        <v>4</v>
      </c>
      <c r="D677">
        <v>0</v>
      </c>
      <c r="E677" t="s">
        <v>260</v>
      </c>
      <c r="F677">
        <v>271135</v>
      </c>
      <c r="G677">
        <v>509094179.5</v>
      </c>
      <c r="H677">
        <v>0.9422222226858139</v>
      </c>
      <c r="I677">
        <v>0.96166666666666667</v>
      </c>
      <c r="J677">
        <v>36873042.75</v>
      </c>
      <c r="K677">
        <v>270485</v>
      </c>
      <c r="L677">
        <v>2</v>
      </c>
      <c r="M677">
        <v>349</v>
      </c>
      <c r="N677">
        <v>0.9655555555555555</v>
      </c>
      <c r="O677">
        <v>36866032.5</v>
      </c>
      <c r="P677">
        <v>271960</v>
      </c>
      <c r="Q677">
        <v>2</v>
      </c>
      <c r="R677">
        <v>350</v>
      </c>
      <c r="S677">
        <v>11.609723810096877</v>
      </c>
      <c r="T677">
        <v>0.95308641592661536</v>
      </c>
      <c r="W677">
        <f t="shared" si="40"/>
        <v>270485</v>
      </c>
      <c r="X677">
        <f t="shared" si="41"/>
        <v>0.9422222226858139</v>
      </c>
      <c r="Y677">
        <f t="shared" si="42"/>
        <v>0.95308641592661536</v>
      </c>
      <c r="Z677">
        <f t="shared" si="43"/>
        <v>11.609723810096877</v>
      </c>
    </row>
    <row r="678" spans="1:26" hidden="1" x14ac:dyDescent="0.25">
      <c r="A678" t="s">
        <v>106</v>
      </c>
      <c r="B678">
        <v>5</v>
      </c>
      <c r="C678">
        <v>5</v>
      </c>
      <c r="D678">
        <v>0</v>
      </c>
      <c r="E678" t="s">
        <v>276</v>
      </c>
      <c r="F678">
        <v>271223</v>
      </c>
      <c r="G678">
        <v>533198814.14285713</v>
      </c>
      <c r="H678">
        <v>0.87809523514338905</v>
      </c>
      <c r="I678">
        <v>0.96253968253968258</v>
      </c>
      <c r="J678">
        <v>31442193.428571429</v>
      </c>
      <c r="K678">
        <v>270485</v>
      </c>
      <c r="L678">
        <v>2</v>
      </c>
      <c r="M678">
        <v>349</v>
      </c>
      <c r="N678">
        <v>0.95365079365079364</v>
      </c>
      <c r="O678">
        <v>32624919.571428571</v>
      </c>
      <c r="P678">
        <v>271960</v>
      </c>
      <c r="Q678">
        <v>2</v>
      </c>
      <c r="R678">
        <v>350</v>
      </c>
      <c r="S678">
        <v>11.656272189349112</v>
      </c>
      <c r="T678">
        <v>0.90308025272687276</v>
      </c>
      <c r="W678">
        <f t="shared" si="40"/>
        <v>270485</v>
      </c>
      <c r="X678">
        <f t="shared" si="41"/>
        <v>0.87809523514338905</v>
      </c>
      <c r="Y678">
        <f t="shared" si="42"/>
        <v>0.90308025272687276</v>
      </c>
      <c r="Z678">
        <f t="shared" si="43"/>
        <v>11.656272189349112</v>
      </c>
    </row>
    <row r="679" spans="1:26" hidden="1" x14ac:dyDescent="0.25">
      <c r="A679" t="s">
        <v>106</v>
      </c>
      <c r="B679">
        <v>9</v>
      </c>
      <c r="C679">
        <v>3</v>
      </c>
      <c r="D679">
        <v>0</v>
      </c>
      <c r="E679" t="s">
        <v>240</v>
      </c>
      <c r="F679">
        <v>271128</v>
      </c>
      <c r="G679">
        <v>629708475.25</v>
      </c>
      <c r="H679">
        <v>0.92111110687255859</v>
      </c>
      <c r="I679">
        <v>0.9655555555555555</v>
      </c>
      <c r="J679">
        <v>34825337</v>
      </c>
      <c r="K679">
        <v>270485</v>
      </c>
      <c r="L679">
        <v>2</v>
      </c>
      <c r="M679">
        <v>349</v>
      </c>
      <c r="N679">
        <v>0.9622222222222222</v>
      </c>
      <c r="O679">
        <v>35268881.75</v>
      </c>
      <c r="P679">
        <v>271960</v>
      </c>
      <c r="Q679">
        <v>2</v>
      </c>
      <c r="R679">
        <v>350</v>
      </c>
      <c r="S679">
        <v>12.059175945289097</v>
      </c>
      <c r="T679">
        <v>0.90618640797932948</v>
      </c>
      <c r="W679">
        <f t="shared" si="40"/>
        <v>270485</v>
      </c>
      <c r="X679">
        <f t="shared" si="41"/>
        <v>0.92111110687255859</v>
      </c>
      <c r="Y679">
        <f t="shared" si="42"/>
        <v>0.90618640797932948</v>
      </c>
      <c r="Z679">
        <f t="shared" si="43"/>
        <v>12.059175945289097</v>
      </c>
    </row>
    <row r="680" spans="1:26" hidden="1" x14ac:dyDescent="0.25">
      <c r="A680" t="s">
        <v>106</v>
      </c>
      <c r="B680">
        <v>5</v>
      </c>
      <c r="C680">
        <v>5</v>
      </c>
      <c r="D680">
        <v>0</v>
      </c>
      <c r="E680" t="s">
        <v>189</v>
      </c>
      <c r="F680">
        <v>273002</v>
      </c>
      <c r="G680">
        <v>622493256.85714281</v>
      </c>
      <c r="H680">
        <v>0.90698414189474919</v>
      </c>
      <c r="I680">
        <v>0.95777777777777773</v>
      </c>
      <c r="J680">
        <v>32346450.571428571</v>
      </c>
      <c r="K680">
        <v>271960</v>
      </c>
      <c r="L680">
        <v>2</v>
      </c>
      <c r="M680">
        <v>350</v>
      </c>
      <c r="N680">
        <v>0.95936507936507942</v>
      </c>
      <c r="O680">
        <v>32383856.857142858</v>
      </c>
      <c r="P680">
        <v>273439</v>
      </c>
      <c r="Q680">
        <v>2</v>
      </c>
      <c r="R680">
        <v>351</v>
      </c>
      <c r="S680">
        <v>11.658839533920862</v>
      </c>
      <c r="T680">
        <v>0.91049383083979285</v>
      </c>
      <c r="W680">
        <f t="shared" si="40"/>
        <v>271960</v>
      </c>
      <c r="X680">
        <f t="shared" si="41"/>
        <v>0.90698414189474919</v>
      </c>
      <c r="Y680">
        <f t="shared" si="42"/>
        <v>0.91049383083979285</v>
      </c>
      <c r="Z680">
        <f t="shared" si="43"/>
        <v>11.658839533920862</v>
      </c>
    </row>
    <row r="681" spans="1:26" hidden="1" x14ac:dyDescent="0.25">
      <c r="A681" t="s">
        <v>106</v>
      </c>
      <c r="B681">
        <v>9</v>
      </c>
      <c r="C681">
        <v>2</v>
      </c>
      <c r="D681">
        <v>0</v>
      </c>
      <c r="E681" t="s">
        <v>286</v>
      </c>
      <c r="F681">
        <v>273155</v>
      </c>
      <c r="G681">
        <v>1223876392.9000001</v>
      </c>
      <c r="H681">
        <v>0.89577778577804568</v>
      </c>
      <c r="I681">
        <v>0.96333333333333337</v>
      </c>
      <c r="J681">
        <v>37617415.299999997</v>
      </c>
      <c r="K681">
        <v>271960</v>
      </c>
      <c r="L681">
        <v>2</v>
      </c>
      <c r="M681">
        <v>350</v>
      </c>
      <c r="N681">
        <v>0.9635555555555555</v>
      </c>
      <c r="O681">
        <v>37429876.299999997</v>
      </c>
      <c r="P681">
        <v>273439</v>
      </c>
      <c r="Q681">
        <v>2</v>
      </c>
      <c r="R681">
        <v>351</v>
      </c>
      <c r="S681">
        <v>11.907237219988513</v>
      </c>
      <c r="T681">
        <v>0.88106996483272981</v>
      </c>
      <c r="W681">
        <f t="shared" si="40"/>
        <v>271960</v>
      </c>
      <c r="X681">
        <f t="shared" si="41"/>
        <v>0.89577778577804568</v>
      </c>
      <c r="Y681">
        <f t="shared" si="42"/>
        <v>0.88106996483272981</v>
      </c>
      <c r="Z681">
        <f t="shared" si="43"/>
        <v>11.907237219988513</v>
      </c>
    </row>
    <row r="682" spans="1:26" hidden="1" x14ac:dyDescent="0.25">
      <c r="A682" t="s">
        <v>106</v>
      </c>
      <c r="B682">
        <v>9</v>
      </c>
      <c r="C682">
        <v>3</v>
      </c>
      <c r="D682">
        <v>0</v>
      </c>
      <c r="E682" t="s">
        <v>284</v>
      </c>
      <c r="F682">
        <v>272979</v>
      </c>
      <c r="G682">
        <v>732974283.71428573</v>
      </c>
      <c r="H682">
        <v>0.90634919915880474</v>
      </c>
      <c r="I682">
        <v>0.96380952380952378</v>
      </c>
      <c r="J682">
        <v>38597807.571428575</v>
      </c>
      <c r="K682">
        <v>271960</v>
      </c>
      <c r="L682">
        <v>2</v>
      </c>
      <c r="M682">
        <v>350</v>
      </c>
      <c r="N682">
        <v>0.95460317460317468</v>
      </c>
      <c r="O682">
        <v>37642879.142857142</v>
      </c>
      <c r="P682">
        <v>273439</v>
      </c>
      <c r="Q682">
        <v>2</v>
      </c>
      <c r="R682">
        <v>351</v>
      </c>
      <c r="S682">
        <v>12.061694915254238</v>
      </c>
      <c r="T682">
        <v>0.93519321392377219</v>
      </c>
      <c r="W682">
        <f t="shared" si="40"/>
        <v>271960</v>
      </c>
      <c r="X682">
        <f t="shared" si="41"/>
        <v>0.90634919915880474</v>
      </c>
      <c r="Y682">
        <f t="shared" si="42"/>
        <v>0.93519321392377219</v>
      </c>
      <c r="Z682">
        <f t="shared" si="43"/>
        <v>12.061694915254238</v>
      </c>
    </row>
    <row r="683" spans="1:26" hidden="1" x14ac:dyDescent="0.25">
      <c r="A683" t="s">
        <v>106</v>
      </c>
      <c r="B683">
        <v>9</v>
      </c>
      <c r="C683">
        <v>4</v>
      </c>
      <c r="D683">
        <v>0</v>
      </c>
      <c r="E683" t="s">
        <v>208</v>
      </c>
      <c r="F683">
        <v>272762</v>
      </c>
      <c r="G683">
        <v>426240267.25</v>
      </c>
      <c r="H683">
        <v>0.9005555659532547</v>
      </c>
      <c r="I683">
        <v>0.95</v>
      </c>
      <c r="J683">
        <v>39226004.5</v>
      </c>
      <c r="K683">
        <v>271960</v>
      </c>
      <c r="L683">
        <v>2</v>
      </c>
      <c r="M683">
        <v>350</v>
      </c>
      <c r="N683">
        <v>0.95166666666666666</v>
      </c>
      <c r="O683">
        <v>36817329.25</v>
      </c>
      <c r="P683">
        <v>273439</v>
      </c>
      <c r="Q683">
        <v>2</v>
      </c>
      <c r="R683">
        <v>351</v>
      </c>
      <c r="S683">
        <v>12.159591020226717</v>
      </c>
      <c r="T683">
        <v>0.91233333333333333</v>
      </c>
      <c r="W683">
        <f t="shared" si="40"/>
        <v>271960</v>
      </c>
      <c r="X683">
        <f t="shared" si="41"/>
        <v>0.9005555659532547</v>
      </c>
      <c r="Y683">
        <f t="shared" si="42"/>
        <v>0.91233333333333333</v>
      </c>
      <c r="Z683">
        <f t="shared" si="43"/>
        <v>12.159591020226717</v>
      </c>
    </row>
    <row r="684" spans="1:26" hidden="1" x14ac:dyDescent="0.25">
      <c r="A684" t="s">
        <v>106</v>
      </c>
      <c r="B684">
        <v>9</v>
      </c>
      <c r="C684">
        <v>5</v>
      </c>
      <c r="D684">
        <v>0</v>
      </c>
      <c r="E684" t="s">
        <v>274</v>
      </c>
      <c r="F684">
        <v>272699</v>
      </c>
      <c r="G684">
        <v>511899624.80000001</v>
      </c>
      <c r="H684">
        <v>0.57844443768262865</v>
      </c>
      <c r="I684">
        <v>0.9662222222222222</v>
      </c>
      <c r="J684">
        <v>36633409.600000001</v>
      </c>
      <c r="K684">
        <v>271960</v>
      </c>
      <c r="L684">
        <v>2</v>
      </c>
      <c r="M684">
        <v>350</v>
      </c>
      <c r="N684">
        <v>0.96533333333333338</v>
      </c>
      <c r="O684">
        <v>35939852</v>
      </c>
      <c r="P684">
        <v>273439</v>
      </c>
      <c r="Q684">
        <v>2</v>
      </c>
      <c r="R684">
        <v>351</v>
      </c>
      <c r="S684">
        <v>12.173653677758319</v>
      </c>
      <c r="T684">
        <v>0.82097777777777781</v>
      </c>
      <c r="W684">
        <f t="shared" si="40"/>
        <v>271960</v>
      </c>
      <c r="X684">
        <f t="shared" si="41"/>
        <v>0.57844443768262865</v>
      </c>
      <c r="Y684">
        <f t="shared" si="42"/>
        <v>0.82097777777777781</v>
      </c>
      <c r="Z684">
        <f t="shared" si="43"/>
        <v>12.173653677758319</v>
      </c>
    </row>
    <row r="685" spans="1:26" hidden="1" x14ac:dyDescent="0.25">
      <c r="A685" t="s">
        <v>106</v>
      </c>
      <c r="B685">
        <v>5</v>
      </c>
      <c r="C685">
        <v>3</v>
      </c>
      <c r="D685">
        <v>0</v>
      </c>
      <c r="E685" t="s">
        <v>287</v>
      </c>
      <c r="F685">
        <v>273559</v>
      </c>
      <c r="G685">
        <v>643735882.71428573</v>
      </c>
      <c r="H685">
        <v>0.97142856461661198</v>
      </c>
      <c r="I685">
        <v>0.96476190476190471</v>
      </c>
      <c r="J685">
        <v>37727257.714285716</v>
      </c>
      <c r="K685">
        <v>273439</v>
      </c>
      <c r="L685">
        <v>2</v>
      </c>
      <c r="M685">
        <v>351</v>
      </c>
      <c r="N685">
        <v>0.97206349206349207</v>
      </c>
      <c r="O685">
        <v>37722273</v>
      </c>
      <c r="P685">
        <v>274922</v>
      </c>
      <c r="Q685">
        <v>2</v>
      </c>
      <c r="R685">
        <v>352</v>
      </c>
      <c r="S685">
        <v>11.5830837865917</v>
      </c>
      <c r="T685">
        <v>0.97469135125478112</v>
      </c>
      <c r="W685">
        <f t="shared" si="40"/>
        <v>273439</v>
      </c>
      <c r="X685">
        <f t="shared" si="41"/>
        <v>0.97142856461661198</v>
      </c>
      <c r="Y685">
        <f t="shared" si="42"/>
        <v>0.97469135125478112</v>
      </c>
      <c r="Z685">
        <f t="shared" si="43"/>
        <v>11.5830837865917</v>
      </c>
    </row>
    <row r="686" spans="1:26" hidden="1" x14ac:dyDescent="0.25">
      <c r="A686" t="s">
        <v>106</v>
      </c>
      <c r="B686">
        <v>5</v>
      </c>
      <c r="C686">
        <v>5</v>
      </c>
      <c r="D686">
        <v>0</v>
      </c>
      <c r="E686" t="s">
        <v>265</v>
      </c>
      <c r="F686">
        <v>274301</v>
      </c>
      <c r="G686">
        <v>867301938</v>
      </c>
      <c r="H686">
        <v>0.89444445073604584</v>
      </c>
      <c r="I686">
        <v>0.9655555555555555</v>
      </c>
      <c r="J686">
        <v>38499616.25</v>
      </c>
      <c r="K686">
        <v>273439</v>
      </c>
      <c r="L686">
        <v>2</v>
      </c>
      <c r="M686">
        <v>351</v>
      </c>
      <c r="N686">
        <v>0.96722222222222221</v>
      </c>
      <c r="O686">
        <v>40262000.25</v>
      </c>
      <c r="P686">
        <v>274922</v>
      </c>
      <c r="Q686">
        <v>2</v>
      </c>
      <c r="R686">
        <v>352</v>
      </c>
      <c r="S686">
        <v>11.660043758500384</v>
      </c>
      <c r="T686">
        <v>0.90493826071421302</v>
      </c>
      <c r="W686">
        <f t="shared" si="40"/>
        <v>273439</v>
      </c>
      <c r="X686">
        <f t="shared" si="41"/>
        <v>0.89444445073604584</v>
      </c>
      <c r="Y686">
        <f t="shared" si="42"/>
        <v>0.90493826071421302</v>
      </c>
      <c r="Z686">
        <f t="shared" si="43"/>
        <v>11.660043758500384</v>
      </c>
    </row>
    <row r="687" spans="1:26" hidden="1" x14ac:dyDescent="0.25">
      <c r="A687" t="s">
        <v>106</v>
      </c>
      <c r="B687">
        <v>9</v>
      </c>
      <c r="C687">
        <v>2</v>
      </c>
      <c r="D687">
        <v>0</v>
      </c>
      <c r="E687" t="s">
        <v>273</v>
      </c>
      <c r="F687">
        <v>274073</v>
      </c>
      <c r="G687">
        <v>1173773019.5</v>
      </c>
      <c r="H687">
        <v>0.90555554628372192</v>
      </c>
      <c r="I687">
        <v>0.9588888888888889</v>
      </c>
      <c r="J687">
        <v>33810334.5</v>
      </c>
      <c r="K687">
        <v>273439</v>
      </c>
      <c r="L687">
        <v>2</v>
      </c>
      <c r="M687">
        <v>351</v>
      </c>
      <c r="N687">
        <v>0.95944444444444443</v>
      </c>
      <c r="O687">
        <v>36844880.25</v>
      </c>
      <c r="P687">
        <v>274922</v>
      </c>
      <c r="Q687">
        <v>2</v>
      </c>
      <c r="R687">
        <v>352</v>
      </c>
      <c r="S687">
        <v>11.910933731480418</v>
      </c>
      <c r="T687">
        <v>0.90864197413126624</v>
      </c>
      <c r="W687">
        <f t="shared" si="40"/>
        <v>273439</v>
      </c>
      <c r="X687">
        <f t="shared" si="41"/>
        <v>0.90555554628372192</v>
      </c>
      <c r="Y687">
        <f t="shared" si="42"/>
        <v>0.90864197413126624</v>
      </c>
      <c r="Z687">
        <f t="shared" si="43"/>
        <v>11.910933731480418</v>
      </c>
    </row>
    <row r="688" spans="1:26" hidden="1" x14ac:dyDescent="0.25">
      <c r="A688" t="s">
        <v>106</v>
      </c>
      <c r="B688">
        <v>9</v>
      </c>
      <c r="C688">
        <v>3</v>
      </c>
      <c r="D688">
        <v>0</v>
      </c>
      <c r="E688" t="s">
        <v>195</v>
      </c>
      <c r="F688">
        <v>274390</v>
      </c>
      <c r="G688">
        <v>745056053.85714281</v>
      </c>
      <c r="H688">
        <v>0.91777777671813965</v>
      </c>
      <c r="I688">
        <v>0.96380952380952378</v>
      </c>
      <c r="J688">
        <v>37049630.857142858</v>
      </c>
      <c r="K688">
        <v>273439</v>
      </c>
      <c r="L688">
        <v>2</v>
      </c>
      <c r="M688">
        <v>351</v>
      </c>
      <c r="N688">
        <v>0.96380952380952378</v>
      </c>
      <c r="O688">
        <v>37261223</v>
      </c>
      <c r="P688">
        <v>274922</v>
      </c>
      <c r="Q688">
        <v>2</v>
      </c>
      <c r="R688">
        <v>352</v>
      </c>
      <c r="S688">
        <v>12.063985994239566</v>
      </c>
      <c r="T688">
        <v>0.92221110448837285</v>
      </c>
      <c r="W688">
        <f t="shared" si="40"/>
        <v>273439</v>
      </c>
      <c r="X688">
        <f t="shared" si="41"/>
        <v>0.91777777671813965</v>
      </c>
      <c r="Y688">
        <f t="shared" si="42"/>
        <v>0.92221110448837285</v>
      </c>
      <c r="Z688">
        <f t="shared" si="43"/>
        <v>12.063985994239566</v>
      </c>
    </row>
    <row r="689" spans="1:26" hidden="1" x14ac:dyDescent="0.25">
      <c r="A689" t="s">
        <v>106</v>
      </c>
      <c r="B689">
        <v>9</v>
      </c>
      <c r="C689">
        <v>4</v>
      </c>
      <c r="D689">
        <v>0</v>
      </c>
      <c r="E689" t="s">
        <v>270</v>
      </c>
      <c r="F689">
        <v>274865</v>
      </c>
      <c r="G689">
        <v>494785626.5</v>
      </c>
      <c r="H689">
        <v>0.8911111056804657</v>
      </c>
      <c r="I689">
        <v>0.95833333333333337</v>
      </c>
      <c r="J689">
        <v>38413589.5</v>
      </c>
      <c r="K689">
        <v>273439</v>
      </c>
      <c r="L689">
        <v>2</v>
      </c>
      <c r="M689">
        <v>351</v>
      </c>
      <c r="N689">
        <v>0.96055555555555561</v>
      </c>
      <c r="O689">
        <v>37330628.5</v>
      </c>
      <c r="P689">
        <v>274922</v>
      </c>
      <c r="Q689">
        <v>2</v>
      </c>
      <c r="R689">
        <v>352</v>
      </c>
      <c r="S689">
        <v>12.1595</v>
      </c>
      <c r="T689">
        <v>0.88890000000000002</v>
      </c>
      <c r="W689">
        <f t="shared" si="40"/>
        <v>273439</v>
      </c>
      <c r="X689">
        <f t="shared" si="41"/>
        <v>0.8911111056804657</v>
      </c>
      <c r="Y689">
        <f t="shared" si="42"/>
        <v>0.88890000000000002</v>
      </c>
      <c r="Z689">
        <f t="shared" si="43"/>
        <v>12.1595</v>
      </c>
    </row>
    <row r="690" spans="1:26" hidden="1" x14ac:dyDescent="0.25">
      <c r="A690" t="s">
        <v>106</v>
      </c>
      <c r="B690">
        <v>5</v>
      </c>
      <c r="C690">
        <v>4</v>
      </c>
      <c r="D690">
        <v>0</v>
      </c>
      <c r="E690" t="s">
        <v>226</v>
      </c>
      <c r="F690">
        <v>276042</v>
      </c>
      <c r="G690">
        <v>506541291.28571427</v>
      </c>
      <c r="H690">
        <v>0.95587302105767391</v>
      </c>
      <c r="I690">
        <v>0.9622222222222222</v>
      </c>
      <c r="J690">
        <v>36398354.714285716</v>
      </c>
      <c r="K690">
        <v>274922</v>
      </c>
      <c r="L690">
        <v>2</v>
      </c>
      <c r="M690">
        <v>352</v>
      </c>
      <c r="N690">
        <v>0.96666666666666667</v>
      </c>
      <c r="O690">
        <v>35654727.428571425</v>
      </c>
      <c r="P690">
        <v>276409</v>
      </c>
      <c r="Q690">
        <v>2</v>
      </c>
      <c r="R690">
        <v>353</v>
      </c>
      <c r="S690">
        <v>11.609767833513773</v>
      </c>
      <c r="T690">
        <v>0.95679011940956116</v>
      </c>
      <c r="W690">
        <f t="shared" si="40"/>
        <v>274922</v>
      </c>
      <c r="X690">
        <f t="shared" si="41"/>
        <v>0.95587302105767391</v>
      </c>
      <c r="Y690">
        <f t="shared" si="42"/>
        <v>0.95679011940956116</v>
      </c>
      <c r="Z690">
        <f t="shared" si="43"/>
        <v>11.609767833513773</v>
      </c>
    </row>
    <row r="691" spans="1:26" hidden="1" x14ac:dyDescent="0.25">
      <c r="A691" t="s">
        <v>106</v>
      </c>
      <c r="B691">
        <v>5</v>
      </c>
      <c r="C691">
        <v>5</v>
      </c>
      <c r="D691">
        <v>0</v>
      </c>
      <c r="E691" t="s">
        <v>239</v>
      </c>
      <c r="F691">
        <v>276070</v>
      </c>
      <c r="G691">
        <v>800082946.75</v>
      </c>
      <c r="H691">
        <v>0.89277778565883636</v>
      </c>
      <c r="I691">
        <v>0.9738888888888888</v>
      </c>
      <c r="J691">
        <v>37506229</v>
      </c>
      <c r="K691">
        <v>274922</v>
      </c>
      <c r="L691">
        <v>2</v>
      </c>
      <c r="M691">
        <v>352</v>
      </c>
      <c r="N691">
        <v>0.97888888888888892</v>
      </c>
      <c r="O691">
        <v>37144631.25</v>
      </c>
      <c r="P691">
        <v>276409</v>
      </c>
      <c r="Q691">
        <v>2</v>
      </c>
      <c r="R691">
        <v>353</v>
      </c>
      <c r="S691">
        <v>11.661129175288206</v>
      </c>
      <c r="T691">
        <v>0.88888887564341224</v>
      </c>
      <c r="W691">
        <f t="shared" si="40"/>
        <v>274922</v>
      </c>
      <c r="X691">
        <f t="shared" si="41"/>
        <v>0.89277778565883636</v>
      </c>
      <c r="Y691">
        <f t="shared" si="42"/>
        <v>0.88888887564341224</v>
      </c>
      <c r="Z691">
        <f t="shared" si="43"/>
        <v>11.661129175288206</v>
      </c>
    </row>
    <row r="692" spans="1:26" hidden="1" x14ac:dyDescent="0.25">
      <c r="A692" t="s">
        <v>106</v>
      </c>
      <c r="B692">
        <v>9</v>
      </c>
      <c r="C692">
        <v>3</v>
      </c>
      <c r="D692">
        <v>0</v>
      </c>
      <c r="E692" t="s">
        <v>139</v>
      </c>
      <c r="F692">
        <v>275892</v>
      </c>
      <c r="G692">
        <v>954759675.75</v>
      </c>
      <c r="H692">
        <v>0.90944445133209229</v>
      </c>
      <c r="I692">
        <v>0.96499999999999997</v>
      </c>
      <c r="J692">
        <v>35485332</v>
      </c>
      <c r="K692">
        <v>274922</v>
      </c>
      <c r="L692">
        <v>2</v>
      </c>
      <c r="M692">
        <v>352</v>
      </c>
      <c r="N692">
        <v>0.95944444444444443</v>
      </c>
      <c r="O692">
        <v>36531940.75</v>
      </c>
      <c r="P692">
        <v>276409</v>
      </c>
      <c r="Q692">
        <v>2</v>
      </c>
      <c r="R692">
        <v>353</v>
      </c>
      <c r="S692">
        <v>12.066907571565693</v>
      </c>
      <c r="T692">
        <v>0.90864197413126624</v>
      </c>
      <c r="W692">
        <f t="shared" si="40"/>
        <v>274922</v>
      </c>
      <c r="X692">
        <f t="shared" si="41"/>
        <v>0.90944445133209229</v>
      </c>
      <c r="Y692">
        <f t="shared" si="42"/>
        <v>0.90864197413126624</v>
      </c>
      <c r="Z692">
        <f t="shared" si="43"/>
        <v>12.066907571565693</v>
      </c>
    </row>
    <row r="693" spans="1:26" hidden="1" x14ac:dyDescent="0.25">
      <c r="A693" t="s">
        <v>106</v>
      </c>
      <c r="B693">
        <v>9</v>
      </c>
      <c r="C693">
        <v>5</v>
      </c>
      <c r="D693">
        <v>0</v>
      </c>
      <c r="E693" t="s">
        <v>234</v>
      </c>
      <c r="F693">
        <v>276114</v>
      </c>
      <c r="G693">
        <v>633516120.5</v>
      </c>
      <c r="H693">
        <v>0.66888889670372009</v>
      </c>
      <c r="I693">
        <v>0.95666666666666667</v>
      </c>
      <c r="J693">
        <v>37921700</v>
      </c>
      <c r="K693">
        <v>274922</v>
      </c>
      <c r="L693">
        <v>2</v>
      </c>
      <c r="M693">
        <v>352</v>
      </c>
      <c r="N693">
        <v>0.95777777777777784</v>
      </c>
      <c r="O693">
        <v>39568658.75</v>
      </c>
      <c r="P693">
        <v>276409</v>
      </c>
      <c r="Q693">
        <v>2</v>
      </c>
      <c r="R693">
        <v>353</v>
      </c>
      <c r="S693">
        <v>12.174217553075071</v>
      </c>
      <c r="T693">
        <v>0.82966666666666666</v>
      </c>
      <c r="W693">
        <f t="shared" si="40"/>
        <v>274922</v>
      </c>
      <c r="X693">
        <f t="shared" si="41"/>
        <v>0.66888889670372009</v>
      </c>
      <c r="Y693">
        <f t="shared" si="42"/>
        <v>0.82966666666666666</v>
      </c>
      <c r="Z693">
        <f t="shared" si="43"/>
        <v>12.174217553075071</v>
      </c>
    </row>
    <row r="694" spans="1:26" hidden="1" x14ac:dyDescent="0.25">
      <c r="A694" t="s">
        <v>106</v>
      </c>
      <c r="B694">
        <v>5</v>
      </c>
      <c r="C694">
        <v>4</v>
      </c>
      <c r="D694">
        <v>0</v>
      </c>
      <c r="E694" t="s">
        <v>278</v>
      </c>
      <c r="F694">
        <v>277389</v>
      </c>
      <c r="G694">
        <v>487100796.75</v>
      </c>
      <c r="H694">
        <v>0.94388888776302338</v>
      </c>
      <c r="I694">
        <v>0.9605555555555555</v>
      </c>
      <c r="J694">
        <v>37629607.25</v>
      </c>
      <c r="K694">
        <v>276409</v>
      </c>
      <c r="L694">
        <v>2</v>
      </c>
      <c r="M694">
        <v>353</v>
      </c>
      <c r="N694">
        <v>0.95833333333333337</v>
      </c>
      <c r="O694">
        <v>38147848.25</v>
      </c>
      <c r="P694">
        <v>277900</v>
      </c>
      <c r="Q694">
        <v>2</v>
      </c>
      <c r="R694">
        <v>354</v>
      </c>
      <c r="S694">
        <v>11.610042092603727</v>
      </c>
      <c r="T694">
        <v>0.95432096719741821</v>
      </c>
      <c r="W694">
        <f t="shared" si="40"/>
        <v>276409</v>
      </c>
      <c r="X694">
        <f t="shared" si="41"/>
        <v>0.94388888776302338</v>
      </c>
      <c r="Y694">
        <f t="shared" si="42"/>
        <v>0.95432096719741821</v>
      </c>
      <c r="Z694">
        <f t="shared" si="43"/>
        <v>11.610042092603727</v>
      </c>
    </row>
    <row r="695" spans="1:26" hidden="1" x14ac:dyDescent="0.25">
      <c r="A695" t="s">
        <v>106</v>
      </c>
      <c r="B695">
        <v>9</v>
      </c>
      <c r="C695">
        <v>4</v>
      </c>
      <c r="D695">
        <v>0</v>
      </c>
      <c r="E695" t="s">
        <v>162</v>
      </c>
      <c r="F695">
        <v>276468</v>
      </c>
      <c r="G695">
        <v>582958272.75</v>
      </c>
      <c r="H695">
        <v>0.89666666090488434</v>
      </c>
      <c r="I695">
        <v>0.9655555555555555</v>
      </c>
      <c r="J695">
        <v>33941103.5</v>
      </c>
      <c r="K695">
        <v>276409</v>
      </c>
      <c r="L695">
        <v>2</v>
      </c>
      <c r="M695">
        <v>353</v>
      </c>
      <c r="N695">
        <v>0.97166666666666668</v>
      </c>
      <c r="O695">
        <v>36055127.25</v>
      </c>
      <c r="P695">
        <v>277900</v>
      </c>
      <c r="Q695">
        <v>2</v>
      </c>
      <c r="R695">
        <v>354</v>
      </c>
      <c r="S695">
        <v>12.160131081981781</v>
      </c>
      <c r="T695">
        <v>0.93333333333333335</v>
      </c>
      <c r="W695">
        <f t="shared" si="40"/>
        <v>276409</v>
      </c>
      <c r="X695">
        <f t="shared" si="41"/>
        <v>0.89666666090488434</v>
      </c>
      <c r="Y695">
        <f t="shared" si="42"/>
        <v>0.93333333333333335</v>
      </c>
      <c r="Z695">
        <f t="shared" si="43"/>
        <v>12.160131081981781</v>
      </c>
    </row>
    <row r="696" spans="1:26" hidden="1" x14ac:dyDescent="0.25">
      <c r="A696" t="s">
        <v>106</v>
      </c>
      <c r="B696">
        <v>5</v>
      </c>
      <c r="C696">
        <v>4</v>
      </c>
      <c r="D696">
        <v>0</v>
      </c>
      <c r="E696" t="s">
        <v>144</v>
      </c>
      <c r="F696">
        <v>278910</v>
      </c>
      <c r="G696">
        <v>583456254.75</v>
      </c>
      <c r="H696">
        <v>0.9422222375869751</v>
      </c>
      <c r="I696">
        <v>0.9622222222222222</v>
      </c>
      <c r="J696">
        <v>38181857.5</v>
      </c>
      <c r="K696">
        <v>277900</v>
      </c>
      <c r="L696">
        <v>2</v>
      </c>
      <c r="M696">
        <v>354</v>
      </c>
      <c r="N696">
        <v>0.9622222222222222</v>
      </c>
      <c r="O696">
        <v>37824345.5</v>
      </c>
      <c r="P696">
        <v>279395</v>
      </c>
      <c r="Q696">
        <v>2</v>
      </c>
      <c r="R696">
        <v>355</v>
      </c>
      <c r="S696">
        <v>11.610556691114585</v>
      </c>
      <c r="T696">
        <v>0.95802468061447144</v>
      </c>
      <c r="W696">
        <f t="shared" si="40"/>
        <v>277900</v>
      </c>
      <c r="X696">
        <f t="shared" si="41"/>
        <v>0.9422222375869751</v>
      </c>
      <c r="Y696">
        <f t="shared" si="42"/>
        <v>0.95802468061447144</v>
      </c>
      <c r="Z696">
        <f t="shared" si="43"/>
        <v>11.610556691114585</v>
      </c>
    </row>
    <row r="697" spans="1:26" hidden="1" x14ac:dyDescent="0.25">
      <c r="A697" t="s">
        <v>106</v>
      </c>
      <c r="B697">
        <v>5</v>
      </c>
      <c r="C697">
        <v>5</v>
      </c>
      <c r="D697">
        <v>0</v>
      </c>
      <c r="E697" t="s">
        <v>283</v>
      </c>
      <c r="F697">
        <v>278569</v>
      </c>
      <c r="G697">
        <v>555191426.71428573</v>
      </c>
      <c r="H697">
        <v>0.90000001873288837</v>
      </c>
      <c r="I697">
        <v>0.96063492063492062</v>
      </c>
      <c r="J697">
        <v>32135906.857142858</v>
      </c>
      <c r="K697">
        <v>277900</v>
      </c>
      <c r="L697">
        <v>2</v>
      </c>
      <c r="M697">
        <v>354</v>
      </c>
      <c r="N697">
        <v>0.96</v>
      </c>
      <c r="O697">
        <v>31025710.714285713</v>
      </c>
      <c r="P697">
        <v>279395</v>
      </c>
      <c r="Q697">
        <v>2</v>
      </c>
      <c r="R697">
        <v>355</v>
      </c>
      <c r="S697">
        <v>11.663101288263798</v>
      </c>
      <c r="T697">
        <v>0.92284198207855228</v>
      </c>
      <c r="W697">
        <f t="shared" si="40"/>
        <v>277900</v>
      </c>
      <c r="X697">
        <f t="shared" si="41"/>
        <v>0.90000001873288837</v>
      </c>
      <c r="Y697">
        <f t="shared" si="42"/>
        <v>0.92284198207855228</v>
      </c>
      <c r="Z697">
        <f t="shared" si="43"/>
        <v>11.663101288263798</v>
      </c>
    </row>
    <row r="698" spans="1:26" hidden="1" x14ac:dyDescent="0.25">
      <c r="A698" t="s">
        <v>106</v>
      </c>
      <c r="B698">
        <v>9</v>
      </c>
      <c r="C698">
        <v>5</v>
      </c>
      <c r="D698">
        <v>0</v>
      </c>
      <c r="E698" t="s">
        <v>263</v>
      </c>
      <c r="F698">
        <v>278529</v>
      </c>
      <c r="G698">
        <v>521792955.10000002</v>
      </c>
      <c r="H698">
        <v>0.56622222363948826</v>
      </c>
      <c r="I698">
        <v>0.96377777777777784</v>
      </c>
      <c r="J698">
        <v>35305241.200000003</v>
      </c>
      <c r="K698">
        <v>277900</v>
      </c>
      <c r="L698">
        <v>2</v>
      </c>
      <c r="M698">
        <v>354</v>
      </c>
      <c r="N698">
        <v>0.9615555555555555</v>
      </c>
      <c r="O698">
        <v>36139958.299999997</v>
      </c>
      <c r="P698">
        <v>279395</v>
      </c>
      <c r="Q698">
        <v>2</v>
      </c>
      <c r="R698">
        <v>355</v>
      </c>
      <c r="S698">
        <v>12.174669145794597</v>
      </c>
      <c r="T698">
        <v>0.7576222222222222</v>
      </c>
      <c r="W698">
        <f t="shared" si="40"/>
        <v>277900</v>
      </c>
      <c r="X698">
        <f t="shared" si="41"/>
        <v>0.56622222363948826</v>
      </c>
      <c r="Y698">
        <f t="shared" si="42"/>
        <v>0.7576222222222222</v>
      </c>
      <c r="Z698">
        <f t="shared" si="43"/>
        <v>12.174669145794597</v>
      </c>
    </row>
    <row r="699" spans="1:26" hidden="1" x14ac:dyDescent="0.25">
      <c r="A699" t="s">
        <v>106</v>
      </c>
      <c r="B699">
        <v>5</v>
      </c>
      <c r="C699">
        <v>5</v>
      </c>
      <c r="D699">
        <v>0</v>
      </c>
      <c r="E699" t="s">
        <v>209</v>
      </c>
      <c r="F699">
        <v>280588</v>
      </c>
      <c r="G699">
        <v>597208105.85714281</v>
      </c>
      <c r="H699">
        <v>0.90952381065913612</v>
      </c>
      <c r="I699">
        <v>0.95904761904761904</v>
      </c>
      <c r="J699">
        <v>33290840.857142858</v>
      </c>
      <c r="K699">
        <v>279395</v>
      </c>
      <c r="L699">
        <v>2</v>
      </c>
      <c r="M699">
        <v>355</v>
      </c>
      <c r="N699">
        <v>0.96031746031746035</v>
      </c>
      <c r="O699">
        <v>31799834.714285713</v>
      </c>
      <c r="P699">
        <v>280894</v>
      </c>
      <c r="Q699">
        <v>2</v>
      </c>
      <c r="R699">
        <v>356</v>
      </c>
      <c r="S699">
        <v>11.665071770334928</v>
      </c>
      <c r="T699">
        <v>0.91050123581886289</v>
      </c>
      <c r="W699">
        <f t="shared" si="40"/>
        <v>279395</v>
      </c>
      <c r="X699">
        <f t="shared" si="41"/>
        <v>0.90952381065913612</v>
      </c>
      <c r="Y699">
        <f t="shared" si="42"/>
        <v>0.91050123581886289</v>
      </c>
      <c r="Z699">
        <f t="shared" si="43"/>
        <v>11.665071770334928</v>
      </c>
    </row>
    <row r="700" spans="1:26" hidden="1" x14ac:dyDescent="0.25">
      <c r="A700" t="s">
        <v>106</v>
      </c>
      <c r="B700">
        <v>9</v>
      </c>
      <c r="C700">
        <v>3</v>
      </c>
      <c r="D700">
        <v>0</v>
      </c>
      <c r="E700" t="s">
        <v>291</v>
      </c>
      <c r="F700">
        <v>280153</v>
      </c>
      <c r="G700">
        <v>858664347.71428573</v>
      </c>
      <c r="H700">
        <v>0.92698412282126286</v>
      </c>
      <c r="I700">
        <v>0.96349206349206351</v>
      </c>
      <c r="J700">
        <v>35791256.714285716</v>
      </c>
      <c r="K700">
        <v>279395</v>
      </c>
      <c r="L700">
        <v>2</v>
      </c>
      <c r="M700">
        <v>355</v>
      </c>
      <c r="N700">
        <v>0.96285714285714286</v>
      </c>
      <c r="O700">
        <v>36392259.857142858</v>
      </c>
      <c r="P700">
        <v>280894</v>
      </c>
      <c r="Q700">
        <v>2</v>
      </c>
      <c r="R700">
        <v>356</v>
      </c>
      <c r="S700">
        <v>12.071170561011401</v>
      </c>
      <c r="T700">
        <v>0.92159814726511635</v>
      </c>
      <c r="W700">
        <f t="shared" si="40"/>
        <v>279395</v>
      </c>
      <c r="X700">
        <f t="shared" si="41"/>
        <v>0.92698412282126286</v>
      </c>
      <c r="Y700">
        <f t="shared" si="42"/>
        <v>0.92159814726511635</v>
      </c>
      <c r="Z700">
        <f t="shared" si="43"/>
        <v>12.071170561011401</v>
      </c>
    </row>
    <row r="701" spans="1:26" hidden="1" x14ac:dyDescent="0.25">
      <c r="A701" t="s">
        <v>106</v>
      </c>
      <c r="B701">
        <v>9</v>
      </c>
      <c r="C701">
        <v>4</v>
      </c>
      <c r="D701">
        <v>0</v>
      </c>
      <c r="E701" t="s">
        <v>223</v>
      </c>
      <c r="F701">
        <v>280164</v>
      </c>
      <c r="G701">
        <v>663034182.71428573</v>
      </c>
      <c r="H701">
        <v>0.8844444496291024</v>
      </c>
      <c r="I701">
        <v>0.96126984126984127</v>
      </c>
      <c r="J701">
        <v>39340560.285714284</v>
      </c>
      <c r="K701">
        <v>279395</v>
      </c>
      <c r="L701">
        <v>2</v>
      </c>
      <c r="M701">
        <v>355</v>
      </c>
      <c r="N701">
        <v>0.96571428571428575</v>
      </c>
      <c r="O701">
        <v>39838474.285714284</v>
      </c>
      <c r="P701">
        <v>280894</v>
      </c>
      <c r="Q701">
        <v>2</v>
      </c>
      <c r="R701">
        <v>356</v>
      </c>
      <c r="S701">
        <v>12.161345844206318</v>
      </c>
      <c r="T701">
        <v>0.91356666666666664</v>
      </c>
      <c r="W701">
        <f t="shared" si="40"/>
        <v>279395</v>
      </c>
      <c r="X701">
        <f t="shared" si="41"/>
        <v>0.8844444496291024</v>
      </c>
      <c r="Y701">
        <f t="shared" si="42"/>
        <v>0.91356666666666664</v>
      </c>
      <c r="Z701">
        <f t="shared" si="43"/>
        <v>12.161345844206318</v>
      </c>
    </row>
    <row r="702" spans="1:26" hidden="1" x14ac:dyDescent="0.25">
      <c r="A702" t="s">
        <v>106</v>
      </c>
      <c r="B702">
        <v>9</v>
      </c>
      <c r="C702">
        <v>5</v>
      </c>
      <c r="D702">
        <v>0</v>
      </c>
      <c r="E702" t="s">
        <v>281</v>
      </c>
      <c r="F702">
        <v>280149</v>
      </c>
      <c r="G702">
        <v>449734086.25</v>
      </c>
      <c r="H702">
        <v>0.66166666895151138</v>
      </c>
      <c r="I702">
        <v>0.9572222222222222</v>
      </c>
      <c r="J702">
        <v>36098427</v>
      </c>
      <c r="K702">
        <v>279395</v>
      </c>
      <c r="L702">
        <v>2</v>
      </c>
      <c r="M702">
        <v>355</v>
      </c>
      <c r="N702">
        <v>0.96111111111111114</v>
      </c>
      <c r="O702">
        <v>36198804.25</v>
      </c>
      <c r="P702">
        <v>280894</v>
      </c>
      <c r="Q702">
        <v>2</v>
      </c>
      <c r="R702">
        <v>356</v>
      </c>
      <c r="S702">
        <v>12.174357572443958</v>
      </c>
      <c r="T702">
        <v>0.77406666666666668</v>
      </c>
      <c r="W702">
        <f t="shared" si="40"/>
        <v>279395</v>
      </c>
      <c r="X702">
        <f t="shared" si="41"/>
        <v>0.66166666895151138</v>
      </c>
      <c r="Y702">
        <f t="shared" si="42"/>
        <v>0.77406666666666668</v>
      </c>
      <c r="Z702">
        <f t="shared" si="43"/>
        <v>12.174357572443958</v>
      </c>
    </row>
    <row r="703" spans="1:26" hidden="1" x14ac:dyDescent="0.25">
      <c r="A703" t="s">
        <v>106</v>
      </c>
      <c r="B703">
        <v>5</v>
      </c>
      <c r="C703">
        <v>5</v>
      </c>
      <c r="D703">
        <v>0</v>
      </c>
      <c r="E703" t="s">
        <v>271</v>
      </c>
      <c r="F703">
        <v>282127</v>
      </c>
      <c r="G703">
        <v>571549105.42857146</v>
      </c>
      <c r="H703">
        <v>0.90380953890936711</v>
      </c>
      <c r="I703">
        <v>0.95714285714285718</v>
      </c>
      <c r="J703">
        <v>32287829.142857142</v>
      </c>
      <c r="K703">
        <v>280894</v>
      </c>
      <c r="L703">
        <v>2</v>
      </c>
      <c r="M703">
        <v>356</v>
      </c>
      <c r="N703">
        <v>0.96349206349206351</v>
      </c>
      <c r="O703">
        <v>31882539.428571429</v>
      </c>
      <c r="P703">
        <v>282397</v>
      </c>
      <c r="Q703">
        <v>2</v>
      </c>
      <c r="R703">
        <v>357</v>
      </c>
      <c r="S703">
        <v>11.667099669343411</v>
      </c>
      <c r="T703">
        <v>0.91358023881912231</v>
      </c>
      <c r="W703">
        <f t="shared" si="40"/>
        <v>280894</v>
      </c>
      <c r="X703">
        <f t="shared" si="41"/>
        <v>0.90380953890936711</v>
      </c>
      <c r="Y703">
        <f t="shared" si="42"/>
        <v>0.91358023881912231</v>
      </c>
      <c r="Z703">
        <f t="shared" si="43"/>
        <v>11.667099669343411</v>
      </c>
    </row>
    <row r="704" spans="1:26" hidden="1" x14ac:dyDescent="0.25">
      <c r="A704" t="s">
        <v>106</v>
      </c>
      <c r="B704">
        <v>9</v>
      </c>
      <c r="C704">
        <v>2</v>
      </c>
      <c r="D704">
        <v>0</v>
      </c>
      <c r="E704" t="s">
        <v>280</v>
      </c>
      <c r="F704">
        <v>281409</v>
      </c>
      <c r="G704">
        <v>1453526481.7142856</v>
      </c>
      <c r="H704">
        <v>0.90158729893820622</v>
      </c>
      <c r="I704">
        <v>0.9622222222222222</v>
      </c>
      <c r="J704">
        <v>37332345</v>
      </c>
      <c r="K704">
        <v>280894</v>
      </c>
      <c r="L704">
        <v>2</v>
      </c>
      <c r="M704">
        <v>356</v>
      </c>
      <c r="N704">
        <v>0.95936507936507942</v>
      </c>
      <c r="O704">
        <v>39893792.428571425</v>
      </c>
      <c r="P704">
        <v>282397</v>
      </c>
      <c r="Q704">
        <v>2</v>
      </c>
      <c r="R704">
        <v>357</v>
      </c>
      <c r="S704">
        <v>11.916537512197921</v>
      </c>
      <c r="T704">
        <v>0.88333332538604736</v>
      </c>
      <c r="W704">
        <f t="shared" si="40"/>
        <v>280894</v>
      </c>
      <c r="X704">
        <f t="shared" si="41"/>
        <v>0.90158729893820622</v>
      </c>
      <c r="Y704">
        <f t="shared" si="42"/>
        <v>0.88333332538604736</v>
      </c>
      <c r="Z704">
        <f t="shared" si="43"/>
        <v>11.916537512197921</v>
      </c>
    </row>
    <row r="705" spans="1:26" hidden="1" x14ac:dyDescent="0.25">
      <c r="A705" t="s">
        <v>106</v>
      </c>
      <c r="B705">
        <v>9</v>
      </c>
      <c r="C705">
        <v>3</v>
      </c>
      <c r="D705">
        <v>0</v>
      </c>
      <c r="E705" t="s">
        <v>211</v>
      </c>
      <c r="F705">
        <v>281784</v>
      </c>
      <c r="G705">
        <v>917929678.20000005</v>
      </c>
      <c r="H705">
        <v>0.91733332872390749</v>
      </c>
      <c r="I705">
        <v>0.95511111111111113</v>
      </c>
      <c r="J705">
        <v>37044183.399999999</v>
      </c>
      <c r="K705">
        <v>280894</v>
      </c>
      <c r="L705">
        <v>2</v>
      </c>
      <c r="M705">
        <v>356</v>
      </c>
      <c r="N705">
        <v>0.95466666666666666</v>
      </c>
      <c r="O705">
        <v>39516925</v>
      </c>
      <c r="P705">
        <v>282397</v>
      </c>
      <c r="Q705">
        <v>2</v>
      </c>
      <c r="R705">
        <v>357</v>
      </c>
      <c r="S705">
        <v>12.073633132088247</v>
      </c>
      <c r="T705">
        <v>0.91942499403953548</v>
      </c>
      <c r="W705">
        <f t="shared" si="40"/>
        <v>280894</v>
      </c>
      <c r="X705">
        <f t="shared" si="41"/>
        <v>0.91733332872390749</v>
      </c>
      <c r="Y705">
        <f t="shared" si="42"/>
        <v>0.91942499403953548</v>
      </c>
      <c r="Z705">
        <f t="shared" si="43"/>
        <v>12.073633132088247</v>
      </c>
    </row>
    <row r="706" spans="1:26" hidden="1" x14ac:dyDescent="0.25">
      <c r="A706" t="s">
        <v>106</v>
      </c>
      <c r="B706">
        <v>5</v>
      </c>
      <c r="C706">
        <v>5</v>
      </c>
      <c r="D706">
        <v>0</v>
      </c>
      <c r="E706" t="s">
        <v>134</v>
      </c>
      <c r="F706">
        <v>283186</v>
      </c>
      <c r="G706">
        <v>810058046</v>
      </c>
      <c r="H706">
        <v>0.90944445133209229</v>
      </c>
      <c r="I706">
        <v>0.9655555555555555</v>
      </c>
      <c r="J706">
        <v>38520621.75</v>
      </c>
      <c r="K706">
        <v>282397</v>
      </c>
      <c r="L706">
        <v>2</v>
      </c>
      <c r="M706">
        <v>357</v>
      </c>
      <c r="N706">
        <v>0.96722222222222221</v>
      </c>
      <c r="O706">
        <v>35512533.5</v>
      </c>
      <c r="P706">
        <v>283904</v>
      </c>
      <c r="Q706">
        <v>2</v>
      </c>
      <c r="R706">
        <v>358</v>
      </c>
      <c r="S706">
        <v>11.668476977567886</v>
      </c>
      <c r="T706">
        <v>0.90617283185323083</v>
      </c>
      <c r="W706">
        <f t="shared" si="40"/>
        <v>282397</v>
      </c>
      <c r="X706">
        <f t="shared" si="41"/>
        <v>0.90944445133209229</v>
      </c>
      <c r="Y706">
        <f t="shared" si="42"/>
        <v>0.90617283185323083</v>
      </c>
      <c r="Z706">
        <f t="shared" si="43"/>
        <v>11.668476977567886</v>
      </c>
    </row>
    <row r="707" spans="1:26" hidden="1" x14ac:dyDescent="0.25">
      <c r="A707" t="s">
        <v>106</v>
      </c>
      <c r="B707">
        <v>9</v>
      </c>
      <c r="C707">
        <v>3</v>
      </c>
      <c r="D707">
        <v>0</v>
      </c>
      <c r="E707" t="s">
        <v>172</v>
      </c>
      <c r="F707">
        <v>283726</v>
      </c>
      <c r="G707">
        <v>993505910.29999995</v>
      </c>
      <c r="H707">
        <v>0.91377777457237241</v>
      </c>
      <c r="I707">
        <v>0.96</v>
      </c>
      <c r="J707">
        <v>37566462</v>
      </c>
      <c r="K707">
        <v>282397</v>
      </c>
      <c r="L707">
        <v>2</v>
      </c>
      <c r="M707">
        <v>357</v>
      </c>
      <c r="N707">
        <v>0.96111111111111114</v>
      </c>
      <c r="O707">
        <v>38496965.100000001</v>
      </c>
      <c r="P707">
        <v>283904</v>
      </c>
      <c r="Q707">
        <v>2</v>
      </c>
      <c r="R707">
        <v>358</v>
      </c>
      <c r="S707">
        <v>12.080978965770033</v>
      </c>
      <c r="T707">
        <v>0.92715309318966332</v>
      </c>
      <c r="W707">
        <f t="shared" ref="W707:W770" si="44">K707</f>
        <v>282397</v>
      </c>
      <c r="X707">
        <f t="shared" ref="X707:X770" si="45">H707</f>
        <v>0.91377777457237241</v>
      </c>
      <c r="Y707">
        <f t="shared" ref="Y707:Y770" si="46">T707</f>
        <v>0.92715309318966332</v>
      </c>
      <c r="Z707">
        <f t="shared" ref="Z707:Z770" si="47">S707</f>
        <v>12.080978965770033</v>
      </c>
    </row>
    <row r="708" spans="1:26" hidden="1" x14ac:dyDescent="0.25">
      <c r="A708" t="s">
        <v>106</v>
      </c>
      <c r="B708">
        <v>9</v>
      </c>
      <c r="C708">
        <v>4</v>
      </c>
      <c r="D708">
        <v>0</v>
      </c>
      <c r="E708" t="s">
        <v>276</v>
      </c>
      <c r="F708">
        <v>282517</v>
      </c>
      <c r="G708">
        <v>512952056</v>
      </c>
      <c r="H708">
        <v>0.90611110627651215</v>
      </c>
      <c r="I708">
        <v>0.95500000000000007</v>
      </c>
      <c r="J708">
        <v>37653496.75</v>
      </c>
      <c r="K708">
        <v>282397</v>
      </c>
      <c r="L708">
        <v>2</v>
      </c>
      <c r="M708">
        <v>357</v>
      </c>
      <c r="N708">
        <v>0.94722222222222219</v>
      </c>
      <c r="O708">
        <v>38597358</v>
      </c>
      <c r="P708">
        <v>283904</v>
      </c>
      <c r="Q708">
        <v>2</v>
      </c>
      <c r="R708">
        <v>358</v>
      </c>
      <c r="S708">
        <v>12.161476547321676</v>
      </c>
      <c r="T708">
        <v>0.90369999999999995</v>
      </c>
      <c r="W708">
        <f t="shared" si="44"/>
        <v>282397</v>
      </c>
      <c r="X708">
        <f t="shared" si="45"/>
        <v>0.90611110627651215</v>
      </c>
      <c r="Y708">
        <f t="shared" si="46"/>
        <v>0.90369999999999995</v>
      </c>
      <c r="Z708">
        <f t="shared" si="47"/>
        <v>12.161476547321676</v>
      </c>
    </row>
    <row r="709" spans="1:26" hidden="1" x14ac:dyDescent="0.25">
      <c r="A709" t="s">
        <v>106</v>
      </c>
      <c r="B709">
        <v>9</v>
      </c>
      <c r="C709">
        <v>5</v>
      </c>
      <c r="D709">
        <v>0</v>
      </c>
      <c r="E709" t="s">
        <v>205</v>
      </c>
      <c r="F709">
        <v>283624</v>
      </c>
      <c r="G709">
        <v>574697346.14285719</v>
      </c>
      <c r="H709">
        <v>0.73936508383069721</v>
      </c>
      <c r="I709">
        <v>0.96666666666666667</v>
      </c>
      <c r="J709">
        <v>35723237.857142858</v>
      </c>
      <c r="K709">
        <v>282397</v>
      </c>
      <c r="L709">
        <v>2</v>
      </c>
      <c r="M709">
        <v>357</v>
      </c>
      <c r="N709">
        <v>0.96952380952380957</v>
      </c>
      <c r="O709">
        <v>37222415.142857142</v>
      </c>
      <c r="P709">
        <v>283904</v>
      </c>
      <c r="Q709">
        <v>2</v>
      </c>
      <c r="R709">
        <v>358</v>
      </c>
      <c r="S709">
        <v>12.17500136634421</v>
      </c>
      <c r="T709">
        <v>0.82901666666666662</v>
      </c>
      <c r="W709">
        <f t="shared" si="44"/>
        <v>282397</v>
      </c>
      <c r="X709">
        <f t="shared" si="45"/>
        <v>0.73936508383069721</v>
      </c>
      <c r="Y709">
        <f t="shared" si="46"/>
        <v>0.82901666666666662</v>
      </c>
      <c r="Z709">
        <f t="shared" si="47"/>
        <v>12.17500136634421</v>
      </c>
    </row>
    <row r="710" spans="1:26" hidden="1" x14ac:dyDescent="0.25">
      <c r="A710" t="s">
        <v>106</v>
      </c>
      <c r="B710">
        <v>5</v>
      </c>
      <c r="C710">
        <v>4</v>
      </c>
      <c r="D710">
        <v>0</v>
      </c>
      <c r="E710" t="s">
        <v>285</v>
      </c>
      <c r="F710">
        <v>284657</v>
      </c>
      <c r="G710">
        <v>582276477.70000005</v>
      </c>
      <c r="H710">
        <v>0.95311111211776733</v>
      </c>
      <c r="I710">
        <v>0.9642222222222222</v>
      </c>
      <c r="J710">
        <v>37100883.100000001</v>
      </c>
      <c r="K710">
        <v>283904</v>
      </c>
      <c r="L710">
        <v>2</v>
      </c>
      <c r="M710">
        <v>358</v>
      </c>
      <c r="N710">
        <v>0.9602222222222222</v>
      </c>
      <c r="O710">
        <v>36925168.5</v>
      </c>
      <c r="P710">
        <v>285415</v>
      </c>
      <c r="Q710">
        <v>2</v>
      </c>
      <c r="R710">
        <v>359</v>
      </c>
      <c r="S710">
        <v>11.612172554674357</v>
      </c>
      <c r="T710">
        <v>0.96460904015435112</v>
      </c>
      <c r="W710">
        <f t="shared" si="44"/>
        <v>283904</v>
      </c>
      <c r="X710">
        <f t="shared" si="45"/>
        <v>0.95311111211776733</v>
      </c>
      <c r="Y710">
        <f t="shared" si="46"/>
        <v>0.96460904015435112</v>
      </c>
      <c r="Z710">
        <f t="shared" si="47"/>
        <v>11.612172554674357</v>
      </c>
    </row>
    <row r="711" spans="1:26" hidden="1" x14ac:dyDescent="0.25">
      <c r="A711" t="s">
        <v>106</v>
      </c>
      <c r="B711">
        <v>9</v>
      </c>
      <c r="C711">
        <v>3</v>
      </c>
      <c r="D711">
        <v>0</v>
      </c>
      <c r="E711" t="s">
        <v>260</v>
      </c>
      <c r="F711">
        <v>284037</v>
      </c>
      <c r="G711">
        <v>1056070674.4285715</v>
      </c>
      <c r="H711">
        <v>0.92380952835083008</v>
      </c>
      <c r="I711">
        <v>0.96539682539682536</v>
      </c>
      <c r="J711">
        <v>37757822</v>
      </c>
      <c r="K711">
        <v>283904</v>
      </c>
      <c r="L711">
        <v>2</v>
      </c>
      <c r="M711">
        <v>358</v>
      </c>
      <c r="N711">
        <v>0.96825396825396826</v>
      </c>
      <c r="O711">
        <v>37449292</v>
      </c>
      <c r="P711">
        <v>285415</v>
      </c>
      <c r="Q711">
        <v>2</v>
      </c>
      <c r="R711">
        <v>359</v>
      </c>
      <c r="S711">
        <v>12.086471251409245</v>
      </c>
      <c r="T711">
        <v>0.92901233832041419</v>
      </c>
      <c r="W711">
        <f t="shared" si="44"/>
        <v>283904</v>
      </c>
      <c r="X711">
        <f t="shared" si="45"/>
        <v>0.92380952835083008</v>
      </c>
      <c r="Y711">
        <f t="shared" si="46"/>
        <v>0.92901233832041419</v>
      </c>
      <c r="Z711">
        <f t="shared" si="47"/>
        <v>12.086471251409245</v>
      </c>
    </row>
    <row r="712" spans="1:26" hidden="1" x14ac:dyDescent="0.25">
      <c r="A712" t="s">
        <v>106</v>
      </c>
      <c r="B712">
        <v>9</v>
      </c>
      <c r="C712">
        <v>4</v>
      </c>
      <c r="D712">
        <v>0</v>
      </c>
      <c r="E712" t="s">
        <v>189</v>
      </c>
      <c r="F712">
        <v>284370</v>
      </c>
      <c r="G712">
        <v>481578303.25</v>
      </c>
      <c r="H712">
        <v>0.9166666716337204</v>
      </c>
      <c r="I712">
        <v>0.95833333333333337</v>
      </c>
      <c r="J712">
        <v>37329162</v>
      </c>
      <c r="K712">
        <v>283904</v>
      </c>
      <c r="L712">
        <v>2</v>
      </c>
      <c r="M712">
        <v>358</v>
      </c>
      <c r="N712">
        <v>0.95611111111111113</v>
      </c>
      <c r="O712">
        <v>39782492</v>
      </c>
      <c r="P712">
        <v>285415</v>
      </c>
      <c r="Q712">
        <v>2</v>
      </c>
      <c r="R712">
        <v>359</v>
      </c>
      <c r="S712">
        <v>12.161163216604695</v>
      </c>
      <c r="T712">
        <v>0.90863333333333329</v>
      </c>
      <c r="W712">
        <f t="shared" si="44"/>
        <v>283904</v>
      </c>
      <c r="X712">
        <f t="shared" si="45"/>
        <v>0.9166666716337204</v>
      </c>
      <c r="Y712">
        <f t="shared" si="46"/>
        <v>0.90863333333333329</v>
      </c>
      <c r="Z712">
        <f t="shared" si="47"/>
        <v>12.161163216604695</v>
      </c>
    </row>
    <row r="713" spans="1:26" hidden="1" x14ac:dyDescent="0.25">
      <c r="A713" t="s">
        <v>106</v>
      </c>
      <c r="B713">
        <v>5</v>
      </c>
      <c r="C713">
        <v>4</v>
      </c>
      <c r="D713">
        <v>0</v>
      </c>
      <c r="E713" t="s">
        <v>261</v>
      </c>
      <c r="F713">
        <v>286685</v>
      </c>
      <c r="G713">
        <v>573549034</v>
      </c>
      <c r="H713">
        <v>0.95388889312744141</v>
      </c>
      <c r="I713">
        <v>0.9555555555555556</v>
      </c>
      <c r="J713">
        <v>39436060.25</v>
      </c>
      <c r="K713">
        <v>285415</v>
      </c>
      <c r="L713">
        <v>2</v>
      </c>
      <c r="M713">
        <v>359</v>
      </c>
      <c r="N713">
        <v>0.95166666666666666</v>
      </c>
      <c r="O713">
        <v>38725682.75</v>
      </c>
      <c r="P713">
        <v>286930</v>
      </c>
      <c r="Q713">
        <v>2</v>
      </c>
      <c r="R713">
        <v>360</v>
      </c>
      <c r="S713">
        <v>11.612025468524747</v>
      </c>
      <c r="T713">
        <v>0.96296296517054236</v>
      </c>
      <c r="W713">
        <f t="shared" si="44"/>
        <v>285415</v>
      </c>
      <c r="X713">
        <f t="shared" si="45"/>
        <v>0.95388889312744141</v>
      </c>
      <c r="Y713">
        <f t="shared" si="46"/>
        <v>0.96296296517054236</v>
      </c>
      <c r="Z713">
        <f t="shared" si="47"/>
        <v>11.612025468524747</v>
      </c>
    </row>
    <row r="714" spans="1:26" hidden="1" x14ac:dyDescent="0.25">
      <c r="A714" t="s">
        <v>106</v>
      </c>
      <c r="B714">
        <v>5</v>
      </c>
      <c r="C714">
        <v>5</v>
      </c>
      <c r="D714">
        <v>0</v>
      </c>
      <c r="E714" t="s">
        <v>290</v>
      </c>
      <c r="F714">
        <v>285915</v>
      </c>
      <c r="G714">
        <v>994771775.75</v>
      </c>
      <c r="H714">
        <v>0.89944444596767426</v>
      </c>
      <c r="I714">
        <v>0.9705555555555555</v>
      </c>
      <c r="J714">
        <v>42307086.75</v>
      </c>
      <c r="K714">
        <v>285415</v>
      </c>
      <c r="L714">
        <v>2</v>
      </c>
      <c r="M714">
        <v>359</v>
      </c>
      <c r="N714">
        <v>0.96444444444444444</v>
      </c>
      <c r="O714">
        <v>42175323</v>
      </c>
      <c r="P714">
        <v>286930</v>
      </c>
      <c r="Q714">
        <v>2</v>
      </c>
      <c r="R714">
        <v>360</v>
      </c>
      <c r="S714">
        <v>11.669912653446648</v>
      </c>
      <c r="T714">
        <v>0.91975309451421106</v>
      </c>
      <c r="W714">
        <f t="shared" si="44"/>
        <v>285415</v>
      </c>
      <c r="X714">
        <f t="shared" si="45"/>
        <v>0.89944444596767426</v>
      </c>
      <c r="Y714">
        <f t="shared" si="46"/>
        <v>0.91975309451421106</v>
      </c>
      <c r="Z714">
        <f t="shared" si="47"/>
        <v>11.669912653446648</v>
      </c>
    </row>
    <row r="715" spans="1:26" hidden="1" x14ac:dyDescent="0.25">
      <c r="A715" t="s">
        <v>106</v>
      </c>
      <c r="B715">
        <v>9</v>
      </c>
      <c r="C715">
        <v>4</v>
      </c>
      <c r="D715">
        <v>0</v>
      </c>
      <c r="E715" t="s">
        <v>265</v>
      </c>
      <c r="F715">
        <v>285723</v>
      </c>
      <c r="G715">
        <v>492618400</v>
      </c>
      <c r="H715">
        <v>0.91277778148651123</v>
      </c>
      <c r="I715">
        <v>0.96722222222222221</v>
      </c>
      <c r="J715">
        <v>36328370.75</v>
      </c>
      <c r="K715">
        <v>285415</v>
      </c>
      <c r="L715">
        <v>2</v>
      </c>
      <c r="M715">
        <v>359</v>
      </c>
      <c r="N715">
        <v>0.97</v>
      </c>
      <c r="O715">
        <v>36234276.5</v>
      </c>
      <c r="P715">
        <v>286930</v>
      </c>
      <c r="Q715">
        <v>2</v>
      </c>
      <c r="R715">
        <v>360</v>
      </c>
      <c r="S715">
        <v>12.16123841757754</v>
      </c>
      <c r="T715">
        <v>0.93210000000000004</v>
      </c>
      <c r="W715">
        <f t="shared" si="44"/>
        <v>285415</v>
      </c>
      <c r="X715">
        <f t="shared" si="45"/>
        <v>0.91277778148651123</v>
      </c>
      <c r="Y715">
        <f t="shared" si="46"/>
        <v>0.93210000000000004</v>
      </c>
      <c r="Z715">
        <f t="shared" si="47"/>
        <v>12.16123841757754</v>
      </c>
    </row>
    <row r="716" spans="1:26" hidden="1" x14ac:dyDescent="0.25">
      <c r="A716" t="s">
        <v>106</v>
      </c>
      <c r="B716">
        <v>9</v>
      </c>
      <c r="C716">
        <v>5</v>
      </c>
      <c r="D716">
        <v>0</v>
      </c>
      <c r="E716" t="s">
        <v>269</v>
      </c>
      <c r="F716">
        <v>286539</v>
      </c>
      <c r="G716">
        <v>805026371.25</v>
      </c>
      <c r="H716">
        <v>0.77888889610767365</v>
      </c>
      <c r="I716">
        <v>0.95611111111111113</v>
      </c>
      <c r="J716">
        <v>38622934</v>
      </c>
      <c r="K716">
        <v>285415</v>
      </c>
      <c r="L716">
        <v>2</v>
      </c>
      <c r="M716">
        <v>359</v>
      </c>
      <c r="N716">
        <v>0.95833333333333326</v>
      </c>
      <c r="O716">
        <v>39322558.25</v>
      </c>
      <c r="P716">
        <v>286930</v>
      </c>
      <c r="Q716">
        <v>2</v>
      </c>
      <c r="R716">
        <v>360</v>
      </c>
      <c r="S716">
        <v>12.1760559532266</v>
      </c>
      <c r="T716">
        <v>0.8148333333333333</v>
      </c>
      <c r="W716">
        <f t="shared" si="44"/>
        <v>285415</v>
      </c>
      <c r="X716">
        <f t="shared" si="45"/>
        <v>0.77888889610767365</v>
      </c>
      <c r="Y716">
        <f t="shared" si="46"/>
        <v>0.8148333333333333</v>
      </c>
      <c r="Z716">
        <f t="shared" si="47"/>
        <v>12.1760559532266</v>
      </c>
    </row>
    <row r="717" spans="1:26" hidden="1" x14ac:dyDescent="0.25">
      <c r="A717" t="s">
        <v>106</v>
      </c>
      <c r="B717">
        <v>5</v>
      </c>
      <c r="C717">
        <v>5</v>
      </c>
      <c r="D717">
        <v>0</v>
      </c>
      <c r="E717" t="s">
        <v>224</v>
      </c>
      <c r="F717">
        <v>288174</v>
      </c>
      <c r="G717">
        <v>723272898</v>
      </c>
      <c r="H717">
        <v>0.86925926804542542</v>
      </c>
      <c r="I717">
        <v>0.96259259259259256</v>
      </c>
      <c r="J717">
        <v>32923834.5</v>
      </c>
      <c r="K717">
        <v>286930</v>
      </c>
      <c r="L717">
        <v>2</v>
      </c>
      <c r="M717">
        <v>360</v>
      </c>
      <c r="N717">
        <v>0.96259259259259267</v>
      </c>
      <c r="O717">
        <v>34735128.833333336</v>
      </c>
      <c r="P717">
        <v>288449</v>
      </c>
      <c r="Q717">
        <v>2</v>
      </c>
      <c r="R717">
        <v>361</v>
      </c>
      <c r="S717">
        <v>11.672566371681416</v>
      </c>
      <c r="T717">
        <v>0.90888444894790654</v>
      </c>
      <c r="W717">
        <f t="shared" si="44"/>
        <v>286930</v>
      </c>
      <c r="X717">
        <f t="shared" si="45"/>
        <v>0.86925926804542542</v>
      </c>
      <c r="Y717">
        <f t="shared" si="46"/>
        <v>0.90888444894790654</v>
      </c>
      <c r="Z717">
        <f t="shared" si="47"/>
        <v>11.672566371681416</v>
      </c>
    </row>
    <row r="718" spans="1:26" hidden="1" x14ac:dyDescent="0.25">
      <c r="A718" t="s">
        <v>106</v>
      </c>
      <c r="B718">
        <v>9</v>
      </c>
      <c r="C718">
        <v>4</v>
      </c>
      <c r="D718">
        <v>0</v>
      </c>
      <c r="E718" t="s">
        <v>239</v>
      </c>
      <c r="F718">
        <v>287566</v>
      </c>
      <c r="G718">
        <v>521809735.75</v>
      </c>
      <c r="H718">
        <v>0.87833333015441895</v>
      </c>
      <c r="I718">
        <v>0.96388888888888891</v>
      </c>
      <c r="J718">
        <v>37524360.5</v>
      </c>
      <c r="K718">
        <v>286930</v>
      </c>
      <c r="L718">
        <v>2</v>
      </c>
      <c r="M718">
        <v>360</v>
      </c>
      <c r="N718">
        <v>0.96888888888888891</v>
      </c>
      <c r="O718">
        <v>37510584.25</v>
      </c>
      <c r="P718">
        <v>288449</v>
      </c>
      <c r="Q718">
        <v>2</v>
      </c>
      <c r="R718">
        <v>361</v>
      </c>
      <c r="S718">
        <v>12.161202640483719</v>
      </c>
      <c r="T718">
        <v>0.90616666666666668</v>
      </c>
      <c r="W718">
        <f t="shared" si="44"/>
        <v>286930</v>
      </c>
      <c r="X718">
        <f t="shared" si="45"/>
        <v>0.87833333015441895</v>
      </c>
      <c r="Y718">
        <f t="shared" si="46"/>
        <v>0.90616666666666668</v>
      </c>
      <c r="Z718">
        <f t="shared" si="47"/>
        <v>12.161202640483719</v>
      </c>
    </row>
    <row r="719" spans="1:26" hidden="1" x14ac:dyDescent="0.25">
      <c r="A719" t="s">
        <v>106</v>
      </c>
      <c r="B719">
        <v>9</v>
      </c>
      <c r="C719">
        <v>5</v>
      </c>
      <c r="D719">
        <v>0</v>
      </c>
      <c r="E719" t="s">
        <v>288</v>
      </c>
      <c r="F719">
        <v>287599</v>
      </c>
      <c r="G719">
        <v>776085213.5</v>
      </c>
      <c r="H719">
        <v>0.61944443732500076</v>
      </c>
      <c r="I719">
        <v>0.9555555555555556</v>
      </c>
      <c r="J719">
        <v>38607167.75</v>
      </c>
      <c r="K719">
        <v>286930</v>
      </c>
      <c r="L719">
        <v>2</v>
      </c>
      <c r="M719">
        <v>360</v>
      </c>
      <c r="N719">
        <v>0.95666666666666667</v>
      </c>
      <c r="O719">
        <v>38296985.5</v>
      </c>
      <c r="P719">
        <v>288449</v>
      </c>
      <c r="Q719">
        <v>2</v>
      </c>
      <c r="R719">
        <v>361</v>
      </c>
      <c r="S719">
        <v>12.176946189565692</v>
      </c>
      <c r="T719">
        <v>0.77036666666666664</v>
      </c>
      <c r="W719">
        <f t="shared" si="44"/>
        <v>286930</v>
      </c>
      <c r="X719">
        <f t="shared" si="45"/>
        <v>0.61944443732500076</v>
      </c>
      <c r="Y719">
        <f t="shared" si="46"/>
        <v>0.77036666666666664</v>
      </c>
      <c r="Z719">
        <f t="shared" si="47"/>
        <v>12.176946189565692</v>
      </c>
    </row>
    <row r="720" spans="1:26" hidden="1" x14ac:dyDescent="0.25">
      <c r="A720" t="s">
        <v>106</v>
      </c>
      <c r="B720">
        <v>5</v>
      </c>
      <c r="C720">
        <v>5</v>
      </c>
      <c r="D720">
        <v>0</v>
      </c>
      <c r="E720" t="s">
        <v>277</v>
      </c>
      <c r="F720">
        <v>289953</v>
      </c>
      <c r="G720">
        <v>580535331</v>
      </c>
      <c r="H720">
        <v>0.89269841568810604</v>
      </c>
      <c r="I720">
        <v>0.96158730158730166</v>
      </c>
      <c r="J720">
        <v>33459397</v>
      </c>
      <c r="K720">
        <v>288449</v>
      </c>
      <c r="L720">
        <v>2</v>
      </c>
      <c r="M720">
        <v>361</v>
      </c>
      <c r="N720">
        <v>0.95365079365079364</v>
      </c>
      <c r="O720">
        <v>33326219.571428571</v>
      </c>
      <c r="P720">
        <v>289972</v>
      </c>
      <c r="Q720">
        <v>2</v>
      </c>
      <c r="R720">
        <v>362</v>
      </c>
      <c r="S720">
        <v>11.673880993100195</v>
      </c>
      <c r="T720">
        <v>0.91481481790542607</v>
      </c>
      <c r="W720">
        <f t="shared" si="44"/>
        <v>288449</v>
      </c>
      <c r="X720">
        <f t="shared" si="45"/>
        <v>0.89269841568810604</v>
      </c>
      <c r="Y720">
        <f t="shared" si="46"/>
        <v>0.91481481790542607</v>
      </c>
      <c r="Z720">
        <f t="shared" si="47"/>
        <v>11.673880993100195</v>
      </c>
    </row>
    <row r="721" spans="1:26" hidden="1" x14ac:dyDescent="0.25">
      <c r="A721" t="s">
        <v>106</v>
      </c>
      <c r="B721">
        <v>9</v>
      </c>
      <c r="C721">
        <v>2</v>
      </c>
      <c r="D721">
        <v>0</v>
      </c>
      <c r="E721" t="s">
        <v>287</v>
      </c>
      <c r="F721">
        <v>288745</v>
      </c>
      <c r="G721">
        <v>1128195305.8571429</v>
      </c>
      <c r="H721">
        <v>0.90253967898232601</v>
      </c>
      <c r="I721">
        <v>0.95492063492063495</v>
      </c>
      <c r="J721">
        <v>35642087.714285716</v>
      </c>
      <c r="K721">
        <v>288449</v>
      </c>
      <c r="L721">
        <v>2</v>
      </c>
      <c r="M721">
        <v>361</v>
      </c>
      <c r="N721">
        <v>0.9568253968253968</v>
      </c>
      <c r="O721">
        <v>36331096.857142858</v>
      </c>
      <c r="P721">
        <v>289972</v>
      </c>
      <c r="Q721">
        <v>2</v>
      </c>
      <c r="R721">
        <v>362</v>
      </c>
      <c r="S721">
        <v>11.921161349552444</v>
      </c>
      <c r="T721">
        <v>0.91666668653488159</v>
      </c>
      <c r="W721">
        <f t="shared" si="44"/>
        <v>288449</v>
      </c>
      <c r="X721">
        <f t="shared" si="45"/>
        <v>0.90253967898232601</v>
      </c>
      <c r="Y721">
        <f t="shared" si="46"/>
        <v>0.91666668653488159</v>
      </c>
      <c r="Z721">
        <f t="shared" si="47"/>
        <v>11.921161349552444</v>
      </c>
    </row>
    <row r="722" spans="1:26" hidden="1" x14ac:dyDescent="0.25">
      <c r="A722" t="s">
        <v>106</v>
      </c>
      <c r="B722">
        <v>9</v>
      </c>
      <c r="C722">
        <v>3</v>
      </c>
      <c r="D722">
        <v>0</v>
      </c>
      <c r="E722" t="s">
        <v>226</v>
      </c>
      <c r="F722">
        <v>289178</v>
      </c>
      <c r="G722">
        <v>1000600727</v>
      </c>
      <c r="H722">
        <v>0.93833333253860474</v>
      </c>
      <c r="I722">
        <v>0.96722222222222221</v>
      </c>
      <c r="J722">
        <v>36779463</v>
      </c>
      <c r="K722">
        <v>288449</v>
      </c>
      <c r="L722">
        <v>2</v>
      </c>
      <c r="M722">
        <v>361</v>
      </c>
      <c r="N722">
        <v>0.96055555555555561</v>
      </c>
      <c r="O722">
        <v>35995470.5</v>
      </c>
      <c r="P722">
        <v>289972</v>
      </c>
      <c r="Q722">
        <v>2</v>
      </c>
      <c r="R722">
        <v>362</v>
      </c>
      <c r="S722">
        <v>12.089664111812443</v>
      </c>
      <c r="T722">
        <v>0.93952098706563314</v>
      </c>
      <c r="W722">
        <f t="shared" si="44"/>
        <v>288449</v>
      </c>
      <c r="X722">
        <f t="shared" si="45"/>
        <v>0.93833333253860474</v>
      </c>
      <c r="Y722">
        <f t="shared" si="46"/>
        <v>0.93952098706563314</v>
      </c>
      <c r="Z722">
        <f t="shared" si="47"/>
        <v>12.089664111812443</v>
      </c>
    </row>
    <row r="723" spans="1:26" hidden="1" x14ac:dyDescent="0.25">
      <c r="A723" t="s">
        <v>106</v>
      </c>
      <c r="B723">
        <v>9</v>
      </c>
      <c r="C723">
        <v>5</v>
      </c>
      <c r="D723">
        <v>0</v>
      </c>
      <c r="E723" t="s">
        <v>157</v>
      </c>
      <c r="F723">
        <v>288894</v>
      </c>
      <c r="G723">
        <v>582737987.42857146</v>
      </c>
      <c r="H723">
        <v>0.58190475297825672</v>
      </c>
      <c r="I723">
        <v>0.96444444444444444</v>
      </c>
      <c r="J723">
        <v>35631748.857142858</v>
      </c>
      <c r="K723">
        <v>288449</v>
      </c>
      <c r="L723">
        <v>2</v>
      </c>
      <c r="M723">
        <v>361</v>
      </c>
      <c r="N723">
        <v>0.9676190476190476</v>
      </c>
      <c r="O723">
        <v>37207123.428571425</v>
      </c>
      <c r="P723">
        <v>289972</v>
      </c>
      <c r="Q723">
        <v>2</v>
      </c>
      <c r="R723">
        <v>362</v>
      </c>
      <c r="S723">
        <v>12.177588466579293</v>
      </c>
      <c r="T723">
        <v>0.83396666666666663</v>
      </c>
      <c r="W723">
        <f t="shared" si="44"/>
        <v>288449</v>
      </c>
      <c r="X723">
        <f t="shared" si="45"/>
        <v>0.58190475297825672</v>
      </c>
      <c r="Y723">
        <f t="shared" si="46"/>
        <v>0.83396666666666663</v>
      </c>
      <c r="Z723">
        <f t="shared" si="47"/>
        <v>12.177588466579293</v>
      </c>
    </row>
    <row r="724" spans="1:26" hidden="1" x14ac:dyDescent="0.25">
      <c r="A724" t="s">
        <v>106</v>
      </c>
      <c r="B724">
        <v>5</v>
      </c>
      <c r="C724">
        <v>5</v>
      </c>
      <c r="D724">
        <v>0</v>
      </c>
      <c r="E724" t="s">
        <v>168</v>
      </c>
      <c r="F724">
        <v>291252</v>
      </c>
      <c r="G724">
        <v>549101532.71428573</v>
      </c>
      <c r="H724">
        <v>0.89079365559986656</v>
      </c>
      <c r="I724">
        <v>0.95904761904761904</v>
      </c>
      <c r="J724">
        <v>31732513.285714287</v>
      </c>
      <c r="K724">
        <v>289972</v>
      </c>
      <c r="L724">
        <v>2</v>
      </c>
      <c r="M724">
        <v>362</v>
      </c>
      <c r="N724">
        <v>0.95841269841269838</v>
      </c>
      <c r="O724">
        <v>32010136.285714287</v>
      </c>
      <c r="P724">
        <v>291499</v>
      </c>
      <c r="Q724">
        <v>2</v>
      </c>
      <c r="R724">
        <v>363</v>
      </c>
      <c r="S724">
        <v>11.675194529592078</v>
      </c>
      <c r="T724">
        <v>0.90987655520439148</v>
      </c>
      <c r="W724">
        <f t="shared" si="44"/>
        <v>289972</v>
      </c>
      <c r="X724">
        <f t="shared" si="45"/>
        <v>0.89079365559986656</v>
      </c>
      <c r="Y724">
        <f t="shared" si="46"/>
        <v>0.90987655520439148</v>
      </c>
      <c r="Z724">
        <f t="shared" si="47"/>
        <v>11.675194529592078</v>
      </c>
    </row>
    <row r="725" spans="1:26" hidden="1" x14ac:dyDescent="0.25">
      <c r="A725" t="s">
        <v>106</v>
      </c>
      <c r="B725">
        <v>9</v>
      </c>
      <c r="C725">
        <v>3</v>
      </c>
      <c r="D725">
        <v>0</v>
      </c>
      <c r="E725" t="s">
        <v>278</v>
      </c>
      <c r="F725">
        <v>290589</v>
      </c>
      <c r="G725">
        <v>733315819.5</v>
      </c>
      <c r="H725">
        <v>0.92444445192813873</v>
      </c>
      <c r="I725">
        <v>0.95500000000000007</v>
      </c>
      <c r="J725">
        <v>38871981.5</v>
      </c>
      <c r="K725">
        <v>289972</v>
      </c>
      <c r="L725">
        <v>2</v>
      </c>
      <c r="M725">
        <v>362</v>
      </c>
      <c r="N725">
        <v>0.94333333333333336</v>
      </c>
      <c r="O725">
        <v>39783880.75</v>
      </c>
      <c r="P725">
        <v>291499</v>
      </c>
      <c r="Q725">
        <v>2</v>
      </c>
      <c r="R725">
        <v>363</v>
      </c>
      <c r="S725">
        <v>12.090320036060401</v>
      </c>
      <c r="T725">
        <v>0.95063333333333333</v>
      </c>
      <c r="W725">
        <f t="shared" si="44"/>
        <v>289972</v>
      </c>
      <c r="X725">
        <f t="shared" si="45"/>
        <v>0.92444445192813873</v>
      </c>
      <c r="Y725">
        <f t="shared" si="46"/>
        <v>0.95063333333333333</v>
      </c>
      <c r="Z725">
        <f t="shared" si="47"/>
        <v>12.090320036060401</v>
      </c>
    </row>
    <row r="726" spans="1:26" hidden="1" x14ac:dyDescent="0.25">
      <c r="A726" t="s">
        <v>106</v>
      </c>
      <c r="B726">
        <v>9</v>
      </c>
      <c r="C726">
        <v>4</v>
      </c>
      <c r="D726">
        <v>0</v>
      </c>
      <c r="E726" t="s">
        <v>283</v>
      </c>
      <c r="F726">
        <v>290169</v>
      </c>
      <c r="G726">
        <v>887823331.25</v>
      </c>
      <c r="H726">
        <v>0.88722221553325653</v>
      </c>
      <c r="I726">
        <v>0.96</v>
      </c>
      <c r="J726">
        <v>42958957</v>
      </c>
      <c r="K726">
        <v>289972</v>
      </c>
      <c r="L726">
        <v>2</v>
      </c>
      <c r="M726">
        <v>362</v>
      </c>
      <c r="N726">
        <v>0.96277777777777773</v>
      </c>
      <c r="O726">
        <v>43367881.75</v>
      </c>
      <c r="P726">
        <v>291499</v>
      </c>
      <c r="Q726">
        <v>2</v>
      </c>
      <c r="R726">
        <v>363</v>
      </c>
      <c r="S726">
        <v>12.16233154012534</v>
      </c>
      <c r="T726">
        <v>0.91849999999999998</v>
      </c>
      <c r="W726">
        <f t="shared" si="44"/>
        <v>289972</v>
      </c>
      <c r="X726">
        <f t="shared" si="45"/>
        <v>0.88722221553325653</v>
      </c>
      <c r="Y726">
        <f t="shared" si="46"/>
        <v>0.91849999999999998</v>
      </c>
      <c r="Z726">
        <f t="shared" si="47"/>
        <v>12.16233154012534</v>
      </c>
    </row>
    <row r="727" spans="1:26" hidden="1" x14ac:dyDescent="0.25">
      <c r="A727" t="s">
        <v>106</v>
      </c>
      <c r="B727">
        <v>9</v>
      </c>
      <c r="C727">
        <v>5</v>
      </c>
      <c r="D727">
        <v>0</v>
      </c>
      <c r="E727" t="s">
        <v>222</v>
      </c>
      <c r="F727">
        <v>291354</v>
      </c>
      <c r="G727">
        <v>607758281.5</v>
      </c>
      <c r="H727">
        <v>0.66999998688697815</v>
      </c>
      <c r="I727">
        <v>0.96277777777777773</v>
      </c>
      <c r="J727">
        <v>35900754.25</v>
      </c>
      <c r="K727">
        <v>289972</v>
      </c>
      <c r="L727">
        <v>2</v>
      </c>
      <c r="M727">
        <v>362</v>
      </c>
      <c r="N727">
        <v>0.95666666666666667</v>
      </c>
      <c r="O727">
        <v>36889064</v>
      </c>
      <c r="P727">
        <v>291499</v>
      </c>
      <c r="Q727">
        <v>2</v>
      </c>
      <c r="R727">
        <v>363</v>
      </c>
      <c r="S727">
        <v>12.178041056999344</v>
      </c>
      <c r="T727">
        <v>0.84199999999999997</v>
      </c>
      <c r="W727">
        <f t="shared" si="44"/>
        <v>289972</v>
      </c>
      <c r="X727">
        <f t="shared" si="45"/>
        <v>0.66999998688697815</v>
      </c>
      <c r="Y727">
        <f t="shared" si="46"/>
        <v>0.84199999999999997</v>
      </c>
      <c r="Z727">
        <f t="shared" si="47"/>
        <v>12.178041056999344</v>
      </c>
    </row>
    <row r="728" spans="1:26" hidden="1" x14ac:dyDescent="0.25">
      <c r="A728" t="s">
        <v>106</v>
      </c>
      <c r="B728">
        <v>5</v>
      </c>
      <c r="C728">
        <v>5</v>
      </c>
      <c r="D728">
        <v>0</v>
      </c>
      <c r="E728" t="s">
        <v>259</v>
      </c>
      <c r="F728">
        <v>292071</v>
      </c>
      <c r="G728">
        <v>1016109318.5</v>
      </c>
      <c r="H728">
        <v>0.89666667580604553</v>
      </c>
      <c r="I728">
        <v>0.96055555555555561</v>
      </c>
      <c r="J728">
        <v>38905083.5</v>
      </c>
      <c r="K728">
        <v>291499</v>
      </c>
      <c r="L728">
        <v>2</v>
      </c>
      <c r="M728">
        <v>363</v>
      </c>
      <c r="N728">
        <v>0.96277777777777773</v>
      </c>
      <c r="O728">
        <v>39598966.5</v>
      </c>
      <c r="P728">
        <v>293030</v>
      </c>
      <c r="Q728">
        <v>2</v>
      </c>
      <c r="R728">
        <v>364</v>
      </c>
      <c r="S728">
        <v>11.676744460160302</v>
      </c>
      <c r="T728">
        <v>0.89259258906046546</v>
      </c>
      <c r="W728">
        <f t="shared" si="44"/>
        <v>291499</v>
      </c>
      <c r="X728">
        <f t="shared" si="45"/>
        <v>0.89666667580604553</v>
      </c>
      <c r="Y728">
        <f t="shared" si="46"/>
        <v>0.89259258906046546</v>
      </c>
      <c r="Z728">
        <f t="shared" si="47"/>
        <v>11.676744460160302</v>
      </c>
    </row>
    <row r="729" spans="1:26" hidden="1" x14ac:dyDescent="0.25">
      <c r="A729" t="s">
        <v>106</v>
      </c>
      <c r="B729">
        <v>9</v>
      </c>
      <c r="C729">
        <v>3</v>
      </c>
      <c r="D729">
        <v>0</v>
      </c>
      <c r="E729" t="s">
        <v>144</v>
      </c>
      <c r="F729">
        <v>292182</v>
      </c>
      <c r="G729">
        <v>845731813.5</v>
      </c>
      <c r="H729">
        <v>0.91866667270660396</v>
      </c>
      <c r="I729">
        <v>0.96577777777777785</v>
      </c>
      <c r="J729">
        <v>38957631.5</v>
      </c>
      <c r="K729">
        <v>291499</v>
      </c>
      <c r="L729">
        <v>2</v>
      </c>
      <c r="M729">
        <v>363</v>
      </c>
      <c r="N729">
        <v>0.9622222222222222</v>
      </c>
      <c r="O729">
        <v>39043013</v>
      </c>
      <c r="P729">
        <v>293030</v>
      </c>
      <c r="Q729">
        <v>2</v>
      </c>
      <c r="R729">
        <v>364</v>
      </c>
      <c r="S729">
        <v>12.09483049893006</v>
      </c>
      <c r="T729">
        <v>0.92344607895745168</v>
      </c>
      <c r="W729">
        <f t="shared" si="44"/>
        <v>291499</v>
      </c>
      <c r="X729">
        <f t="shared" si="45"/>
        <v>0.91866667270660396</v>
      </c>
      <c r="Y729">
        <f t="shared" si="46"/>
        <v>0.92344607895745168</v>
      </c>
      <c r="Z729">
        <f t="shared" si="47"/>
        <v>12.09483049893006</v>
      </c>
    </row>
    <row r="730" spans="1:26" hidden="1" x14ac:dyDescent="0.25">
      <c r="A730" t="s">
        <v>106</v>
      </c>
      <c r="B730">
        <v>9</v>
      </c>
      <c r="C730">
        <v>4</v>
      </c>
      <c r="D730">
        <v>0</v>
      </c>
      <c r="E730" t="s">
        <v>209</v>
      </c>
      <c r="F730">
        <v>292272</v>
      </c>
      <c r="G730">
        <v>571338376.5</v>
      </c>
      <c r="H730">
        <v>0.88999998569488525</v>
      </c>
      <c r="I730">
        <v>0.95444444444444443</v>
      </c>
      <c r="J730">
        <v>38087357.25</v>
      </c>
      <c r="K730">
        <v>291499</v>
      </c>
      <c r="L730">
        <v>2</v>
      </c>
      <c r="M730">
        <v>363</v>
      </c>
      <c r="N730">
        <v>0.9522222222222223</v>
      </c>
      <c r="O730">
        <v>39863110.25</v>
      </c>
      <c r="P730">
        <v>293030</v>
      </c>
      <c r="Q730">
        <v>2</v>
      </c>
      <c r="R730">
        <v>364</v>
      </c>
      <c r="S730">
        <v>12.162628222899917</v>
      </c>
      <c r="T730">
        <v>0.91973333333333329</v>
      </c>
      <c r="W730">
        <f t="shared" si="44"/>
        <v>291499</v>
      </c>
      <c r="X730">
        <f t="shared" si="45"/>
        <v>0.88999998569488525</v>
      </c>
      <c r="Y730">
        <f t="shared" si="46"/>
        <v>0.91973333333333329</v>
      </c>
      <c r="Z730">
        <f t="shared" si="47"/>
        <v>12.162628222899917</v>
      </c>
    </row>
    <row r="731" spans="1:26" hidden="1" x14ac:dyDescent="0.25">
      <c r="A731" t="s">
        <v>106</v>
      </c>
      <c r="B731">
        <v>5</v>
      </c>
      <c r="C731">
        <v>4</v>
      </c>
      <c r="D731">
        <v>0</v>
      </c>
      <c r="E731" t="s">
        <v>279</v>
      </c>
      <c r="F731">
        <v>294199</v>
      </c>
      <c r="G731">
        <v>605400812.23076928</v>
      </c>
      <c r="H731">
        <v>0.95247862430719232</v>
      </c>
      <c r="I731">
        <v>0.96239316239316242</v>
      </c>
      <c r="J731">
        <v>38643178.153846152</v>
      </c>
      <c r="K731">
        <v>293030</v>
      </c>
      <c r="L731">
        <v>2</v>
      </c>
      <c r="M731">
        <v>364</v>
      </c>
      <c r="N731">
        <v>0.95641025641025645</v>
      </c>
      <c r="O731">
        <v>37240987.153846152</v>
      </c>
      <c r="P731">
        <v>294565</v>
      </c>
      <c r="Q731">
        <v>2</v>
      </c>
      <c r="R731">
        <v>365</v>
      </c>
      <c r="S731">
        <v>11.613108456875338</v>
      </c>
      <c r="T731">
        <v>0.96203702191511786</v>
      </c>
      <c r="W731">
        <f t="shared" si="44"/>
        <v>293030</v>
      </c>
      <c r="X731">
        <f t="shared" si="45"/>
        <v>0.95247862430719232</v>
      </c>
      <c r="Y731">
        <f t="shared" si="46"/>
        <v>0.96203702191511786</v>
      </c>
      <c r="Z731">
        <f t="shared" si="47"/>
        <v>11.613108456875338</v>
      </c>
    </row>
    <row r="732" spans="1:26" hidden="1" x14ac:dyDescent="0.25">
      <c r="A732" t="s">
        <v>106</v>
      </c>
      <c r="B732">
        <v>9</v>
      </c>
      <c r="C732">
        <v>4</v>
      </c>
      <c r="D732">
        <v>0</v>
      </c>
      <c r="E732" t="s">
        <v>271</v>
      </c>
      <c r="F732">
        <v>293875</v>
      </c>
      <c r="G732">
        <v>657772414.25</v>
      </c>
      <c r="H732">
        <v>0.85555556416511536</v>
      </c>
      <c r="I732">
        <v>0.95944444444444443</v>
      </c>
      <c r="J732">
        <v>41628527.75</v>
      </c>
      <c r="K732">
        <v>293030</v>
      </c>
      <c r="L732">
        <v>2</v>
      </c>
      <c r="M732">
        <v>364</v>
      </c>
      <c r="N732">
        <v>0.95777777777777784</v>
      </c>
      <c r="O732">
        <v>40164016.25</v>
      </c>
      <c r="P732">
        <v>294565</v>
      </c>
      <c r="Q732">
        <v>2</v>
      </c>
      <c r="R732">
        <v>365</v>
      </c>
      <c r="S732">
        <v>12.16292477410056</v>
      </c>
      <c r="T732">
        <v>0.91603333333333337</v>
      </c>
      <c r="W732">
        <f t="shared" si="44"/>
        <v>293030</v>
      </c>
      <c r="X732">
        <f t="shared" si="45"/>
        <v>0.85555556416511536</v>
      </c>
      <c r="Y732">
        <f t="shared" si="46"/>
        <v>0.91603333333333337</v>
      </c>
      <c r="Z732">
        <f t="shared" si="47"/>
        <v>12.16292477410056</v>
      </c>
    </row>
    <row r="733" spans="1:26" hidden="1" x14ac:dyDescent="0.25">
      <c r="A733" t="s">
        <v>106</v>
      </c>
      <c r="B733">
        <v>9</v>
      </c>
      <c r="C733">
        <v>5</v>
      </c>
      <c r="D733">
        <v>0</v>
      </c>
      <c r="E733" t="s">
        <v>275</v>
      </c>
      <c r="F733">
        <v>294549</v>
      </c>
      <c r="G733">
        <v>567696110.85714281</v>
      </c>
      <c r="H733">
        <v>0.48793651163578033</v>
      </c>
      <c r="I733">
        <v>0.97206349206349207</v>
      </c>
      <c r="J733">
        <v>36276239</v>
      </c>
      <c r="K733">
        <v>293030</v>
      </c>
      <c r="L733">
        <v>2</v>
      </c>
      <c r="M733">
        <v>364</v>
      </c>
      <c r="N733">
        <v>0.9663492063492064</v>
      </c>
      <c r="O733">
        <v>36989858.142857142</v>
      </c>
      <c r="P733">
        <v>294565</v>
      </c>
      <c r="Q733">
        <v>2</v>
      </c>
      <c r="R733">
        <v>365</v>
      </c>
      <c r="S733">
        <v>12.178409649074933</v>
      </c>
      <c r="T733">
        <v>0.8105</v>
      </c>
      <c r="W733">
        <f t="shared" si="44"/>
        <v>293030</v>
      </c>
      <c r="X733">
        <f t="shared" si="45"/>
        <v>0.48793651163578033</v>
      </c>
      <c r="Y733">
        <f t="shared" si="46"/>
        <v>0.8105</v>
      </c>
      <c r="Z733">
        <f t="shared" si="47"/>
        <v>12.178409649074933</v>
      </c>
    </row>
    <row r="734" spans="1:26" hidden="1" x14ac:dyDescent="0.25">
      <c r="A734" t="s">
        <v>106</v>
      </c>
      <c r="B734">
        <v>5</v>
      </c>
      <c r="C734">
        <v>4</v>
      </c>
      <c r="D734">
        <v>0</v>
      </c>
      <c r="E734" t="s">
        <v>268</v>
      </c>
      <c r="F734">
        <v>294793</v>
      </c>
      <c r="G734">
        <v>616120384.14285719</v>
      </c>
      <c r="H734">
        <v>0.95523809535162785</v>
      </c>
      <c r="I734">
        <v>0.95841269841269838</v>
      </c>
      <c r="J734">
        <v>38642462.428571425</v>
      </c>
      <c r="K734">
        <v>294565</v>
      </c>
      <c r="L734">
        <v>2</v>
      </c>
      <c r="M734">
        <v>365</v>
      </c>
      <c r="N734">
        <v>0.95650793650793653</v>
      </c>
      <c r="O734">
        <v>39246490.714285716</v>
      </c>
      <c r="P734">
        <v>296104</v>
      </c>
      <c r="Q734">
        <v>2</v>
      </c>
      <c r="R734">
        <v>366</v>
      </c>
      <c r="S734">
        <v>11.614530837532998</v>
      </c>
      <c r="T734">
        <v>0.95617283384005225</v>
      </c>
      <c r="W734">
        <f t="shared" si="44"/>
        <v>294565</v>
      </c>
      <c r="X734">
        <f t="shared" si="45"/>
        <v>0.95523809535162785</v>
      </c>
      <c r="Y734">
        <f t="shared" si="46"/>
        <v>0.95617283384005225</v>
      </c>
      <c r="Z734">
        <f t="shared" si="47"/>
        <v>11.614530837532998</v>
      </c>
    </row>
    <row r="735" spans="1:26" hidden="1" x14ac:dyDescent="0.25">
      <c r="A735" t="s">
        <v>106</v>
      </c>
      <c r="B735">
        <v>5</v>
      </c>
      <c r="C735">
        <v>5</v>
      </c>
      <c r="D735">
        <v>0</v>
      </c>
      <c r="E735" t="s">
        <v>240</v>
      </c>
      <c r="F735">
        <v>295760</v>
      </c>
      <c r="G735">
        <v>1126862637.75</v>
      </c>
      <c r="H735">
        <v>0.88111111521720886</v>
      </c>
      <c r="I735">
        <v>0.95777777777777784</v>
      </c>
      <c r="J735">
        <v>44212021.75</v>
      </c>
      <c r="K735">
        <v>294565</v>
      </c>
      <c r="L735">
        <v>2</v>
      </c>
      <c r="M735">
        <v>365</v>
      </c>
      <c r="N735">
        <v>0.96388888888888891</v>
      </c>
      <c r="O735">
        <v>44802382.75</v>
      </c>
      <c r="P735">
        <v>296104</v>
      </c>
      <c r="Q735">
        <v>2</v>
      </c>
      <c r="R735">
        <v>366</v>
      </c>
      <c r="S735">
        <v>11.677763374970541</v>
      </c>
      <c r="T735">
        <v>0.92098766565322876</v>
      </c>
      <c r="W735">
        <f t="shared" si="44"/>
        <v>294565</v>
      </c>
      <c r="X735">
        <f t="shared" si="45"/>
        <v>0.88111111521720886</v>
      </c>
      <c r="Y735">
        <f t="shared" si="46"/>
        <v>0.92098766565322876</v>
      </c>
      <c r="Z735">
        <f t="shared" si="47"/>
        <v>11.677763374970541</v>
      </c>
    </row>
    <row r="736" spans="1:26" hidden="1" x14ac:dyDescent="0.25">
      <c r="A736" t="s">
        <v>106</v>
      </c>
      <c r="B736">
        <v>9</v>
      </c>
      <c r="C736">
        <v>4</v>
      </c>
      <c r="D736">
        <v>0</v>
      </c>
      <c r="E736" t="s">
        <v>134</v>
      </c>
      <c r="F736">
        <v>294978</v>
      </c>
      <c r="G736">
        <v>633180125.5</v>
      </c>
      <c r="H736">
        <v>0.93166667222976685</v>
      </c>
      <c r="I736">
        <v>0.96055555555555561</v>
      </c>
      <c r="J736">
        <v>39945515.75</v>
      </c>
      <c r="K736">
        <v>294565</v>
      </c>
      <c r="L736">
        <v>2</v>
      </c>
      <c r="M736">
        <v>365</v>
      </c>
      <c r="N736">
        <v>0.95944444444444443</v>
      </c>
      <c r="O736">
        <v>39003962</v>
      </c>
      <c r="P736">
        <v>296104</v>
      </c>
      <c r="Q736">
        <v>2</v>
      </c>
      <c r="R736">
        <v>366</v>
      </c>
      <c r="S736">
        <v>12.163332040126365</v>
      </c>
      <c r="T736">
        <v>0.91603333333333326</v>
      </c>
      <c r="W736">
        <f t="shared" si="44"/>
        <v>294565</v>
      </c>
      <c r="X736">
        <f t="shared" si="45"/>
        <v>0.93166667222976685</v>
      </c>
      <c r="Y736">
        <f t="shared" si="46"/>
        <v>0.91603333333333326</v>
      </c>
      <c r="Z736">
        <f t="shared" si="47"/>
        <v>12.163332040126365</v>
      </c>
    </row>
    <row r="737" spans="1:26" hidden="1" x14ac:dyDescent="0.25">
      <c r="A737" t="s">
        <v>106</v>
      </c>
      <c r="B737">
        <v>9</v>
      </c>
      <c r="C737">
        <v>5</v>
      </c>
      <c r="D737">
        <v>0</v>
      </c>
      <c r="E737" t="s">
        <v>186</v>
      </c>
      <c r="F737">
        <v>297184</v>
      </c>
      <c r="G737">
        <v>621695365.5</v>
      </c>
      <c r="H737">
        <v>0.54888889193534851</v>
      </c>
      <c r="I737">
        <v>0.95833333333333326</v>
      </c>
      <c r="J737">
        <v>38416210.75</v>
      </c>
      <c r="K737">
        <v>296104</v>
      </c>
      <c r="L737">
        <v>2</v>
      </c>
      <c r="M737">
        <v>366</v>
      </c>
      <c r="N737">
        <v>0.94944444444444442</v>
      </c>
      <c r="O737">
        <v>41254368</v>
      </c>
      <c r="P737">
        <v>297647</v>
      </c>
      <c r="Q737">
        <v>2</v>
      </c>
      <c r="R737">
        <v>367</v>
      </c>
      <c r="S737">
        <v>12.178588967097724</v>
      </c>
      <c r="T737">
        <v>0.75556666666666661</v>
      </c>
      <c r="W737">
        <f t="shared" si="44"/>
        <v>296104</v>
      </c>
      <c r="X737">
        <f t="shared" si="45"/>
        <v>0.54888889193534851</v>
      </c>
      <c r="Y737">
        <f t="shared" si="46"/>
        <v>0.75556666666666661</v>
      </c>
      <c r="Z737">
        <f t="shared" si="47"/>
        <v>12.178588967097724</v>
      </c>
    </row>
    <row r="738" spans="1:26" hidden="1" x14ac:dyDescent="0.25">
      <c r="A738" t="s">
        <v>106</v>
      </c>
      <c r="B738">
        <v>5</v>
      </c>
      <c r="C738">
        <v>5</v>
      </c>
      <c r="D738">
        <v>0</v>
      </c>
      <c r="E738" t="s">
        <v>284</v>
      </c>
      <c r="F738">
        <v>297779</v>
      </c>
      <c r="G738">
        <v>618917096</v>
      </c>
      <c r="H738">
        <v>0.90000000596046448</v>
      </c>
      <c r="I738">
        <v>0.96722222222222221</v>
      </c>
      <c r="J738">
        <v>37427673</v>
      </c>
      <c r="K738">
        <v>297647</v>
      </c>
      <c r="L738">
        <v>2</v>
      </c>
      <c r="M738">
        <v>367</v>
      </c>
      <c r="N738">
        <v>0.96888888888888891</v>
      </c>
      <c r="O738">
        <v>39737514.75</v>
      </c>
      <c r="P738">
        <v>299194</v>
      </c>
      <c r="Q738">
        <v>2</v>
      </c>
      <c r="R738">
        <v>368</v>
      </c>
      <c r="S738">
        <v>11.67825164938737</v>
      </c>
      <c r="T738">
        <v>0.92963703880310056</v>
      </c>
      <c r="W738">
        <f t="shared" si="44"/>
        <v>297647</v>
      </c>
      <c r="X738">
        <f t="shared" si="45"/>
        <v>0.90000000596046448</v>
      </c>
      <c r="Y738">
        <f t="shared" si="46"/>
        <v>0.92963703880310056</v>
      </c>
      <c r="Z738">
        <f t="shared" si="47"/>
        <v>11.67825164938737</v>
      </c>
    </row>
    <row r="739" spans="1:26" hidden="1" x14ac:dyDescent="0.25">
      <c r="A739" t="s">
        <v>106</v>
      </c>
      <c r="B739">
        <v>9</v>
      </c>
      <c r="C739">
        <v>3</v>
      </c>
      <c r="D739">
        <v>0</v>
      </c>
      <c r="E739" t="s">
        <v>285</v>
      </c>
      <c r="F739">
        <v>298203</v>
      </c>
      <c r="G739">
        <v>1082380897.4000001</v>
      </c>
      <c r="H739">
        <v>0.92511111497879028</v>
      </c>
      <c r="I739">
        <v>0.96888888888888891</v>
      </c>
      <c r="J739">
        <v>38279255.100000001</v>
      </c>
      <c r="K739">
        <v>297647</v>
      </c>
      <c r="L739">
        <v>2</v>
      </c>
      <c r="M739">
        <v>367</v>
      </c>
      <c r="N739">
        <v>0.96711111111111114</v>
      </c>
      <c r="O739">
        <v>38613356.399999999</v>
      </c>
      <c r="P739">
        <v>299194</v>
      </c>
      <c r="Q739">
        <v>2</v>
      </c>
      <c r="R739">
        <v>368</v>
      </c>
      <c r="S739">
        <v>12.101981089599279</v>
      </c>
      <c r="T739">
        <v>0.92963456186718407</v>
      </c>
      <c r="W739">
        <f t="shared" si="44"/>
        <v>297647</v>
      </c>
      <c r="X739">
        <f t="shared" si="45"/>
        <v>0.92511111497879028</v>
      </c>
      <c r="Y739">
        <f t="shared" si="46"/>
        <v>0.92963456186718407</v>
      </c>
      <c r="Z739">
        <f t="shared" si="47"/>
        <v>12.101981089599279</v>
      </c>
    </row>
    <row r="740" spans="1:26" hidden="1" x14ac:dyDescent="0.25">
      <c r="A740" t="s">
        <v>106</v>
      </c>
      <c r="B740">
        <v>9</v>
      </c>
      <c r="C740">
        <v>4</v>
      </c>
      <c r="D740">
        <v>0</v>
      </c>
      <c r="E740" t="s">
        <v>290</v>
      </c>
      <c r="F740">
        <v>297821</v>
      </c>
      <c r="G740">
        <v>874325378</v>
      </c>
      <c r="H740">
        <v>0.91555555164813995</v>
      </c>
      <c r="I740">
        <v>0.9655555555555555</v>
      </c>
      <c r="J740">
        <v>37749813.25</v>
      </c>
      <c r="K740">
        <v>297647</v>
      </c>
      <c r="L740">
        <v>2</v>
      </c>
      <c r="M740">
        <v>367</v>
      </c>
      <c r="N740">
        <v>0.96555555555555561</v>
      </c>
      <c r="O740">
        <v>37587153.25</v>
      </c>
      <c r="P740">
        <v>299194</v>
      </c>
      <c r="Q740">
        <v>2</v>
      </c>
      <c r="R740">
        <v>368</v>
      </c>
      <c r="S740">
        <v>12.164958164791932</v>
      </c>
      <c r="T740">
        <v>0.92589999999999995</v>
      </c>
      <c r="W740">
        <f t="shared" si="44"/>
        <v>297647</v>
      </c>
      <c r="X740">
        <f t="shared" si="45"/>
        <v>0.91555555164813995</v>
      </c>
      <c r="Y740">
        <f t="shared" si="46"/>
        <v>0.92589999999999995</v>
      </c>
      <c r="Z740">
        <f t="shared" si="47"/>
        <v>12.164958164791932</v>
      </c>
    </row>
    <row r="741" spans="1:26" hidden="1" x14ac:dyDescent="0.25">
      <c r="A741" t="s">
        <v>106</v>
      </c>
      <c r="B741">
        <v>9</v>
      </c>
      <c r="C741">
        <v>5</v>
      </c>
      <c r="D741">
        <v>0</v>
      </c>
      <c r="E741" t="s">
        <v>236</v>
      </c>
      <c r="F741">
        <v>299084</v>
      </c>
      <c r="G741">
        <v>589622852</v>
      </c>
      <c r="H741">
        <v>0.65666667371988297</v>
      </c>
      <c r="I741">
        <v>0.96111111111111114</v>
      </c>
      <c r="J741">
        <v>39271082.5</v>
      </c>
      <c r="K741">
        <v>297647</v>
      </c>
      <c r="L741">
        <v>2</v>
      </c>
      <c r="M741">
        <v>367</v>
      </c>
      <c r="N741">
        <v>0.95666666666666667</v>
      </c>
      <c r="O741">
        <v>39316015.75</v>
      </c>
      <c r="P741">
        <v>299194</v>
      </c>
      <c r="Q741">
        <v>2</v>
      </c>
      <c r="R741">
        <v>368</v>
      </c>
      <c r="S741">
        <v>12.178659102067536</v>
      </c>
      <c r="T741">
        <v>0.7888666666666666</v>
      </c>
      <c r="W741">
        <f t="shared" si="44"/>
        <v>297647</v>
      </c>
      <c r="X741">
        <f t="shared" si="45"/>
        <v>0.65666667371988297</v>
      </c>
      <c r="Y741">
        <f t="shared" si="46"/>
        <v>0.7888666666666666</v>
      </c>
      <c r="Z741">
        <f t="shared" si="47"/>
        <v>12.178659102067536</v>
      </c>
    </row>
    <row r="742" spans="1:26" hidden="1" x14ac:dyDescent="0.25">
      <c r="A742" t="s">
        <v>106</v>
      </c>
      <c r="B742">
        <v>5</v>
      </c>
      <c r="C742">
        <v>5</v>
      </c>
      <c r="D742">
        <v>0</v>
      </c>
      <c r="E742" t="s">
        <v>266</v>
      </c>
      <c r="F742">
        <v>300377</v>
      </c>
      <c r="G742">
        <v>647731473.28571427</v>
      </c>
      <c r="H742">
        <v>0.89619048152651104</v>
      </c>
      <c r="I742">
        <v>0.95904761904761904</v>
      </c>
      <c r="J742">
        <v>33201146.142857142</v>
      </c>
      <c r="K742">
        <v>299194</v>
      </c>
      <c r="L742">
        <v>2</v>
      </c>
      <c r="M742">
        <v>368</v>
      </c>
      <c r="N742">
        <v>0.95492063492063495</v>
      </c>
      <c r="O742">
        <v>32831494.714285713</v>
      </c>
      <c r="P742">
        <v>300745</v>
      </c>
      <c r="Q742">
        <v>2</v>
      </c>
      <c r="R742">
        <v>369</v>
      </c>
      <c r="S742">
        <v>11.680209621386092</v>
      </c>
      <c r="T742">
        <v>0.90739877014160153</v>
      </c>
      <c r="W742">
        <f t="shared" si="44"/>
        <v>299194</v>
      </c>
      <c r="X742">
        <f t="shared" si="45"/>
        <v>0.89619048152651104</v>
      </c>
      <c r="Y742">
        <f t="shared" si="46"/>
        <v>0.90739877014160153</v>
      </c>
      <c r="Z742">
        <f t="shared" si="47"/>
        <v>11.680209621386092</v>
      </c>
    </row>
    <row r="743" spans="1:26" hidden="1" x14ac:dyDescent="0.25">
      <c r="A743" t="s">
        <v>106</v>
      </c>
      <c r="B743">
        <v>9</v>
      </c>
      <c r="C743">
        <v>3</v>
      </c>
      <c r="D743">
        <v>0</v>
      </c>
      <c r="E743" t="s">
        <v>212</v>
      </c>
      <c r="F743">
        <v>299394</v>
      </c>
      <c r="G743">
        <v>785796070.5</v>
      </c>
      <c r="H743">
        <v>0.9400000125169754</v>
      </c>
      <c r="I743">
        <v>0.9505555555555556</v>
      </c>
      <c r="J743">
        <v>38720384.5</v>
      </c>
      <c r="K743">
        <v>299194</v>
      </c>
      <c r="L743">
        <v>2</v>
      </c>
      <c r="M743">
        <v>368</v>
      </c>
      <c r="N743">
        <v>0.95</v>
      </c>
      <c r="O743">
        <v>40316141.75</v>
      </c>
      <c r="P743">
        <v>300745</v>
      </c>
      <c r="Q743">
        <v>2</v>
      </c>
      <c r="R743">
        <v>369</v>
      </c>
      <c r="S743">
        <v>12.102802160702229</v>
      </c>
      <c r="T743">
        <v>0.96053333333333335</v>
      </c>
      <c r="W743">
        <f t="shared" si="44"/>
        <v>299194</v>
      </c>
      <c r="X743">
        <f t="shared" si="45"/>
        <v>0.9400000125169754</v>
      </c>
      <c r="Y743">
        <f t="shared" si="46"/>
        <v>0.96053333333333335</v>
      </c>
      <c r="Z743">
        <f t="shared" si="47"/>
        <v>12.102802160702229</v>
      </c>
    </row>
    <row r="744" spans="1:26" hidden="1" x14ac:dyDescent="0.25">
      <c r="A744" t="s">
        <v>106</v>
      </c>
      <c r="B744">
        <v>9</v>
      </c>
      <c r="C744">
        <v>4</v>
      </c>
      <c r="D744">
        <v>0</v>
      </c>
      <c r="E744" t="s">
        <v>224</v>
      </c>
      <c r="F744">
        <v>300174</v>
      </c>
      <c r="G744">
        <v>966801529.25</v>
      </c>
      <c r="H744">
        <v>0.90666665136814117</v>
      </c>
      <c r="I744">
        <v>0.95944444444444443</v>
      </c>
      <c r="J744">
        <v>42014915.25</v>
      </c>
      <c r="K744">
        <v>299194</v>
      </c>
      <c r="L744">
        <v>2</v>
      </c>
      <c r="M744">
        <v>368</v>
      </c>
      <c r="N744">
        <v>0.96</v>
      </c>
      <c r="O744">
        <v>42522786.75</v>
      </c>
      <c r="P744">
        <v>300745</v>
      </c>
      <c r="Q744">
        <v>2</v>
      </c>
      <c r="R744">
        <v>369</v>
      </c>
      <c r="S744">
        <v>12.166472771591602</v>
      </c>
      <c r="T744">
        <v>0.91603333333333337</v>
      </c>
      <c r="W744">
        <f t="shared" si="44"/>
        <v>299194</v>
      </c>
      <c r="X744">
        <f t="shared" si="45"/>
        <v>0.90666665136814117</v>
      </c>
      <c r="Y744">
        <f t="shared" si="46"/>
        <v>0.91603333333333337</v>
      </c>
      <c r="Z744">
        <f t="shared" si="47"/>
        <v>12.166472771591602</v>
      </c>
    </row>
    <row r="745" spans="1:26" hidden="1" x14ac:dyDescent="0.25">
      <c r="A745" t="s">
        <v>106</v>
      </c>
      <c r="B745">
        <v>9</v>
      </c>
      <c r="C745">
        <v>5</v>
      </c>
      <c r="D745">
        <v>0</v>
      </c>
      <c r="E745" t="s">
        <v>264</v>
      </c>
      <c r="F745">
        <v>299259</v>
      </c>
      <c r="G745">
        <v>560507274</v>
      </c>
      <c r="H745">
        <v>0.71714287144797184</v>
      </c>
      <c r="I745">
        <v>0.96666666666666667</v>
      </c>
      <c r="J745">
        <v>37393681.428571425</v>
      </c>
      <c r="K745">
        <v>299194</v>
      </c>
      <c r="L745">
        <v>2</v>
      </c>
      <c r="M745">
        <v>368</v>
      </c>
      <c r="N745">
        <v>0.9622222222222222</v>
      </c>
      <c r="O745">
        <v>36494466.857142858</v>
      </c>
      <c r="P745">
        <v>300745</v>
      </c>
      <c r="Q745">
        <v>2</v>
      </c>
      <c r="R745">
        <v>369</v>
      </c>
      <c r="S745">
        <v>12.178918093576181</v>
      </c>
      <c r="T745">
        <v>0.8253166666666667</v>
      </c>
      <c r="W745">
        <f t="shared" si="44"/>
        <v>299194</v>
      </c>
      <c r="X745">
        <f t="shared" si="45"/>
        <v>0.71714287144797184</v>
      </c>
      <c r="Y745">
        <f t="shared" si="46"/>
        <v>0.8253166666666667</v>
      </c>
      <c r="Z745">
        <f t="shared" si="47"/>
        <v>12.178918093576181</v>
      </c>
    </row>
    <row r="746" spans="1:26" hidden="1" x14ac:dyDescent="0.25">
      <c r="A746" t="s">
        <v>106</v>
      </c>
      <c r="B746">
        <v>5</v>
      </c>
      <c r="C746">
        <v>4</v>
      </c>
      <c r="D746">
        <v>0</v>
      </c>
      <c r="E746" t="s">
        <v>286</v>
      </c>
      <c r="F746">
        <v>301887</v>
      </c>
      <c r="G746">
        <v>565992231.28571427</v>
      </c>
      <c r="H746">
        <v>0.95650792121887207</v>
      </c>
      <c r="I746">
        <v>0.96253968253968258</v>
      </c>
      <c r="J746">
        <v>38360599.142857142</v>
      </c>
      <c r="K746">
        <v>300745</v>
      </c>
      <c r="L746">
        <v>2</v>
      </c>
      <c r="M746">
        <v>369</v>
      </c>
      <c r="N746">
        <v>0.95968253968253969</v>
      </c>
      <c r="O746">
        <v>37714506.857142858</v>
      </c>
      <c r="P746">
        <v>302300</v>
      </c>
      <c r="Q746">
        <v>2</v>
      </c>
      <c r="R746">
        <v>370</v>
      </c>
      <c r="S746">
        <v>11.615112443778111</v>
      </c>
      <c r="T746">
        <v>0.96728395422299707</v>
      </c>
      <c r="W746">
        <f t="shared" si="44"/>
        <v>300745</v>
      </c>
      <c r="X746">
        <f t="shared" si="45"/>
        <v>0.95650792121887207</v>
      </c>
      <c r="Y746">
        <f t="shared" si="46"/>
        <v>0.96728395422299707</v>
      </c>
      <c r="Z746">
        <f t="shared" si="47"/>
        <v>11.615112443778111</v>
      </c>
    </row>
    <row r="747" spans="1:26" hidden="1" x14ac:dyDescent="0.25">
      <c r="A747" t="s">
        <v>106</v>
      </c>
      <c r="B747">
        <v>5</v>
      </c>
      <c r="C747">
        <v>5</v>
      </c>
      <c r="D747">
        <v>0</v>
      </c>
      <c r="E747" t="s">
        <v>139</v>
      </c>
      <c r="F747">
        <v>300956</v>
      </c>
      <c r="G747">
        <v>761775046.875</v>
      </c>
      <c r="H747">
        <v>0.90638888627290726</v>
      </c>
      <c r="I747">
        <v>0.95944444444444443</v>
      </c>
      <c r="J747">
        <v>34962654.25</v>
      </c>
      <c r="K747">
        <v>300745</v>
      </c>
      <c r="L747">
        <v>2</v>
      </c>
      <c r="M747">
        <v>369</v>
      </c>
      <c r="N747">
        <v>0.9572222222222222</v>
      </c>
      <c r="O747">
        <v>34220409.125</v>
      </c>
      <c r="P747">
        <v>302300</v>
      </c>
      <c r="Q747">
        <v>2</v>
      </c>
      <c r="R747">
        <v>370</v>
      </c>
      <c r="S747">
        <v>11.682478959449121</v>
      </c>
      <c r="T747">
        <v>0.89947090830121723</v>
      </c>
      <c r="W747">
        <f t="shared" si="44"/>
        <v>300745</v>
      </c>
      <c r="X747">
        <f t="shared" si="45"/>
        <v>0.90638888627290726</v>
      </c>
      <c r="Y747">
        <f t="shared" si="46"/>
        <v>0.89947090830121723</v>
      </c>
      <c r="Z747">
        <f t="shared" si="47"/>
        <v>11.682478959449121</v>
      </c>
    </row>
    <row r="748" spans="1:26" hidden="1" x14ac:dyDescent="0.25">
      <c r="A748" t="s">
        <v>106</v>
      </c>
      <c r="B748">
        <v>9</v>
      </c>
      <c r="C748">
        <v>4</v>
      </c>
      <c r="D748">
        <v>0</v>
      </c>
      <c r="E748" t="s">
        <v>277</v>
      </c>
      <c r="F748">
        <v>302027</v>
      </c>
      <c r="G748">
        <v>794219413.25</v>
      </c>
      <c r="H748">
        <v>0.91722223162651062</v>
      </c>
      <c r="I748">
        <v>0.9538888888888889</v>
      </c>
      <c r="J748">
        <v>38499523.5</v>
      </c>
      <c r="K748">
        <v>300745</v>
      </c>
      <c r="L748">
        <v>2</v>
      </c>
      <c r="M748">
        <v>369</v>
      </c>
      <c r="N748">
        <v>0.9605555555555555</v>
      </c>
      <c r="O748">
        <v>37660188</v>
      </c>
      <c r="P748">
        <v>302300</v>
      </c>
      <c r="Q748">
        <v>2</v>
      </c>
      <c r="R748">
        <v>370</v>
      </c>
      <c r="S748">
        <v>12.167765162004985</v>
      </c>
      <c r="T748">
        <v>0.92959999999999998</v>
      </c>
      <c r="W748">
        <f t="shared" si="44"/>
        <v>300745</v>
      </c>
      <c r="X748">
        <f t="shared" si="45"/>
        <v>0.91722223162651062</v>
      </c>
      <c r="Y748">
        <f t="shared" si="46"/>
        <v>0.92959999999999998</v>
      </c>
      <c r="Z748">
        <f t="shared" si="47"/>
        <v>12.167765162004985</v>
      </c>
    </row>
    <row r="749" spans="1:26" hidden="1" x14ac:dyDescent="0.25">
      <c r="A749" t="s">
        <v>106</v>
      </c>
      <c r="B749">
        <v>5</v>
      </c>
      <c r="C749">
        <v>4</v>
      </c>
      <c r="D749">
        <v>0</v>
      </c>
      <c r="E749" t="s">
        <v>273</v>
      </c>
      <c r="F749">
        <v>302901</v>
      </c>
      <c r="G749">
        <v>691537344.75</v>
      </c>
      <c r="H749">
        <v>0.93833333253860474</v>
      </c>
      <c r="I749">
        <v>0.95944444444444443</v>
      </c>
      <c r="J749">
        <v>38911983</v>
      </c>
      <c r="K749">
        <v>302300</v>
      </c>
      <c r="L749">
        <v>2</v>
      </c>
      <c r="M749">
        <v>370</v>
      </c>
      <c r="N749">
        <v>0.96500000000000008</v>
      </c>
      <c r="O749">
        <v>39308295.25</v>
      </c>
      <c r="P749">
        <v>303859</v>
      </c>
      <c r="Q749">
        <v>2</v>
      </c>
      <c r="R749">
        <v>371</v>
      </c>
      <c r="S749">
        <v>11.61520474848612</v>
      </c>
      <c r="T749">
        <v>0.95432096719741821</v>
      </c>
      <c r="W749">
        <f t="shared" si="44"/>
        <v>302300</v>
      </c>
      <c r="X749">
        <f t="shared" si="45"/>
        <v>0.93833333253860474</v>
      </c>
      <c r="Y749">
        <f t="shared" si="46"/>
        <v>0.95432096719741821</v>
      </c>
      <c r="Z749">
        <f t="shared" si="47"/>
        <v>11.61520474848612</v>
      </c>
    </row>
    <row r="750" spans="1:26" hidden="1" x14ac:dyDescent="0.25">
      <c r="A750" t="s">
        <v>106</v>
      </c>
      <c r="B750">
        <v>9</v>
      </c>
      <c r="C750">
        <v>4</v>
      </c>
      <c r="D750">
        <v>0</v>
      </c>
      <c r="E750" t="s">
        <v>168</v>
      </c>
      <c r="F750">
        <v>303380</v>
      </c>
      <c r="G750">
        <v>647747984.5</v>
      </c>
      <c r="H750">
        <v>0.92722222208976746</v>
      </c>
      <c r="I750">
        <v>0.95777777777777784</v>
      </c>
      <c r="J750">
        <v>40383871</v>
      </c>
      <c r="K750">
        <v>302300</v>
      </c>
      <c r="L750">
        <v>2</v>
      </c>
      <c r="M750">
        <v>370</v>
      </c>
      <c r="N750">
        <v>0.95666666666666667</v>
      </c>
      <c r="O750">
        <v>41446132.25</v>
      </c>
      <c r="P750">
        <v>303859</v>
      </c>
      <c r="Q750">
        <v>2</v>
      </c>
      <c r="R750">
        <v>371</v>
      </c>
      <c r="S750">
        <v>12.167894124813113</v>
      </c>
      <c r="T750">
        <v>0.91849999999999998</v>
      </c>
      <c r="W750">
        <f t="shared" si="44"/>
        <v>302300</v>
      </c>
      <c r="X750">
        <f t="shared" si="45"/>
        <v>0.92722222208976746</v>
      </c>
      <c r="Y750">
        <f t="shared" si="46"/>
        <v>0.91849999999999998</v>
      </c>
      <c r="Z750">
        <f t="shared" si="47"/>
        <v>12.167894124813113</v>
      </c>
    </row>
    <row r="751" spans="1:26" hidden="1" x14ac:dyDescent="0.25">
      <c r="A751" t="s">
        <v>106</v>
      </c>
      <c r="B751">
        <v>9</v>
      </c>
      <c r="C751">
        <v>5</v>
      </c>
      <c r="D751">
        <v>0</v>
      </c>
      <c r="E751" t="s">
        <v>282</v>
      </c>
      <c r="F751">
        <v>302559</v>
      </c>
      <c r="G751">
        <v>588254438.5</v>
      </c>
      <c r="H751">
        <v>0.66388890147209167</v>
      </c>
      <c r="I751">
        <v>0.95833333333333337</v>
      </c>
      <c r="J751">
        <v>36874891.5</v>
      </c>
      <c r="K751">
        <v>302300</v>
      </c>
      <c r="L751">
        <v>2</v>
      </c>
      <c r="M751">
        <v>370</v>
      </c>
      <c r="N751">
        <v>0.96333333333333337</v>
      </c>
      <c r="O751">
        <v>38253487</v>
      </c>
      <c r="P751">
        <v>303859</v>
      </c>
      <c r="Q751">
        <v>2</v>
      </c>
      <c r="R751">
        <v>371</v>
      </c>
      <c r="S751">
        <v>12.17920619343583</v>
      </c>
      <c r="T751">
        <v>0.87409999999999999</v>
      </c>
      <c r="W751">
        <f t="shared" si="44"/>
        <v>302300</v>
      </c>
      <c r="X751">
        <f t="shared" si="45"/>
        <v>0.66388890147209167</v>
      </c>
      <c r="Y751">
        <f t="shared" si="46"/>
        <v>0.87409999999999999</v>
      </c>
      <c r="Z751">
        <f t="shared" si="47"/>
        <v>12.17920619343583</v>
      </c>
    </row>
    <row r="752" spans="1:26" hidden="1" x14ac:dyDescent="0.25">
      <c r="A752" t="s">
        <v>106</v>
      </c>
      <c r="B752">
        <v>9</v>
      </c>
      <c r="C752">
        <v>4</v>
      </c>
      <c r="D752">
        <v>0</v>
      </c>
      <c r="E752" t="s">
        <v>259</v>
      </c>
      <c r="F752">
        <v>304233</v>
      </c>
      <c r="G752">
        <v>617290821.5</v>
      </c>
      <c r="H752">
        <v>0.89777778089046478</v>
      </c>
      <c r="I752">
        <v>0.96333333333333337</v>
      </c>
      <c r="J752">
        <v>39822595.5</v>
      </c>
      <c r="K752">
        <v>303859</v>
      </c>
      <c r="L752">
        <v>2</v>
      </c>
      <c r="M752">
        <v>371</v>
      </c>
      <c r="N752">
        <v>0.95777777777777784</v>
      </c>
      <c r="O752">
        <v>41397056.5</v>
      </c>
      <c r="P752">
        <v>305422</v>
      </c>
      <c r="Q752">
        <v>2</v>
      </c>
      <c r="R752">
        <v>372</v>
      </c>
      <c r="S752">
        <v>12.168078392293639</v>
      </c>
      <c r="T752">
        <v>0.91110000000000002</v>
      </c>
      <c r="W752">
        <f t="shared" si="44"/>
        <v>303859</v>
      </c>
      <c r="X752">
        <f t="shared" si="45"/>
        <v>0.89777778089046478</v>
      </c>
      <c r="Y752">
        <f t="shared" si="46"/>
        <v>0.91110000000000002</v>
      </c>
      <c r="Z752">
        <f t="shared" si="47"/>
        <v>12.168078392293639</v>
      </c>
    </row>
    <row r="753" spans="1:26" hidden="1" x14ac:dyDescent="0.25">
      <c r="A753" t="s">
        <v>106</v>
      </c>
      <c r="B753">
        <v>5</v>
      </c>
      <c r="C753">
        <v>5</v>
      </c>
      <c r="D753">
        <v>0</v>
      </c>
      <c r="E753" t="s">
        <v>291</v>
      </c>
      <c r="F753">
        <v>305605</v>
      </c>
      <c r="G753">
        <v>1138411410</v>
      </c>
      <c r="H753">
        <v>0.8911111056804657</v>
      </c>
      <c r="I753">
        <v>0.95944444444444443</v>
      </c>
      <c r="J753">
        <v>45929520.5</v>
      </c>
      <c r="K753">
        <v>305422</v>
      </c>
      <c r="L753">
        <v>2</v>
      </c>
      <c r="M753">
        <v>372</v>
      </c>
      <c r="N753">
        <v>0.96166666666666667</v>
      </c>
      <c r="O753">
        <v>43136016.25</v>
      </c>
      <c r="P753">
        <v>306989</v>
      </c>
      <c r="Q753">
        <v>2</v>
      </c>
      <c r="R753">
        <v>373</v>
      </c>
      <c r="S753">
        <v>11.683612827302147</v>
      </c>
      <c r="T753">
        <v>0.90246913830439246</v>
      </c>
      <c r="W753">
        <f t="shared" si="44"/>
        <v>305422</v>
      </c>
      <c r="X753">
        <f t="shared" si="45"/>
        <v>0.8911111056804657</v>
      </c>
      <c r="Y753">
        <f t="shared" si="46"/>
        <v>0.90246913830439246</v>
      </c>
      <c r="Z753">
        <f t="shared" si="47"/>
        <v>11.683612827302147</v>
      </c>
    </row>
    <row r="754" spans="1:26" hidden="1" x14ac:dyDescent="0.25">
      <c r="A754" t="s">
        <v>106</v>
      </c>
      <c r="B754">
        <v>9</v>
      </c>
      <c r="C754">
        <v>5</v>
      </c>
      <c r="D754">
        <v>0</v>
      </c>
      <c r="E754" t="s">
        <v>208</v>
      </c>
      <c r="F754">
        <v>305474</v>
      </c>
      <c r="G754">
        <v>468647117.5714286</v>
      </c>
      <c r="H754">
        <v>0.60920635078634533</v>
      </c>
      <c r="I754">
        <v>0.97079365079365076</v>
      </c>
      <c r="J754">
        <v>37866986.142857142</v>
      </c>
      <c r="K754">
        <v>305422</v>
      </c>
      <c r="L754">
        <v>2</v>
      </c>
      <c r="M754">
        <v>372</v>
      </c>
      <c r="N754">
        <v>0.96507936507936509</v>
      </c>
      <c r="O754">
        <v>36857498.714285716</v>
      </c>
      <c r="P754">
        <v>306989</v>
      </c>
      <c r="Q754">
        <v>2</v>
      </c>
      <c r="R754">
        <v>373</v>
      </c>
      <c r="S754">
        <v>12.178756335495123</v>
      </c>
      <c r="T754">
        <v>0.84260000000000002</v>
      </c>
      <c r="W754">
        <f t="shared" si="44"/>
        <v>305422</v>
      </c>
      <c r="X754">
        <f t="shared" si="45"/>
        <v>0.60920635078634533</v>
      </c>
      <c r="Y754">
        <f t="shared" si="46"/>
        <v>0.84260000000000002</v>
      </c>
      <c r="Z754">
        <f t="shared" si="47"/>
        <v>12.178756335495123</v>
      </c>
    </row>
    <row r="755" spans="1:26" hidden="1" x14ac:dyDescent="0.25">
      <c r="A755" t="s">
        <v>106</v>
      </c>
      <c r="B755">
        <v>5</v>
      </c>
      <c r="C755">
        <v>5</v>
      </c>
      <c r="D755">
        <v>0</v>
      </c>
      <c r="E755" t="s">
        <v>211</v>
      </c>
      <c r="F755">
        <v>307384</v>
      </c>
      <c r="G755">
        <v>733442497</v>
      </c>
      <c r="H755">
        <v>0.86944444477558136</v>
      </c>
      <c r="I755">
        <v>0.96722222222222221</v>
      </c>
      <c r="J755">
        <v>39745341</v>
      </c>
      <c r="K755">
        <v>306989</v>
      </c>
      <c r="L755">
        <v>2</v>
      </c>
      <c r="M755">
        <v>373</v>
      </c>
      <c r="N755">
        <v>0.96888888888888891</v>
      </c>
      <c r="O755">
        <v>37452169.75</v>
      </c>
      <c r="P755">
        <v>308560</v>
      </c>
      <c r="Q755">
        <v>2</v>
      </c>
      <c r="R755">
        <v>374</v>
      </c>
      <c r="S755">
        <v>11.684687334549091</v>
      </c>
      <c r="T755">
        <v>0.89136050148010249</v>
      </c>
      <c r="W755">
        <f t="shared" si="44"/>
        <v>306989</v>
      </c>
      <c r="X755">
        <f t="shared" si="45"/>
        <v>0.86944444477558136</v>
      </c>
      <c r="Y755">
        <f t="shared" si="46"/>
        <v>0.89136050148010249</v>
      </c>
      <c r="Z755">
        <f t="shared" si="47"/>
        <v>11.684687334549091</v>
      </c>
    </row>
    <row r="756" spans="1:26" hidden="1" x14ac:dyDescent="0.25">
      <c r="A756" t="s">
        <v>106</v>
      </c>
      <c r="B756">
        <v>9</v>
      </c>
      <c r="C756">
        <v>3</v>
      </c>
      <c r="D756">
        <v>0</v>
      </c>
      <c r="E756" t="s">
        <v>279</v>
      </c>
      <c r="F756">
        <v>308199</v>
      </c>
      <c r="G756">
        <v>1054441273.4210526</v>
      </c>
      <c r="H756">
        <v>0.92023391786374542</v>
      </c>
      <c r="I756">
        <v>0.9650292397660819</v>
      </c>
      <c r="J756">
        <v>38277460.263157897</v>
      </c>
      <c r="K756">
        <v>306989</v>
      </c>
      <c r="L756">
        <v>2</v>
      </c>
      <c r="M756">
        <v>373</v>
      </c>
      <c r="N756">
        <v>0.96573099415204677</v>
      </c>
      <c r="O756">
        <v>39511220.526315786</v>
      </c>
      <c r="P756">
        <v>308560</v>
      </c>
      <c r="Q756">
        <v>2</v>
      </c>
      <c r="R756">
        <v>374</v>
      </c>
      <c r="S756">
        <v>12.113765386993423</v>
      </c>
      <c r="T756">
        <v>0.92654835025469462</v>
      </c>
      <c r="W756">
        <f t="shared" si="44"/>
        <v>306989</v>
      </c>
      <c r="X756">
        <f t="shared" si="45"/>
        <v>0.92023391786374542</v>
      </c>
      <c r="Y756">
        <f t="shared" si="46"/>
        <v>0.92654835025469462</v>
      </c>
      <c r="Z756">
        <f t="shared" si="47"/>
        <v>12.113765386993423</v>
      </c>
    </row>
    <row r="757" spans="1:26" hidden="1" x14ac:dyDescent="0.25">
      <c r="A757" t="s">
        <v>106</v>
      </c>
      <c r="B757">
        <v>9</v>
      </c>
      <c r="C757">
        <v>4</v>
      </c>
      <c r="D757">
        <v>0</v>
      </c>
      <c r="E757" t="s">
        <v>240</v>
      </c>
      <c r="F757">
        <v>308076</v>
      </c>
      <c r="G757">
        <v>764847422.75</v>
      </c>
      <c r="H757">
        <v>0.90388891100883484</v>
      </c>
      <c r="I757">
        <v>0.96722222222222221</v>
      </c>
      <c r="J757">
        <v>37608694.75</v>
      </c>
      <c r="K757">
        <v>306989</v>
      </c>
      <c r="L757">
        <v>2</v>
      </c>
      <c r="M757">
        <v>373</v>
      </c>
      <c r="N757">
        <v>0.9655555555555555</v>
      </c>
      <c r="O757">
        <v>39972371.75</v>
      </c>
      <c r="P757">
        <v>308560</v>
      </c>
      <c r="Q757">
        <v>2</v>
      </c>
      <c r="R757">
        <v>374</v>
      </c>
      <c r="S757">
        <v>12.169258869762551</v>
      </c>
      <c r="T757">
        <v>0.91726666666666667</v>
      </c>
      <c r="W757">
        <f t="shared" si="44"/>
        <v>306989</v>
      </c>
      <c r="X757">
        <f t="shared" si="45"/>
        <v>0.90388891100883484</v>
      </c>
      <c r="Y757">
        <f t="shared" si="46"/>
        <v>0.91726666666666667</v>
      </c>
      <c r="Z757">
        <f t="shared" si="47"/>
        <v>12.169258869762551</v>
      </c>
    </row>
    <row r="758" spans="1:26" hidden="1" x14ac:dyDescent="0.25">
      <c r="A758" t="s">
        <v>106</v>
      </c>
      <c r="B758">
        <v>9</v>
      </c>
      <c r="C758">
        <v>5</v>
      </c>
      <c r="D758">
        <v>0</v>
      </c>
      <c r="E758" t="s">
        <v>270</v>
      </c>
      <c r="F758">
        <v>307829</v>
      </c>
      <c r="G758">
        <v>536727946</v>
      </c>
      <c r="H758">
        <v>0.44777777045965195</v>
      </c>
      <c r="I758">
        <v>0.9572222222222222</v>
      </c>
      <c r="J758">
        <v>40575080.5</v>
      </c>
      <c r="K758">
        <v>306989</v>
      </c>
      <c r="L758">
        <v>2</v>
      </c>
      <c r="M758">
        <v>373</v>
      </c>
      <c r="N758">
        <v>0.95777777777777784</v>
      </c>
      <c r="O758">
        <v>40226672.5</v>
      </c>
      <c r="P758">
        <v>308560</v>
      </c>
      <c r="Q758">
        <v>2</v>
      </c>
      <c r="R758">
        <v>374</v>
      </c>
      <c r="S758">
        <v>12.178444940881599</v>
      </c>
      <c r="T758">
        <v>0.84193333333333331</v>
      </c>
      <c r="W758">
        <f t="shared" si="44"/>
        <v>306989</v>
      </c>
      <c r="X758">
        <f t="shared" si="45"/>
        <v>0.44777777045965195</v>
      </c>
      <c r="Y758">
        <f t="shared" si="46"/>
        <v>0.84193333333333331</v>
      </c>
      <c r="Z758">
        <f t="shared" si="47"/>
        <v>12.178444940881599</v>
      </c>
    </row>
    <row r="759" spans="1:26" hidden="1" x14ac:dyDescent="0.25">
      <c r="A759" t="s">
        <v>106</v>
      </c>
      <c r="B759">
        <v>5</v>
      </c>
      <c r="C759">
        <v>5</v>
      </c>
      <c r="D759">
        <v>0</v>
      </c>
      <c r="E759" t="s">
        <v>260</v>
      </c>
      <c r="F759">
        <v>309841</v>
      </c>
      <c r="G759">
        <v>1014904665.2857143</v>
      </c>
      <c r="H759">
        <v>0.88507935830524986</v>
      </c>
      <c r="I759">
        <v>0.95650793650793653</v>
      </c>
      <c r="J759">
        <v>35468491.571428575</v>
      </c>
      <c r="K759">
        <v>308560</v>
      </c>
      <c r="L759">
        <v>2</v>
      </c>
      <c r="M759">
        <v>374</v>
      </c>
      <c r="N759">
        <v>0.9555555555555556</v>
      </c>
      <c r="O759">
        <v>34498436</v>
      </c>
      <c r="P759">
        <v>310135</v>
      </c>
      <c r="Q759">
        <v>2</v>
      </c>
      <c r="R759">
        <v>375</v>
      </c>
      <c r="S759">
        <v>11.688345289897683</v>
      </c>
      <c r="T759">
        <v>0.90493827859560649</v>
      </c>
      <c r="W759">
        <f t="shared" si="44"/>
        <v>308560</v>
      </c>
      <c r="X759">
        <f t="shared" si="45"/>
        <v>0.88507935830524986</v>
      </c>
      <c r="Y759">
        <f t="shared" si="46"/>
        <v>0.90493827859560649</v>
      </c>
      <c r="Z759">
        <f t="shared" si="47"/>
        <v>11.688345289897683</v>
      </c>
    </row>
    <row r="760" spans="1:26" hidden="1" x14ac:dyDescent="0.25">
      <c r="A760" t="s">
        <v>106</v>
      </c>
      <c r="B760">
        <v>9</v>
      </c>
      <c r="C760">
        <v>3</v>
      </c>
      <c r="D760">
        <v>0</v>
      </c>
      <c r="E760" t="s">
        <v>268</v>
      </c>
      <c r="F760">
        <v>308821</v>
      </c>
      <c r="G760">
        <v>1446744579.6153846</v>
      </c>
      <c r="H760">
        <v>0.91794872283935547</v>
      </c>
      <c r="I760">
        <v>0.95572649572649571</v>
      </c>
      <c r="J760">
        <v>40213310.615384616</v>
      </c>
      <c r="K760">
        <v>308560</v>
      </c>
      <c r="L760">
        <v>2</v>
      </c>
      <c r="M760">
        <v>374</v>
      </c>
      <c r="N760">
        <v>0.95982905982905986</v>
      </c>
      <c r="O760">
        <v>40058227.307692304</v>
      </c>
      <c r="P760">
        <v>310135</v>
      </c>
      <c r="Q760">
        <v>2</v>
      </c>
      <c r="R760">
        <v>375</v>
      </c>
      <c r="S760">
        <v>12.126544596719839</v>
      </c>
      <c r="T760">
        <v>0.93426234428087873</v>
      </c>
      <c r="W760">
        <f t="shared" si="44"/>
        <v>308560</v>
      </c>
      <c r="X760">
        <f t="shared" si="45"/>
        <v>0.91794872283935547</v>
      </c>
      <c r="Y760">
        <f t="shared" si="46"/>
        <v>0.93426234428087873</v>
      </c>
      <c r="Z760">
        <f t="shared" si="47"/>
        <v>12.126544596719839</v>
      </c>
    </row>
    <row r="761" spans="1:26" hidden="1" x14ac:dyDescent="0.25">
      <c r="A761" t="s">
        <v>106</v>
      </c>
      <c r="B761">
        <v>9</v>
      </c>
      <c r="C761">
        <v>5</v>
      </c>
      <c r="D761">
        <v>0</v>
      </c>
      <c r="E761" t="s">
        <v>162</v>
      </c>
      <c r="F761">
        <v>309624</v>
      </c>
      <c r="G761">
        <v>535100067.5</v>
      </c>
      <c r="H761">
        <v>0.49222221970558167</v>
      </c>
      <c r="I761">
        <v>0.9588888888888889</v>
      </c>
      <c r="J761">
        <v>42172681</v>
      </c>
      <c r="K761">
        <v>308560</v>
      </c>
      <c r="L761">
        <v>2</v>
      </c>
      <c r="M761">
        <v>374</v>
      </c>
      <c r="N761">
        <v>0.96111111111111114</v>
      </c>
      <c r="O761">
        <v>38926738.75</v>
      </c>
      <c r="P761">
        <v>310135</v>
      </c>
      <c r="Q761">
        <v>2</v>
      </c>
      <c r="R761">
        <v>375</v>
      </c>
      <c r="S761">
        <v>12.178079206842076</v>
      </c>
      <c r="T761">
        <v>0.81233333333333335</v>
      </c>
      <c r="W761">
        <f t="shared" si="44"/>
        <v>308560</v>
      </c>
      <c r="X761">
        <f t="shared" si="45"/>
        <v>0.49222221970558167</v>
      </c>
      <c r="Y761">
        <f t="shared" si="46"/>
        <v>0.81233333333333335</v>
      </c>
      <c r="Z761">
        <f t="shared" si="47"/>
        <v>12.178079206842076</v>
      </c>
    </row>
    <row r="762" spans="1:26" hidden="1" x14ac:dyDescent="0.25">
      <c r="A762" t="s">
        <v>106</v>
      </c>
      <c r="B762">
        <v>5</v>
      </c>
      <c r="C762">
        <v>4</v>
      </c>
      <c r="D762">
        <v>0</v>
      </c>
      <c r="E762" t="s">
        <v>280</v>
      </c>
      <c r="F762">
        <v>311009</v>
      </c>
      <c r="G762">
        <v>822781097.85714281</v>
      </c>
      <c r="H762">
        <v>0.93936508042471745</v>
      </c>
      <c r="I762">
        <v>0.95746031746031746</v>
      </c>
      <c r="J762">
        <v>39947589.714285716</v>
      </c>
      <c r="K762">
        <v>310135</v>
      </c>
      <c r="L762">
        <v>2</v>
      </c>
      <c r="M762">
        <v>375</v>
      </c>
      <c r="N762">
        <v>0.96031746031746035</v>
      </c>
      <c r="O762">
        <v>38454319.714285716</v>
      </c>
      <c r="P762">
        <v>311714</v>
      </c>
      <c r="Q762">
        <v>2</v>
      </c>
      <c r="R762">
        <v>376</v>
      </c>
      <c r="S762">
        <v>11.616984298214073</v>
      </c>
      <c r="T762">
        <v>0.94691358009974158</v>
      </c>
      <c r="W762">
        <f t="shared" si="44"/>
        <v>310135</v>
      </c>
      <c r="X762">
        <f t="shared" si="45"/>
        <v>0.93936508042471745</v>
      </c>
      <c r="Y762">
        <f t="shared" si="46"/>
        <v>0.94691358009974158</v>
      </c>
      <c r="Z762">
        <f t="shared" si="47"/>
        <v>11.616984298214073</v>
      </c>
    </row>
    <row r="763" spans="1:26" hidden="1" x14ac:dyDescent="0.25">
      <c r="A763" t="s">
        <v>106</v>
      </c>
      <c r="B763">
        <v>9</v>
      </c>
      <c r="C763">
        <v>4</v>
      </c>
      <c r="D763">
        <v>0</v>
      </c>
      <c r="E763" t="s">
        <v>284</v>
      </c>
      <c r="F763">
        <v>310179</v>
      </c>
      <c r="G763">
        <v>740000930.5</v>
      </c>
      <c r="H763">
        <v>0.90444444119930267</v>
      </c>
      <c r="I763">
        <v>0.95944444444444443</v>
      </c>
      <c r="J763">
        <v>43408580.75</v>
      </c>
      <c r="K763">
        <v>310135</v>
      </c>
      <c r="L763">
        <v>2</v>
      </c>
      <c r="M763">
        <v>375</v>
      </c>
      <c r="N763">
        <v>0.95777777777777773</v>
      </c>
      <c r="O763">
        <v>44163466</v>
      </c>
      <c r="P763">
        <v>311714</v>
      </c>
      <c r="Q763">
        <v>2</v>
      </c>
      <c r="R763">
        <v>376</v>
      </c>
      <c r="S763">
        <v>12.169664102705992</v>
      </c>
      <c r="T763">
        <v>0.92219999999999991</v>
      </c>
      <c r="W763">
        <f t="shared" si="44"/>
        <v>310135</v>
      </c>
      <c r="X763">
        <f t="shared" si="45"/>
        <v>0.90444444119930267</v>
      </c>
      <c r="Y763">
        <f t="shared" si="46"/>
        <v>0.92219999999999991</v>
      </c>
      <c r="Z763">
        <f t="shared" si="47"/>
        <v>12.169664102705992</v>
      </c>
    </row>
    <row r="764" spans="1:26" hidden="1" x14ac:dyDescent="0.25">
      <c r="A764" t="s">
        <v>106</v>
      </c>
      <c r="B764">
        <v>9</v>
      </c>
      <c r="C764">
        <v>5</v>
      </c>
      <c r="D764">
        <v>0</v>
      </c>
      <c r="E764" t="s">
        <v>289</v>
      </c>
      <c r="F764">
        <v>310569</v>
      </c>
      <c r="G764">
        <v>493941436.75</v>
      </c>
      <c r="H764">
        <v>0.45777778327465057</v>
      </c>
      <c r="I764">
        <v>0.9588888888888889</v>
      </c>
      <c r="J764">
        <v>39383708.5</v>
      </c>
      <c r="K764">
        <v>310135</v>
      </c>
      <c r="L764">
        <v>2</v>
      </c>
      <c r="M764">
        <v>375</v>
      </c>
      <c r="N764">
        <v>0.95777777777777784</v>
      </c>
      <c r="O764">
        <v>38949965</v>
      </c>
      <c r="P764">
        <v>311714</v>
      </c>
      <c r="Q764">
        <v>2</v>
      </c>
      <c r="R764">
        <v>376</v>
      </c>
      <c r="S764">
        <v>12.177713632155111</v>
      </c>
      <c r="T764">
        <v>0.80246666666666666</v>
      </c>
      <c r="W764">
        <f t="shared" si="44"/>
        <v>310135</v>
      </c>
      <c r="X764">
        <f t="shared" si="45"/>
        <v>0.45777778327465057</v>
      </c>
      <c r="Y764">
        <f t="shared" si="46"/>
        <v>0.80246666666666666</v>
      </c>
      <c r="Z764">
        <f t="shared" si="47"/>
        <v>12.177713632155111</v>
      </c>
    </row>
    <row r="765" spans="1:26" hidden="1" x14ac:dyDescent="0.25">
      <c r="A765" t="s">
        <v>106</v>
      </c>
      <c r="B765">
        <v>9</v>
      </c>
      <c r="C765">
        <v>4</v>
      </c>
      <c r="D765">
        <v>0</v>
      </c>
      <c r="E765" t="s">
        <v>266</v>
      </c>
      <c r="F765">
        <v>312885</v>
      </c>
      <c r="G765">
        <v>761352252.75</v>
      </c>
      <c r="H765">
        <v>0.89500001072883606</v>
      </c>
      <c r="I765">
        <v>0.9572222222222222</v>
      </c>
      <c r="J765">
        <v>40482744.25</v>
      </c>
      <c r="K765">
        <v>311714</v>
      </c>
      <c r="L765">
        <v>2</v>
      </c>
      <c r="M765">
        <v>376</v>
      </c>
      <c r="N765">
        <v>0.95277777777777772</v>
      </c>
      <c r="O765">
        <v>37832022</v>
      </c>
      <c r="P765">
        <v>313297</v>
      </c>
      <c r="Q765">
        <v>2</v>
      </c>
      <c r="R765">
        <v>377</v>
      </c>
      <c r="S765">
        <v>12.170677731673582</v>
      </c>
      <c r="T765">
        <v>0.92589999999999995</v>
      </c>
      <c r="W765">
        <f t="shared" si="44"/>
        <v>311714</v>
      </c>
      <c r="X765">
        <f t="shared" si="45"/>
        <v>0.89500001072883606</v>
      </c>
      <c r="Y765">
        <f t="shared" si="46"/>
        <v>0.92589999999999995</v>
      </c>
      <c r="Z765">
        <f t="shared" si="47"/>
        <v>12.170677731673582</v>
      </c>
    </row>
    <row r="766" spans="1:26" hidden="1" x14ac:dyDescent="0.25">
      <c r="A766" t="s">
        <v>106</v>
      </c>
      <c r="B766">
        <v>9</v>
      </c>
      <c r="C766">
        <v>4</v>
      </c>
      <c r="D766">
        <v>0</v>
      </c>
      <c r="E766" t="s">
        <v>139</v>
      </c>
      <c r="F766">
        <v>313488</v>
      </c>
      <c r="G766">
        <v>641237490.57142854</v>
      </c>
      <c r="H766">
        <v>0.90952381917408531</v>
      </c>
      <c r="I766">
        <v>0.95523809523809522</v>
      </c>
      <c r="J766">
        <v>39284205.714285716</v>
      </c>
      <c r="K766">
        <v>313297</v>
      </c>
      <c r="L766">
        <v>2</v>
      </c>
      <c r="M766">
        <v>377</v>
      </c>
      <c r="N766">
        <v>0.95492063492063495</v>
      </c>
      <c r="O766">
        <v>40766215.428571425</v>
      </c>
      <c r="P766">
        <v>314884</v>
      </c>
      <c r="Q766">
        <v>2</v>
      </c>
      <c r="R766">
        <v>378</v>
      </c>
      <c r="S766">
        <v>12.170943479703572</v>
      </c>
      <c r="T766">
        <v>0.91664999999999996</v>
      </c>
      <c r="W766">
        <f t="shared" si="44"/>
        <v>313297</v>
      </c>
      <c r="X766">
        <f t="shared" si="45"/>
        <v>0.90952381917408531</v>
      </c>
      <c r="Y766">
        <f t="shared" si="46"/>
        <v>0.91664999999999996</v>
      </c>
      <c r="Z766">
        <f t="shared" si="47"/>
        <v>12.170943479703572</v>
      </c>
    </row>
    <row r="767" spans="1:26" hidden="1" x14ac:dyDescent="0.25">
      <c r="A767" t="s">
        <v>106</v>
      </c>
      <c r="B767">
        <v>9</v>
      </c>
      <c r="C767">
        <v>5</v>
      </c>
      <c r="D767">
        <v>0</v>
      </c>
      <c r="E767" t="s">
        <v>223</v>
      </c>
      <c r="F767">
        <v>313764</v>
      </c>
      <c r="G767">
        <v>498766470.5714286</v>
      </c>
      <c r="H767">
        <v>0.67682540842464989</v>
      </c>
      <c r="I767">
        <v>0.96317460317460313</v>
      </c>
      <c r="J767">
        <v>38327110.857142858</v>
      </c>
      <c r="K767">
        <v>313297</v>
      </c>
      <c r="L767">
        <v>2</v>
      </c>
      <c r="M767">
        <v>377</v>
      </c>
      <c r="N767">
        <v>0.9622222222222222</v>
      </c>
      <c r="O767">
        <v>38532411.285714284</v>
      </c>
      <c r="P767">
        <v>314884</v>
      </c>
      <c r="Q767">
        <v>2</v>
      </c>
      <c r="R767">
        <v>378</v>
      </c>
      <c r="S767">
        <v>12.17726480836237</v>
      </c>
      <c r="T767">
        <v>0.79320000000000002</v>
      </c>
      <c r="W767">
        <f t="shared" si="44"/>
        <v>313297</v>
      </c>
      <c r="X767">
        <f t="shared" si="45"/>
        <v>0.67682540842464989</v>
      </c>
      <c r="Y767">
        <f t="shared" si="46"/>
        <v>0.79320000000000002</v>
      </c>
      <c r="Z767">
        <f t="shared" si="47"/>
        <v>12.17726480836237</v>
      </c>
    </row>
    <row r="768" spans="1:26" hidden="1" x14ac:dyDescent="0.25">
      <c r="A768" t="s">
        <v>106</v>
      </c>
      <c r="B768">
        <v>5</v>
      </c>
      <c r="C768">
        <v>5</v>
      </c>
      <c r="D768">
        <v>0</v>
      </c>
      <c r="E768" t="s">
        <v>226</v>
      </c>
      <c r="F768">
        <v>315450</v>
      </c>
      <c r="G768">
        <v>883574708.60000002</v>
      </c>
      <c r="H768">
        <v>0.90111110806465144</v>
      </c>
      <c r="I768">
        <v>0.95911111111111114</v>
      </c>
      <c r="J768">
        <v>37367914.200000003</v>
      </c>
      <c r="K768">
        <v>314884</v>
      </c>
      <c r="L768">
        <v>2</v>
      </c>
      <c r="M768">
        <v>378</v>
      </c>
      <c r="N768">
        <v>0.9602222222222222</v>
      </c>
      <c r="O768">
        <v>37808633.299999997</v>
      </c>
      <c r="P768">
        <v>316475</v>
      </c>
      <c r="Q768">
        <v>2</v>
      </c>
      <c r="R768">
        <v>379</v>
      </c>
      <c r="S768">
        <v>11.691701927597554</v>
      </c>
      <c r="T768">
        <v>0.9209876457850138</v>
      </c>
      <c r="W768">
        <f t="shared" si="44"/>
        <v>314884</v>
      </c>
      <c r="X768">
        <f t="shared" si="45"/>
        <v>0.90111110806465144</v>
      </c>
      <c r="Y768">
        <f t="shared" si="46"/>
        <v>0.9209876457850138</v>
      </c>
      <c r="Z768">
        <f t="shared" si="47"/>
        <v>11.691701927597554</v>
      </c>
    </row>
    <row r="769" spans="1:26" hidden="1" x14ac:dyDescent="0.25">
      <c r="A769" t="s">
        <v>106</v>
      </c>
      <c r="B769">
        <v>9</v>
      </c>
      <c r="C769">
        <v>3</v>
      </c>
      <c r="D769">
        <v>0</v>
      </c>
      <c r="E769" t="s">
        <v>286</v>
      </c>
      <c r="F769">
        <v>316253</v>
      </c>
      <c r="G769">
        <v>1469241362.4285715</v>
      </c>
      <c r="H769">
        <v>0.90761905057089665</v>
      </c>
      <c r="I769">
        <v>0.96730158730158733</v>
      </c>
      <c r="J769">
        <v>39114728.714285716</v>
      </c>
      <c r="K769">
        <v>314884</v>
      </c>
      <c r="L769">
        <v>2</v>
      </c>
      <c r="M769">
        <v>378</v>
      </c>
      <c r="N769">
        <v>0.96793650793650798</v>
      </c>
      <c r="O769">
        <v>40252965</v>
      </c>
      <c r="P769">
        <v>316475</v>
      </c>
      <c r="Q769">
        <v>2</v>
      </c>
      <c r="R769">
        <v>379</v>
      </c>
      <c r="S769">
        <v>12.132446241086969</v>
      </c>
      <c r="T769">
        <v>0.93086048558553058</v>
      </c>
      <c r="W769">
        <f t="shared" si="44"/>
        <v>314884</v>
      </c>
      <c r="X769">
        <f t="shared" si="45"/>
        <v>0.90761905057089665</v>
      </c>
      <c r="Y769">
        <f t="shared" si="46"/>
        <v>0.93086048558553058</v>
      </c>
      <c r="Z769">
        <f t="shared" si="47"/>
        <v>12.132446241086969</v>
      </c>
    </row>
    <row r="770" spans="1:26" hidden="1" x14ac:dyDescent="0.25">
      <c r="A770" t="s">
        <v>106</v>
      </c>
      <c r="B770">
        <v>9</v>
      </c>
      <c r="C770">
        <v>5</v>
      </c>
      <c r="D770">
        <v>0</v>
      </c>
      <c r="E770" t="s">
        <v>276</v>
      </c>
      <c r="F770">
        <v>316399</v>
      </c>
      <c r="G770">
        <v>591765384.71428573</v>
      </c>
      <c r="H770">
        <v>0.64031747835023067</v>
      </c>
      <c r="I770">
        <v>0.96476190476190471</v>
      </c>
      <c r="J770">
        <v>38448080.142857142</v>
      </c>
      <c r="K770">
        <v>314884</v>
      </c>
      <c r="L770">
        <v>2</v>
      </c>
      <c r="M770">
        <v>378</v>
      </c>
      <c r="N770">
        <v>0.96825396825396826</v>
      </c>
      <c r="O770">
        <v>38336559.428571425</v>
      </c>
      <c r="P770">
        <v>316475</v>
      </c>
      <c r="Q770">
        <v>2</v>
      </c>
      <c r="R770">
        <v>379</v>
      </c>
      <c r="S770">
        <v>12.177578231292516</v>
      </c>
      <c r="T770">
        <v>0.81358333333333333</v>
      </c>
      <c r="W770">
        <f t="shared" si="44"/>
        <v>314884</v>
      </c>
      <c r="X770">
        <f t="shared" si="45"/>
        <v>0.64031747835023067</v>
      </c>
      <c r="Y770">
        <f t="shared" si="46"/>
        <v>0.81358333333333333</v>
      </c>
      <c r="Z770">
        <f t="shared" si="47"/>
        <v>12.177578231292516</v>
      </c>
    </row>
    <row r="771" spans="1:26" hidden="1" x14ac:dyDescent="0.25">
      <c r="A771" t="s">
        <v>106</v>
      </c>
      <c r="B771">
        <v>5</v>
      </c>
      <c r="C771">
        <v>5</v>
      </c>
      <c r="D771">
        <v>0</v>
      </c>
      <c r="E771" t="s">
        <v>278</v>
      </c>
      <c r="F771">
        <v>316989</v>
      </c>
      <c r="G771">
        <v>819111849.75</v>
      </c>
      <c r="H771">
        <v>0.89388889074325562</v>
      </c>
      <c r="I771">
        <v>0.96611111111111114</v>
      </c>
      <c r="J771">
        <v>39592955.25</v>
      </c>
      <c r="K771">
        <v>316475</v>
      </c>
      <c r="L771">
        <v>2</v>
      </c>
      <c r="M771">
        <v>379</v>
      </c>
      <c r="N771">
        <v>0.96777777777777785</v>
      </c>
      <c r="O771">
        <v>39700243.75</v>
      </c>
      <c r="P771">
        <v>318070</v>
      </c>
      <c r="Q771">
        <v>2</v>
      </c>
      <c r="R771">
        <v>380</v>
      </c>
      <c r="S771">
        <v>11.692949471210341</v>
      </c>
      <c r="T771">
        <v>0.9271555582046509</v>
      </c>
      <c r="W771">
        <f t="shared" ref="W771:W831" si="48">K771</f>
        <v>316475</v>
      </c>
      <c r="X771">
        <f t="shared" ref="X771:X831" si="49">H771</f>
        <v>0.89388889074325562</v>
      </c>
      <c r="Y771">
        <f t="shared" ref="Y771:Y831" si="50">T771</f>
        <v>0.9271555582046509</v>
      </c>
      <c r="Z771">
        <f t="shared" ref="Z771:Z831" si="51">S771</f>
        <v>11.692949471210341</v>
      </c>
    </row>
    <row r="772" spans="1:26" hidden="1" x14ac:dyDescent="0.25">
      <c r="A772" t="s">
        <v>106</v>
      </c>
      <c r="B772">
        <v>9</v>
      </c>
      <c r="C772">
        <v>3</v>
      </c>
      <c r="D772">
        <v>0</v>
      </c>
      <c r="E772" t="s">
        <v>214</v>
      </c>
      <c r="F772">
        <v>317004</v>
      </c>
      <c r="G772">
        <v>972414720.75</v>
      </c>
      <c r="H772">
        <v>0.92888888716697693</v>
      </c>
      <c r="I772">
        <v>0.94833333333333336</v>
      </c>
      <c r="J772">
        <v>40262553</v>
      </c>
      <c r="K772">
        <v>316475</v>
      </c>
      <c r="L772">
        <v>2</v>
      </c>
      <c r="M772">
        <v>379</v>
      </c>
      <c r="N772">
        <v>0.94777777777777783</v>
      </c>
      <c r="O772">
        <v>41171595.25</v>
      </c>
      <c r="P772">
        <v>318070</v>
      </c>
      <c r="Q772">
        <v>2</v>
      </c>
      <c r="R772">
        <v>380</v>
      </c>
      <c r="S772">
        <v>12.133595284872298</v>
      </c>
      <c r="T772">
        <v>0.94813333333333338</v>
      </c>
      <c r="W772">
        <f t="shared" si="48"/>
        <v>316475</v>
      </c>
      <c r="X772">
        <f t="shared" si="49"/>
        <v>0.92888888716697693</v>
      </c>
      <c r="Y772">
        <f t="shared" si="50"/>
        <v>0.94813333333333338</v>
      </c>
      <c r="Z772">
        <f t="shared" si="51"/>
        <v>12.133595284872298</v>
      </c>
    </row>
    <row r="773" spans="1:26" hidden="1" x14ac:dyDescent="0.25">
      <c r="A773" t="s">
        <v>106</v>
      </c>
      <c r="B773">
        <v>5</v>
      </c>
      <c r="C773">
        <v>4</v>
      </c>
      <c r="D773">
        <v>0</v>
      </c>
      <c r="E773" t="s">
        <v>287</v>
      </c>
      <c r="F773">
        <v>319117</v>
      </c>
      <c r="G773">
        <v>683775474</v>
      </c>
      <c r="H773">
        <v>0.9466666579246521</v>
      </c>
      <c r="I773">
        <v>0.96793650793650787</v>
      </c>
      <c r="J773">
        <v>41462184.142857142</v>
      </c>
      <c r="K773">
        <v>318070</v>
      </c>
      <c r="L773">
        <v>2</v>
      </c>
      <c r="M773">
        <v>380</v>
      </c>
      <c r="N773">
        <v>0.96253968253968258</v>
      </c>
      <c r="O773">
        <v>39059026.285714284</v>
      </c>
      <c r="P773">
        <v>319669</v>
      </c>
      <c r="Q773">
        <v>2</v>
      </c>
      <c r="R773">
        <v>381</v>
      </c>
      <c r="S773">
        <v>11.617624153836937</v>
      </c>
      <c r="T773">
        <v>0.94444443782170617</v>
      </c>
      <c r="W773">
        <f t="shared" si="48"/>
        <v>318070</v>
      </c>
      <c r="X773">
        <f t="shared" si="49"/>
        <v>0.9466666579246521</v>
      </c>
      <c r="Y773">
        <f t="shared" si="50"/>
        <v>0.94444443782170617</v>
      </c>
      <c r="Z773">
        <f t="shared" si="51"/>
        <v>11.617624153836937</v>
      </c>
    </row>
    <row r="774" spans="1:26" hidden="1" x14ac:dyDescent="0.25">
      <c r="A774" t="s">
        <v>106</v>
      </c>
      <c r="B774">
        <v>5</v>
      </c>
      <c r="C774">
        <v>5</v>
      </c>
      <c r="D774">
        <v>0</v>
      </c>
      <c r="E774" t="s">
        <v>144</v>
      </c>
      <c r="F774">
        <v>318726</v>
      </c>
      <c r="G774">
        <v>742858595.29999995</v>
      </c>
      <c r="H774">
        <v>0.88377777934074397</v>
      </c>
      <c r="I774">
        <v>0.95711111111111113</v>
      </c>
      <c r="J774">
        <v>32205024.5</v>
      </c>
      <c r="K774">
        <v>318070</v>
      </c>
      <c r="L774">
        <v>2</v>
      </c>
      <c r="M774">
        <v>380</v>
      </c>
      <c r="N774">
        <v>0.95333333333333337</v>
      </c>
      <c r="O774">
        <v>33737141.700000003</v>
      </c>
      <c r="P774">
        <v>319669</v>
      </c>
      <c r="Q774">
        <v>2</v>
      </c>
      <c r="R774">
        <v>381</v>
      </c>
      <c r="S774">
        <v>11.696241926012918</v>
      </c>
      <c r="T774">
        <v>0.89383004046546088</v>
      </c>
      <c r="W774">
        <f t="shared" si="48"/>
        <v>318070</v>
      </c>
      <c r="X774">
        <f t="shared" si="49"/>
        <v>0.88377777934074397</v>
      </c>
      <c r="Y774">
        <f t="shared" si="50"/>
        <v>0.89383004046546088</v>
      </c>
      <c r="Z774">
        <f t="shared" si="51"/>
        <v>11.696241926012918</v>
      </c>
    </row>
    <row r="775" spans="1:26" hidden="1" x14ac:dyDescent="0.25">
      <c r="A775" t="s">
        <v>106</v>
      </c>
      <c r="B775">
        <v>9</v>
      </c>
      <c r="C775">
        <v>4</v>
      </c>
      <c r="D775">
        <v>0</v>
      </c>
      <c r="E775" t="s">
        <v>291</v>
      </c>
      <c r="F775">
        <v>318331</v>
      </c>
      <c r="G775">
        <v>838941178.75</v>
      </c>
      <c r="H775">
        <v>0.9050000011920929</v>
      </c>
      <c r="I775">
        <v>0.96888888888888891</v>
      </c>
      <c r="J775">
        <v>39498796.75</v>
      </c>
      <c r="K775">
        <v>318070</v>
      </c>
      <c r="L775">
        <v>2</v>
      </c>
      <c r="M775">
        <v>380</v>
      </c>
      <c r="N775">
        <v>0.97</v>
      </c>
      <c r="O775">
        <v>39874153</v>
      </c>
      <c r="P775">
        <v>319669</v>
      </c>
      <c r="Q775">
        <v>2</v>
      </c>
      <c r="R775">
        <v>381</v>
      </c>
      <c r="S775">
        <v>12.172343248921818</v>
      </c>
      <c r="T775">
        <v>0.93083333333333329</v>
      </c>
      <c r="W775">
        <f t="shared" si="48"/>
        <v>318070</v>
      </c>
      <c r="X775">
        <f t="shared" si="49"/>
        <v>0.9050000011920929</v>
      </c>
      <c r="Y775">
        <f t="shared" si="50"/>
        <v>0.93083333333333329</v>
      </c>
      <c r="Z775">
        <f t="shared" si="51"/>
        <v>12.172343248921818</v>
      </c>
    </row>
    <row r="776" spans="1:26" hidden="1" x14ac:dyDescent="0.25">
      <c r="A776" t="s">
        <v>106</v>
      </c>
      <c r="B776">
        <v>9</v>
      </c>
      <c r="C776">
        <v>5</v>
      </c>
      <c r="D776">
        <v>0</v>
      </c>
      <c r="E776" t="s">
        <v>189</v>
      </c>
      <c r="F776">
        <v>318474</v>
      </c>
      <c r="G776">
        <v>652595317.75</v>
      </c>
      <c r="H776">
        <v>0.60722221434116364</v>
      </c>
      <c r="I776">
        <v>0.95500000000000007</v>
      </c>
      <c r="J776">
        <v>41262225.25</v>
      </c>
      <c r="K776">
        <v>318070</v>
      </c>
      <c r="L776">
        <v>2</v>
      </c>
      <c r="M776">
        <v>380</v>
      </c>
      <c r="N776">
        <v>0.95666666666666667</v>
      </c>
      <c r="O776">
        <v>43506496.25</v>
      </c>
      <c r="P776">
        <v>319669</v>
      </c>
      <c r="Q776">
        <v>2</v>
      </c>
      <c r="R776">
        <v>381</v>
      </c>
      <c r="S776">
        <v>12.17753958321998</v>
      </c>
      <c r="T776">
        <v>0.78520000000000001</v>
      </c>
      <c r="W776">
        <f t="shared" si="48"/>
        <v>318070</v>
      </c>
      <c r="X776">
        <f t="shared" si="49"/>
        <v>0.60722221434116364</v>
      </c>
      <c r="Y776">
        <f t="shared" si="50"/>
        <v>0.78520000000000001</v>
      </c>
      <c r="Z776">
        <f t="shared" si="51"/>
        <v>12.17753958321998</v>
      </c>
    </row>
    <row r="777" spans="1:26" hidden="1" x14ac:dyDescent="0.25">
      <c r="A777" t="s">
        <v>106</v>
      </c>
      <c r="B777">
        <v>9</v>
      </c>
      <c r="C777">
        <v>4</v>
      </c>
      <c r="D777">
        <v>0</v>
      </c>
      <c r="E777" t="s">
        <v>211</v>
      </c>
      <c r="F777">
        <v>320184</v>
      </c>
      <c r="G777">
        <v>715955240.25</v>
      </c>
      <c r="H777">
        <v>0.92333333194255829</v>
      </c>
      <c r="I777">
        <v>0.96277777777777773</v>
      </c>
      <c r="J777">
        <v>43681740</v>
      </c>
      <c r="K777">
        <v>319669</v>
      </c>
      <c r="L777">
        <v>2</v>
      </c>
      <c r="M777">
        <v>381</v>
      </c>
      <c r="N777">
        <v>0.96277777777777773</v>
      </c>
      <c r="O777">
        <v>44607588.25</v>
      </c>
      <c r="P777">
        <v>321272</v>
      </c>
      <c r="Q777">
        <v>2</v>
      </c>
      <c r="R777">
        <v>382</v>
      </c>
      <c r="S777">
        <v>12.172526257600884</v>
      </c>
      <c r="T777">
        <v>0.92590000000000006</v>
      </c>
      <c r="W777">
        <f t="shared" si="48"/>
        <v>319669</v>
      </c>
      <c r="X777">
        <f t="shared" si="49"/>
        <v>0.92333333194255829</v>
      </c>
      <c r="Y777">
        <f t="shared" si="50"/>
        <v>0.92590000000000006</v>
      </c>
      <c r="Z777">
        <f t="shared" si="51"/>
        <v>12.172526257600884</v>
      </c>
    </row>
    <row r="778" spans="1:26" hidden="1" x14ac:dyDescent="0.25">
      <c r="A778" t="s">
        <v>106</v>
      </c>
      <c r="B778">
        <v>9</v>
      </c>
      <c r="C778">
        <v>5</v>
      </c>
      <c r="D778">
        <v>0</v>
      </c>
      <c r="E778" t="s">
        <v>265</v>
      </c>
      <c r="F778">
        <v>319989</v>
      </c>
      <c r="G778">
        <v>735904664</v>
      </c>
      <c r="H778">
        <v>0.75833334028720856</v>
      </c>
      <c r="I778">
        <v>0.95833333333333326</v>
      </c>
      <c r="J778">
        <v>39523026.25</v>
      </c>
      <c r="K778">
        <v>319669</v>
      </c>
      <c r="L778">
        <v>2</v>
      </c>
      <c r="M778">
        <v>381</v>
      </c>
      <c r="N778">
        <v>0.95499999999999996</v>
      </c>
      <c r="O778">
        <v>42417637</v>
      </c>
      <c r="P778">
        <v>321272</v>
      </c>
      <c r="Q778">
        <v>2</v>
      </c>
      <c r="R778">
        <v>382</v>
      </c>
      <c r="S778">
        <v>12.17793613664799</v>
      </c>
      <c r="T778">
        <v>0.8666666666666667</v>
      </c>
      <c r="W778">
        <f t="shared" si="48"/>
        <v>319669</v>
      </c>
      <c r="X778">
        <f t="shared" si="49"/>
        <v>0.75833334028720856</v>
      </c>
      <c r="Y778">
        <f t="shared" si="50"/>
        <v>0.8666666666666667</v>
      </c>
      <c r="Z778">
        <f t="shared" si="51"/>
        <v>12.17793613664799</v>
      </c>
    </row>
    <row r="779" spans="1:26" hidden="1" x14ac:dyDescent="0.25">
      <c r="A779" t="s">
        <v>106</v>
      </c>
      <c r="B779">
        <v>9</v>
      </c>
      <c r="C779">
        <v>4</v>
      </c>
      <c r="D779">
        <v>0</v>
      </c>
      <c r="E779" t="s">
        <v>260</v>
      </c>
      <c r="F779">
        <v>322743</v>
      </c>
      <c r="G779">
        <v>533566374.5</v>
      </c>
      <c r="H779">
        <v>0.91611111164093018</v>
      </c>
      <c r="I779">
        <v>0.9572222222222222</v>
      </c>
      <c r="J779">
        <v>38373504.75</v>
      </c>
      <c r="K779">
        <v>321272</v>
      </c>
      <c r="L779">
        <v>2</v>
      </c>
      <c r="M779">
        <v>382</v>
      </c>
      <c r="N779">
        <v>0.95944444444444443</v>
      </c>
      <c r="O779">
        <v>39858226.75</v>
      </c>
      <c r="P779">
        <v>322879</v>
      </c>
      <c r="Q779">
        <v>2</v>
      </c>
      <c r="R779">
        <v>383</v>
      </c>
      <c r="S779">
        <v>12.172543384547364</v>
      </c>
      <c r="T779">
        <v>0.92589999999999995</v>
      </c>
      <c r="W779">
        <f t="shared" si="48"/>
        <v>321272</v>
      </c>
      <c r="X779">
        <f t="shared" si="49"/>
        <v>0.91611111164093018</v>
      </c>
      <c r="Y779">
        <f t="shared" si="50"/>
        <v>0.92589999999999995</v>
      </c>
      <c r="Z779">
        <f t="shared" si="51"/>
        <v>12.172543384547364</v>
      </c>
    </row>
    <row r="780" spans="1:26" hidden="1" x14ac:dyDescent="0.25">
      <c r="A780" t="s">
        <v>106</v>
      </c>
      <c r="B780">
        <v>9</v>
      </c>
      <c r="C780">
        <v>5</v>
      </c>
      <c r="D780">
        <v>0</v>
      </c>
      <c r="E780" t="s">
        <v>239</v>
      </c>
      <c r="F780">
        <v>322054</v>
      </c>
      <c r="G780">
        <v>692578813.5</v>
      </c>
      <c r="H780">
        <v>0.82000000774860382</v>
      </c>
      <c r="I780">
        <v>0.9622222222222222</v>
      </c>
      <c r="J780">
        <v>38875587.25</v>
      </c>
      <c r="K780">
        <v>321272</v>
      </c>
      <c r="L780">
        <v>2</v>
      </c>
      <c r="M780">
        <v>382</v>
      </c>
      <c r="N780">
        <v>0.95833333333333337</v>
      </c>
      <c r="O780">
        <v>39883757.25</v>
      </c>
      <c r="P780">
        <v>322879</v>
      </c>
      <c r="Q780">
        <v>2</v>
      </c>
      <c r="R780">
        <v>383</v>
      </c>
      <c r="S780">
        <v>12.178495676293034</v>
      </c>
      <c r="T780">
        <v>0.8666666666666667</v>
      </c>
      <c r="W780">
        <f t="shared" si="48"/>
        <v>321272</v>
      </c>
      <c r="X780">
        <f t="shared" si="49"/>
        <v>0.82000000774860382</v>
      </c>
      <c r="Y780">
        <f t="shared" si="50"/>
        <v>0.8666666666666667</v>
      </c>
      <c r="Z780">
        <f t="shared" si="51"/>
        <v>12.178495676293034</v>
      </c>
    </row>
    <row r="781" spans="1:26" hidden="1" x14ac:dyDescent="0.25">
      <c r="A781" t="s">
        <v>106</v>
      </c>
      <c r="B781">
        <v>5</v>
      </c>
      <c r="C781">
        <v>5</v>
      </c>
      <c r="D781">
        <v>0</v>
      </c>
      <c r="E781" t="s">
        <v>285</v>
      </c>
      <c r="F781">
        <v>325295</v>
      </c>
      <c r="G781">
        <v>1045655432.2857143</v>
      </c>
      <c r="H781">
        <v>0.88761904409953529</v>
      </c>
      <c r="I781">
        <v>0.96412698412698417</v>
      </c>
      <c r="J781">
        <v>43623097.857142858</v>
      </c>
      <c r="K781">
        <v>324490</v>
      </c>
      <c r="L781">
        <v>2</v>
      </c>
      <c r="M781">
        <v>384</v>
      </c>
      <c r="N781">
        <v>0.96317460317460324</v>
      </c>
      <c r="O781">
        <v>42897434.285714284</v>
      </c>
      <c r="P781">
        <v>326105</v>
      </c>
      <c r="Q781">
        <v>2</v>
      </c>
      <c r="R781">
        <v>385</v>
      </c>
      <c r="S781">
        <v>11.697775429946587</v>
      </c>
      <c r="T781">
        <v>0.88703703880310059</v>
      </c>
      <c r="W781">
        <f t="shared" si="48"/>
        <v>324490</v>
      </c>
      <c r="X781">
        <f t="shared" si="49"/>
        <v>0.88761904409953529</v>
      </c>
      <c r="Y781">
        <f t="shared" si="50"/>
        <v>0.88703703880310059</v>
      </c>
      <c r="Z781">
        <f t="shared" si="51"/>
        <v>11.697775429946587</v>
      </c>
    </row>
    <row r="782" spans="1:26" hidden="1" x14ac:dyDescent="0.25">
      <c r="A782" t="s">
        <v>106</v>
      </c>
      <c r="B782">
        <v>9</v>
      </c>
      <c r="C782">
        <v>3</v>
      </c>
      <c r="D782">
        <v>0</v>
      </c>
      <c r="E782" t="s">
        <v>280</v>
      </c>
      <c r="F782">
        <v>325809</v>
      </c>
      <c r="G782">
        <v>1221581785</v>
      </c>
      <c r="H782">
        <v>0.93743589291205776</v>
      </c>
      <c r="I782">
        <v>0.96444444444444444</v>
      </c>
      <c r="J782">
        <v>40263222.153846152</v>
      </c>
      <c r="K782">
        <v>324490</v>
      </c>
      <c r="L782">
        <v>2</v>
      </c>
      <c r="M782">
        <v>384</v>
      </c>
      <c r="N782">
        <v>0.96666666666666667</v>
      </c>
      <c r="O782">
        <v>40470199.461538464</v>
      </c>
      <c r="P782">
        <v>326105</v>
      </c>
      <c r="Q782">
        <v>2</v>
      </c>
      <c r="R782">
        <v>385</v>
      </c>
      <c r="S782">
        <v>12.142472515144716</v>
      </c>
      <c r="T782">
        <v>0.95277962687015538</v>
      </c>
      <c r="W782">
        <f t="shared" si="48"/>
        <v>324490</v>
      </c>
      <c r="X782">
        <f t="shared" si="49"/>
        <v>0.93743589291205776</v>
      </c>
      <c r="Y782">
        <f t="shared" si="50"/>
        <v>0.95277962687015538</v>
      </c>
      <c r="Z782">
        <f t="shared" si="51"/>
        <v>12.142472515144716</v>
      </c>
    </row>
    <row r="783" spans="1:26" hidden="1" x14ac:dyDescent="0.25">
      <c r="A783" t="s">
        <v>106</v>
      </c>
      <c r="B783">
        <v>9</v>
      </c>
      <c r="C783">
        <v>5</v>
      </c>
      <c r="D783">
        <v>0</v>
      </c>
      <c r="E783" t="s">
        <v>283</v>
      </c>
      <c r="F783">
        <v>324969</v>
      </c>
      <c r="G783">
        <v>643633927</v>
      </c>
      <c r="H783">
        <v>0.49079364538192749</v>
      </c>
      <c r="I783">
        <v>0.96349206349206351</v>
      </c>
      <c r="J783">
        <v>39482489.714285716</v>
      </c>
      <c r="K783">
        <v>324490</v>
      </c>
      <c r="L783">
        <v>2</v>
      </c>
      <c r="M783">
        <v>384</v>
      </c>
      <c r="N783">
        <v>0.96095238095238089</v>
      </c>
      <c r="O783">
        <v>38878866.714285716</v>
      </c>
      <c r="P783">
        <v>326105</v>
      </c>
      <c r="Q783">
        <v>2</v>
      </c>
      <c r="R783">
        <v>385</v>
      </c>
      <c r="S783">
        <v>12.178971403718604</v>
      </c>
      <c r="T783">
        <v>0.81666666666666665</v>
      </c>
      <c r="W783">
        <f t="shared" si="48"/>
        <v>324490</v>
      </c>
      <c r="X783">
        <f t="shared" si="49"/>
        <v>0.49079364538192749</v>
      </c>
      <c r="Y783">
        <f t="shared" si="50"/>
        <v>0.81666666666666665</v>
      </c>
      <c r="Z783">
        <f t="shared" si="51"/>
        <v>12.178971403718604</v>
      </c>
    </row>
    <row r="784" spans="1:26" hidden="1" x14ac:dyDescent="0.25">
      <c r="A784" t="s">
        <v>106</v>
      </c>
      <c r="B784">
        <v>5</v>
      </c>
      <c r="C784">
        <v>5</v>
      </c>
      <c r="D784">
        <v>0</v>
      </c>
      <c r="E784" t="s">
        <v>261</v>
      </c>
      <c r="F784">
        <v>327611</v>
      </c>
      <c r="G784">
        <v>952967031.25</v>
      </c>
      <c r="H784">
        <v>0.89722220599651337</v>
      </c>
      <c r="I784">
        <v>0.96722222222222221</v>
      </c>
      <c r="J784">
        <v>41376941.25</v>
      </c>
      <c r="K784">
        <v>326105</v>
      </c>
      <c r="L784">
        <v>2</v>
      </c>
      <c r="M784">
        <v>385</v>
      </c>
      <c r="N784">
        <v>0.96611111111111114</v>
      </c>
      <c r="O784">
        <v>42536124.75</v>
      </c>
      <c r="P784">
        <v>327724</v>
      </c>
      <c r="Q784">
        <v>2</v>
      </c>
      <c r="R784">
        <v>386</v>
      </c>
      <c r="S784">
        <v>11.698726600551611</v>
      </c>
      <c r="T784">
        <v>0.9111110965410868</v>
      </c>
      <c r="W784">
        <f t="shared" si="48"/>
        <v>326105</v>
      </c>
      <c r="X784">
        <f t="shared" si="49"/>
        <v>0.89722220599651337</v>
      </c>
      <c r="Y784">
        <f t="shared" si="50"/>
        <v>0.9111110965410868</v>
      </c>
      <c r="Z784">
        <f t="shared" si="51"/>
        <v>11.698726600551611</v>
      </c>
    </row>
    <row r="785" spans="1:26" hidden="1" x14ac:dyDescent="0.25">
      <c r="A785" t="s">
        <v>106</v>
      </c>
      <c r="B785">
        <v>9</v>
      </c>
      <c r="C785">
        <v>5</v>
      </c>
      <c r="D785">
        <v>0</v>
      </c>
      <c r="E785" t="s">
        <v>209</v>
      </c>
      <c r="F785">
        <v>327324</v>
      </c>
      <c r="G785">
        <v>514467549.14285713</v>
      </c>
      <c r="H785">
        <v>0.54825397048677715</v>
      </c>
      <c r="I785">
        <v>0.96857142857142864</v>
      </c>
      <c r="J785">
        <v>38707679.428571425</v>
      </c>
      <c r="K785">
        <v>326105</v>
      </c>
      <c r="L785">
        <v>2</v>
      </c>
      <c r="M785">
        <v>385</v>
      </c>
      <c r="N785">
        <v>0.96793650793650798</v>
      </c>
      <c r="O785">
        <v>39270709.285714284</v>
      </c>
      <c r="P785">
        <v>327724</v>
      </c>
      <c r="Q785">
        <v>2</v>
      </c>
      <c r="R785">
        <v>386</v>
      </c>
      <c r="S785">
        <v>12.178359871746101</v>
      </c>
      <c r="T785">
        <v>0.76173333333333337</v>
      </c>
      <c r="W785">
        <f t="shared" si="48"/>
        <v>326105</v>
      </c>
      <c r="X785">
        <f t="shared" si="49"/>
        <v>0.54825397048677715</v>
      </c>
      <c r="Y785">
        <f t="shared" si="50"/>
        <v>0.76173333333333337</v>
      </c>
      <c r="Z785">
        <f t="shared" si="51"/>
        <v>12.178359871746101</v>
      </c>
    </row>
    <row r="786" spans="1:26" hidden="1" x14ac:dyDescent="0.25">
      <c r="A786" t="s">
        <v>106</v>
      </c>
      <c r="B786">
        <v>5</v>
      </c>
      <c r="C786">
        <v>5</v>
      </c>
      <c r="D786">
        <v>0</v>
      </c>
      <c r="E786" t="s">
        <v>177</v>
      </c>
      <c r="F786">
        <v>327752</v>
      </c>
      <c r="G786">
        <v>884979834.38461542</v>
      </c>
      <c r="H786">
        <v>0.90871794865681577</v>
      </c>
      <c r="I786">
        <v>0.95829059829059826</v>
      </c>
      <c r="J786">
        <v>36909546.230769232</v>
      </c>
      <c r="K786">
        <v>327724</v>
      </c>
      <c r="L786">
        <v>2</v>
      </c>
      <c r="M786">
        <v>386</v>
      </c>
      <c r="N786">
        <v>0.95572649572649571</v>
      </c>
      <c r="O786">
        <v>36046678.92307692</v>
      </c>
      <c r="P786">
        <v>329347</v>
      </c>
      <c r="Q786">
        <v>2</v>
      </c>
      <c r="R786">
        <v>387</v>
      </c>
      <c r="S786">
        <v>11.701594933739885</v>
      </c>
      <c r="T786">
        <v>0.92190833432674402</v>
      </c>
      <c r="W786">
        <f t="shared" si="48"/>
        <v>327724</v>
      </c>
      <c r="X786">
        <f t="shared" si="49"/>
        <v>0.90871794865681577</v>
      </c>
      <c r="Y786">
        <f t="shared" si="50"/>
        <v>0.92190833432674402</v>
      </c>
      <c r="Z786">
        <f t="shared" si="51"/>
        <v>11.701594933739885</v>
      </c>
    </row>
    <row r="787" spans="1:26" hidden="1" x14ac:dyDescent="0.25">
      <c r="A787" t="s">
        <v>106</v>
      </c>
      <c r="B787">
        <v>9</v>
      </c>
      <c r="C787">
        <v>4</v>
      </c>
      <c r="D787">
        <v>0</v>
      </c>
      <c r="E787" t="s">
        <v>226</v>
      </c>
      <c r="F787">
        <v>328586</v>
      </c>
      <c r="G787">
        <v>564898733.70000005</v>
      </c>
      <c r="H787">
        <v>0.90333333611488342</v>
      </c>
      <c r="I787">
        <v>0.96244444444444444</v>
      </c>
      <c r="J787">
        <v>41131756.600000001</v>
      </c>
      <c r="K787">
        <v>327724</v>
      </c>
      <c r="L787">
        <v>2</v>
      </c>
      <c r="M787">
        <v>386</v>
      </c>
      <c r="N787">
        <v>0.95955555555555561</v>
      </c>
      <c r="O787">
        <v>40182453.899999999</v>
      </c>
      <c r="P787">
        <v>329347</v>
      </c>
      <c r="Q787">
        <v>2</v>
      </c>
      <c r="R787">
        <v>387</v>
      </c>
      <c r="S787">
        <v>12.172171895713655</v>
      </c>
      <c r="T787">
        <v>0.92220000000000002</v>
      </c>
      <c r="W787">
        <f t="shared" si="48"/>
        <v>327724</v>
      </c>
      <c r="X787">
        <f t="shared" si="49"/>
        <v>0.90333333611488342</v>
      </c>
      <c r="Y787">
        <f t="shared" si="50"/>
        <v>0.92220000000000002</v>
      </c>
      <c r="Z787">
        <f t="shared" si="51"/>
        <v>12.172171895713655</v>
      </c>
    </row>
    <row r="788" spans="1:26" hidden="1" x14ac:dyDescent="0.25">
      <c r="A788" t="s">
        <v>106</v>
      </c>
      <c r="B788">
        <v>9</v>
      </c>
      <c r="C788">
        <v>5</v>
      </c>
      <c r="D788">
        <v>0</v>
      </c>
      <c r="E788" t="s">
        <v>271</v>
      </c>
      <c r="F788">
        <v>329119</v>
      </c>
      <c r="G788">
        <v>572461594.25</v>
      </c>
      <c r="H788">
        <v>0.70555555075407028</v>
      </c>
      <c r="I788">
        <v>0.9622222222222222</v>
      </c>
      <c r="J788">
        <v>40477691.25</v>
      </c>
      <c r="K788">
        <v>327724</v>
      </c>
      <c r="L788">
        <v>2</v>
      </c>
      <c r="M788">
        <v>386</v>
      </c>
      <c r="N788">
        <v>0.9605555555555555</v>
      </c>
      <c r="O788">
        <v>39378609.25</v>
      </c>
      <c r="P788">
        <v>329347</v>
      </c>
      <c r="Q788">
        <v>2</v>
      </c>
      <c r="R788">
        <v>387</v>
      </c>
      <c r="S788">
        <v>12.178103776147786</v>
      </c>
      <c r="T788">
        <v>0.85063333333333335</v>
      </c>
      <c r="W788">
        <f t="shared" si="48"/>
        <v>327724</v>
      </c>
      <c r="X788">
        <f t="shared" si="49"/>
        <v>0.70555555075407028</v>
      </c>
      <c r="Y788">
        <f t="shared" si="50"/>
        <v>0.85063333333333335</v>
      </c>
      <c r="Z788">
        <f t="shared" si="51"/>
        <v>12.178103776147786</v>
      </c>
    </row>
    <row r="789" spans="1:26" hidden="1" x14ac:dyDescent="0.25">
      <c r="A789" t="s">
        <v>106</v>
      </c>
      <c r="B789">
        <v>9</v>
      </c>
      <c r="C789">
        <v>4</v>
      </c>
      <c r="D789">
        <v>0</v>
      </c>
      <c r="E789" t="s">
        <v>278</v>
      </c>
      <c r="F789">
        <v>330189</v>
      </c>
      <c r="G789">
        <v>782351378.5</v>
      </c>
      <c r="H789">
        <v>0.92055554687976837</v>
      </c>
      <c r="I789">
        <v>0.96277777777777773</v>
      </c>
      <c r="J789">
        <v>44973527.75</v>
      </c>
      <c r="K789">
        <v>329347</v>
      </c>
      <c r="L789">
        <v>2</v>
      </c>
      <c r="M789">
        <v>387</v>
      </c>
      <c r="N789">
        <v>0.96333333333333337</v>
      </c>
      <c r="O789">
        <v>43811283</v>
      </c>
      <c r="P789">
        <v>330974</v>
      </c>
      <c r="Q789">
        <v>2</v>
      </c>
      <c r="R789">
        <v>388</v>
      </c>
      <c r="S789">
        <v>12.172575657168103</v>
      </c>
      <c r="T789">
        <v>0.94563333333333333</v>
      </c>
      <c r="W789">
        <f t="shared" si="48"/>
        <v>329347</v>
      </c>
      <c r="X789">
        <f t="shared" si="49"/>
        <v>0.92055554687976837</v>
      </c>
      <c r="Y789">
        <f t="shared" si="50"/>
        <v>0.94563333333333333</v>
      </c>
      <c r="Z789">
        <f t="shared" si="51"/>
        <v>12.172575657168103</v>
      </c>
    </row>
    <row r="790" spans="1:26" hidden="1" x14ac:dyDescent="0.25">
      <c r="A790" t="s">
        <v>106</v>
      </c>
      <c r="B790">
        <v>9</v>
      </c>
      <c r="C790">
        <v>5</v>
      </c>
      <c r="D790">
        <v>0</v>
      </c>
      <c r="E790" t="s">
        <v>134</v>
      </c>
      <c r="F790">
        <v>330354</v>
      </c>
      <c r="G790">
        <v>634625909.5</v>
      </c>
      <c r="H790">
        <v>0.70388889312744141</v>
      </c>
      <c r="I790">
        <v>0.95444444444444443</v>
      </c>
      <c r="J790">
        <v>40311068.25</v>
      </c>
      <c r="K790">
        <v>329347</v>
      </c>
      <c r="L790">
        <v>2</v>
      </c>
      <c r="M790">
        <v>387</v>
      </c>
      <c r="N790">
        <v>0.95111111111111113</v>
      </c>
      <c r="O790">
        <v>40142272.5</v>
      </c>
      <c r="P790">
        <v>330974</v>
      </c>
      <c r="Q790">
        <v>2</v>
      </c>
      <c r="R790">
        <v>388</v>
      </c>
      <c r="S790">
        <v>12.178010755608669</v>
      </c>
      <c r="T790">
        <v>0.84196666666666664</v>
      </c>
      <c r="W790">
        <f t="shared" si="48"/>
        <v>329347</v>
      </c>
      <c r="X790">
        <f t="shared" si="49"/>
        <v>0.70388889312744141</v>
      </c>
      <c r="Y790">
        <f t="shared" si="50"/>
        <v>0.84196666666666664</v>
      </c>
      <c r="Z790">
        <f t="shared" si="51"/>
        <v>12.178010755608669</v>
      </c>
    </row>
    <row r="791" spans="1:26" hidden="1" x14ac:dyDescent="0.25">
      <c r="A791" t="s">
        <v>106</v>
      </c>
      <c r="B791">
        <v>9</v>
      </c>
      <c r="C791">
        <v>4</v>
      </c>
      <c r="D791">
        <v>0</v>
      </c>
      <c r="E791" t="s">
        <v>144</v>
      </c>
      <c r="F791">
        <v>331998</v>
      </c>
      <c r="G791">
        <v>521854600.5</v>
      </c>
      <c r="H791">
        <v>0.92444445192813873</v>
      </c>
      <c r="I791">
        <v>0.95500000000000007</v>
      </c>
      <c r="J791">
        <v>37453535</v>
      </c>
      <c r="K791">
        <v>330974</v>
      </c>
      <c r="L791">
        <v>2</v>
      </c>
      <c r="M791">
        <v>388</v>
      </c>
      <c r="N791">
        <v>0.96333333333333337</v>
      </c>
      <c r="O791">
        <v>39367443.25</v>
      </c>
      <c r="P791">
        <v>332605</v>
      </c>
      <c r="Q791">
        <v>2</v>
      </c>
      <c r="R791">
        <v>389</v>
      </c>
      <c r="S791">
        <v>12.172427120141343</v>
      </c>
      <c r="T791">
        <v>0.94073333333333331</v>
      </c>
      <c r="W791">
        <f t="shared" si="48"/>
        <v>330974</v>
      </c>
      <c r="X791">
        <f t="shared" si="49"/>
        <v>0.92444445192813873</v>
      </c>
      <c r="Y791">
        <f t="shared" si="50"/>
        <v>0.94073333333333331</v>
      </c>
      <c r="Z791">
        <f t="shared" si="51"/>
        <v>12.172427120141343</v>
      </c>
    </row>
    <row r="792" spans="1:26" hidden="1" x14ac:dyDescent="0.25">
      <c r="A792" t="s">
        <v>106</v>
      </c>
      <c r="B792">
        <v>9</v>
      </c>
      <c r="C792">
        <v>5</v>
      </c>
      <c r="D792">
        <v>0</v>
      </c>
      <c r="E792" t="s">
        <v>290</v>
      </c>
      <c r="F792">
        <v>333539</v>
      </c>
      <c r="G792">
        <v>494082993.75</v>
      </c>
      <c r="H792">
        <v>0.49611110985279083</v>
      </c>
      <c r="I792">
        <v>0.95166666666666666</v>
      </c>
      <c r="J792">
        <v>38645150.75</v>
      </c>
      <c r="K792">
        <v>332605</v>
      </c>
      <c r="L792">
        <v>2</v>
      </c>
      <c r="M792">
        <v>389</v>
      </c>
      <c r="N792">
        <v>0.94944444444444442</v>
      </c>
      <c r="O792">
        <v>41612044.25</v>
      </c>
      <c r="P792">
        <v>334240</v>
      </c>
      <c r="Q792">
        <v>2</v>
      </c>
      <c r="R792">
        <v>390</v>
      </c>
      <c r="S792">
        <v>12.177483299842503</v>
      </c>
      <c r="T792">
        <v>0.69136666666666668</v>
      </c>
      <c r="W792">
        <f t="shared" si="48"/>
        <v>332605</v>
      </c>
      <c r="X792">
        <f t="shared" si="49"/>
        <v>0.49611110985279083</v>
      </c>
      <c r="Y792">
        <f t="shared" si="50"/>
        <v>0.69136666666666668</v>
      </c>
      <c r="Z792">
        <f t="shared" si="51"/>
        <v>12.177483299842503</v>
      </c>
    </row>
    <row r="793" spans="1:26" hidden="1" x14ac:dyDescent="0.25">
      <c r="A793" t="s">
        <v>106</v>
      </c>
      <c r="B793">
        <v>5</v>
      </c>
      <c r="C793">
        <v>5</v>
      </c>
      <c r="D793">
        <v>0</v>
      </c>
      <c r="E793" t="s">
        <v>227</v>
      </c>
      <c r="F793">
        <v>335140</v>
      </c>
      <c r="G793">
        <v>1347027965.5</v>
      </c>
      <c r="H793">
        <v>0.88500000536441803</v>
      </c>
      <c r="I793">
        <v>0.96888888888888891</v>
      </c>
      <c r="J793">
        <v>43152265.75</v>
      </c>
      <c r="K793">
        <v>334240</v>
      </c>
      <c r="L793">
        <v>2</v>
      </c>
      <c r="M793">
        <v>390</v>
      </c>
      <c r="N793">
        <v>0.96944444444444444</v>
      </c>
      <c r="O793">
        <v>38732997.75</v>
      </c>
      <c r="P793">
        <v>335879</v>
      </c>
      <c r="Q793">
        <v>2</v>
      </c>
      <c r="R793">
        <v>391</v>
      </c>
      <c r="S793">
        <v>11.704009848751319</v>
      </c>
      <c r="T793">
        <v>0.9209876457850138</v>
      </c>
      <c r="W793">
        <f t="shared" si="48"/>
        <v>334240</v>
      </c>
      <c r="X793">
        <f t="shared" si="49"/>
        <v>0.88500000536441803</v>
      </c>
      <c r="Y793">
        <f t="shared" si="50"/>
        <v>0.9209876457850138</v>
      </c>
      <c r="Z793">
        <f t="shared" si="51"/>
        <v>11.704009848751319</v>
      </c>
    </row>
    <row r="794" spans="1:26" hidden="1" x14ac:dyDescent="0.25">
      <c r="A794" t="s">
        <v>106</v>
      </c>
      <c r="B794">
        <v>9</v>
      </c>
      <c r="C794">
        <v>3</v>
      </c>
      <c r="D794">
        <v>0</v>
      </c>
      <c r="E794" t="s">
        <v>287</v>
      </c>
      <c r="F794">
        <v>334303</v>
      </c>
      <c r="G794">
        <v>1115026944.0769231</v>
      </c>
      <c r="H794">
        <v>0.92341879697946405</v>
      </c>
      <c r="I794">
        <v>0.95435897435897432</v>
      </c>
      <c r="J794">
        <v>41432407.538461536</v>
      </c>
      <c r="K794">
        <v>334240</v>
      </c>
      <c r="L794">
        <v>2</v>
      </c>
      <c r="M794">
        <v>390</v>
      </c>
      <c r="N794">
        <v>0.95794871794871794</v>
      </c>
      <c r="O794">
        <v>40854900.230769232</v>
      </c>
      <c r="P794">
        <v>335879</v>
      </c>
      <c r="Q794">
        <v>2</v>
      </c>
      <c r="R794">
        <v>391</v>
      </c>
      <c r="S794">
        <v>12.149487136371279</v>
      </c>
      <c r="T794">
        <v>0.93301944179534912</v>
      </c>
      <c r="W794">
        <f t="shared" si="48"/>
        <v>334240</v>
      </c>
      <c r="X794">
        <f t="shared" si="49"/>
        <v>0.92341879697946405</v>
      </c>
      <c r="Y794">
        <f t="shared" si="50"/>
        <v>0.93301944179534912</v>
      </c>
      <c r="Z794">
        <f t="shared" si="51"/>
        <v>12.149487136371279</v>
      </c>
    </row>
    <row r="795" spans="1:26" hidden="1" x14ac:dyDescent="0.25">
      <c r="A795" t="s">
        <v>106</v>
      </c>
      <c r="B795">
        <v>5</v>
      </c>
      <c r="C795">
        <v>5</v>
      </c>
      <c r="D795">
        <v>0</v>
      </c>
      <c r="E795" t="s">
        <v>268</v>
      </c>
      <c r="F795">
        <v>336877</v>
      </c>
      <c r="G795">
        <v>883124596.5</v>
      </c>
      <c r="H795">
        <v>0.88944445550441742</v>
      </c>
      <c r="I795">
        <v>0.97833333333333328</v>
      </c>
      <c r="J795">
        <v>39639992</v>
      </c>
      <c r="K795">
        <v>335879</v>
      </c>
      <c r="L795">
        <v>2</v>
      </c>
      <c r="M795">
        <v>391</v>
      </c>
      <c r="N795">
        <v>0.9655555555555555</v>
      </c>
      <c r="O795">
        <v>40225790</v>
      </c>
      <c r="P795">
        <v>337522</v>
      </c>
      <c r="Q795">
        <v>2</v>
      </c>
      <c r="R795">
        <v>392</v>
      </c>
      <c r="S795">
        <v>11.704958387058962</v>
      </c>
      <c r="T795">
        <v>0.91481480995814002</v>
      </c>
      <c r="W795">
        <f t="shared" si="48"/>
        <v>335879</v>
      </c>
      <c r="X795">
        <f t="shared" si="49"/>
        <v>0.88944445550441742</v>
      </c>
      <c r="Y795">
        <f t="shared" si="50"/>
        <v>0.91481480995814002</v>
      </c>
      <c r="Z795">
        <f t="shared" si="51"/>
        <v>11.704958387058962</v>
      </c>
    </row>
    <row r="796" spans="1:26" hidden="1" x14ac:dyDescent="0.25">
      <c r="A796" t="s">
        <v>106</v>
      </c>
      <c r="B796">
        <v>9</v>
      </c>
      <c r="C796">
        <v>5</v>
      </c>
      <c r="D796">
        <v>0</v>
      </c>
      <c r="E796" t="s">
        <v>224</v>
      </c>
      <c r="F796">
        <v>336174</v>
      </c>
      <c r="G796">
        <v>703171449.57142854</v>
      </c>
      <c r="H796">
        <v>0.61746031045913696</v>
      </c>
      <c r="I796">
        <v>0.95873015873015877</v>
      </c>
      <c r="J796">
        <v>39184553.857142858</v>
      </c>
      <c r="K796">
        <v>335879</v>
      </c>
      <c r="L796">
        <v>2</v>
      </c>
      <c r="M796">
        <v>391</v>
      </c>
      <c r="N796">
        <v>0.95492063492063495</v>
      </c>
      <c r="O796">
        <v>40660815.285714284</v>
      </c>
      <c r="P796">
        <v>337522</v>
      </c>
      <c r="Q796">
        <v>2</v>
      </c>
      <c r="R796">
        <v>392</v>
      </c>
      <c r="S796">
        <v>12.178121606948968</v>
      </c>
      <c r="T796">
        <v>0.84998333333333331</v>
      </c>
      <c r="W796">
        <f t="shared" si="48"/>
        <v>335879</v>
      </c>
      <c r="X796">
        <f t="shared" si="49"/>
        <v>0.61746031045913696</v>
      </c>
      <c r="Y796">
        <f t="shared" si="50"/>
        <v>0.84998333333333331</v>
      </c>
      <c r="Z796">
        <f t="shared" si="51"/>
        <v>12.178121606948968</v>
      </c>
    </row>
    <row r="797" spans="1:26" hidden="1" x14ac:dyDescent="0.25">
      <c r="A797" t="s">
        <v>106</v>
      </c>
      <c r="B797">
        <v>9</v>
      </c>
      <c r="C797">
        <v>4</v>
      </c>
      <c r="D797">
        <v>0</v>
      </c>
      <c r="E797" t="s">
        <v>285</v>
      </c>
      <c r="F797">
        <v>338841</v>
      </c>
      <c r="G797">
        <v>811440500.60000002</v>
      </c>
      <c r="H797">
        <v>0.91000000834465022</v>
      </c>
      <c r="I797">
        <v>0.95444444444444443</v>
      </c>
      <c r="J797">
        <v>40678919</v>
      </c>
      <c r="K797">
        <v>337522</v>
      </c>
      <c r="L797">
        <v>2</v>
      </c>
      <c r="M797">
        <v>392</v>
      </c>
      <c r="N797">
        <v>0.95911111111111114</v>
      </c>
      <c r="O797">
        <v>40383680.200000003</v>
      </c>
      <c r="P797">
        <v>339169</v>
      </c>
      <c r="Q797">
        <v>2</v>
      </c>
      <c r="R797">
        <v>393</v>
      </c>
      <c r="S797">
        <v>12.174208144796379</v>
      </c>
      <c r="T797">
        <v>0.91726666666666667</v>
      </c>
      <c r="W797">
        <f t="shared" si="48"/>
        <v>337522</v>
      </c>
      <c r="X797">
        <f t="shared" si="49"/>
        <v>0.91000000834465022</v>
      </c>
      <c r="Y797">
        <f t="shared" si="50"/>
        <v>0.91726666666666667</v>
      </c>
      <c r="Z797">
        <f t="shared" si="51"/>
        <v>12.174208144796379</v>
      </c>
    </row>
    <row r="798" spans="1:26" hidden="1" x14ac:dyDescent="0.25">
      <c r="A798" t="s">
        <v>106</v>
      </c>
      <c r="B798">
        <v>9</v>
      </c>
      <c r="C798">
        <v>5</v>
      </c>
      <c r="D798">
        <v>0</v>
      </c>
      <c r="E798" t="s">
        <v>277</v>
      </c>
      <c r="F798">
        <v>338249</v>
      </c>
      <c r="G798">
        <v>500676985.14285713</v>
      </c>
      <c r="H798">
        <v>0.63365079675401959</v>
      </c>
      <c r="I798">
        <v>0.97206349206349207</v>
      </c>
      <c r="J798">
        <v>38459509.571428575</v>
      </c>
      <c r="K798">
        <v>337522</v>
      </c>
      <c r="L798">
        <v>2</v>
      </c>
      <c r="M798">
        <v>392</v>
      </c>
      <c r="N798">
        <v>0.97206349206349207</v>
      </c>
      <c r="O798">
        <v>39227073.857142858</v>
      </c>
      <c r="P798">
        <v>339169</v>
      </c>
      <c r="Q798">
        <v>2</v>
      </c>
      <c r="R798">
        <v>393</v>
      </c>
      <c r="S798">
        <v>12.177456992456721</v>
      </c>
      <c r="T798">
        <v>0.79630000000000001</v>
      </c>
      <c r="W798">
        <f t="shared" si="48"/>
        <v>337522</v>
      </c>
      <c r="X798">
        <f t="shared" si="49"/>
        <v>0.63365079675401959</v>
      </c>
      <c r="Y798">
        <f t="shared" si="50"/>
        <v>0.79630000000000001</v>
      </c>
      <c r="Z798">
        <f t="shared" si="51"/>
        <v>12.177456992456721</v>
      </c>
    </row>
    <row r="799" spans="1:26" hidden="1" x14ac:dyDescent="0.25">
      <c r="A799" t="s">
        <v>106</v>
      </c>
      <c r="B799">
        <v>9</v>
      </c>
      <c r="C799">
        <v>4</v>
      </c>
      <c r="D799">
        <v>0</v>
      </c>
      <c r="E799" t="s">
        <v>212</v>
      </c>
      <c r="F799">
        <v>340194</v>
      </c>
      <c r="G799">
        <v>1187284821.25</v>
      </c>
      <c r="H799">
        <v>0.884444460272789</v>
      </c>
      <c r="I799">
        <v>0.95944444444444443</v>
      </c>
      <c r="J799">
        <v>43380898.25</v>
      </c>
      <c r="K799">
        <v>339169</v>
      </c>
      <c r="L799">
        <v>2</v>
      </c>
      <c r="M799">
        <v>393</v>
      </c>
      <c r="N799">
        <v>0.9572222222222222</v>
      </c>
      <c r="O799">
        <v>45609006.5</v>
      </c>
      <c r="P799">
        <v>340820</v>
      </c>
      <c r="Q799">
        <v>2</v>
      </c>
      <c r="R799">
        <v>394</v>
      </c>
      <c r="S799">
        <v>12.175824782080989</v>
      </c>
      <c r="T799">
        <v>0.90493333333333326</v>
      </c>
      <c r="W799">
        <f t="shared" si="48"/>
        <v>339169</v>
      </c>
      <c r="X799">
        <f t="shared" si="49"/>
        <v>0.884444460272789</v>
      </c>
      <c r="Y799">
        <f t="shared" si="50"/>
        <v>0.90493333333333326</v>
      </c>
      <c r="Z799">
        <f t="shared" si="51"/>
        <v>12.175824782080989</v>
      </c>
    </row>
    <row r="800" spans="1:26" hidden="1" x14ac:dyDescent="0.25">
      <c r="A800" t="s">
        <v>106</v>
      </c>
      <c r="B800">
        <v>9</v>
      </c>
      <c r="C800">
        <v>5</v>
      </c>
      <c r="D800">
        <v>0</v>
      </c>
      <c r="E800" t="s">
        <v>259</v>
      </c>
      <c r="F800">
        <v>340719</v>
      </c>
      <c r="G800">
        <v>519380520</v>
      </c>
      <c r="H800">
        <v>0.54833333194255829</v>
      </c>
      <c r="I800">
        <v>0.96833333333333338</v>
      </c>
      <c r="J800">
        <v>37913766.25</v>
      </c>
      <c r="K800">
        <v>339169</v>
      </c>
      <c r="L800">
        <v>2</v>
      </c>
      <c r="M800">
        <v>393</v>
      </c>
      <c r="N800">
        <v>0.97333333333333338</v>
      </c>
      <c r="O800">
        <v>38741932.5</v>
      </c>
      <c r="P800">
        <v>340820</v>
      </c>
      <c r="Q800">
        <v>2</v>
      </c>
      <c r="R800">
        <v>394</v>
      </c>
      <c r="S800">
        <v>12.177201454071945</v>
      </c>
      <c r="T800">
        <v>0.73209999999999997</v>
      </c>
      <c r="W800">
        <f t="shared" si="48"/>
        <v>339169</v>
      </c>
      <c r="X800">
        <f t="shared" si="49"/>
        <v>0.54833333194255829</v>
      </c>
      <c r="Y800">
        <f t="shared" si="50"/>
        <v>0.73209999999999997</v>
      </c>
      <c r="Z800">
        <f t="shared" si="51"/>
        <v>12.177201454071945</v>
      </c>
    </row>
    <row r="801" spans="1:26" hidden="1" x14ac:dyDescent="0.25">
      <c r="A801" t="s">
        <v>106</v>
      </c>
      <c r="B801">
        <v>9</v>
      </c>
      <c r="C801">
        <v>4</v>
      </c>
      <c r="D801">
        <v>0</v>
      </c>
      <c r="E801" t="s">
        <v>261</v>
      </c>
      <c r="F801">
        <v>341253</v>
      </c>
      <c r="G801">
        <v>859732271.75</v>
      </c>
      <c r="H801">
        <v>0.9005555659532547</v>
      </c>
      <c r="I801">
        <v>0.9588888888888889</v>
      </c>
      <c r="J801">
        <v>40702603.75</v>
      </c>
      <c r="K801">
        <v>340820</v>
      </c>
      <c r="L801">
        <v>2</v>
      </c>
      <c r="M801">
        <v>394</v>
      </c>
      <c r="N801">
        <v>0.9538888888888889</v>
      </c>
      <c r="O801">
        <v>39969347.5</v>
      </c>
      <c r="P801">
        <v>342475</v>
      </c>
      <c r="Q801">
        <v>2</v>
      </c>
      <c r="R801">
        <v>395</v>
      </c>
      <c r="S801">
        <v>12.177054605626035</v>
      </c>
      <c r="T801">
        <v>0.92589999999999995</v>
      </c>
      <c r="W801">
        <f t="shared" si="48"/>
        <v>340820</v>
      </c>
      <c r="X801">
        <f t="shared" si="49"/>
        <v>0.9005555659532547</v>
      </c>
      <c r="Y801">
        <f t="shared" si="50"/>
        <v>0.92589999999999995</v>
      </c>
      <c r="Z801">
        <f t="shared" si="51"/>
        <v>12.177054605626035</v>
      </c>
    </row>
    <row r="802" spans="1:26" hidden="1" x14ac:dyDescent="0.25">
      <c r="A802" t="s">
        <v>106</v>
      </c>
      <c r="B802">
        <v>5</v>
      </c>
      <c r="C802">
        <v>5</v>
      </c>
      <c r="D802">
        <v>0</v>
      </c>
      <c r="E802" t="s">
        <v>286</v>
      </c>
      <c r="F802">
        <v>344985</v>
      </c>
      <c r="G802">
        <v>921588385.76923072</v>
      </c>
      <c r="H802">
        <v>0.89230769414168143</v>
      </c>
      <c r="I802">
        <v>0.95863247863247869</v>
      </c>
      <c r="J802">
        <v>34498224.92307692</v>
      </c>
      <c r="K802">
        <v>344134</v>
      </c>
      <c r="L802">
        <v>2</v>
      </c>
      <c r="M802">
        <v>396</v>
      </c>
      <c r="N802">
        <v>0.95811965811965816</v>
      </c>
      <c r="O802">
        <v>34712820.307692304</v>
      </c>
      <c r="P802">
        <v>345797</v>
      </c>
      <c r="Q802">
        <v>2</v>
      </c>
      <c r="R802">
        <v>397</v>
      </c>
      <c r="S802">
        <v>11.710512445095169</v>
      </c>
      <c r="T802">
        <v>0.90184752637545262</v>
      </c>
      <c r="W802">
        <f t="shared" si="48"/>
        <v>344134</v>
      </c>
      <c r="X802">
        <f t="shared" si="49"/>
        <v>0.89230769414168143</v>
      </c>
      <c r="Y802">
        <f t="shared" si="50"/>
        <v>0.90184752637545262</v>
      </c>
      <c r="Z802">
        <f t="shared" si="51"/>
        <v>11.710512445095169</v>
      </c>
    </row>
    <row r="803" spans="1:26" hidden="1" x14ac:dyDescent="0.25">
      <c r="A803" t="s">
        <v>106</v>
      </c>
      <c r="B803">
        <v>9</v>
      </c>
      <c r="C803">
        <v>5</v>
      </c>
      <c r="D803">
        <v>0</v>
      </c>
      <c r="E803" t="s">
        <v>240</v>
      </c>
      <c r="F803">
        <v>345024</v>
      </c>
      <c r="G803">
        <v>739911869.42857146</v>
      </c>
      <c r="H803">
        <v>0.71269841705049786</v>
      </c>
      <c r="I803">
        <v>0.95269841269841271</v>
      </c>
      <c r="J803">
        <v>40117630</v>
      </c>
      <c r="K803">
        <v>344134</v>
      </c>
      <c r="L803">
        <v>2</v>
      </c>
      <c r="M803">
        <v>396</v>
      </c>
      <c r="N803">
        <v>0.95523809523809522</v>
      </c>
      <c r="O803">
        <v>41626565.285714284</v>
      </c>
      <c r="P803">
        <v>345797</v>
      </c>
      <c r="Q803">
        <v>2</v>
      </c>
      <c r="R803">
        <v>397</v>
      </c>
      <c r="S803">
        <v>12.177730773402756</v>
      </c>
      <c r="T803">
        <v>0.8259333333333333</v>
      </c>
      <c r="W803">
        <f t="shared" si="48"/>
        <v>344134</v>
      </c>
      <c r="X803">
        <f t="shared" si="49"/>
        <v>0.71269841705049786</v>
      </c>
      <c r="Y803">
        <f t="shared" si="50"/>
        <v>0.8259333333333333</v>
      </c>
      <c r="Z803">
        <f t="shared" si="51"/>
        <v>12.177730773402756</v>
      </c>
    </row>
    <row r="804" spans="1:26" hidden="1" x14ac:dyDescent="0.25">
      <c r="A804" t="s">
        <v>106</v>
      </c>
      <c r="B804">
        <v>5</v>
      </c>
      <c r="C804">
        <v>5</v>
      </c>
      <c r="D804">
        <v>0</v>
      </c>
      <c r="E804" t="s">
        <v>214</v>
      </c>
      <c r="F804">
        <v>345804</v>
      </c>
      <c r="G804">
        <v>1265345629.75</v>
      </c>
      <c r="H804">
        <v>0.90888889133930206</v>
      </c>
      <c r="I804">
        <v>0.97166666666666668</v>
      </c>
      <c r="J804">
        <v>40704640.75</v>
      </c>
      <c r="K804">
        <v>345797</v>
      </c>
      <c r="L804">
        <v>2</v>
      </c>
      <c r="M804">
        <v>397</v>
      </c>
      <c r="N804">
        <v>0.96722222222222221</v>
      </c>
      <c r="O804">
        <v>40603405.5</v>
      </c>
      <c r="P804">
        <v>347464</v>
      </c>
      <c r="Q804">
        <v>2</v>
      </c>
      <c r="R804">
        <v>398</v>
      </c>
      <c r="S804">
        <v>11.712805199367644</v>
      </c>
      <c r="T804">
        <v>0.92468517812093098</v>
      </c>
      <c r="W804">
        <f t="shared" si="48"/>
        <v>345797</v>
      </c>
      <c r="X804">
        <f t="shared" si="49"/>
        <v>0.90888889133930206</v>
      </c>
      <c r="Y804">
        <f t="shared" si="50"/>
        <v>0.92468517812093098</v>
      </c>
      <c r="Z804">
        <f t="shared" si="51"/>
        <v>11.712805199367644</v>
      </c>
    </row>
    <row r="805" spans="1:26" hidden="1" x14ac:dyDescent="0.25">
      <c r="A805" t="s">
        <v>106</v>
      </c>
      <c r="B805">
        <v>9</v>
      </c>
      <c r="C805">
        <v>5</v>
      </c>
      <c r="D805">
        <v>0</v>
      </c>
      <c r="E805" t="s">
        <v>284</v>
      </c>
      <c r="F805">
        <v>347379</v>
      </c>
      <c r="G805">
        <v>542105714.57142854</v>
      </c>
      <c r="H805">
        <v>0.53682539292744225</v>
      </c>
      <c r="I805">
        <v>0.95650793650793653</v>
      </c>
      <c r="J805">
        <v>40371656.571428575</v>
      </c>
      <c r="K805">
        <v>345797</v>
      </c>
      <c r="L805">
        <v>2</v>
      </c>
      <c r="M805">
        <v>397</v>
      </c>
      <c r="N805">
        <v>0.95555555555555549</v>
      </c>
      <c r="O805">
        <v>42104632</v>
      </c>
      <c r="P805">
        <v>347464</v>
      </c>
      <c r="Q805">
        <v>2</v>
      </c>
      <c r="R805">
        <v>398</v>
      </c>
      <c r="S805">
        <v>12.177012740580103</v>
      </c>
      <c r="T805">
        <v>0.7648166666666667</v>
      </c>
      <c r="W805">
        <f t="shared" si="48"/>
        <v>345797</v>
      </c>
      <c r="X805">
        <f t="shared" si="49"/>
        <v>0.53682539292744225</v>
      </c>
      <c r="Y805">
        <f t="shared" si="50"/>
        <v>0.7648166666666667</v>
      </c>
      <c r="Z805">
        <f t="shared" si="51"/>
        <v>12.177012740580103</v>
      </c>
    </row>
    <row r="806" spans="1:26" hidden="1" x14ac:dyDescent="0.25">
      <c r="A806" t="s">
        <v>106</v>
      </c>
      <c r="B806">
        <v>9</v>
      </c>
      <c r="C806">
        <v>4</v>
      </c>
      <c r="D806">
        <v>0</v>
      </c>
      <c r="E806" t="s">
        <v>227</v>
      </c>
      <c r="F806">
        <v>349096</v>
      </c>
      <c r="G806">
        <v>797218359.89999998</v>
      </c>
      <c r="H806">
        <v>0.89177777767181399</v>
      </c>
      <c r="I806">
        <v>0.96177777777777784</v>
      </c>
      <c r="J806">
        <v>42582976</v>
      </c>
      <c r="K806">
        <v>347464</v>
      </c>
      <c r="L806">
        <v>2</v>
      </c>
      <c r="M806">
        <v>398</v>
      </c>
      <c r="N806">
        <v>0.96</v>
      </c>
      <c r="O806">
        <v>42224190.5</v>
      </c>
      <c r="P806">
        <v>349135</v>
      </c>
      <c r="Q806">
        <v>2</v>
      </c>
      <c r="R806">
        <v>399</v>
      </c>
      <c r="S806">
        <v>12.178335170893053</v>
      </c>
      <c r="T806">
        <v>0.91562222222222223</v>
      </c>
      <c r="W806">
        <f t="shared" si="48"/>
        <v>347464</v>
      </c>
      <c r="X806">
        <f t="shared" si="49"/>
        <v>0.89177777767181399</v>
      </c>
      <c r="Y806">
        <f t="shared" si="50"/>
        <v>0.91562222222222223</v>
      </c>
      <c r="Z806">
        <f t="shared" si="51"/>
        <v>12.178335170893053</v>
      </c>
    </row>
    <row r="807" spans="1:26" hidden="1" x14ac:dyDescent="0.25">
      <c r="A807" t="s">
        <v>106</v>
      </c>
      <c r="B807">
        <v>9</v>
      </c>
      <c r="C807">
        <v>4</v>
      </c>
      <c r="D807">
        <v>0</v>
      </c>
      <c r="E807" t="s">
        <v>198</v>
      </c>
      <c r="F807">
        <v>350802</v>
      </c>
      <c r="G807">
        <v>776557057.5</v>
      </c>
      <c r="H807">
        <v>0.89333334565162659</v>
      </c>
      <c r="I807">
        <v>0.96111111111111114</v>
      </c>
      <c r="J807">
        <v>45733386.75</v>
      </c>
      <c r="K807">
        <v>349135</v>
      </c>
      <c r="L807">
        <v>2</v>
      </c>
      <c r="M807">
        <v>399</v>
      </c>
      <c r="N807">
        <v>0.95944444444444443</v>
      </c>
      <c r="O807">
        <v>45680370.75</v>
      </c>
      <c r="P807">
        <v>350810</v>
      </c>
      <c r="Q807">
        <v>2</v>
      </c>
      <c r="R807">
        <v>400</v>
      </c>
      <c r="S807">
        <v>12.178461199294533</v>
      </c>
      <c r="T807">
        <v>0.91849999999999998</v>
      </c>
      <c r="W807">
        <f t="shared" si="48"/>
        <v>349135</v>
      </c>
      <c r="X807">
        <f t="shared" si="49"/>
        <v>0.89333334565162659</v>
      </c>
      <c r="Y807">
        <f t="shared" si="50"/>
        <v>0.91849999999999998</v>
      </c>
      <c r="Z807">
        <f t="shared" si="51"/>
        <v>12.178461199294533</v>
      </c>
    </row>
    <row r="808" spans="1:26" hidden="1" x14ac:dyDescent="0.25">
      <c r="A808" t="s">
        <v>106</v>
      </c>
      <c r="B808">
        <v>9</v>
      </c>
      <c r="C808">
        <v>5</v>
      </c>
      <c r="D808">
        <v>0</v>
      </c>
      <c r="E808" t="s">
        <v>266</v>
      </c>
      <c r="F808">
        <v>350409</v>
      </c>
      <c r="G808">
        <v>767926054</v>
      </c>
      <c r="H808">
        <v>0.64825396452631268</v>
      </c>
      <c r="I808">
        <v>0.96253968253968258</v>
      </c>
      <c r="J808">
        <v>40409024.714285716</v>
      </c>
      <c r="K808">
        <v>349135</v>
      </c>
      <c r="L808">
        <v>2</v>
      </c>
      <c r="M808">
        <v>399</v>
      </c>
      <c r="N808">
        <v>0.9663492063492064</v>
      </c>
      <c r="O808">
        <v>40063258.857142858</v>
      </c>
      <c r="P808">
        <v>350810</v>
      </c>
      <c r="Q808">
        <v>2</v>
      </c>
      <c r="R808">
        <v>400</v>
      </c>
      <c r="S808">
        <v>12.178083676566226</v>
      </c>
      <c r="T808">
        <v>0.8370333333333333</v>
      </c>
      <c r="W808">
        <f t="shared" si="48"/>
        <v>349135</v>
      </c>
      <c r="X808">
        <f t="shared" si="49"/>
        <v>0.64825396452631268</v>
      </c>
      <c r="Y808">
        <f t="shared" si="50"/>
        <v>0.8370333333333333</v>
      </c>
      <c r="Z808">
        <f t="shared" si="51"/>
        <v>12.178083676566226</v>
      </c>
    </row>
    <row r="809" spans="1:26" hidden="1" x14ac:dyDescent="0.25">
      <c r="A809" t="s">
        <v>106</v>
      </c>
      <c r="B809">
        <v>9</v>
      </c>
      <c r="C809">
        <v>4</v>
      </c>
      <c r="D809">
        <v>0</v>
      </c>
      <c r="E809" t="s">
        <v>268</v>
      </c>
      <c r="F809">
        <v>350905</v>
      </c>
      <c r="G809">
        <v>774917591.42857146</v>
      </c>
      <c r="H809">
        <v>0.91428571087973454</v>
      </c>
      <c r="I809">
        <v>0.95238095238095244</v>
      </c>
      <c r="J809">
        <v>41777450.285714284</v>
      </c>
      <c r="K809">
        <v>350810</v>
      </c>
      <c r="L809">
        <v>2</v>
      </c>
      <c r="M809">
        <v>400</v>
      </c>
      <c r="N809">
        <v>0.95746031746031746</v>
      </c>
      <c r="O809">
        <v>41151539.857142858</v>
      </c>
      <c r="P809">
        <v>352489</v>
      </c>
      <c r="Q809">
        <v>2</v>
      </c>
      <c r="R809">
        <v>401</v>
      </c>
      <c r="S809">
        <v>12.179549336124731</v>
      </c>
      <c r="T809">
        <v>0.93764999999999998</v>
      </c>
      <c r="W809">
        <f t="shared" si="48"/>
        <v>350810</v>
      </c>
      <c r="X809">
        <f t="shared" si="49"/>
        <v>0.91428571087973454</v>
      </c>
      <c r="Y809">
        <f t="shared" si="50"/>
        <v>0.93764999999999998</v>
      </c>
      <c r="Z809">
        <f t="shared" si="51"/>
        <v>12.179549336124731</v>
      </c>
    </row>
    <row r="810" spans="1:26" hidden="1" x14ac:dyDescent="0.25">
      <c r="A810" t="s">
        <v>106</v>
      </c>
      <c r="B810">
        <v>9</v>
      </c>
      <c r="C810">
        <v>5</v>
      </c>
      <c r="D810">
        <v>0</v>
      </c>
      <c r="E810" t="s">
        <v>139</v>
      </c>
      <c r="F810">
        <v>351084</v>
      </c>
      <c r="G810">
        <v>660566332.85714281</v>
      </c>
      <c r="H810">
        <v>0.64444445499352043</v>
      </c>
      <c r="I810">
        <v>0.960952380952381</v>
      </c>
      <c r="J810">
        <v>41375645</v>
      </c>
      <c r="K810">
        <v>350810</v>
      </c>
      <c r="L810">
        <v>2</v>
      </c>
      <c r="M810">
        <v>400</v>
      </c>
      <c r="N810">
        <v>0.96158730158730155</v>
      </c>
      <c r="O810">
        <v>40342226.428571425</v>
      </c>
      <c r="P810">
        <v>352489</v>
      </c>
      <c r="Q810">
        <v>2</v>
      </c>
      <c r="R810">
        <v>401</v>
      </c>
      <c r="S810">
        <v>12.178232840348882</v>
      </c>
      <c r="T810">
        <v>0.79815000000000003</v>
      </c>
      <c r="W810">
        <f t="shared" si="48"/>
        <v>350810</v>
      </c>
      <c r="X810">
        <f t="shared" si="49"/>
        <v>0.64444445499352043</v>
      </c>
      <c r="Y810">
        <f t="shared" si="50"/>
        <v>0.79815000000000003</v>
      </c>
      <c r="Z810">
        <f t="shared" si="51"/>
        <v>12.178232840348882</v>
      </c>
    </row>
    <row r="811" spans="1:26" hidden="1" x14ac:dyDescent="0.25">
      <c r="A811" t="s">
        <v>106</v>
      </c>
      <c r="B811">
        <v>5</v>
      </c>
      <c r="C811">
        <v>5</v>
      </c>
      <c r="D811">
        <v>0</v>
      </c>
      <c r="E811" t="s">
        <v>280</v>
      </c>
      <c r="F811">
        <v>355409</v>
      </c>
      <c r="G811">
        <v>698810626.89999998</v>
      </c>
      <c r="H811">
        <v>0.8860000014305115</v>
      </c>
      <c r="I811">
        <v>0.9588888888888889</v>
      </c>
      <c r="J811">
        <v>33239186</v>
      </c>
      <c r="K811">
        <v>354172</v>
      </c>
      <c r="L811">
        <v>2</v>
      </c>
      <c r="M811">
        <v>402</v>
      </c>
      <c r="N811">
        <v>0.95799999999999996</v>
      </c>
      <c r="O811">
        <v>33981216.799999997</v>
      </c>
      <c r="P811">
        <v>355859</v>
      </c>
      <c r="Q811">
        <v>2</v>
      </c>
      <c r="R811">
        <v>403</v>
      </c>
      <c r="S811">
        <v>11.715255427467962</v>
      </c>
      <c r="T811">
        <v>0.90246666401757136</v>
      </c>
      <c r="W811">
        <f t="shared" si="48"/>
        <v>354172</v>
      </c>
      <c r="X811">
        <f t="shared" si="49"/>
        <v>0.8860000014305115</v>
      </c>
      <c r="Y811">
        <f t="shared" si="50"/>
        <v>0.90246666401757136</v>
      </c>
      <c r="Z811">
        <f t="shared" si="51"/>
        <v>11.715255427467962</v>
      </c>
    </row>
    <row r="812" spans="1:26" hidden="1" x14ac:dyDescent="0.25">
      <c r="A812" t="s">
        <v>106</v>
      </c>
      <c r="B812">
        <v>9</v>
      </c>
      <c r="C812">
        <v>5</v>
      </c>
      <c r="D812">
        <v>0</v>
      </c>
      <c r="E812" t="s">
        <v>291</v>
      </c>
      <c r="F812">
        <v>356509</v>
      </c>
      <c r="G812">
        <v>686911728.75</v>
      </c>
      <c r="H812">
        <v>0.73555555939674377</v>
      </c>
      <c r="I812">
        <v>0.95499999999999996</v>
      </c>
      <c r="J812">
        <v>40047136</v>
      </c>
      <c r="K812">
        <v>355859</v>
      </c>
      <c r="L812">
        <v>2</v>
      </c>
      <c r="M812">
        <v>403</v>
      </c>
      <c r="N812">
        <v>0.95777777777777784</v>
      </c>
      <c r="O812">
        <v>39903645.75</v>
      </c>
      <c r="P812">
        <v>357550</v>
      </c>
      <c r="Q812">
        <v>2</v>
      </c>
      <c r="R812">
        <v>404</v>
      </c>
      <c r="S812">
        <v>12.178356713426854</v>
      </c>
      <c r="T812">
        <v>0.79876666666666662</v>
      </c>
      <c r="W812">
        <f t="shared" si="48"/>
        <v>355859</v>
      </c>
      <c r="X812">
        <f t="shared" si="49"/>
        <v>0.73555555939674377</v>
      </c>
      <c r="Y812">
        <f t="shared" si="50"/>
        <v>0.79876666666666662</v>
      </c>
      <c r="Z812">
        <f t="shared" si="51"/>
        <v>12.178356713426854</v>
      </c>
    </row>
    <row r="813" spans="1:26" hidden="1" x14ac:dyDescent="0.25">
      <c r="A813" t="s">
        <v>106</v>
      </c>
      <c r="B813">
        <v>9</v>
      </c>
      <c r="C813">
        <v>5</v>
      </c>
      <c r="D813">
        <v>0</v>
      </c>
      <c r="E813" t="s">
        <v>211</v>
      </c>
      <c r="F813">
        <v>358584</v>
      </c>
      <c r="G813">
        <v>595648367</v>
      </c>
      <c r="H813">
        <v>0.70761904120445251</v>
      </c>
      <c r="I813">
        <v>0.96</v>
      </c>
      <c r="J813">
        <v>41094068</v>
      </c>
      <c r="K813">
        <v>357550</v>
      </c>
      <c r="L813">
        <v>2</v>
      </c>
      <c r="M813">
        <v>404</v>
      </c>
      <c r="N813">
        <v>0.95841269841269838</v>
      </c>
      <c r="O813">
        <v>41725744.857142858</v>
      </c>
      <c r="P813">
        <v>359245</v>
      </c>
      <c r="Q813">
        <v>2</v>
      </c>
      <c r="R813">
        <v>405</v>
      </c>
      <c r="S813">
        <v>12.177910124526258</v>
      </c>
      <c r="T813">
        <v>0.81543333333333334</v>
      </c>
      <c r="W813">
        <f t="shared" si="48"/>
        <v>357550</v>
      </c>
      <c r="X813">
        <f t="shared" si="49"/>
        <v>0.70761904120445251</v>
      </c>
      <c r="Y813">
        <f t="shared" si="50"/>
        <v>0.81543333333333334</v>
      </c>
      <c r="Z813">
        <f t="shared" si="51"/>
        <v>12.177910124526258</v>
      </c>
    </row>
    <row r="814" spans="1:26" hidden="1" x14ac:dyDescent="0.25">
      <c r="A814" t="s">
        <v>106</v>
      </c>
      <c r="B814">
        <v>9</v>
      </c>
      <c r="C814">
        <v>4</v>
      </c>
      <c r="D814">
        <v>0</v>
      </c>
      <c r="E814" t="s">
        <v>273</v>
      </c>
      <c r="F814">
        <v>360557</v>
      </c>
      <c r="G814">
        <v>1037144672.5</v>
      </c>
      <c r="H814">
        <v>0.90444444119930267</v>
      </c>
      <c r="I814">
        <v>0.96055555555555561</v>
      </c>
      <c r="J814">
        <v>43906540.75</v>
      </c>
      <c r="K814">
        <v>359245</v>
      </c>
      <c r="L814">
        <v>2</v>
      </c>
      <c r="M814">
        <v>405</v>
      </c>
      <c r="N814">
        <v>0.9538888888888889</v>
      </c>
      <c r="O814">
        <v>43541623</v>
      </c>
      <c r="P814">
        <v>360944</v>
      </c>
      <c r="Q814">
        <v>2</v>
      </c>
      <c r="R814">
        <v>406</v>
      </c>
      <c r="S814">
        <v>12.180721564307353</v>
      </c>
      <c r="T814">
        <v>0.93579999999999997</v>
      </c>
      <c r="W814">
        <f t="shared" si="48"/>
        <v>359245</v>
      </c>
      <c r="X814">
        <f t="shared" si="49"/>
        <v>0.90444444119930267</v>
      </c>
      <c r="Y814">
        <f t="shared" si="50"/>
        <v>0.93579999999999997</v>
      </c>
      <c r="Z814">
        <f t="shared" si="51"/>
        <v>12.180721564307353</v>
      </c>
    </row>
    <row r="815" spans="1:26" hidden="1" x14ac:dyDescent="0.25">
      <c r="A815" t="s">
        <v>106</v>
      </c>
      <c r="B815">
        <v>9</v>
      </c>
      <c r="C815">
        <v>5</v>
      </c>
      <c r="D815">
        <v>0</v>
      </c>
      <c r="E815" t="s">
        <v>272</v>
      </c>
      <c r="F815">
        <v>360099</v>
      </c>
      <c r="G815">
        <v>565902970.42857146</v>
      </c>
      <c r="H815">
        <v>0.74000000102179386</v>
      </c>
      <c r="I815">
        <v>0.96952380952380957</v>
      </c>
      <c r="J815">
        <v>41432284.285714284</v>
      </c>
      <c r="K815">
        <v>359245</v>
      </c>
      <c r="L815">
        <v>2</v>
      </c>
      <c r="M815">
        <v>405</v>
      </c>
      <c r="N815">
        <v>0.97555555555555551</v>
      </c>
      <c r="O815">
        <v>40810190.285714284</v>
      </c>
      <c r="P815">
        <v>360944</v>
      </c>
      <c r="Q815">
        <v>2</v>
      </c>
      <c r="R815">
        <v>406</v>
      </c>
      <c r="S815">
        <v>12.177409752665476</v>
      </c>
      <c r="T815">
        <v>0.80433333333333334</v>
      </c>
      <c r="W815">
        <f t="shared" si="48"/>
        <v>359245</v>
      </c>
      <c r="X815">
        <f t="shared" si="49"/>
        <v>0.74000000102179386</v>
      </c>
      <c r="Y815">
        <f t="shared" si="50"/>
        <v>0.80433333333333334</v>
      </c>
      <c r="Z815">
        <f t="shared" si="51"/>
        <v>12.177409752665476</v>
      </c>
    </row>
    <row r="816" spans="1:26" hidden="1" x14ac:dyDescent="0.25">
      <c r="A816" t="s">
        <v>106</v>
      </c>
      <c r="B816">
        <v>9</v>
      </c>
      <c r="C816">
        <v>5</v>
      </c>
      <c r="D816">
        <v>0</v>
      </c>
      <c r="E816" t="s">
        <v>260</v>
      </c>
      <c r="F816">
        <v>361449</v>
      </c>
      <c r="G816">
        <v>432375604.5</v>
      </c>
      <c r="H816">
        <v>0.37722221575677395</v>
      </c>
      <c r="I816">
        <v>0.96166666666666667</v>
      </c>
      <c r="J816">
        <v>40724407.5</v>
      </c>
      <c r="K816">
        <v>360944</v>
      </c>
      <c r="L816">
        <v>2</v>
      </c>
      <c r="M816">
        <v>406</v>
      </c>
      <c r="N816">
        <v>0.96888888888888891</v>
      </c>
      <c r="O816">
        <v>41200987.75</v>
      </c>
      <c r="P816">
        <v>362647</v>
      </c>
      <c r="Q816">
        <v>2</v>
      </c>
      <c r="R816">
        <v>407</v>
      </c>
      <c r="S816">
        <v>12.176613819598506</v>
      </c>
      <c r="T816">
        <v>0.74570000000000003</v>
      </c>
      <c r="W816">
        <f t="shared" si="48"/>
        <v>360944</v>
      </c>
      <c r="X816">
        <f t="shared" si="49"/>
        <v>0.37722221575677395</v>
      </c>
      <c r="Y816">
        <f t="shared" si="50"/>
        <v>0.74570000000000003</v>
      </c>
      <c r="Z816">
        <f t="shared" si="51"/>
        <v>12.176613819598506</v>
      </c>
    </row>
    <row r="817" spans="1:26" hidden="1" x14ac:dyDescent="0.25">
      <c r="A817" t="s">
        <v>106</v>
      </c>
      <c r="B817">
        <v>5</v>
      </c>
      <c r="C817">
        <v>5</v>
      </c>
      <c r="D817">
        <v>0</v>
      </c>
      <c r="E817" t="s">
        <v>287</v>
      </c>
      <c r="F817">
        <v>364675</v>
      </c>
      <c r="G817">
        <v>868361452.16666663</v>
      </c>
      <c r="H817">
        <v>0.90851852794488275</v>
      </c>
      <c r="I817">
        <v>0.96259259259259256</v>
      </c>
      <c r="J817">
        <v>37685841.916666664</v>
      </c>
      <c r="K817">
        <v>364354</v>
      </c>
      <c r="L817">
        <v>2</v>
      </c>
      <c r="M817">
        <v>408</v>
      </c>
      <c r="N817">
        <v>0.96388888888888891</v>
      </c>
      <c r="O817">
        <v>38005306.666666664</v>
      </c>
      <c r="P817">
        <v>366065</v>
      </c>
      <c r="Q817">
        <v>2</v>
      </c>
      <c r="R817">
        <v>409</v>
      </c>
      <c r="S817">
        <v>11.718145137711245</v>
      </c>
      <c r="T817">
        <v>0.92154847979112109</v>
      </c>
      <c r="W817">
        <f t="shared" si="48"/>
        <v>364354</v>
      </c>
      <c r="X817">
        <f t="shared" si="49"/>
        <v>0.90851852794488275</v>
      </c>
      <c r="Y817">
        <f t="shared" si="50"/>
        <v>0.92154847979112109</v>
      </c>
      <c r="Z817">
        <f t="shared" si="51"/>
        <v>11.718145137711245</v>
      </c>
    </row>
    <row r="818" spans="1:26" hidden="1" x14ac:dyDescent="0.25">
      <c r="A818" t="s">
        <v>106</v>
      </c>
      <c r="B818">
        <v>9</v>
      </c>
      <c r="C818">
        <v>5</v>
      </c>
      <c r="D818">
        <v>0</v>
      </c>
      <c r="E818" t="s">
        <v>226</v>
      </c>
      <c r="F818">
        <v>367994</v>
      </c>
      <c r="G818">
        <v>613061327.28571427</v>
      </c>
      <c r="H818">
        <v>0.51777777820825577</v>
      </c>
      <c r="I818">
        <v>0.95047619047619047</v>
      </c>
      <c r="J818">
        <v>43236941.714285716</v>
      </c>
      <c r="K818">
        <v>367780</v>
      </c>
      <c r="L818">
        <v>2</v>
      </c>
      <c r="M818">
        <v>410</v>
      </c>
      <c r="N818">
        <v>0.9514285714285714</v>
      </c>
      <c r="O818">
        <v>43496931.285714284</v>
      </c>
      <c r="P818">
        <v>369499</v>
      </c>
      <c r="Q818">
        <v>2</v>
      </c>
      <c r="R818">
        <v>411</v>
      </c>
      <c r="S818">
        <v>12.175897879705754</v>
      </c>
      <c r="T818">
        <v>0.79693333333333338</v>
      </c>
      <c r="W818">
        <f t="shared" si="48"/>
        <v>367780</v>
      </c>
      <c r="X818">
        <f t="shared" si="49"/>
        <v>0.51777777820825577</v>
      </c>
      <c r="Y818">
        <f t="shared" si="50"/>
        <v>0.79693333333333338</v>
      </c>
      <c r="Z818">
        <f t="shared" si="51"/>
        <v>12.175897879705754</v>
      </c>
    </row>
    <row r="819" spans="1:26" hidden="1" x14ac:dyDescent="0.25">
      <c r="A819" t="s">
        <v>106</v>
      </c>
      <c r="B819">
        <v>9</v>
      </c>
      <c r="C819">
        <v>4</v>
      </c>
      <c r="D819">
        <v>0</v>
      </c>
      <c r="E819" t="s">
        <v>280</v>
      </c>
      <c r="F819">
        <v>370209</v>
      </c>
      <c r="G819">
        <v>826996063.39999998</v>
      </c>
      <c r="H819">
        <v>0.9093333423137665</v>
      </c>
      <c r="I819">
        <v>0.96177777777777773</v>
      </c>
      <c r="J819">
        <v>44272617.700000003</v>
      </c>
      <c r="K819">
        <v>369499</v>
      </c>
      <c r="L819">
        <v>2</v>
      </c>
      <c r="M819">
        <v>411</v>
      </c>
      <c r="N819">
        <v>0.95844444444444443</v>
      </c>
      <c r="O819">
        <v>43775704.100000001</v>
      </c>
      <c r="P819">
        <v>371222</v>
      </c>
      <c r="Q819">
        <v>2</v>
      </c>
      <c r="R819">
        <v>412</v>
      </c>
      <c r="S819">
        <v>12.182383704927057</v>
      </c>
      <c r="T819">
        <v>0.93537777777777775</v>
      </c>
      <c r="W819">
        <f t="shared" si="48"/>
        <v>369499</v>
      </c>
      <c r="X819">
        <f t="shared" si="49"/>
        <v>0.9093333423137665</v>
      </c>
      <c r="Y819">
        <f t="shared" si="50"/>
        <v>0.93537777777777775</v>
      </c>
      <c r="Z819">
        <f t="shared" si="51"/>
        <v>12.182383704927057</v>
      </c>
    </row>
    <row r="820" spans="1:26" hidden="1" x14ac:dyDescent="0.25">
      <c r="A820" t="s">
        <v>106</v>
      </c>
      <c r="B820">
        <v>9</v>
      </c>
      <c r="C820">
        <v>5</v>
      </c>
      <c r="D820">
        <v>0</v>
      </c>
      <c r="E820" t="s">
        <v>278</v>
      </c>
      <c r="F820">
        <v>369789</v>
      </c>
      <c r="G820">
        <v>708351448.85714281</v>
      </c>
      <c r="H820">
        <v>0.64222221715109684</v>
      </c>
      <c r="I820">
        <v>0.95587301587301587</v>
      </c>
      <c r="J820">
        <v>42012615.142857142</v>
      </c>
      <c r="K820">
        <v>369499</v>
      </c>
      <c r="L820">
        <v>2</v>
      </c>
      <c r="M820">
        <v>411</v>
      </c>
      <c r="N820">
        <v>0.95841269841269838</v>
      </c>
      <c r="O820">
        <v>41217995.714285716</v>
      </c>
      <c r="P820">
        <v>371222</v>
      </c>
      <c r="Q820">
        <v>2</v>
      </c>
      <c r="R820">
        <v>412</v>
      </c>
      <c r="S820">
        <v>12.176047580427143</v>
      </c>
      <c r="T820">
        <v>0.78764999999999996</v>
      </c>
      <c r="W820">
        <f t="shared" si="48"/>
        <v>369499</v>
      </c>
      <c r="X820">
        <f t="shared" si="49"/>
        <v>0.64222221715109684</v>
      </c>
      <c r="Y820">
        <f t="shared" si="50"/>
        <v>0.78764999999999996</v>
      </c>
      <c r="Z820">
        <f t="shared" si="51"/>
        <v>12.176047580427143</v>
      </c>
    </row>
    <row r="821" spans="1:26" hidden="1" x14ac:dyDescent="0.25">
      <c r="A821" t="s">
        <v>106</v>
      </c>
      <c r="B821">
        <v>9</v>
      </c>
      <c r="C821">
        <v>5</v>
      </c>
      <c r="D821">
        <v>0</v>
      </c>
      <c r="E821" t="s">
        <v>144</v>
      </c>
      <c r="F821">
        <v>371814</v>
      </c>
      <c r="G821">
        <v>633520594.20000005</v>
      </c>
      <c r="H821">
        <v>0.60622222945094106</v>
      </c>
      <c r="I821">
        <v>0.97066666666666668</v>
      </c>
      <c r="J821">
        <v>41285086.5</v>
      </c>
      <c r="K821">
        <v>371222</v>
      </c>
      <c r="L821">
        <v>2</v>
      </c>
      <c r="M821">
        <v>412</v>
      </c>
      <c r="N821">
        <v>0.97088888888888891</v>
      </c>
      <c r="O821">
        <v>40990929.700000003</v>
      </c>
      <c r="P821">
        <v>372949</v>
      </c>
      <c r="Q821">
        <v>2</v>
      </c>
      <c r="R821">
        <v>413</v>
      </c>
      <c r="S821">
        <v>12.175898405836261</v>
      </c>
      <c r="T821">
        <v>0.8053555555555556</v>
      </c>
      <c r="W821">
        <f t="shared" si="48"/>
        <v>371222</v>
      </c>
      <c r="X821">
        <f t="shared" si="49"/>
        <v>0.60622222945094106</v>
      </c>
      <c r="Y821">
        <f t="shared" si="50"/>
        <v>0.8053555555555556</v>
      </c>
      <c r="Z821">
        <f t="shared" si="51"/>
        <v>12.175898405836261</v>
      </c>
    </row>
    <row r="822" spans="1:26" hidden="1" x14ac:dyDescent="0.25">
      <c r="A822" t="s">
        <v>106</v>
      </c>
      <c r="B822">
        <v>9</v>
      </c>
      <c r="C822">
        <v>4</v>
      </c>
      <c r="D822">
        <v>0</v>
      </c>
      <c r="E822" t="s">
        <v>287</v>
      </c>
      <c r="F822">
        <v>379861</v>
      </c>
      <c r="G822">
        <v>904154885.85714281</v>
      </c>
      <c r="H822">
        <v>0.91079366207122803</v>
      </c>
      <c r="I822">
        <v>0.95936507936507931</v>
      </c>
      <c r="J822">
        <v>46618684.428571425</v>
      </c>
      <c r="K822">
        <v>378154</v>
      </c>
      <c r="L822">
        <v>2</v>
      </c>
      <c r="M822">
        <v>416</v>
      </c>
      <c r="N822">
        <v>0.96095238095238089</v>
      </c>
      <c r="O822">
        <v>46867702.857142858</v>
      </c>
      <c r="P822">
        <v>379897</v>
      </c>
      <c r="Q822">
        <v>2</v>
      </c>
      <c r="R822">
        <v>417</v>
      </c>
      <c r="S822">
        <v>12.183414043583536</v>
      </c>
      <c r="T822">
        <v>0.9098666666666666</v>
      </c>
      <c r="W822">
        <f t="shared" si="48"/>
        <v>378154</v>
      </c>
      <c r="X822">
        <f t="shared" si="49"/>
        <v>0.91079366207122803</v>
      </c>
      <c r="Y822">
        <f t="shared" si="50"/>
        <v>0.9098666666666666</v>
      </c>
      <c r="Z822">
        <f t="shared" si="51"/>
        <v>12.183414043583536</v>
      </c>
    </row>
    <row r="823" spans="1:26" hidden="1" x14ac:dyDescent="0.25">
      <c r="A823" t="s">
        <v>106</v>
      </c>
      <c r="B823">
        <v>9</v>
      </c>
      <c r="C823">
        <v>5</v>
      </c>
      <c r="D823">
        <v>0</v>
      </c>
      <c r="E823" t="s">
        <v>285</v>
      </c>
      <c r="F823">
        <v>379479</v>
      </c>
      <c r="G823">
        <v>905820644.71428573</v>
      </c>
      <c r="H823">
        <v>0.700634913785117</v>
      </c>
      <c r="I823">
        <v>0.95714285714285718</v>
      </c>
      <c r="J823">
        <v>43201138.428571425</v>
      </c>
      <c r="K823">
        <v>378154</v>
      </c>
      <c r="L823">
        <v>2</v>
      </c>
      <c r="M823">
        <v>416</v>
      </c>
      <c r="N823">
        <v>0.95555555555555549</v>
      </c>
      <c r="O823">
        <v>42849302.857142858</v>
      </c>
      <c r="P823">
        <v>379897</v>
      </c>
      <c r="Q823">
        <v>2</v>
      </c>
      <c r="R823">
        <v>417</v>
      </c>
      <c r="S823">
        <v>12.177020311149525</v>
      </c>
      <c r="T823">
        <v>0.81728333333333336</v>
      </c>
      <c r="W823">
        <f t="shared" si="48"/>
        <v>378154</v>
      </c>
      <c r="X823">
        <f t="shared" si="49"/>
        <v>0.700634913785117</v>
      </c>
      <c r="Y823">
        <f t="shared" si="50"/>
        <v>0.81728333333333336</v>
      </c>
      <c r="Z823">
        <f t="shared" si="51"/>
        <v>12.177020311149525</v>
      </c>
    </row>
    <row r="824" spans="1:26" hidden="1" x14ac:dyDescent="0.25">
      <c r="A824" t="s">
        <v>106</v>
      </c>
      <c r="B824">
        <v>9</v>
      </c>
      <c r="C824">
        <v>5</v>
      </c>
      <c r="D824">
        <v>0</v>
      </c>
      <c r="E824" t="s">
        <v>212</v>
      </c>
      <c r="F824">
        <v>380994</v>
      </c>
      <c r="G824">
        <v>571902493.57142854</v>
      </c>
      <c r="H824">
        <v>0.63873016408511574</v>
      </c>
      <c r="I824">
        <v>0.96063492063492062</v>
      </c>
      <c r="J824">
        <v>42476312.857142858</v>
      </c>
      <c r="K824">
        <v>379897</v>
      </c>
      <c r="L824">
        <v>2</v>
      </c>
      <c r="M824">
        <v>417</v>
      </c>
      <c r="N824">
        <v>0.96285714285714286</v>
      </c>
      <c r="O824">
        <v>42300426.857142858</v>
      </c>
      <c r="P824">
        <v>381644</v>
      </c>
      <c r="Q824">
        <v>2</v>
      </c>
      <c r="R824">
        <v>418</v>
      </c>
      <c r="S824">
        <v>12.176089421675037</v>
      </c>
      <c r="T824">
        <v>0.77036666666666664</v>
      </c>
      <c r="W824">
        <f t="shared" si="48"/>
        <v>379897</v>
      </c>
      <c r="X824">
        <f t="shared" si="49"/>
        <v>0.63873016408511574</v>
      </c>
      <c r="Y824">
        <f t="shared" si="50"/>
        <v>0.77036666666666664</v>
      </c>
      <c r="Z824">
        <f t="shared" si="51"/>
        <v>12.176089421675037</v>
      </c>
    </row>
    <row r="825" spans="1:26" hidden="1" x14ac:dyDescent="0.25">
      <c r="A825" t="s">
        <v>106</v>
      </c>
      <c r="B825">
        <v>9</v>
      </c>
      <c r="C825">
        <v>5</v>
      </c>
      <c r="D825">
        <v>0</v>
      </c>
      <c r="E825" t="s">
        <v>261</v>
      </c>
      <c r="F825">
        <v>382179</v>
      </c>
      <c r="G825">
        <v>647770028.71428573</v>
      </c>
      <c r="H825">
        <v>0.44412698277405332</v>
      </c>
      <c r="I825">
        <v>0.96920634920634918</v>
      </c>
      <c r="J825">
        <v>42694807.142857142</v>
      </c>
      <c r="K825">
        <v>381644</v>
      </c>
      <c r="L825">
        <v>2</v>
      </c>
      <c r="M825">
        <v>418</v>
      </c>
      <c r="N825">
        <v>0.96888888888888891</v>
      </c>
      <c r="O825">
        <v>41301935.428571425</v>
      </c>
      <c r="P825">
        <v>383395</v>
      </c>
      <c r="Q825">
        <v>2</v>
      </c>
      <c r="R825">
        <v>419</v>
      </c>
      <c r="S825">
        <v>12.175860952175322</v>
      </c>
      <c r="T825">
        <v>0.8450833333333333</v>
      </c>
      <c r="W825">
        <f t="shared" si="48"/>
        <v>381644</v>
      </c>
      <c r="X825">
        <f t="shared" si="49"/>
        <v>0.44412698277405332</v>
      </c>
      <c r="Y825">
        <f t="shared" si="50"/>
        <v>0.8450833333333333</v>
      </c>
      <c r="Z825">
        <f t="shared" si="51"/>
        <v>12.175860952175322</v>
      </c>
    </row>
    <row r="826" spans="1:26" hidden="1" x14ac:dyDescent="0.25">
      <c r="A826" t="s">
        <v>106</v>
      </c>
      <c r="B826">
        <v>9</v>
      </c>
      <c r="C826">
        <v>5</v>
      </c>
      <c r="D826">
        <v>0</v>
      </c>
      <c r="E826" t="s">
        <v>279</v>
      </c>
      <c r="F826">
        <v>392199</v>
      </c>
      <c r="G826">
        <v>523140365</v>
      </c>
      <c r="H826">
        <v>0.50288889110088353</v>
      </c>
      <c r="I826">
        <v>0.96244444444444444</v>
      </c>
      <c r="J826">
        <v>42789450.399999999</v>
      </c>
      <c r="K826">
        <v>390439</v>
      </c>
      <c r="L826">
        <v>2</v>
      </c>
      <c r="M826">
        <v>423</v>
      </c>
      <c r="N826">
        <v>0.96177777777777773</v>
      </c>
      <c r="O826">
        <v>42612236.5</v>
      </c>
      <c r="P826">
        <v>392210</v>
      </c>
      <c r="Q826">
        <v>2</v>
      </c>
      <c r="R826">
        <v>424</v>
      </c>
      <c r="S826">
        <v>12.173985757444973</v>
      </c>
      <c r="T826">
        <v>0.76790000000000003</v>
      </c>
      <c r="W826">
        <f t="shared" si="48"/>
        <v>390439</v>
      </c>
      <c r="X826">
        <f t="shared" si="49"/>
        <v>0.50288889110088353</v>
      </c>
      <c r="Y826">
        <f t="shared" si="50"/>
        <v>0.76790000000000003</v>
      </c>
      <c r="Z826">
        <f t="shared" si="51"/>
        <v>12.173985757444973</v>
      </c>
    </row>
    <row r="827" spans="1:26" hidden="1" x14ac:dyDescent="0.25">
      <c r="A827" t="s">
        <v>106</v>
      </c>
      <c r="B827">
        <v>9</v>
      </c>
      <c r="C827">
        <v>5</v>
      </c>
      <c r="D827">
        <v>0</v>
      </c>
      <c r="E827" t="s">
        <v>198</v>
      </c>
      <c r="F827">
        <v>392874</v>
      </c>
      <c r="G827">
        <v>606835328.92307687</v>
      </c>
      <c r="H827">
        <v>0.63897435710980344</v>
      </c>
      <c r="I827">
        <v>0.96239316239316242</v>
      </c>
      <c r="J827">
        <v>42747060.153846152</v>
      </c>
      <c r="K827">
        <v>392210</v>
      </c>
      <c r="L827">
        <v>2</v>
      </c>
      <c r="M827">
        <v>424</v>
      </c>
      <c r="N827">
        <v>0.95846153846153848</v>
      </c>
      <c r="O827">
        <v>42618699</v>
      </c>
      <c r="P827">
        <v>393985</v>
      </c>
      <c r="Q827">
        <v>2</v>
      </c>
      <c r="R827">
        <v>425</v>
      </c>
      <c r="S827">
        <v>12.172731683648713</v>
      </c>
      <c r="T827">
        <v>0.80370833333333336</v>
      </c>
      <c r="W827">
        <f t="shared" si="48"/>
        <v>392210</v>
      </c>
      <c r="X827">
        <f t="shared" si="49"/>
        <v>0.63897435710980344</v>
      </c>
      <c r="Y827">
        <f t="shared" si="50"/>
        <v>0.80370833333333336</v>
      </c>
      <c r="Z827">
        <f t="shared" si="51"/>
        <v>12.172731683648713</v>
      </c>
    </row>
    <row r="828" spans="1:26" hidden="1" x14ac:dyDescent="0.25">
      <c r="A828" t="s">
        <v>106</v>
      </c>
      <c r="B828">
        <v>9</v>
      </c>
      <c r="C828">
        <v>5</v>
      </c>
      <c r="D828">
        <v>0</v>
      </c>
      <c r="E828" t="s">
        <v>286</v>
      </c>
      <c r="F828">
        <v>402449</v>
      </c>
      <c r="G828">
        <v>623334268.125</v>
      </c>
      <c r="H828">
        <v>0.72777777537703514</v>
      </c>
      <c r="I828">
        <v>0.96694444444444438</v>
      </c>
      <c r="J828">
        <v>43640705.75</v>
      </c>
      <c r="K828">
        <v>401125</v>
      </c>
      <c r="L828">
        <v>2</v>
      </c>
      <c r="M828">
        <v>429</v>
      </c>
      <c r="N828">
        <v>0.96583333333333332</v>
      </c>
      <c r="O828">
        <v>43399106.75</v>
      </c>
      <c r="P828">
        <v>402920</v>
      </c>
      <c r="Q828">
        <v>2</v>
      </c>
      <c r="R828">
        <v>430</v>
      </c>
      <c r="S828">
        <v>12.171848897989976</v>
      </c>
      <c r="T828">
        <v>0.78782857142857143</v>
      </c>
      <c r="W828">
        <f t="shared" si="48"/>
        <v>401125</v>
      </c>
      <c r="X828">
        <f t="shared" si="49"/>
        <v>0.72777777537703514</v>
      </c>
      <c r="Y828">
        <f t="shared" si="50"/>
        <v>0.78782857142857143</v>
      </c>
      <c r="Z828">
        <f t="shared" si="51"/>
        <v>12.171848897989976</v>
      </c>
    </row>
    <row r="829" spans="1:26" hidden="1" x14ac:dyDescent="0.25">
      <c r="A829" t="s">
        <v>106</v>
      </c>
      <c r="B829">
        <v>9</v>
      </c>
      <c r="C829">
        <v>5</v>
      </c>
      <c r="D829">
        <v>0</v>
      </c>
      <c r="E829" t="s">
        <v>273</v>
      </c>
      <c r="F829">
        <v>403799</v>
      </c>
      <c r="G829">
        <v>624111004.14285719</v>
      </c>
      <c r="H829">
        <v>0.64317459293774193</v>
      </c>
      <c r="I829">
        <v>0.95968253968253969</v>
      </c>
      <c r="J829">
        <v>44767398.142857142</v>
      </c>
      <c r="K829">
        <v>402920</v>
      </c>
      <c r="L829">
        <v>2</v>
      </c>
      <c r="M829">
        <v>430</v>
      </c>
      <c r="N829">
        <v>0.96317460317460313</v>
      </c>
      <c r="O829">
        <v>43790104</v>
      </c>
      <c r="P829">
        <v>404719</v>
      </c>
      <c r="Q829">
        <v>2</v>
      </c>
      <c r="R829">
        <v>431</v>
      </c>
      <c r="S829">
        <v>12.170976082740788</v>
      </c>
      <c r="T829">
        <v>0.84381666666666666</v>
      </c>
      <c r="W829">
        <f t="shared" si="48"/>
        <v>402920</v>
      </c>
      <c r="X829">
        <f t="shared" si="49"/>
        <v>0.64317459293774193</v>
      </c>
      <c r="Y829">
        <f t="shared" si="50"/>
        <v>0.84381666666666666</v>
      </c>
      <c r="Z829">
        <f t="shared" si="51"/>
        <v>12.170976082740788</v>
      </c>
    </row>
    <row r="830" spans="1:26" hidden="1" x14ac:dyDescent="0.25">
      <c r="A830" t="s">
        <v>106</v>
      </c>
      <c r="B830">
        <v>9</v>
      </c>
      <c r="C830">
        <v>5</v>
      </c>
      <c r="D830">
        <v>0</v>
      </c>
      <c r="E830" t="s">
        <v>280</v>
      </c>
      <c r="F830">
        <v>414609</v>
      </c>
      <c r="G830">
        <v>607292693.69230771</v>
      </c>
      <c r="H830">
        <v>0.49709402139370257</v>
      </c>
      <c r="I830">
        <v>0.97008547008547008</v>
      </c>
      <c r="J830">
        <v>43437641.153846152</v>
      </c>
      <c r="K830">
        <v>413774</v>
      </c>
      <c r="L830">
        <v>2</v>
      </c>
      <c r="M830">
        <v>436</v>
      </c>
      <c r="N830">
        <v>0.971965811965812</v>
      </c>
      <c r="O830">
        <v>43404462.230769232</v>
      </c>
      <c r="P830">
        <v>415597</v>
      </c>
      <c r="Q830">
        <v>2</v>
      </c>
      <c r="R830">
        <v>437</v>
      </c>
      <c r="S830">
        <v>12.16972600527534</v>
      </c>
      <c r="T830">
        <v>0.73982499999999995</v>
      </c>
      <c r="W830">
        <f t="shared" si="48"/>
        <v>413774</v>
      </c>
      <c r="X830">
        <f t="shared" si="49"/>
        <v>0.49709402139370257</v>
      </c>
      <c r="Y830">
        <f t="shared" si="50"/>
        <v>0.73982499999999995</v>
      </c>
      <c r="Z830">
        <f t="shared" si="51"/>
        <v>12.16972600527534</v>
      </c>
    </row>
    <row r="831" spans="1:26" hidden="1" x14ac:dyDescent="0.25">
      <c r="A831" t="s">
        <v>106</v>
      </c>
      <c r="B831">
        <v>9</v>
      </c>
      <c r="C831">
        <v>5</v>
      </c>
      <c r="D831">
        <v>0</v>
      </c>
      <c r="E831" t="s">
        <v>287</v>
      </c>
      <c r="F831">
        <v>425419</v>
      </c>
      <c r="G831">
        <v>863376790.76923072</v>
      </c>
      <c r="H831">
        <v>0.54803419686280763</v>
      </c>
      <c r="I831">
        <v>0.96290598290598295</v>
      </c>
      <c r="J831">
        <v>43582706.384615384</v>
      </c>
      <c r="K831">
        <v>424772</v>
      </c>
      <c r="L831">
        <v>2</v>
      </c>
      <c r="M831">
        <v>442</v>
      </c>
      <c r="N831">
        <v>0.96290598290598295</v>
      </c>
      <c r="O831">
        <v>44620542</v>
      </c>
      <c r="P831">
        <v>426619</v>
      </c>
      <c r="Q831">
        <v>2</v>
      </c>
      <c r="R831">
        <v>443</v>
      </c>
      <c r="S831">
        <v>12.170360408821947</v>
      </c>
      <c r="T831">
        <v>0.79353333333333331</v>
      </c>
      <c r="W831">
        <f t="shared" si="48"/>
        <v>424772</v>
      </c>
      <c r="X831">
        <f t="shared" si="49"/>
        <v>0.54803419686280763</v>
      </c>
      <c r="Y831">
        <f t="shared" si="50"/>
        <v>0.79353333333333331</v>
      </c>
      <c r="Z831">
        <f t="shared" si="51"/>
        <v>12.170360408821947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9375B-E9D3-49CE-B9CB-6E4B464B8876}">
  <dimension ref="A1:T2165"/>
  <sheetViews>
    <sheetView workbookViewId="0"/>
  </sheetViews>
  <sheetFormatPr defaultRowHeight="15" x14ac:dyDescent="0.25"/>
  <cols>
    <col min="1" max="1" width="16" bestFit="1" customWidth="1"/>
    <col min="2" max="2" width="28.7109375" bestFit="1" customWidth="1"/>
    <col min="3" max="3" width="13.5703125" bestFit="1" customWidth="1"/>
    <col min="4" max="4" width="10.5703125" bestFit="1" customWidth="1"/>
    <col min="5" max="5" width="14.28515625" bestFit="1" customWidth="1"/>
    <col min="6" max="6" width="13.85546875" bestFit="1" customWidth="1"/>
    <col min="7" max="7" width="22" bestFit="1" customWidth="1"/>
    <col min="8" max="8" width="14.7109375" bestFit="1" customWidth="1"/>
    <col min="9" max="9" width="15" bestFit="1" customWidth="1"/>
    <col min="10" max="10" width="22.28515625" bestFit="1" customWidth="1"/>
    <col min="11" max="11" width="14.140625" bestFit="1" customWidth="1"/>
    <col min="12" max="12" width="16.28515625" bestFit="1" customWidth="1"/>
    <col min="13" max="13" width="19" bestFit="1" customWidth="1"/>
    <col min="14" max="14" width="16.140625" bestFit="1" customWidth="1"/>
    <col min="15" max="15" width="23.28515625" bestFit="1" customWidth="1"/>
    <col min="16" max="16" width="15.140625" bestFit="1" customWidth="1"/>
    <col min="17" max="17" width="12.85546875" bestFit="1" customWidth="1"/>
    <col min="18" max="18" width="15.7109375" bestFit="1" customWidth="1"/>
    <col min="19" max="19" width="12" bestFit="1" customWidth="1"/>
    <col min="20" max="20" width="15.7109375" bestFit="1" customWidth="1"/>
    <col min="23" max="23" width="14.28515625" bestFit="1" customWidth="1"/>
    <col min="24" max="24" width="11.85546875" bestFit="1" customWidth="1"/>
    <col min="25" max="25" width="11.28515625" bestFit="1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361</v>
      </c>
      <c r="T1" t="s">
        <v>362</v>
      </c>
    </row>
    <row r="2" spans="1:20" x14ac:dyDescent="0.25">
      <c r="A2" t="s">
        <v>18</v>
      </c>
      <c r="B2">
        <v>3</v>
      </c>
      <c r="C2">
        <v>2</v>
      </c>
      <c r="D2">
        <v>0</v>
      </c>
      <c r="E2" t="s">
        <v>103</v>
      </c>
      <c r="F2">
        <v>15422</v>
      </c>
      <c r="G2">
        <v>18434303.333333332</v>
      </c>
      <c r="H2">
        <v>0.95238093818937031</v>
      </c>
      <c r="I2">
        <v>0.94239094239094245</v>
      </c>
      <c r="J2">
        <v>8530130</v>
      </c>
      <c r="K2">
        <v>24825</v>
      </c>
      <c r="L2">
        <v>2</v>
      </c>
      <c r="M2">
        <v>103</v>
      </c>
      <c r="N2">
        <v>0.94272394272394278</v>
      </c>
      <c r="O2">
        <v>9731957.8571428563</v>
      </c>
      <c r="P2">
        <v>25274</v>
      </c>
      <c r="Q2">
        <v>2</v>
      </c>
      <c r="R2">
        <v>104</v>
      </c>
      <c r="S2">
        <v>9.1428571428571423</v>
      </c>
      <c r="T2">
        <v>0.96456256650743033</v>
      </c>
    </row>
    <row r="3" spans="1:20" x14ac:dyDescent="0.25">
      <c r="A3" t="s">
        <v>18</v>
      </c>
      <c r="B3">
        <v>3</v>
      </c>
      <c r="C3">
        <v>2</v>
      </c>
      <c r="D3">
        <v>0</v>
      </c>
      <c r="E3" t="s">
        <v>104</v>
      </c>
      <c r="F3">
        <v>15936</v>
      </c>
      <c r="G3">
        <v>23571577.761904761</v>
      </c>
      <c r="H3">
        <v>0.95937395379656842</v>
      </c>
      <c r="I3">
        <v>0.94538794538794535</v>
      </c>
      <c r="J3">
        <v>8325087.6190476194</v>
      </c>
      <c r="K3">
        <v>25727</v>
      </c>
      <c r="L3">
        <v>2</v>
      </c>
      <c r="M3">
        <v>105</v>
      </c>
      <c r="N3">
        <v>0.94239094239094245</v>
      </c>
      <c r="O3">
        <v>9399878.8095238097</v>
      </c>
      <c r="P3">
        <v>26184</v>
      </c>
      <c r="Q3">
        <v>2</v>
      </c>
      <c r="R3">
        <v>106</v>
      </c>
      <c r="S3">
        <v>10.333333333333334</v>
      </c>
      <c r="T3">
        <v>0.97674417495727539</v>
      </c>
    </row>
    <row r="4" spans="1:20" x14ac:dyDescent="0.25">
      <c r="A4" t="s">
        <v>18</v>
      </c>
      <c r="B4">
        <v>3</v>
      </c>
      <c r="C4">
        <v>2</v>
      </c>
      <c r="D4">
        <v>0</v>
      </c>
      <c r="E4" t="s">
        <v>26</v>
      </c>
      <c r="F4">
        <v>16484</v>
      </c>
      <c r="G4">
        <v>25841628.161290321</v>
      </c>
      <c r="H4">
        <v>0.956237300749748</v>
      </c>
      <c r="I4">
        <v>0.94067223099481168</v>
      </c>
      <c r="J4">
        <v>8080878.9032258065</v>
      </c>
      <c r="K4">
        <v>26645</v>
      </c>
      <c r="L4">
        <v>2</v>
      </c>
      <c r="M4">
        <v>107</v>
      </c>
      <c r="N4">
        <v>0.94698849537559215</v>
      </c>
      <c r="O4">
        <v>8305415.7741935486</v>
      </c>
      <c r="P4">
        <v>27110</v>
      </c>
      <c r="Q4">
        <v>2</v>
      </c>
      <c r="R4">
        <v>108</v>
      </c>
      <c r="S4">
        <v>10.986301369863014</v>
      </c>
      <c r="T4">
        <v>0.96511627237002051</v>
      </c>
    </row>
    <row r="5" spans="1:20" x14ac:dyDescent="0.25">
      <c r="A5" t="s">
        <v>18</v>
      </c>
      <c r="B5">
        <v>3</v>
      </c>
      <c r="C5">
        <v>2</v>
      </c>
      <c r="D5">
        <v>0</v>
      </c>
      <c r="E5" t="s">
        <v>27</v>
      </c>
      <c r="F5">
        <v>16998</v>
      </c>
      <c r="G5">
        <v>29999032.857142858</v>
      </c>
      <c r="H5">
        <v>0.96470196757997784</v>
      </c>
      <c r="I5">
        <v>0.94205794205794202</v>
      </c>
      <c r="J5">
        <v>8629380.333333334</v>
      </c>
      <c r="K5">
        <v>27110</v>
      </c>
      <c r="L5">
        <v>2</v>
      </c>
      <c r="M5">
        <v>108</v>
      </c>
      <c r="N5">
        <v>0.94472194472194471</v>
      </c>
      <c r="O5">
        <v>8504143.9047619049</v>
      </c>
      <c r="P5">
        <v>27579</v>
      </c>
      <c r="Q5">
        <v>2</v>
      </c>
      <c r="R5">
        <v>109</v>
      </c>
      <c r="S5">
        <v>11.446808510638299</v>
      </c>
      <c r="T5">
        <v>0.97499999403953552</v>
      </c>
    </row>
    <row r="6" spans="1:20" x14ac:dyDescent="0.25">
      <c r="A6" t="s">
        <v>18</v>
      </c>
      <c r="B6">
        <v>3</v>
      </c>
      <c r="C6">
        <v>2</v>
      </c>
      <c r="D6">
        <v>0</v>
      </c>
      <c r="E6" t="s">
        <v>28</v>
      </c>
      <c r="F6">
        <v>17512</v>
      </c>
      <c r="G6">
        <v>28994101.612903226</v>
      </c>
      <c r="H6">
        <v>0.95623730267247842</v>
      </c>
      <c r="I6">
        <v>0.94383036318520186</v>
      </c>
      <c r="J6">
        <v>8530566.5483870972</v>
      </c>
      <c r="K6">
        <v>28052</v>
      </c>
      <c r="L6">
        <v>2</v>
      </c>
      <c r="M6">
        <v>110</v>
      </c>
      <c r="N6">
        <v>0.94360478231445977</v>
      </c>
      <c r="O6">
        <v>8016967.3225806449</v>
      </c>
      <c r="P6">
        <v>28529</v>
      </c>
      <c r="Q6">
        <v>2</v>
      </c>
      <c r="R6">
        <v>111</v>
      </c>
      <c r="S6">
        <v>11.64</v>
      </c>
      <c r="T6">
        <v>0.95852713187535599</v>
      </c>
    </row>
    <row r="7" spans="1:20" x14ac:dyDescent="0.25">
      <c r="A7" t="s">
        <v>18</v>
      </c>
      <c r="B7">
        <v>3</v>
      </c>
      <c r="C7">
        <v>2</v>
      </c>
      <c r="D7">
        <v>0</v>
      </c>
      <c r="E7" t="s">
        <v>67</v>
      </c>
      <c r="F7">
        <v>17828</v>
      </c>
      <c r="G7">
        <v>28650523.741935484</v>
      </c>
      <c r="H7">
        <v>0.95556056499481201</v>
      </c>
      <c r="I7">
        <v>0.94676291450484995</v>
      </c>
      <c r="J7">
        <v>8699430.064516129</v>
      </c>
      <c r="K7">
        <v>28529</v>
      </c>
      <c r="L7">
        <v>2</v>
      </c>
      <c r="M7">
        <v>111</v>
      </c>
      <c r="N7">
        <v>0.94292803970223327</v>
      </c>
      <c r="O7">
        <v>9141394.4838709682</v>
      </c>
      <c r="P7">
        <v>29010</v>
      </c>
      <c r="Q7">
        <v>2</v>
      </c>
      <c r="R7">
        <v>112</v>
      </c>
      <c r="S7">
        <v>11.698717948717949</v>
      </c>
      <c r="T7">
        <v>0.95348836978276574</v>
      </c>
    </row>
    <row r="8" spans="1:20" x14ac:dyDescent="0.25">
      <c r="A8" t="s">
        <v>18</v>
      </c>
      <c r="B8">
        <v>3</v>
      </c>
      <c r="C8">
        <v>2</v>
      </c>
      <c r="D8">
        <v>0</v>
      </c>
      <c r="E8" t="s">
        <v>29</v>
      </c>
      <c r="F8">
        <v>18026</v>
      </c>
      <c r="G8">
        <v>28386849.454545453</v>
      </c>
      <c r="H8">
        <v>0.95613477988676587</v>
      </c>
      <c r="I8">
        <v>0.94532739987285441</v>
      </c>
      <c r="J8">
        <v>8329987.6363636367</v>
      </c>
      <c r="K8">
        <v>29010</v>
      </c>
      <c r="L8">
        <v>2</v>
      </c>
      <c r="M8">
        <v>112</v>
      </c>
      <c r="N8">
        <v>0.94087730451366813</v>
      </c>
      <c r="O8">
        <v>8565095.7272727266</v>
      </c>
      <c r="P8">
        <v>29495</v>
      </c>
      <c r="Q8">
        <v>2</v>
      </c>
      <c r="R8">
        <v>113</v>
      </c>
      <c r="S8">
        <v>11.688622754491018</v>
      </c>
      <c r="T8">
        <v>0.95</v>
      </c>
    </row>
    <row r="9" spans="1:20" x14ac:dyDescent="0.25">
      <c r="A9" t="s">
        <v>18</v>
      </c>
      <c r="B9">
        <v>3</v>
      </c>
      <c r="C9">
        <v>2</v>
      </c>
      <c r="D9">
        <v>0</v>
      </c>
      <c r="E9" t="s">
        <v>68</v>
      </c>
      <c r="F9">
        <v>18438</v>
      </c>
      <c r="G9">
        <v>33386036.838709679</v>
      </c>
      <c r="H9">
        <v>0.95398150336357856</v>
      </c>
      <c r="I9">
        <v>0.94495826753891266</v>
      </c>
      <c r="J9">
        <v>8958920.4516129028</v>
      </c>
      <c r="K9">
        <v>29495</v>
      </c>
      <c r="L9">
        <v>2</v>
      </c>
      <c r="M9">
        <v>113</v>
      </c>
      <c r="N9">
        <v>0.94225129709000677</v>
      </c>
      <c r="O9">
        <v>8887438.5483870972</v>
      </c>
      <c r="P9">
        <v>29984</v>
      </c>
      <c r="Q9">
        <v>2</v>
      </c>
      <c r="R9">
        <v>114</v>
      </c>
      <c r="S9">
        <v>11.944444444444445</v>
      </c>
      <c r="T9">
        <v>0.96395348707834883</v>
      </c>
    </row>
    <row r="10" spans="1:20" x14ac:dyDescent="0.25">
      <c r="A10" t="s">
        <v>18</v>
      </c>
      <c r="B10">
        <v>3</v>
      </c>
      <c r="C10">
        <v>2</v>
      </c>
      <c r="D10">
        <v>0</v>
      </c>
      <c r="E10" t="s">
        <v>30</v>
      </c>
      <c r="F10">
        <v>18540</v>
      </c>
      <c r="G10">
        <v>35019610.363636367</v>
      </c>
      <c r="H10">
        <v>0.95295612378553907</v>
      </c>
      <c r="I10">
        <v>0.94405594405594406</v>
      </c>
      <c r="J10">
        <v>7838477.6363636367</v>
      </c>
      <c r="K10">
        <v>29984</v>
      </c>
      <c r="L10">
        <v>2</v>
      </c>
      <c r="M10">
        <v>114</v>
      </c>
      <c r="N10">
        <v>0.94342021614748883</v>
      </c>
      <c r="O10">
        <v>7928893.4545454541</v>
      </c>
      <c r="P10">
        <v>30477</v>
      </c>
      <c r="Q10">
        <v>2</v>
      </c>
      <c r="R10">
        <v>115</v>
      </c>
      <c r="S10">
        <v>12.052631578947368</v>
      </c>
      <c r="T10">
        <v>0.95697674751281736</v>
      </c>
    </row>
    <row r="11" spans="1:20" x14ac:dyDescent="0.25">
      <c r="A11" t="s">
        <v>18</v>
      </c>
      <c r="B11">
        <v>3</v>
      </c>
      <c r="C11">
        <v>2</v>
      </c>
      <c r="D11">
        <v>0</v>
      </c>
      <c r="E11" t="s">
        <v>31</v>
      </c>
      <c r="F11">
        <v>19054</v>
      </c>
      <c r="G11">
        <v>34273868.935483873</v>
      </c>
      <c r="H11">
        <v>0.95465823911851455</v>
      </c>
      <c r="I11">
        <v>0.94473268666817056</v>
      </c>
      <c r="J11">
        <v>8908487.064516129</v>
      </c>
      <c r="K11">
        <v>30477</v>
      </c>
      <c r="L11">
        <v>2</v>
      </c>
      <c r="M11">
        <v>115</v>
      </c>
      <c r="N11">
        <v>0.94360478231445977</v>
      </c>
      <c r="O11">
        <v>9501144.2258064523</v>
      </c>
      <c r="P11">
        <v>30974</v>
      </c>
      <c r="Q11">
        <v>2</v>
      </c>
      <c r="R11">
        <v>116</v>
      </c>
      <c r="S11">
        <v>12.208333333333334</v>
      </c>
      <c r="T11">
        <v>0.95813953081766767</v>
      </c>
    </row>
    <row r="12" spans="1:20" x14ac:dyDescent="0.25">
      <c r="A12" t="s">
        <v>18</v>
      </c>
      <c r="B12">
        <v>3</v>
      </c>
      <c r="C12">
        <v>2</v>
      </c>
      <c r="D12">
        <v>0</v>
      </c>
      <c r="E12" t="s">
        <v>45</v>
      </c>
      <c r="F12">
        <v>19180</v>
      </c>
      <c r="G12">
        <v>35709945.193548389</v>
      </c>
      <c r="H12">
        <v>0.95262801454913226</v>
      </c>
      <c r="I12">
        <v>0.94270245883149106</v>
      </c>
      <c r="J12">
        <v>8076595.4838709673</v>
      </c>
      <c r="K12">
        <v>30974</v>
      </c>
      <c r="L12">
        <v>2</v>
      </c>
      <c r="M12">
        <v>116</v>
      </c>
      <c r="N12">
        <v>0.94450710579742836</v>
      </c>
      <c r="O12">
        <v>8033432.4516129028</v>
      </c>
      <c r="P12">
        <v>31475</v>
      </c>
      <c r="Q12">
        <v>2</v>
      </c>
      <c r="R12">
        <v>117</v>
      </c>
      <c r="S12">
        <v>12.394833948339484</v>
      </c>
      <c r="T12">
        <v>0.96899224321047461</v>
      </c>
    </row>
    <row r="13" spans="1:20" x14ac:dyDescent="0.25">
      <c r="A13" t="s">
        <v>18</v>
      </c>
      <c r="B13">
        <v>3</v>
      </c>
      <c r="C13">
        <v>2</v>
      </c>
      <c r="D13">
        <v>0</v>
      </c>
      <c r="E13" t="s">
        <v>32</v>
      </c>
      <c r="F13">
        <v>19568</v>
      </c>
      <c r="G13">
        <v>39004876.761904761</v>
      </c>
      <c r="H13">
        <v>0.96103896129698985</v>
      </c>
      <c r="I13">
        <v>0.94705294705294707</v>
      </c>
      <c r="J13">
        <v>8822927.1904761903</v>
      </c>
      <c r="K13">
        <v>31475</v>
      </c>
      <c r="L13">
        <v>2</v>
      </c>
      <c r="M13">
        <v>117</v>
      </c>
      <c r="N13">
        <v>0.94338994338994342</v>
      </c>
      <c r="O13">
        <v>8833019.1428571437</v>
      </c>
      <c r="P13">
        <v>31980</v>
      </c>
      <c r="Q13">
        <v>2</v>
      </c>
      <c r="R13">
        <v>118</v>
      </c>
      <c r="S13">
        <v>12.58904109589041</v>
      </c>
      <c r="T13">
        <v>0.97325580418109892</v>
      </c>
    </row>
    <row r="14" spans="1:20" x14ac:dyDescent="0.25">
      <c r="A14" t="s">
        <v>18</v>
      </c>
      <c r="B14">
        <v>3</v>
      </c>
      <c r="C14">
        <v>2</v>
      </c>
      <c r="D14">
        <v>0</v>
      </c>
      <c r="E14" t="s">
        <v>46</v>
      </c>
      <c r="F14">
        <v>19726</v>
      </c>
      <c r="G14">
        <v>31006239.451612905</v>
      </c>
      <c r="H14">
        <v>0.95240242442777079</v>
      </c>
      <c r="I14">
        <v>0.94337920144371756</v>
      </c>
      <c r="J14">
        <v>8190322.2258064514</v>
      </c>
      <c r="K14">
        <v>31980</v>
      </c>
      <c r="L14">
        <v>2</v>
      </c>
      <c r="M14">
        <v>118</v>
      </c>
      <c r="N14">
        <v>0.94360478231445977</v>
      </c>
      <c r="O14">
        <v>9297235.3870967738</v>
      </c>
      <c r="P14">
        <v>32489</v>
      </c>
      <c r="Q14">
        <v>2</v>
      </c>
      <c r="R14">
        <v>119</v>
      </c>
      <c r="S14">
        <v>12.504643962848297</v>
      </c>
      <c r="T14">
        <v>0.96085270841916404</v>
      </c>
    </row>
    <row r="15" spans="1:20" x14ac:dyDescent="0.25">
      <c r="A15" t="s">
        <v>18</v>
      </c>
      <c r="B15">
        <v>3</v>
      </c>
      <c r="C15">
        <v>2</v>
      </c>
      <c r="D15">
        <v>0</v>
      </c>
      <c r="E15" t="s">
        <v>33</v>
      </c>
      <c r="F15">
        <v>20082</v>
      </c>
      <c r="G15">
        <v>31370409.666666668</v>
      </c>
      <c r="H15">
        <v>0.96003995622907368</v>
      </c>
      <c r="I15">
        <v>0.94105894105894106</v>
      </c>
      <c r="J15">
        <v>8287886.0476190476</v>
      </c>
      <c r="K15">
        <v>32489</v>
      </c>
      <c r="L15">
        <v>2</v>
      </c>
      <c r="M15">
        <v>119</v>
      </c>
      <c r="N15">
        <v>0.94105894105894106</v>
      </c>
      <c r="O15">
        <v>8666058.1428571437</v>
      </c>
      <c r="P15">
        <v>33002</v>
      </c>
      <c r="Q15">
        <v>2</v>
      </c>
      <c r="R15">
        <v>120</v>
      </c>
      <c r="S15">
        <v>12.459302325581396</v>
      </c>
      <c r="T15">
        <v>0.96627906858921053</v>
      </c>
    </row>
    <row r="16" spans="1:20" x14ac:dyDescent="0.25">
      <c r="A16" t="s">
        <v>18</v>
      </c>
      <c r="B16">
        <v>3</v>
      </c>
      <c r="C16">
        <v>2</v>
      </c>
      <c r="D16">
        <v>0</v>
      </c>
      <c r="E16" t="s">
        <v>34</v>
      </c>
      <c r="F16">
        <v>20596</v>
      </c>
      <c r="G16">
        <v>35391527.666666664</v>
      </c>
      <c r="H16">
        <v>0.95612230487898286</v>
      </c>
      <c r="I16">
        <v>0.94487865076100375</v>
      </c>
      <c r="J16">
        <v>8419786.6274509802</v>
      </c>
      <c r="K16">
        <v>33002</v>
      </c>
      <c r="L16">
        <v>2</v>
      </c>
      <c r="M16">
        <v>120</v>
      </c>
      <c r="N16">
        <v>0.9430961195667078</v>
      </c>
      <c r="O16">
        <v>9172996.7254901957</v>
      </c>
      <c r="P16">
        <v>33519</v>
      </c>
      <c r="Q16">
        <v>2</v>
      </c>
      <c r="R16">
        <v>121</v>
      </c>
      <c r="S16">
        <v>12.521518987341771</v>
      </c>
      <c r="T16">
        <v>0.96395348906517031</v>
      </c>
    </row>
    <row r="17" spans="1:20" x14ac:dyDescent="0.25">
      <c r="A17" t="s">
        <v>18</v>
      </c>
      <c r="B17">
        <v>3</v>
      </c>
      <c r="C17">
        <v>2</v>
      </c>
      <c r="D17">
        <v>0</v>
      </c>
      <c r="E17" t="s">
        <v>48</v>
      </c>
      <c r="F17">
        <v>20818</v>
      </c>
      <c r="G17">
        <v>30461418.09090909</v>
      </c>
      <c r="H17">
        <v>0.96122058413245459</v>
      </c>
      <c r="I17">
        <v>0.94596312778130964</v>
      </c>
      <c r="J17">
        <v>8161221.0909090908</v>
      </c>
      <c r="K17">
        <v>33519</v>
      </c>
      <c r="L17">
        <v>2</v>
      </c>
      <c r="M17">
        <v>121</v>
      </c>
      <c r="N17">
        <v>0.94469167196439929</v>
      </c>
      <c r="O17">
        <v>9830034.1818181816</v>
      </c>
      <c r="P17">
        <v>34040</v>
      </c>
      <c r="Q17">
        <v>2</v>
      </c>
      <c r="R17">
        <v>122</v>
      </c>
      <c r="S17">
        <v>12.480295566502463</v>
      </c>
      <c r="T17">
        <v>0.9686046421527863</v>
      </c>
    </row>
    <row r="18" spans="1:20" x14ac:dyDescent="0.25">
      <c r="A18" t="s">
        <v>18</v>
      </c>
      <c r="B18">
        <v>3</v>
      </c>
      <c r="C18">
        <v>2</v>
      </c>
      <c r="D18">
        <v>0</v>
      </c>
      <c r="E18" t="s">
        <v>35</v>
      </c>
      <c r="F18">
        <v>21110</v>
      </c>
      <c r="G18">
        <v>36334077.170731708</v>
      </c>
      <c r="H18">
        <v>0.95957700508396804</v>
      </c>
      <c r="I18">
        <v>0.94712604468702033</v>
      </c>
      <c r="J18">
        <v>8407650.7073170729</v>
      </c>
      <c r="K18">
        <v>34040</v>
      </c>
      <c r="L18">
        <v>2</v>
      </c>
      <c r="M18">
        <v>122</v>
      </c>
      <c r="N18">
        <v>0.94405594405594406</v>
      </c>
      <c r="O18">
        <v>8896172.4146341458</v>
      </c>
      <c r="P18">
        <v>34565</v>
      </c>
      <c r="Q18">
        <v>2</v>
      </c>
      <c r="R18">
        <v>123</v>
      </c>
      <c r="S18">
        <v>12.548098434004475</v>
      </c>
      <c r="T18">
        <v>0.96104650497436528</v>
      </c>
    </row>
    <row r="19" spans="1:20" x14ac:dyDescent="0.25">
      <c r="A19" t="s">
        <v>18</v>
      </c>
      <c r="B19">
        <v>3</v>
      </c>
      <c r="C19">
        <v>2</v>
      </c>
      <c r="D19">
        <v>0</v>
      </c>
      <c r="E19" t="s">
        <v>36</v>
      </c>
      <c r="F19">
        <v>21624</v>
      </c>
      <c r="G19">
        <v>33544473.727272727</v>
      </c>
      <c r="H19">
        <v>0.96249205415899108</v>
      </c>
      <c r="I19">
        <v>0.94405594405594406</v>
      </c>
      <c r="J19">
        <v>8669516.9090909082</v>
      </c>
      <c r="K19">
        <v>34565</v>
      </c>
      <c r="L19">
        <v>2</v>
      </c>
      <c r="M19">
        <v>123</v>
      </c>
      <c r="N19">
        <v>0.94659885568976476</v>
      </c>
      <c r="O19">
        <v>9022537.9090909082</v>
      </c>
      <c r="P19">
        <v>35094</v>
      </c>
      <c r="Q19">
        <v>2</v>
      </c>
      <c r="R19">
        <v>124</v>
      </c>
      <c r="S19">
        <v>12.532751091703057</v>
      </c>
      <c r="T19">
        <v>0.96627906560897825</v>
      </c>
    </row>
    <row r="20" spans="1:20" x14ac:dyDescent="0.25">
      <c r="A20" t="s">
        <v>18</v>
      </c>
      <c r="B20">
        <v>3</v>
      </c>
      <c r="C20">
        <v>2</v>
      </c>
      <c r="D20">
        <v>0</v>
      </c>
      <c r="E20" t="s">
        <v>50</v>
      </c>
      <c r="F20">
        <v>21910</v>
      </c>
      <c r="G20">
        <v>33623405.823529415</v>
      </c>
      <c r="H20">
        <v>0.95159741943957754</v>
      </c>
      <c r="I20">
        <v>0.94199917729329496</v>
      </c>
      <c r="J20">
        <v>8944870.3725490198</v>
      </c>
      <c r="K20">
        <v>35094</v>
      </c>
      <c r="L20">
        <v>2</v>
      </c>
      <c r="M20">
        <v>124</v>
      </c>
      <c r="N20">
        <v>0.94391882627176749</v>
      </c>
      <c r="O20">
        <v>9096081.5294117648</v>
      </c>
      <c r="P20">
        <v>35627</v>
      </c>
      <c r="Q20">
        <v>2</v>
      </c>
      <c r="R20">
        <v>125</v>
      </c>
      <c r="S20">
        <v>12.459724950884086</v>
      </c>
      <c r="T20">
        <v>0.96279069662094119</v>
      </c>
    </row>
    <row r="21" spans="1:20" x14ac:dyDescent="0.25">
      <c r="A21" t="s">
        <v>18</v>
      </c>
      <c r="B21">
        <v>3</v>
      </c>
      <c r="C21">
        <v>2</v>
      </c>
      <c r="D21">
        <v>0</v>
      </c>
      <c r="E21" t="s">
        <v>37</v>
      </c>
      <c r="F21">
        <v>22138</v>
      </c>
      <c r="G21">
        <v>29821940.636363637</v>
      </c>
      <c r="H21">
        <v>0.95104894312945276</v>
      </c>
      <c r="I21">
        <v>0.94532739987285441</v>
      </c>
      <c r="J21">
        <v>8920523.8181818184</v>
      </c>
      <c r="K21">
        <v>35627</v>
      </c>
      <c r="L21">
        <v>2</v>
      </c>
      <c r="M21">
        <v>125</v>
      </c>
      <c r="N21">
        <v>0.94405594405594406</v>
      </c>
      <c r="O21">
        <v>8462761.6363636367</v>
      </c>
      <c r="P21">
        <v>36164</v>
      </c>
      <c r="Q21">
        <v>2</v>
      </c>
      <c r="R21">
        <v>126</v>
      </c>
      <c r="S21">
        <v>12.405769230769231</v>
      </c>
      <c r="T21">
        <v>0.95348837375640871</v>
      </c>
    </row>
    <row r="22" spans="1:20" x14ac:dyDescent="0.25">
      <c r="A22" t="s">
        <v>18</v>
      </c>
      <c r="B22">
        <v>3</v>
      </c>
      <c r="C22">
        <v>2</v>
      </c>
      <c r="D22">
        <v>0</v>
      </c>
      <c r="E22" t="s">
        <v>51</v>
      </c>
      <c r="F22">
        <v>22456</v>
      </c>
      <c r="G22">
        <v>38261196</v>
      </c>
      <c r="H22">
        <v>0.95889476159723797</v>
      </c>
      <c r="I22">
        <v>0.94166808800955148</v>
      </c>
      <c r="J22">
        <v>8519711.6341463421</v>
      </c>
      <c r="K22">
        <v>36164</v>
      </c>
      <c r="L22">
        <v>2</v>
      </c>
      <c r="M22">
        <v>126</v>
      </c>
      <c r="N22">
        <v>0.93808630393996251</v>
      </c>
      <c r="O22">
        <v>9121893</v>
      </c>
      <c r="P22">
        <v>36705</v>
      </c>
      <c r="Q22">
        <v>2</v>
      </c>
      <c r="R22">
        <v>127</v>
      </c>
      <c r="S22">
        <v>12.467023172905526</v>
      </c>
      <c r="T22">
        <v>0.96715115457773204</v>
      </c>
    </row>
    <row r="23" spans="1:20" x14ac:dyDescent="0.25">
      <c r="A23" t="s">
        <v>18</v>
      </c>
      <c r="B23">
        <v>3</v>
      </c>
      <c r="C23">
        <v>2</v>
      </c>
      <c r="D23">
        <v>0</v>
      </c>
      <c r="E23" t="s">
        <v>38</v>
      </c>
      <c r="F23">
        <v>22652</v>
      </c>
      <c r="G23">
        <v>28857213.90909091</v>
      </c>
      <c r="H23">
        <v>0.95486331527883361</v>
      </c>
      <c r="I23">
        <v>0.94469167196439929</v>
      </c>
      <c r="J23">
        <v>9059318.8181818184</v>
      </c>
      <c r="K23">
        <v>36705</v>
      </c>
      <c r="L23">
        <v>2</v>
      </c>
      <c r="M23">
        <v>127</v>
      </c>
      <c r="N23">
        <v>0.94151303242212336</v>
      </c>
      <c r="O23">
        <v>10250572.727272727</v>
      </c>
      <c r="P23">
        <v>37250</v>
      </c>
      <c r="Q23">
        <v>2</v>
      </c>
      <c r="R23">
        <v>128</v>
      </c>
      <c r="S23">
        <v>12.410839160839162</v>
      </c>
      <c r="T23">
        <v>0.96162790060043335</v>
      </c>
    </row>
    <row r="24" spans="1:20" x14ac:dyDescent="0.25">
      <c r="A24" t="s">
        <v>18</v>
      </c>
      <c r="B24">
        <v>3</v>
      </c>
      <c r="C24">
        <v>2</v>
      </c>
      <c r="D24">
        <v>0</v>
      </c>
      <c r="E24" t="s">
        <v>52</v>
      </c>
      <c r="F24">
        <v>23002</v>
      </c>
      <c r="G24">
        <v>41277397.951219514</v>
      </c>
      <c r="H24">
        <v>0.95411904701372474</v>
      </c>
      <c r="I24">
        <v>0.94320313832508951</v>
      </c>
      <c r="J24">
        <v>8334262.0975609757</v>
      </c>
      <c r="K24">
        <v>37250</v>
      </c>
      <c r="L24">
        <v>2</v>
      </c>
      <c r="M24">
        <v>128</v>
      </c>
      <c r="N24">
        <v>0.94132696571720964</v>
      </c>
      <c r="O24">
        <v>9484988.024390243</v>
      </c>
      <c r="P24">
        <v>37799</v>
      </c>
      <c r="Q24">
        <v>2</v>
      </c>
      <c r="R24">
        <v>129</v>
      </c>
      <c r="S24">
        <v>12.502446982055465</v>
      </c>
      <c r="T24">
        <v>0.96191860139369967</v>
      </c>
    </row>
    <row r="25" spans="1:20" x14ac:dyDescent="0.25">
      <c r="A25" t="s">
        <v>18</v>
      </c>
      <c r="B25">
        <v>3</v>
      </c>
      <c r="C25">
        <v>2</v>
      </c>
      <c r="D25">
        <v>0</v>
      </c>
      <c r="E25" t="s">
        <v>53</v>
      </c>
      <c r="F25">
        <v>23548</v>
      </c>
      <c r="G25">
        <v>38910701.612903222</v>
      </c>
      <c r="H25">
        <v>0.95871869787093134</v>
      </c>
      <c r="I25">
        <v>0.94879314234152945</v>
      </c>
      <c r="J25">
        <v>8661392.3870967738</v>
      </c>
      <c r="K25">
        <v>37799</v>
      </c>
      <c r="L25">
        <v>2</v>
      </c>
      <c r="M25">
        <v>129</v>
      </c>
      <c r="N25">
        <v>0.94202571621926456</v>
      </c>
      <c r="O25">
        <v>9043716.7096774187</v>
      </c>
      <c r="P25">
        <v>38352</v>
      </c>
      <c r="Q25">
        <v>2</v>
      </c>
      <c r="R25">
        <v>130</v>
      </c>
      <c r="S25">
        <v>12.518633540372671</v>
      </c>
      <c r="T25">
        <v>0.97209301590919495</v>
      </c>
    </row>
    <row r="26" spans="1:20" x14ac:dyDescent="0.25">
      <c r="A26" t="s">
        <v>18</v>
      </c>
      <c r="B26">
        <v>3</v>
      </c>
      <c r="C26">
        <v>2</v>
      </c>
      <c r="D26">
        <v>0</v>
      </c>
      <c r="E26" t="s">
        <v>62</v>
      </c>
      <c r="F26">
        <v>23802</v>
      </c>
      <c r="G26">
        <v>46630973</v>
      </c>
      <c r="H26">
        <v>0.96203795501164024</v>
      </c>
      <c r="I26">
        <v>0.94372294372294374</v>
      </c>
      <c r="J26">
        <v>9061980.7619047612</v>
      </c>
      <c r="K26">
        <v>38352</v>
      </c>
      <c r="L26">
        <v>2</v>
      </c>
      <c r="M26">
        <v>130</v>
      </c>
      <c r="N26">
        <v>0.94538794538794535</v>
      </c>
      <c r="O26">
        <v>8839250.333333334</v>
      </c>
      <c r="P26">
        <v>38909</v>
      </c>
      <c r="Q26">
        <v>2</v>
      </c>
      <c r="R26">
        <v>131</v>
      </c>
      <c r="S26">
        <v>12.601503759398497</v>
      </c>
      <c r="T26">
        <v>0.97034882903099062</v>
      </c>
    </row>
    <row r="27" spans="1:20" x14ac:dyDescent="0.25">
      <c r="A27" t="s">
        <v>18</v>
      </c>
      <c r="B27">
        <v>3</v>
      </c>
      <c r="C27">
        <v>2</v>
      </c>
      <c r="D27">
        <v>0</v>
      </c>
      <c r="E27" t="s">
        <v>54</v>
      </c>
      <c r="F27">
        <v>24094</v>
      </c>
      <c r="G27">
        <v>38788388.774193548</v>
      </c>
      <c r="H27">
        <v>0.95465824680943645</v>
      </c>
      <c r="I27">
        <v>0.94676291450484995</v>
      </c>
      <c r="J27">
        <v>8522606.0322580654</v>
      </c>
      <c r="K27">
        <v>38909</v>
      </c>
      <c r="L27">
        <v>2</v>
      </c>
      <c r="M27">
        <v>131</v>
      </c>
      <c r="N27">
        <v>0.93931874577035868</v>
      </c>
      <c r="O27">
        <v>9347513.2903225813</v>
      </c>
      <c r="P27">
        <v>39470</v>
      </c>
      <c r="Q27">
        <v>2</v>
      </c>
      <c r="R27">
        <v>132</v>
      </c>
      <c r="S27">
        <v>12.596264367816092</v>
      </c>
      <c r="T27">
        <v>0.96085270444552107</v>
      </c>
    </row>
    <row r="28" spans="1:20" x14ac:dyDescent="0.25">
      <c r="A28" t="s">
        <v>18</v>
      </c>
      <c r="B28">
        <v>3</v>
      </c>
      <c r="C28">
        <v>2</v>
      </c>
      <c r="D28">
        <v>0</v>
      </c>
      <c r="E28" t="s">
        <v>63</v>
      </c>
      <c r="F28">
        <v>24380</v>
      </c>
      <c r="G28">
        <v>42438503.454545453</v>
      </c>
      <c r="H28">
        <v>0.97457088665528735</v>
      </c>
      <c r="I28">
        <v>0.93897012078830266</v>
      </c>
      <c r="J28">
        <v>7154171.7272727275</v>
      </c>
      <c r="K28">
        <v>39470</v>
      </c>
      <c r="L28">
        <v>2</v>
      </c>
      <c r="M28">
        <v>132</v>
      </c>
      <c r="N28">
        <v>0.94532739987285441</v>
      </c>
      <c r="O28">
        <v>8630502.8181818184</v>
      </c>
      <c r="P28">
        <v>40035</v>
      </c>
      <c r="Q28">
        <v>2</v>
      </c>
      <c r="R28">
        <v>133</v>
      </c>
      <c r="S28">
        <v>12.608203677510609</v>
      </c>
      <c r="T28">
        <v>0.96860466003417967</v>
      </c>
    </row>
    <row r="29" spans="1:20" x14ac:dyDescent="0.25">
      <c r="A29" t="s">
        <v>18</v>
      </c>
      <c r="B29">
        <v>3</v>
      </c>
      <c r="C29">
        <v>2</v>
      </c>
      <c r="D29">
        <v>0</v>
      </c>
      <c r="E29" t="s">
        <v>64</v>
      </c>
      <c r="F29">
        <v>24958</v>
      </c>
      <c r="G29">
        <v>40565005.516129032</v>
      </c>
      <c r="H29">
        <v>0.95668847906974053</v>
      </c>
      <c r="I29">
        <v>0.94134897360703818</v>
      </c>
      <c r="J29">
        <v>8843806.8709677421</v>
      </c>
      <c r="K29">
        <v>40035</v>
      </c>
      <c r="L29">
        <v>2</v>
      </c>
      <c r="M29">
        <v>133</v>
      </c>
      <c r="N29">
        <v>0.94518384840965486</v>
      </c>
      <c r="O29">
        <v>9464232.0322580654</v>
      </c>
      <c r="P29">
        <v>40604</v>
      </c>
      <c r="Q29">
        <v>2</v>
      </c>
      <c r="R29">
        <v>134</v>
      </c>
      <c r="S29">
        <v>12.620596205962059</v>
      </c>
      <c r="T29">
        <v>0.95736433466275528</v>
      </c>
    </row>
    <row r="30" spans="1:20" x14ac:dyDescent="0.25">
      <c r="A30" t="s">
        <v>18</v>
      </c>
      <c r="B30">
        <v>3</v>
      </c>
      <c r="C30">
        <v>2</v>
      </c>
      <c r="D30">
        <v>0</v>
      </c>
      <c r="E30" t="s">
        <v>72</v>
      </c>
      <c r="F30">
        <v>25148</v>
      </c>
      <c r="G30">
        <v>40235662.363636367</v>
      </c>
      <c r="H30">
        <v>0.96122060038826684</v>
      </c>
      <c r="I30">
        <v>0.94214876033057848</v>
      </c>
      <c r="J30">
        <v>8901985.7272727266</v>
      </c>
      <c r="K30">
        <v>40604</v>
      </c>
      <c r="L30">
        <v>2</v>
      </c>
      <c r="M30">
        <v>134</v>
      </c>
      <c r="N30">
        <v>0.93706293706293708</v>
      </c>
      <c r="O30">
        <v>9891479.3636363633</v>
      </c>
      <c r="P30">
        <v>41177</v>
      </c>
      <c r="Q30">
        <v>2</v>
      </c>
      <c r="R30">
        <v>135</v>
      </c>
      <c r="S30">
        <v>12.618157543391188</v>
      </c>
      <c r="T30">
        <v>0.98139533996582029</v>
      </c>
    </row>
    <row r="31" spans="1:20" x14ac:dyDescent="0.25">
      <c r="A31" t="s">
        <v>18</v>
      </c>
      <c r="B31">
        <v>3</v>
      </c>
      <c r="C31">
        <v>2</v>
      </c>
      <c r="D31">
        <v>0</v>
      </c>
      <c r="E31" t="s">
        <v>65</v>
      </c>
      <c r="F31">
        <v>25536</v>
      </c>
      <c r="G31">
        <v>39443233.047619045</v>
      </c>
      <c r="H31">
        <v>0.95437894832520254</v>
      </c>
      <c r="I31">
        <v>0.94272394272394278</v>
      </c>
      <c r="J31">
        <v>8291936.4761904757</v>
      </c>
      <c r="K31">
        <v>41177</v>
      </c>
      <c r="L31">
        <v>2</v>
      </c>
      <c r="M31">
        <v>135</v>
      </c>
      <c r="N31">
        <v>0.94205794205794202</v>
      </c>
      <c r="O31">
        <v>9834071.5238095243</v>
      </c>
      <c r="P31">
        <v>41754</v>
      </c>
      <c r="Q31">
        <v>2</v>
      </c>
      <c r="R31">
        <v>136</v>
      </c>
      <c r="S31">
        <v>12.603896103896103</v>
      </c>
      <c r="T31">
        <v>0.95639534294605255</v>
      </c>
    </row>
    <row r="32" spans="1:20" x14ac:dyDescent="0.25">
      <c r="A32" t="s">
        <v>18</v>
      </c>
      <c r="B32">
        <v>3</v>
      </c>
      <c r="C32">
        <v>2</v>
      </c>
      <c r="D32">
        <v>0</v>
      </c>
      <c r="E32" t="s">
        <v>73</v>
      </c>
      <c r="F32">
        <v>25758</v>
      </c>
      <c r="G32">
        <v>43205217.363636367</v>
      </c>
      <c r="H32">
        <v>0.96567069400440564</v>
      </c>
      <c r="I32">
        <v>0.94278448823903371</v>
      </c>
      <c r="J32">
        <v>8870057.6363636367</v>
      </c>
      <c r="K32">
        <v>41754</v>
      </c>
      <c r="L32">
        <v>2</v>
      </c>
      <c r="M32">
        <v>136</v>
      </c>
      <c r="N32">
        <v>0.94214876033057848</v>
      </c>
      <c r="O32">
        <v>9804289.5454545449</v>
      </c>
      <c r="P32">
        <v>42335</v>
      </c>
      <c r="Q32">
        <v>2</v>
      </c>
      <c r="R32">
        <v>137</v>
      </c>
      <c r="S32">
        <v>12.610755441741357</v>
      </c>
      <c r="T32">
        <v>0.96976743340492244</v>
      </c>
    </row>
    <row r="33" spans="1:20" x14ac:dyDescent="0.25">
      <c r="A33" t="s">
        <v>18</v>
      </c>
      <c r="B33">
        <v>3</v>
      </c>
      <c r="C33">
        <v>2</v>
      </c>
      <c r="D33">
        <v>0</v>
      </c>
      <c r="E33" t="s">
        <v>74</v>
      </c>
      <c r="F33">
        <v>26368</v>
      </c>
      <c r="G33">
        <v>41834289.428571425</v>
      </c>
      <c r="H33">
        <v>0.95737595501400174</v>
      </c>
      <c r="I33">
        <v>0.94139194139194138</v>
      </c>
      <c r="J33">
        <v>9473305.1904761903</v>
      </c>
      <c r="K33">
        <v>42335</v>
      </c>
      <c r="L33">
        <v>2</v>
      </c>
      <c r="M33">
        <v>137</v>
      </c>
      <c r="N33">
        <v>0.94039294039294041</v>
      </c>
      <c r="O33">
        <v>9140876.0952380951</v>
      </c>
      <c r="P33">
        <v>42920</v>
      </c>
      <c r="Q33">
        <v>2</v>
      </c>
      <c r="R33">
        <v>138</v>
      </c>
      <c r="S33">
        <v>12.612219451371571</v>
      </c>
      <c r="T33">
        <v>0.9604651093482971</v>
      </c>
    </row>
    <row r="34" spans="1:20" x14ac:dyDescent="0.25">
      <c r="A34" t="s">
        <v>18</v>
      </c>
      <c r="B34">
        <v>3</v>
      </c>
      <c r="C34">
        <v>2</v>
      </c>
      <c r="D34">
        <v>0</v>
      </c>
      <c r="E34" t="s">
        <v>89</v>
      </c>
      <c r="F34">
        <v>26494</v>
      </c>
      <c r="G34">
        <v>43245302.545454547</v>
      </c>
      <c r="H34">
        <v>0.95486330986022949</v>
      </c>
      <c r="I34">
        <v>0.94342021614748883</v>
      </c>
      <c r="J34">
        <v>8174900.9090909092</v>
      </c>
      <c r="K34">
        <v>42920</v>
      </c>
      <c r="L34">
        <v>2</v>
      </c>
      <c r="M34">
        <v>138</v>
      </c>
      <c r="N34">
        <v>0.94214876033057848</v>
      </c>
      <c r="O34">
        <v>9175674.9090909082</v>
      </c>
      <c r="P34">
        <v>43509</v>
      </c>
      <c r="Q34">
        <v>2</v>
      </c>
      <c r="R34">
        <v>139</v>
      </c>
      <c r="S34">
        <v>12.611316113161132</v>
      </c>
      <c r="T34">
        <v>0.95232558846473692</v>
      </c>
    </row>
    <row r="35" spans="1:20" x14ac:dyDescent="0.25">
      <c r="A35" t="s">
        <v>18</v>
      </c>
      <c r="B35">
        <v>3</v>
      </c>
      <c r="C35">
        <v>2</v>
      </c>
      <c r="D35">
        <v>0</v>
      </c>
      <c r="E35" t="s">
        <v>75</v>
      </c>
      <c r="F35">
        <v>26978</v>
      </c>
      <c r="G35">
        <v>35574605.545454547</v>
      </c>
      <c r="H35">
        <v>0.94469167969443579</v>
      </c>
      <c r="I35">
        <v>0.94087730451366813</v>
      </c>
      <c r="J35">
        <v>9150576.4545454551</v>
      </c>
      <c r="K35">
        <v>43509</v>
      </c>
      <c r="L35">
        <v>2</v>
      </c>
      <c r="M35">
        <v>139</v>
      </c>
      <c r="N35">
        <v>0.94659885568976476</v>
      </c>
      <c r="O35">
        <v>8813222.1818181816</v>
      </c>
      <c r="P35">
        <v>44102</v>
      </c>
      <c r="Q35">
        <v>2</v>
      </c>
      <c r="R35">
        <v>140</v>
      </c>
      <c r="S35">
        <v>12.580097087378642</v>
      </c>
      <c r="T35">
        <v>0.9546511590480804</v>
      </c>
    </row>
    <row r="36" spans="1:20" x14ac:dyDescent="0.25">
      <c r="A36" t="s">
        <v>18</v>
      </c>
      <c r="B36">
        <v>3</v>
      </c>
      <c r="C36">
        <v>2</v>
      </c>
      <c r="D36">
        <v>0</v>
      </c>
      <c r="E36" t="s">
        <v>91</v>
      </c>
      <c r="F36">
        <v>27778</v>
      </c>
      <c r="G36">
        <v>46886299.952380955</v>
      </c>
      <c r="H36">
        <v>0.95870795136406306</v>
      </c>
      <c r="I36">
        <v>0.9430569430569431</v>
      </c>
      <c r="J36">
        <v>9387154.8095238097</v>
      </c>
      <c r="K36">
        <v>44699</v>
      </c>
      <c r="L36">
        <v>2</v>
      </c>
      <c r="M36">
        <v>141</v>
      </c>
      <c r="N36">
        <v>0.94272394272394278</v>
      </c>
      <c r="O36">
        <v>8787480.333333334</v>
      </c>
      <c r="P36">
        <v>45300</v>
      </c>
      <c r="Q36">
        <v>2</v>
      </c>
      <c r="R36">
        <v>142</v>
      </c>
      <c r="S36">
        <v>12.601183431952663</v>
      </c>
      <c r="T36">
        <v>0.96453487575054164</v>
      </c>
    </row>
    <row r="37" spans="1:20" x14ac:dyDescent="0.25">
      <c r="A37" t="s">
        <v>18</v>
      </c>
      <c r="B37">
        <v>3</v>
      </c>
      <c r="C37">
        <v>2</v>
      </c>
      <c r="D37">
        <v>0</v>
      </c>
      <c r="E37" t="s">
        <v>92</v>
      </c>
      <c r="F37">
        <v>28420</v>
      </c>
      <c r="G37">
        <v>44073382</v>
      </c>
      <c r="H37">
        <v>0.95486330444162537</v>
      </c>
      <c r="I37">
        <v>0.94342021614748883</v>
      </c>
      <c r="J37">
        <v>8318706.6363636367</v>
      </c>
      <c r="K37">
        <v>45905</v>
      </c>
      <c r="L37">
        <v>2</v>
      </c>
      <c r="M37">
        <v>143</v>
      </c>
      <c r="N37">
        <v>0.94405594405594406</v>
      </c>
      <c r="O37">
        <v>9488371.4545454551</v>
      </c>
      <c r="P37">
        <v>46514</v>
      </c>
      <c r="Q37">
        <v>2</v>
      </c>
      <c r="R37">
        <v>144</v>
      </c>
      <c r="S37">
        <v>12.596962616822429</v>
      </c>
      <c r="T37">
        <v>0.96511626839637754</v>
      </c>
    </row>
    <row r="38" spans="1:20" x14ac:dyDescent="0.25">
      <c r="A38" t="s">
        <v>18</v>
      </c>
      <c r="B38">
        <v>3</v>
      </c>
      <c r="C38">
        <v>2</v>
      </c>
      <c r="D38">
        <v>0</v>
      </c>
      <c r="E38" t="s">
        <v>105</v>
      </c>
      <c r="F38">
        <v>5656</v>
      </c>
      <c r="G38">
        <v>49437819.909090906</v>
      </c>
      <c r="H38">
        <v>0.96439923481507739</v>
      </c>
      <c r="I38">
        <v>0.94596312778130964</v>
      </c>
      <c r="J38">
        <v>8734056.1818181816</v>
      </c>
      <c r="K38">
        <v>9029</v>
      </c>
      <c r="L38">
        <v>2</v>
      </c>
      <c r="M38">
        <v>59</v>
      </c>
      <c r="N38">
        <v>0.94405594405594406</v>
      </c>
      <c r="O38">
        <v>8848514.6363636367</v>
      </c>
      <c r="P38">
        <v>9302</v>
      </c>
      <c r="Q38">
        <v>2</v>
      </c>
      <c r="R38">
        <v>60</v>
      </c>
      <c r="S38">
        <v>12.61361014994233</v>
      </c>
      <c r="T38">
        <v>0.9732558071613312</v>
      </c>
    </row>
    <row r="39" spans="1:20" x14ac:dyDescent="0.25">
      <c r="A39" t="s">
        <v>18</v>
      </c>
      <c r="B39">
        <v>3</v>
      </c>
      <c r="C39">
        <v>2</v>
      </c>
      <c r="D39">
        <v>0</v>
      </c>
      <c r="E39" t="s">
        <v>19</v>
      </c>
      <c r="F39">
        <v>6170</v>
      </c>
      <c r="G39">
        <v>11655738.818181818</v>
      </c>
      <c r="H39">
        <v>0.95549903674559156</v>
      </c>
      <c r="I39">
        <v>0.94532739987285441</v>
      </c>
      <c r="J39">
        <v>2410803.8181818184</v>
      </c>
      <c r="K39">
        <v>9860</v>
      </c>
      <c r="L39">
        <v>2</v>
      </c>
      <c r="M39">
        <v>62</v>
      </c>
      <c r="N39">
        <v>0.94405594405594406</v>
      </c>
      <c r="O39">
        <v>2551036.9090909092</v>
      </c>
      <c r="P39">
        <v>10145</v>
      </c>
      <c r="Q39">
        <v>2</v>
      </c>
      <c r="R39">
        <v>63</v>
      </c>
      <c r="S39">
        <v>12.594533029612757</v>
      </c>
      <c r="T39">
        <v>0.96627905964851379</v>
      </c>
    </row>
    <row r="40" spans="1:20" x14ac:dyDescent="0.25">
      <c r="A40" t="s">
        <v>18</v>
      </c>
      <c r="B40">
        <v>3</v>
      </c>
      <c r="C40">
        <v>2</v>
      </c>
      <c r="D40">
        <v>0</v>
      </c>
      <c r="E40" t="s">
        <v>20</v>
      </c>
      <c r="F40">
        <v>6684</v>
      </c>
      <c r="G40">
        <v>8599398.1818181816</v>
      </c>
      <c r="H40">
        <v>0.94723457098007202</v>
      </c>
      <c r="I40">
        <v>0.94659885568976476</v>
      </c>
      <c r="J40">
        <v>1871260.4545454546</v>
      </c>
      <c r="K40">
        <v>10727</v>
      </c>
      <c r="L40">
        <v>2</v>
      </c>
      <c r="M40">
        <v>65</v>
      </c>
      <c r="N40">
        <v>0.94405594405594406</v>
      </c>
      <c r="O40">
        <v>1113373.7272727273</v>
      </c>
      <c r="P40">
        <v>11024</v>
      </c>
      <c r="Q40">
        <v>2</v>
      </c>
      <c r="R40">
        <v>66</v>
      </c>
      <c r="S40">
        <v>12.542182227221597</v>
      </c>
      <c r="T40">
        <v>0.97209300994873049</v>
      </c>
    </row>
    <row r="41" spans="1:20" x14ac:dyDescent="0.25">
      <c r="A41" t="s">
        <v>18</v>
      </c>
      <c r="B41">
        <v>3</v>
      </c>
      <c r="C41">
        <v>2</v>
      </c>
      <c r="D41">
        <v>0</v>
      </c>
      <c r="E41" t="s">
        <v>21</v>
      </c>
      <c r="F41">
        <v>7198</v>
      </c>
      <c r="G41">
        <v>10710096.727272727</v>
      </c>
      <c r="H41">
        <v>0.96694214777512988</v>
      </c>
      <c r="I41">
        <v>0.94214876033057848</v>
      </c>
      <c r="J41">
        <v>1821162.8181818181</v>
      </c>
      <c r="K41">
        <v>11630</v>
      </c>
      <c r="L41">
        <v>2</v>
      </c>
      <c r="M41">
        <v>68</v>
      </c>
      <c r="N41">
        <v>0.94850603941513034</v>
      </c>
      <c r="O41">
        <v>2092903.5454545454</v>
      </c>
      <c r="P41">
        <v>11939</v>
      </c>
      <c r="Q41">
        <v>2</v>
      </c>
      <c r="R41">
        <v>69</v>
      </c>
      <c r="S41">
        <v>12.514444444444445</v>
      </c>
      <c r="T41">
        <v>0.97441859245300289</v>
      </c>
    </row>
    <row r="42" spans="1:20" x14ac:dyDescent="0.25">
      <c r="A42" t="s">
        <v>18</v>
      </c>
      <c r="B42">
        <v>3</v>
      </c>
      <c r="C42">
        <v>2</v>
      </c>
      <c r="D42">
        <v>0</v>
      </c>
      <c r="E42" t="s">
        <v>22</v>
      </c>
      <c r="F42">
        <v>7712</v>
      </c>
      <c r="G42">
        <v>11442277.909090908</v>
      </c>
      <c r="H42">
        <v>0.96185630018060853</v>
      </c>
      <c r="I42">
        <v>0.94469167196439929</v>
      </c>
      <c r="J42">
        <v>2601712.3636363638</v>
      </c>
      <c r="K42">
        <v>12252</v>
      </c>
      <c r="L42">
        <v>2</v>
      </c>
      <c r="M42">
        <v>70</v>
      </c>
      <c r="N42">
        <v>0.95104895104895104</v>
      </c>
      <c r="O42">
        <v>2209085.8181818184</v>
      </c>
      <c r="P42">
        <v>12569</v>
      </c>
      <c r="Q42">
        <v>2</v>
      </c>
      <c r="R42">
        <v>71</v>
      </c>
      <c r="S42">
        <v>12.491767288693744</v>
      </c>
      <c r="T42">
        <v>0.97674417495727539</v>
      </c>
    </row>
    <row r="43" spans="1:20" x14ac:dyDescent="0.25">
      <c r="A43" t="s">
        <v>18</v>
      </c>
      <c r="B43">
        <v>3</v>
      </c>
      <c r="C43">
        <v>2</v>
      </c>
      <c r="D43">
        <v>0</v>
      </c>
      <c r="E43" t="s">
        <v>39</v>
      </c>
      <c r="F43">
        <v>8226</v>
      </c>
      <c r="G43">
        <v>11211870.272727273</v>
      </c>
      <c r="H43">
        <v>0.96694214235652576</v>
      </c>
      <c r="I43">
        <v>0.94278448823903371</v>
      </c>
      <c r="J43">
        <v>2100528.9090909092</v>
      </c>
      <c r="K43">
        <v>13215</v>
      </c>
      <c r="L43">
        <v>2</v>
      </c>
      <c r="M43">
        <v>73</v>
      </c>
      <c r="N43">
        <v>0.94532739987285441</v>
      </c>
      <c r="O43">
        <v>1829760.4545454546</v>
      </c>
      <c r="P43">
        <v>13544</v>
      </c>
      <c r="Q43">
        <v>2</v>
      </c>
      <c r="R43">
        <v>74</v>
      </c>
      <c r="S43">
        <v>12.459869848156183</v>
      </c>
      <c r="T43">
        <v>0.97558138370513914</v>
      </c>
    </row>
    <row r="44" spans="1:20" x14ac:dyDescent="0.25">
      <c r="A44" t="s">
        <v>18</v>
      </c>
      <c r="B44">
        <v>3</v>
      </c>
      <c r="C44">
        <v>2</v>
      </c>
      <c r="D44">
        <v>0</v>
      </c>
      <c r="E44" t="s">
        <v>55</v>
      </c>
      <c r="F44">
        <v>8740</v>
      </c>
      <c r="G44">
        <v>10503902.818181818</v>
      </c>
      <c r="H44">
        <v>0.94659885493191809</v>
      </c>
      <c r="I44">
        <v>0.94151303242212336</v>
      </c>
      <c r="J44">
        <v>2615194.1818181816</v>
      </c>
      <c r="K44">
        <v>13877</v>
      </c>
      <c r="L44">
        <v>2</v>
      </c>
      <c r="M44">
        <v>75</v>
      </c>
      <c r="N44">
        <v>0.94914176732358546</v>
      </c>
      <c r="O44">
        <v>2277960.3636363638</v>
      </c>
      <c r="P44">
        <v>14214</v>
      </c>
      <c r="Q44">
        <v>2</v>
      </c>
      <c r="R44">
        <v>76</v>
      </c>
      <c r="S44">
        <v>12.418006430868168</v>
      </c>
      <c r="T44">
        <v>0.95348834991455078</v>
      </c>
    </row>
    <row r="45" spans="1:20" x14ac:dyDescent="0.25">
      <c r="A45" t="s">
        <v>18</v>
      </c>
      <c r="B45">
        <v>3</v>
      </c>
      <c r="C45">
        <v>2</v>
      </c>
      <c r="D45">
        <v>0</v>
      </c>
      <c r="E45" t="s">
        <v>66</v>
      </c>
      <c r="F45">
        <v>9254</v>
      </c>
      <c r="G45">
        <v>12182898.272727273</v>
      </c>
      <c r="H45">
        <v>0.95613475821234961</v>
      </c>
      <c r="I45">
        <v>0.94469167196439929</v>
      </c>
      <c r="J45">
        <v>2469308</v>
      </c>
      <c r="K45">
        <v>14900</v>
      </c>
      <c r="L45">
        <v>2</v>
      </c>
      <c r="M45">
        <v>78</v>
      </c>
      <c r="N45">
        <v>0.94087730451366813</v>
      </c>
      <c r="O45">
        <v>2616284.4545454546</v>
      </c>
      <c r="P45">
        <v>15249</v>
      </c>
      <c r="Q45">
        <v>2</v>
      </c>
      <c r="R45">
        <v>79</v>
      </c>
      <c r="S45">
        <v>12.385593220338983</v>
      </c>
      <c r="T45">
        <v>0.96744184494018559</v>
      </c>
    </row>
    <row r="46" spans="1:20" x14ac:dyDescent="0.25">
      <c r="A46" t="s">
        <v>18</v>
      </c>
      <c r="B46">
        <v>3</v>
      </c>
      <c r="C46">
        <v>2</v>
      </c>
      <c r="D46">
        <v>0</v>
      </c>
      <c r="E46" t="s">
        <v>76</v>
      </c>
      <c r="F46">
        <v>9768</v>
      </c>
      <c r="G46">
        <v>16659578.454545455</v>
      </c>
      <c r="H46">
        <v>0.96630641547116369</v>
      </c>
      <c r="I46">
        <v>0.95295613477431662</v>
      </c>
      <c r="J46">
        <v>2875213.4545454546</v>
      </c>
      <c r="K46">
        <v>15602</v>
      </c>
      <c r="L46">
        <v>2</v>
      </c>
      <c r="M46">
        <v>80</v>
      </c>
      <c r="N46">
        <v>0.95168467895740627</v>
      </c>
      <c r="O46">
        <v>2287496</v>
      </c>
      <c r="P46">
        <v>15959</v>
      </c>
      <c r="Q46">
        <v>2</v>
      </c>
      <c r="R46">
        <v>81</v>
      </c>
      <c r="S46">
        <v>12.390575916230366</v>
      </c>
      <c r="T46">
        <v>0.96511626839637754</v>
      </c>
    </row>
    <row r="47" spans="1:20" x14ac:dyDescent="0.25">
      <c r="A47" t="s">
        <v>18</v>
      </c>
      <c r="B47">
        <v>3</v>
      </c>
      <c r="C47">
        <v>2</v>
      </c>
      <c r="D47">
        <v>0</v>
      </c>
      <c r="E47" t="s">
        <v>93</v>
      </c>
      <c r="F47">
        <v>10282</v>
      </c>
      <c r="G47">
        <v>11271608.727272727</v>
      </c>
      <c r="H47">
        <v>0.95359185067090124</v>
      </c>
      <c r="I47">
        <v>0.94405594405594406</v>
      </c>
      <c r="J47">
        <v>3843557.0909090908</v>
      </c>
      <c r="K47">
        <v>16320</v>
      </c>
      <c r="L47">
        <v>2</v>
      </c>
      <c r="M47">
        <v>82</v>
      </c>
      <c r="N47">
        <v>0.94405594405594406</v>
      </c>
      <c r="O47">
        <v>2295293.1818181816</v>
      </c>
      <c r="P47">
        <v>16685</v>
      </c>
      <c r="Q47">
        <v>2</v>
      </c>
      <c r="R47">
        <v>83</v>
      </c>
      <c r="S47">
        <v>12.346790890269151</v>
      </c>
      <c r="T47">
        <v>0.96046510338783264</v>
      </c>
    </row>
    <row r="48" spans="1:20" x14ac:dyDescent="0.25">
      <c r="A48" t="s">
        <v>18</v>
      </c>
      <c r="B48">
        <v>3</v>
      </c>
      <c r="C48">
        <v>2</v>
      </c>
      <c r="D48">
        <v>0</v>
      </c>
      <c r="E48" t="s">
        <v>94</v>
      </c>
      <c r="F48">
        <v>10796</v>
      </c>
      <c r="G48">
        <v>15224260.545454545</v>
      </c>
      <c r="H48">
        <v>0.96122058413245459</v>
      </c>
      <c r="I48">
        <v>0.94405594405594406</v>
      </c>
      <c r="J48">
        <v>3726010.0909090908</v>
      </c>
      <c r="K48">
        <v>17427</v>
      </c>
      <c r="L48">
        <v>2</v>
      </c>
      <c r="M48">
        <v>85</v>
      </c>
      <c r="N48">
        <v>0.94723458359821999</v>
      </c>
      <c r="O48">
        <v>3064432.2727272729</v>
      </c>
      <c r="P48">
        <v>17804</v>
      </c>
      <c r="Q48">
        <v>2</v>
      </c>
      <c r="R48">
        <v>86</v>
      </c>
      <c r="S48">
        <v>12.327533265097236</v>
      </c>
      <c r="T48">
        <v>0.97790696620941164</v>
      </c>
    </row>
    <row r="49" spans="1:20" x14ac:dyDescent="0.25">
      <c r="A49" t="s">
        <v>18</v>
      </c>
      <c r="B49">
        <v>3</v>
      </c>
      <c r="C49">
        <v>2</v>
      </c>
      <c r="D49">
        <v>0</v>
      </c>
      <c r="E49" t="s">
        <v>95</v>
      </c>
      <c r="F49">
        <v>11310</v>
      </c>
      <c r="G49">
        <v>15447537.454545455</v>
      </c>
      <c r="H49">
        <v>0.95168467001481494</v>
      </c>
      <c r="I49">
        <v>0.93897012078830266</v>
      </c>
      <c r="J49">
        <v>9190932.7272727266</v>
      </c>
      <c r="K49">
        <v>18185</v>
      </c>
      <c r="L49">
        <v>2</v>
      </c>
      <c r="M49">
        <v>87</v>
      </c>
      <c r="N49">
        <v>0.94405594405594406</v>
      </c>
      <c r="O49">
        <v>6971945.4545454541</v>
      </c>
      <c r="P49">
        <v>18570</v>
      </c>
      <c r="Q49">
        <v>2</v>
      </c>
      <c r="R49">
        <v>88</v>
      </c>
      <c r="S49">
        <v>12.304655870445345</v>
      </c>
      <c r="T49">
        <v>0.97093021869659424</v>
      </c>
    </row>
    <row r="50" spans="1:20" x14ac:dyDescent="0.25">
      <c r="A50" t="s">
        <v>18</v>
      </c>
      <c r="B50">
        <v>3</v>
      </c>
      <c r="C50">
        <v>2</v>
      </c>
      <c r="D50">
        <v>0</v>
      </c>
      <c r="E50" t="s">
        <v>96</v>
      </c>
      <c r="F50">
        <v>11824</v>
      </c>
      <c r="G50">
        <v>19044188</v>
      </c>
      <c r="H50">
        <v>0.96694214235652576</v>
      </c>
      <c r="I50">
        <v>0.94723458359821999</v>
      </c>
      <c r="J50">
        <v>9334131.7272727266</v>
      </c>
      <c r="K50">
        <v>18959</v>
      </c>
      <c r="L50">
        <v>2</v>
      </c>
      <c r="M50">
        <v>89</v>
      </c>
      <c r="N50">
        <v>0.94214876033057848</v>
      </c>
      <c r="O50">
        <v>7948961.5454545459</v>
      </c>
      <c r="P50">
        <v>19352</v>
      </c>
      <c r="Q50">
        <v>2</v>
      </c>
      <c r="R50">
        <v>90</v>
      </c>
      <c r="S50">
        <v>12.307307307307306</v>
      </c>
      <c r="T50">
        <v>0.97325580120086674</v>
      </c>
    </row>
    <row r="51" spans="1:20" x14ac:dyDescent="0.25">
      <c r="A51" t="s">
        <v>18</v>
      </c>
      <c r="B51">
        <v>3</v>
      </c>
      <c r="C51">
        <v>2</v>
      </c>
      <c r="D51">
        <v>0</v>
      </c>
      <c r="E51" t="s">
        <v>97</v>
      </c>
      <c r="F51">
        <v>12338</v>
      </c>
      <c r="G51">
        <v>14620584.727272727</v>
      </c>
      <c r="H51">
        <v>0.96122059496966272</v>
      </c>
      <c r="I51">
        <v>0.94787031150667511</v>
      </c>
      <c r="J51">
        <v>7935601.0909090908</v>
      </c>
      <c r="K51">
        <v>19749</v>
      </c>
      <c r="L51">
        <v>2</v>
      </c>
      <c r="M51">
        <v>91</v>
      </c>
      <c r="N51">
        <v>0.94469167196439929</v>
      </c>
      <c r="O51">
        <v>8649459.9090909082</v>
      </c>
      <c r="P51">
        <v>20150</v>
      </c>
      <c r="Q51">
        <v>2</v>
      </c>
      <c r="R51">
        <v>92</v>
      </c>
      <c r="S51">
        <v>12.272277227722773</v>
      </c>
      <c r="T51">
        <v>0.96744184494018559</v>
      </c>
    </row>
    <row r="52" spans="1:20" x14ac:dyDescent="0.25">
      <c r="A52" t="s">
        <v>18</v>
      </c>
      <c r="B52">
        <v>3</v>
      </c>
      <c r="C52">
        <v>2</v>
      </c>
      <c r="D52">
        <v>0</v>
      </c>
      <c r="E52" t="s">
        <v>98</v>
      </c>
      <c r="F52">
        <v>12852</v>
      </c>
      <c r="G52">
        <v>15871907.727272727</v>
      </c>
      <c r="H52">
        <v>0.9618563218550249</v>
      </c>
      <c r="I52">
        <v>0.95804195804195802</v>
      </c>
      <c r="J52">
        <v>8528769.0909090918</v>
      </c>
      <c r="K52">
        <v>20555</v>
      </c>
      <c r="L52">
        <v>2</v>
      </c>
      <c r="M52">
        <v>93</v>
      </c>
      <c r="N52">
        <v>0.94405594405594406</v>
      </c>
      <c r="O52">
        <v>8552411.3636363633</v>
      </c>
      <c r="P52">
        <v>20964</v>
      </c>
      <c r="Q52">
        <v>2</v>
      </c>
      <c r="R52">
        <v>94</v>
      </c>
      <c r="S52">
        <v>12.244857982370226</v>
      </c>
      <c r="T52">
        <v>0.97558138370513914</v>
      </c>
    </row>
    <row r="53" spans="1:20" x14ac:dyDescent="0.25">
      <c r="A53" t="s">
        <v>18</v>
      </c>
      <c r="B53">
        <v>3</v>
      </c>
      <c r="C53">
        <v>2</v>
      </c>
      <c r="D53">
        <v>0</v>
      </c>
      <c r="E53" t="s">
        <v>99</v>
      </c>
      <c r="F53">
        <v>13366</v>
      </c>
      <c r="G53">
        <v>16684554.090909092</v>
      </c>
      <c r="H53">
        <v>0.95994911952452222</v>
      </c>
      <c r="I53">
        <v>0.94278448823903371</v>
      </c>
      <c r="J53">
        <v>8089047.3636363633</v>
      </c>
      <c r="K53">
        <v>21377</v>
      </c>
      <c r="L53">
        <v>2</v>
      </c>
      <c r="M53">
        <v>95</v>
      </c>
      <c r="N53">
        <v>0.94214876033057848</v>
      </c>
      <c r="O53">
        <v>7582371.6363636367</v>
      </c>
      <c r="P53">
        <v>21794</v>
      </c>
      <c r="Q53">
        <v>2</v>
      </c>
      <c r="R53">
        <v>96</v>
      </c>
      <c r="S53">
        <v>12.218992248062015</v>
      </c>
      <c r="T53">
        <v>0.97093021869659424</v>
      </c>
    </row>
    <row r="54" spans="1:20" x14ac:dyDescent="0.25">
      <c r="A54" t="s">
        <v>18</v>
      </c>
      <c r="B54">
        <v>3</v>
      </c>
      <c r="C54">
        <v>2</v>
      </c>
      <c r="D54">
        <v>0</v>
      </c>
      <c r="E54" t="s">
        <v>100</v>
      </c>
      <c r="F54">
        <v>13880</v>
      </c>
      <c r="G54">
        <v>14883745</v>
      </c>
      <c r="H54">
        <v>0.96376349709250708</v>
      </c>
      <c r="I54">
        <v>0.94659885568976476</v>
      </c>
      <c r="J54">
        <v>7496096.3636363633</v>
      </c>
      <c r="K54">
        <v>22215</v>
      </c>
      <c r="L54">
        <v>2</v>
      </c>
      <c r="M54">
        <v>97</v>
      </c>
      <c r="N54">
        <v>0.94723458359821999</v>
      </c>
      <c r="O54">
        <v>9141359</v>
      </c>
      <c r="P54">
        <v>22640</v>
      </c>
      <c r="Q54">
        <v>2</v>
      </c>
      <c r="R54">
        <v>98</v>
      </c>
      <c r="S54">
        <v>12.181208053691275</v>
      </c>
      <c r="T54">
        <v>0.97093021869659424</v>
      </c>
    </row>
    <row r="55" spans="1:20" x14ac:dyDescent="0.25">
      <c r="A55" t="s">
        <v>18</v>
      </c>
      <c r="B55">
        <v>3</v>
      </c>
      <c r="C55">
        <v>2</v>
      </c>
      <c r="D55">
        <v>0</v>
      </c>
      <c r="E55" t="s">
        <v>101</v>
      </c>
      <c r="F55">
        <v>14394</v>
      </c>
      <c r="G55">
        <v>15380734.818181818</v>
      </c>
      <c r="H55">
        <v>0.96567068858580152</v>
      </c>
      <c r="I55">
        <v>0.94087730451366813</v>
      </c>
      <c r="J55">
        <v>8261464.7272727275</v>
      </c>
      <c r="K55">
        <v>23069</v>
      </c>
      <c r="L55">
        <v>2</v>
      </c>
      <c r="M55">
        <v>99</v>
      </c>
      <c r="N55">
        <v>0.94469167196439929</v>
      </c>
      <c r="O55">
        <v>7637824.1818181816</v>
      </c>
      <c r="P55">
        <v>23502</v>
      </c>
      <c r="Q55">
        <v>2</v>
      </c>
      <c r="R55">
        <v>100</v>
      </c>
      <c r="S55">
        <v>12.142314990512334</v>
      </c>
      <c r="T55">
        <v>0.96976742744445799</v>
      </c>
    </row>
    <row r="56" spans="1:20" x14ac:dyDescent="0.25">
      <c r="A56" t="s">
        <v>18</v>
      </c>
      <c r="B56">
        <v>3</v>
      </c>
      <c r="C56">
        <v>3</v>
      </c>
      <c r="D56">
        <v>0</v>
      </c>
      <c r="E56" t="s">
        <v>96</v>
      </c>
      <c r="F56">
        <v>13296</v>
      </c>
      <c r="G56">
        <v>16156317.909090908</v>
      </c>
      <c r="H56">
        <v>0.9637635025111112</v>
      </c>
      <c r="I56">
        <v>0.94214876033057848</v>
      </c>
      <c r="J56">
        <v>7404329.7272727275</v>
      </c>
      <c r="K56">
        <v>23502</v>
      </c>
      <c r="L56">
        <v>2</v>
      </c>
      <c r="M56">
        <v>100</v>
      </c>
      <c r="N56">
        <v>0.94342021614748883</v>
      </c>
      <c r="O56">
        <v>9072453.2727272734</v>
      </c>
      <c r="P56">
        <v>23939</v>
      </c>
      <c r="Q56">
        <v>2</v>
      </c>
      <c r="R56">
        <v>101</v>
      </c>
      <c r="S56">
        <v>12.107042253521128</v>
      </c>
      <c r="T56">
        <v>0.98255813121795654</v>
      </c>
    </row>
    <row r="57" spans="1:20" x14ac:dyDescent="0.25">
      <c r="A57" t="s">
        <v>18</v>
      </c>
      <c r="B57">
        <v>3</v>
      </c>
      <c r="C57">
        <v>3</v>
      </c>
      <c r="D57">
        <v>0</v>
      </c>
      <c r="E57" t="s">
        <v>97</v>
      </c>
      <c r="F57">
        <v>13874</v>
      </c>
      <c r="G57">
        <v>20263632.454545453</v>
      </c>
      <c r="H57">
        <v>0.96948506073518237</v>
      </c>
      <c r="I57">
        <v>0.94278448823903371</v>
      </c>
      <c r="J57">
        <v>7494706.1818181816</v>
      </c>
      <c r="K57">
        <v>24380</v>
      </c>
      <c r="L57">
        <v>2</v>
      </c>
      <c r="M57">
        <v>102</v>
      </c>
      <c r="N57">
        <v>0.94087730451366813</v>
      </c>
      <c r="O57">
        <v>6963380.1818181816</v>
      </c>
      <c r="P57">
        <v>24825</v>
      </c>
      <c r="Q57">
        <v>2</v>
      </c>
      <c r="R57">
        <v>103</v>
      </c>
      <c r="S57">
        <v>12.08364312267658</v>
      </c>
      <c r="T57">
        <v>0.97325580120086674</v>
      </c>
    </row>
    <row r="58" spans="1:20" x14ac:dyDescent="0.25">
      <c r="A58" t="s">
        <v>18</v>
      </c>
      <c r="B58">
        <v>3</v>
      </c>
      <c r="C58">
        <v>3</v>
      </c>
      <c r="D58">
        <v>0</v>
      </c>
      <c r="E58" t="s">
        <v>98</v>
      </c>
      <c r="F58">
        <v>14452</v>
      </c>
      <c r="G58">
        <v>19066564.545454547</v>
      </c>
      <c r="H58">
        <v>0.96694215319373389</v>
      </c>
      <c r="I58">
        <v>0.94214876033057848</v>
      </c>
      <c r="J58">
        <v>7045657.1818181816</v>
      </c>
      <c r="K58">
        <v>25274</v>
      </c>
      <c r="L58">
        <v>2</v>
      </c>
      <c r="M58">
        <v>104</v>
      </c>
      <c r="N58">
        <v>0.94787031150667511</v>
      </c>
      <c r="O58">
        <v>8771644.9090909082</v>
      </c>
      <c r="P58">
        <v>25727</v>
      </c>
      <c r="Q58">
        <v>2</v>
      </c>
      <c r="R58">
        <v>105</v>
      </c>
      <c r="S58">
        <v>12.053357865685372</v>
      </c>
      <c r="T58">
        <v>0.97558138370513914</v>
      </c>
    </row>
    <row r="59" spans="1:20" x14ac:dyDescent="0.25">
      <c r="A59" t="s">
        <v>18</v>
      </c>
      <c r="B59">
        <v>3</v>
      </c>
      <c r="C59">
        <v>3</v>
      </c>
      <c r="D59">
        <v>0</v>
      </c>
      <c r="E59" t="s">
        <v>99</v>
      </c>
      <c r="F59">
        <v>15030</v>
      </c>
      <c r="G59">
        <v>23068682.636363637</v>
      </c>
      <c r="H59">
        <v>0.96376351334831933</v>
      </c>
      <c r="I59">
        <v>0.94342021614748883</v>
      </c>
      <c r="J59">
        <v>8971355.8181818184</v>
      </c>
      <c r="K59">
        <v>26645</v>
      </c>
      <c r="L59">
        <v>2</v>
      </c>
      <c r="M59">
        <v>107</v>
      </c>
      <c r="N59">
        <v>0.94214876033057848</v>
      </c>
      <c r="O59">
        <v>5683607</v>
      </c>
      <c r="P59">
        <v>27110</v>
      </c>
      <c r="Q59">
        <v>2</v>
      </c>
      <c r="R59">
        <v>108</v>
      </c>
      <c r="S59">
        <v>12.044626593806921</v>
      </c>
      <c r="T59">
        <v>0.9790697574615479</v>
      </c>
    </row>
    <row r="60" spans="1:20" x14ac:dyDescent="0.25">
      <c r="A60" t="s">
        <v>18</v>
      </c>
      <c r="B60">
        <v>3</v>
      </c>
      <c r="C60">
        <v>3</v>
      </c>
      <c r="D60">
        <v>0</v>
      </c>
      <c r="E60" t="s">
        <v>100</v>
      </c>
      <c r="F60">
        <v>15608</v>
      </c>
      <c r="G60">
        <v>22952015.90909091</v>
      </c>
      <c r="H60">
        <v>0.96948504989797424</v>
      </c>
      <c r="I60">
        <v>0.94342021614748883</v>
      </c>
      <c r="J60">
        <v>8982551.6363636367</v>
      </c>
      <c r="K60">
        <v>27579</v>
      </c>
      <c r="L60">
        <v>2</v>
      </c>
      <c r="M60">
        <v>109</v>
      </c>
      <c r="N60">
        <v>0.94532739987285441</v>
      </c>
      <c r="O60">
        <v>9784985.9090909082</v>
      </c>
      <c r="P60">
        <v>28052</v>
      </c>
      <c r="Q60">
        <v>2</v>
      </c>
      <c r="R60">
        <v>110</v>
      </c>
      <c r="S60">
        <v>12.02795311091073</v>
      </c>
      <c r="T60">
        <v>0.97790696620941164</v>
      </c>
    </row>
    <row r="61" spans="1:20" x14ac:dyDescent="0.25">
      <c r="A61" t="s">
        <v>18</v>
      </c>
      <c r="B61">
        <v>3</v>
      </c>
      <c r="C61">
        <v>3</v>
      </c>
      <c r="D61">
        <v>0</v>
      </c>
      <c r="E61" t="s">
        <v>101</v>
      </c>
      <c r="F61">
        <v>16186</v>
      </c>
      <c r="G61">
        <v>21279911.636363637</v>
      </c>
      <c r="H61">
        <v>0.96757788007909606</v>
      </c>
      <c r="I61">
        <v>0.94405594405594406</v>
      </c>
      <c r="J61">
        <v>8745239.7272727266</v>
      </c>
      <c r="K61">
        <v>28529</v>
      </c>
      <c r="L61">
        <v>2</v>
      </c>
      <c r="M61">
        <v>111</v>
      </c>
      <c r="N61">
        <v>0.94850603941513034</v>
      </c>
      <c r="O61">
        <v>9404987.1818181816</v>
      </c>
      <c r="P61">
        <v>29010</v>
      </c>
      <c r="Q61">
        <v>2</v>
      </c>
      <c r="R61">
        <v>112</v>
      </c>
      <c r="S61">
        <v>12</v>
      </c>
      <c r="T61">
        <v>0.9790697574615479</v>
      </c>
    </row>
    <row r="62" spans="1:20" x14ac:dyDescent="0.25">
      <c r="A62" t="s">
        <v>18</v>
      </c>
      <c r="B62">
        <v>3</v>
      </c>
      <c r="C62">
        <v>3</v>
      </c>
      <c r="D62">
        <v>0</v>
      </c>
      <c r="E62" t="s">
        <v>102</v>
      </c>
      <c r="F62">
        <v>16764</v>
      </c>
      <c r="G62">
        <v>20785303.636363637</v>
      </c>
      <c r="H62">
        <v>0.96249205415899108</v>
      </c>
      <c r="I62">
        <v>0.94278448823903371</v>
      </c>
      <c r="J62">
        <v>8521538.7272727266</v>
      </c>
      <c r="K62">
        <v>29495</v>
      </c>
      <c r="L62">
        <v>2</v>
      </c>
      <c r="M62">
        <v>113</v>
      </c>
      <c r="N62">
        <v>0.94214876033057848</v>
      </c>
      <c r="O62">
        <v>9082318.4545454551</v>
      </c>
      <c r="P62">
        <v>29984</v>
      </c>
      <c r="Q62">
        <v>2</v>
      </c>
      <c r="R62">
        <v>114</v>
      </c>
      <c r="S62">
        <v>11.971706454465075</v>
      </c>
      <c r="T62">
        <v>0.97558138370513914</v>
      </c>
    </row>
    <row r="63" spans="1:20" x14ac:dyDescent="0.25">
      <c r="A63" t="s">
        <v>18</v>
      </c>
      <c r="B63">
        <v>3</v>
      </c>
      <c r="C63">
        <v>3</v>
      </c>
      <c r="D63">
        <v>0</v>
      </c>
      <c r="E63" t="s">
        <v>103</v>
      </c>
      <c r="F63">
        <v>17342</v>
      </c>
      <c r="G63">
        <v>27917792.333333332</v>
      </c>
      <c r="H63">
        <v>0.96403596230915611</v>
      </c>
      <c r="I63">
        <v>0.94205794205794202</v>
      </c>
      <c r="J63">
        <v>8581555.4285714291</v>
      </c>
      <c r="K63">
        <v>30477</v>
      </c>
      <c r="L63">
        <v>2</v>
      </c>
      <c r="M63">
        <v>115</v>
      </c>
      <c r="N63">
        <v>0.94205794205794202</v>
      </c>
      <c r="O63">
        <v>8701797.5238095243</v>
      </c>
      <c r="P63">
        <v>30974</v>
      </c>
      <c r="Q63">
        <v>2</v>
      </c>
      <c r="R63">
        <v>116</v>
      </c>
      <c r="S63">
        <v>11.953125</v>
      </c>
      <c r="T63">
        <v>0.97616277933120732</v>
      </c>
    </row>
    <row r="64" spans="1:20" x14ac:dyDescent="0.25">
      <c r="A64" t="s">
        <v>18</v>
      </c>
      <c r="B64">
        <v>3</v>
      </c>
      <c r="C64">
        <v>3</v>
      </c>
      <c r="D64">
        <v>0</v>
      </c>
      <c r="E64" t="s">
        <v>104</v>
      </c>
      <c r="F64">
        <v>17920</v>
      </c>
      <c r="G64">
        <v>27127565.476190478</v>
      </c>
      <c r="H64">
        <v>0.95837495156696861</v>
      </c>
      <c r="I64">
        <v>0.94272394272394278</v>
      </c>
      <c r="J64">
        <v>8913766.9047619049</v>
      </c>
      <c r="K64">
        <v>31475</v>
      </c>
      <c r="L64">
        <v>2</v>
      </c>
      <c r="M64">
        <v>117</v>
      </c>
      <c r="N64">
        <v>0.94638694638694643</v>
      </c>
      <c r="O64">
        <v>8588765.0952380951</v>
      </c>
      <c r="P64">
        <v>31980</v>
      </c>
      <c r="Q64">
        <v>2</v>
      </c>
      <c r="R64">
        <v>118</v>
      </c>
      <c r="S64">
        <v>11.927536231884059</v>
      </c>
      <c r="T64">
        <v>0.97325580120086674</v>
      </c>
    </row>
    <row r="65" spans="1:20" x14ac:dyDescent="0.25">
      <c r="A65" t="s">
        <v>18</v>
      </c>
      <c r="B65">
        <v>3</v>
      </c>
      <c r="C65">
        <v>3</v>
      </c>
      <c r="D65">
        <v>0</v>
      </c>
      <c r="E65" t="s">
        <v>26</v>
      </c>
      <c r="F65">
        <v>18536</v>
      </c>
      <c r="G65">
        <v>33143718.387096774</v>
      </c>
      <c r="H65">
        <v>0.96097451063894457</v>
      </c>
      <c r="I65">
        <v>0.94518384840965486</v>
      </c>
      <c r="J65">
        <v>8196519.6129032262</v>
      </c>
      <c r="K65">
        <v>32489</v>
      </c>
      <c r="L65">
        <v>2</v>
      </c>
      <c r="M65">
        <v>119</v>
      </c>
      <c r="N65">
        <v>0.94473268666817056</v>
      </c>
      <c r="O65">
        <v>9141049</v>
      </c>
      <c r="P65">
        <v>33002</v>
      </c>
      <c r="Q65">
        <v>2</v>
      </c>
      <c r="R65">
        <v>120</v>
      </c>
      <c r="S65">
        <v>11.934385382059801</v>
      </c>
      <c r="T65">
        <v>0.97558138370513914</v>
      </c>
    </row>
    <row r="66" spans="1:20" x14ac:dyDescent="0.25">
      <c r="A66" t="s">
        <v>18</v>
      </c>
      <c r="B66">
        <v>3</v>
      </c>
      <c r="C66">
        <v>3</v>
      </c>
      <c r="D66">
        <v>0</v>
      </c>
      <c r="E66" t="s">
        <v>27</v>
      </c>
      <c r="F66">
        <v>19114</v>
      </c>
      <c r="G66">
        <v>34804288.428571425</v>
      </c>
      <c r="H66">
        <v>0.96070595582326257</v>
      </c>
      <c r="I66">
        <v>0.94538794538794535</v>
      </c>
      <c r="J66">
        <v>8038567</v>
      </c>
      <c r="K66">
        <v>33519</v>
      </c>
      <c r="L66">
        <v>2</v>
      </c>
      <c r="M66">
        <v>121</v>
      </c>
      <c r="N66">
        <v>0.94272394272394278</v>
      </c>
      <c r="O66">
        <v>8920575.5714285709</v>
      </c>
      <c r="P66">
        <v>34040</v>
      </c>
      <c r="Q66">
        <v>2</v>
      </c>
      <c r="R66">
        <v>122</v>
      </c>
      <c r="S66">
        <v>11.939591836734694</v>
      </c>
      <c r="T66">
        <v>0.97383719682693481</v>
      </c>
    </row>
    <row r="67" spans="1:20" x14ac:dyDescent="0.25">
      <c r="A67" t="s">
        <v>18</v>
      </c>
      <c r="B67">
        <v>3</v>
      </c>
      <c r="C67">
        <v>3</v>
      </c>
      <c r="D67">
        <v>0</v>
      </c>
      <c r="E67" t="s">
        <v>28</v>
      </c>
      <c r="F67">
        <v>19692</v>
      </c>
      <c r="G67">
        <v>32512450.64516129</v>
      </c>
      <c r="H67">
        <v>0.95871869210273986</v>
      </c>
      <c r="I67">
        <v>0.94676291450484995</v>
      </c>
      <c r="J67">
        <v>8530940.6774193551</v>
      </c>
      <c r="K67">
        <v>34565</v>
      </c>
      <c r="L67">
        <v>2</v>
      </c>
      <c r="M67">
        <v>123</v>
      </c>
      <c r="N67">
        <v>0.94134897360703818</v>
      </c>
      <c r="O67">
        <v>9100174.9677419346</v>
      </c>
      <c r="P67">
        <v>35094</v>
      </c>
      <c r="Q67">
        <v>2</v>
      </c>
      <c r="R67">
        <v>124</v>
      </c>
      <c r="S67">
        <v>11.920382165605096</v>
      </c>
      <c r="T67">
        <v>0.97790696620941164</v>
      </c>
    </row>
    <row r="68" spans="1:20" x14ac:dyDescent="0.25">
      <c r="A68" t="s">
        <v>18</v>
      </c>
      <c r="B68">
        <v>3</v>
      </c>
      <c r="C68">
        <v>3</v>
      </c>
      <c r="D68">
        <v>0</v>
      </c>
      <c r="E68" t="s">
        <v>67</v>
      </c>
      <c r="F68">
        <v>20048</v>
      </c>
      <c r="G68">
        <v>37594682.677419357</v>
      </c>
      <c r="H68">
        <v>0.96007218091718616</v>
      </c>
      <c r="I68">
        <v>0.94292803970223327</v>
      </c>
      <c r="J68">
        <v>9069468</v>
      </c>
      <c r="K68">
        <v>35094</v>
      </c>
      <c r="L68">
        <v>2</v>
      </c>
      <c r="M68">
        <v>124</v>
      </c>
      <c r="N68">
        <v>0.94428152492668627</v>
      </c>
      <c r="O68">
        <v>9369950.0967741944</v>
      </c>
      <c r="P68">
        <v>35627</v>
      </c>
      <c r="Q68">
        <v>2</v>
      </c>
      <c r="R68">
        <v>125</v>
      </c>
      <c r="S68">
        <v>11.940947940947941</v>
      </c>
      <c r="T68">
        <v>0.97325580120086674</v>
      </c>
    </row>
    <row r="69" spans="1:20" x14ac:dyDescent="0.25">
      <c r="A69" t="s">
        <v>18</v>
      </c>
      <c r="B69">
        <v>3</v>
      </c>
      <c r="C69">
        <v>3</v>
      </c>
      <c r="D69">
        <v>0</v>
      </c>
      <c r="E69" t="s">
        <v>29</v>
      </c>
      <c r="F69">
        <v>20270</v>
      </c>
      <c r="G69">
        <v>30641821.181818184</v>
      </c>
      <c r="H69">
        <v>0.96185631101781677</v>
      </c>
      <c r="I69">
        <v>0.94532739987285441</v>
      </c>
      <c r="J69">
        <v>8951784.6363636367</v>
      </c>
      <c r="K69">
        <v>35627</v>
      </c>
      <c r="L69">
        <v>2</v>
      </c>
      <c r="M69">
        <v>125</v>
      </c>
      <c r="N69">
        <v>0.94024157660521301</v>
      </c>
      <c r="O69">
        <v>9333911.8181818184</v>
      </c>
      <c r="P69">
        <v>36164</v>
      </c>
      <c r="Q69">
        <v>2</v>
      </c>
      <c r="R69">
        <v>126</v>
      </c>
      <c r="S69">
        <v>11.931432973805855</v>
      </c>
      <c r="T69">
        <v>0.97558138370513914</v>
      </c>
    </row>
    <row r="70" spans="1:20" x14ac:dyDescent="0.25">
      <c r="A70" t="s">
        <v>18</v>
      </c>
      <c r="B70">
        <v>3</v>
      </c>
      <c r="C70">
        <v>3</v>
      </c>
      <c r="D70">
        <v>0</v>
      </c>
      <c r="E70" t="s">
        <v>30</v>
      </c>
      <c r="F70">
        <v>20848</v>
      </c>
      <c r="G70">
        <v>41153347.903225809</v>
      </c>
      <c r="H70">
        <v>0.96390705916189379</v>
      </c>
      <c r="I70">
        <v>0.94225129709000677</v>
      </c>
      <c r="J70">
        <v>9301333.4838709682</v>
      </c>
      <c r="K70">
        <v>36705</v>
      </c>
      <c r="L70">
        <v>2</v>
      </c>
      <c r="M70">
        <v>127</v>
      </c>
      <c r="N70">
        <v>0.94134897360703818</v>
      </c>
      <c r="O70">
        <v>9362919.6451612897</v>
      </c>
      <c r="P70">
        <v>37250</v>
      </c>
      <c r="Q70">
        <v>2</v>
      </c>
      <c r="R70">
        <v>128</v>
      </c>
      <c r="S70">
        <v>11.970654627539503</v>
      </c>
      <c r="T70">
        <v>0.97635657787322994</v>
      </c>
    </row>
    <row r="71" spans="1:20" x14ac:dyDescent="0.25">
      <c r="A71" t="s">
        <v>18</v>
      </c>
      <c r="B71">
        <v>3</v>
      </c>
      <c r="C71">
        <v>3</v>
      </c>
      <c r="D71">
        <v>0</v>
      </c>
      <c r="E71" t="s">
        <v>77</v>
      </c>
      <c r="F71">
        <v>21130</v>
      </c>
      <c r="G71">
        <v>37816061.512195125</v>
      </c>
      <c r="H71">
        <v>0.96111205729042615</v>
      </c>
      <c r="I71">
        <v>0.9426914548865768</v>
      </c>
      <c r="J71">
        <v>9153096.2195121944</v>
      </c>
      <c r="K71">
        <v>37250</v>
      </c>
      <c r="L71">
        <v>2</v>
      </c>
      <c r="M71">
        <v>128</v>
      </c>
      <c r="N71">
        <v>0.94422650520211493</v>
      </c>
      <c r="O71">
        <v>8487020.5853658542</v>
      </c>
      <c r="P71">
        <v>37799</v>
      </c>
      <c r="Q71">
        <v>2</v>
      </c>
      <c r="R71">
        <v>129</v>
      </c>
      <c r="S71">
        <v>11.981751824817518</v>
      </c>
      <c r="T71">
        <v>0.97616277933120732</v>
      </c>
    </row>
    <row r="72" spans="1:20" x14ac:dyDescent="0.25">
      <c r="A72" t="s">
        <v>18</v>
      </c>
      <c r="B72">
        <v>3</v>
      </c>
      <c r="C72">
        <v>3</v>
      </c>
      <c r="D72">
        <v>0</v>
      </c>
      <c r="E72" t="s">
        <v>31</v>
      </c>
      <c r="F72">
        <v>21426</v>
      </c>
      <c r="G72">
        <v>39612092.18181818</v>
      </c>
      <c r="H72">
        <v>0.97329942204735498</v>
      </c>
      <c r="I72">
        <v>0.93324856961220604</v>
      </c>
      <c r="J72">
        <v>8559569.5454545449</v>
      </c>
      <c r="K72">
        <v>37799</v>
      </c>
      <c r="L72">
        <v>2</v>
      </c>
      <c r="M72">
        <v>129</v>
      </c>
      <c r="N72">
        <v>0.94024157660521301</v>
      </c>
      <c r="O72">
        <v>7480619.5454545459</v>
      </c>
      <c r="P72">
        <v>38352</v>
      </c>
      <c r="Q72">
        <v>2</v>
      </c>
      <c r="R72">
        <v>130</v>
      </c>
      <c r="S72">
        <v>12.001448225923244</v>
      </c>
      <c r="T72">
        <v>0.97674417495727539</v>
      </c>
    </row>
    <row r="73" spans="1:20" x14ac:dyDescent="0.25">
      <c r="A73" t="s">
        <v>18</v>
      </c>
      <c r="B73">
        <v>3</v>
      </c>
      <c r="C73">
        <v>3</v>
      </c>
      <c r="D73">
        <v>0</v>
      </c>
      <c r="E73" t="s">
        <v>78</v>
      </c>
      <c r="F73">
        <v>21852</v>
      </c>
      <c r="G73">
        <v>40565662.707317077</v>
      </c>
      <c r="H73">
        <v>0.96503495733912403</v>
      </c>
      <c r="I73">
        <v>0.94166808800955148</v>
      </c>
      <c r="J73">
        <v>8827946.1951219514</v>
      </c>
      <c r="K73">
        <v>38352</v>
      </c>
      <c r="L73">
        <v>2</v>
      </c>
      <c r="M73">
        <v>130</v>
      </c>
      <c r="N73">
        <v>0.94337369947126049</v>
      </c>
      <c r="O73">
        <v>9568317.7560975607</v>
      </c>
      <c r="P73">
        <v>38909</v>
      </c>
      <c r="Q73">
        <v>2</v>
      </c>
      <c r="R73">
        <v>131</v>
      </c>
      <c r="S73">
        <v>12.037271448663853</v>
      </c>
      <c r="T73">
        <v>0.97645347714424136</v>
      </c>
    </row>
    <row r="74" spans="1:20" x14ac:dyDescent="0.25">
      <c r="A74" t="s">
        <v>18</v>
      </c>
      <c r="B74">
        <v>3</v>
      </c>
      <c r="C74">
        <v>3</v>
      </c>
      <c r="D74">
        <v>0</v>
      </c>
      <c r="E74" t="s">
        <v>32</v>
      </c>
      <c r="F74">
        <v>22004</v>
      </c>
      <c r="G74">
        <v>36062477.636363633</v>
      </c>
      <c r="H74">
        <v>0.98029243404215027</v>
      </c>
      <c r="I74">
        <v>0.93833439287984743</v>
      </c>
      <c r="J74">
        <v>8208282</v>
      </c>
      <c r="K74">
        <v>38909</v>
      </c>
      <c r="L74">
        <v>2</v>
      </c>
      <c r="M74">
        <v>131</v>
      </c>
      <c r="N74">
        <v>0.93579148124602674</v>
      </c>
      <c r="O74">
        <v>8653331.7272727266</v>
      </c>
      <c r="P74">
        <v>39470</v>
      </c>
      <c r="Q74">
        <v>2</v>
      </c>
      <c r="R74">
        <v>132</v>
      </c>
      <c r="S74">
        <v>12.043265875785066</v>
      </c>
      <c r="T74">
        <v>0.98139533996582029</v>
      </c>
    </row>
    <row r="75" spans="1:20" x14ac:dyDescent="0.25">
      <c r="A75" t="s">
        <v>18</v>
      </c>
      <c r="B75">
        <v>3</v>
      </c>
      <c r="C75">
        <v>3</v>
      </c>
      <c r="D75">
        <v>0</v>
      </c>
      <c r="E75" t="s">
        <v>33</v>
      </c>
      <c r="F75">
        <v>22582</v>
      </c>
      <c r="G75">
        <v>38903489.853658535</v>
      </c>
      <c r="H75">
        <v>0.96657000954558214</v>
      </c>
      <c r="I75">
        <v>0.93962135425550064</v>
      </c>
      <c r="J75">
        <v>8724415.4634146336</v>
      </c>
      <c r="K75">
        <v>40035</v>
      </c>
      <c r="L75">
        <v>2</v>
      </c>
      <c r="M75">
        <v>133</v>
      </c>
      <c r="N75">
        <v>0.94252089374040593</v>
      </c>
      <c r="O75">
        <v>8934161.2195121944</v>
      </c>
      <c r="P75">
        <v>40604</v>
      </c>
      <c r="Q75">
        <v>2</v>
      </c>
      <c r="R75">
        <v>134</v>
      </c>
      <c r="S75">
        <v>12.056987788331073</v>
      </c>
      <c r="T75">
        <v>0.97674417495727539</v>
      </c>
    </row>
    <row r="76" spans="1:20" x14ac:dyDescent="0.25">
      <c r="A76" t="s">
        <v>18</v>
      </c>
      <c r="B76">
        <v>3</v>
      </c>
      <c r="C76">
        <v>3</v>
      </c>
      <c r="D76">
        <v>0</v>
      </c>
      <c r="E76" t="s">
        <v>34</v>
      </c>
      <c r="F76">
        <v>23160</v>
      </c>
      <c r="G76">
        <v>40017088.215686277</v>
      </c>
      <c r="H76">
        <v>0.96832578673082237</v>
      </c>
      <c r="I76">
        <v>0.93706293706293708</v>
      </c>
      <c r="J76">
        <v>9018604.2745098043</v>
      </c>
      <c r="K76">
        <v>40604</v>
      </c>
      <c r="L76">
        <v>2</v>
      </c>
      <c r="M76">
        <v>134</v>
      </c>
      <c r="N76">
        <v>0.94007952831482244</v>
      </c>
      <c r="O76">
        <v>9289823.7843137253</v>
      </c>
      <c r="P76">
        <v>41177</v>
      </c>
      <c r="Q76">
        <v>2</v>
      </c>
      <c r="R76">
        <v>135</v>
      </c>
      <c r="S76">
        <v>12.077377049180328</v>
      </c>
      <c r="T76">
        <v>0.97930231571197512</v>
      </c>
    </row>
    <row r="77" spans="1:20" x14ac:dyDescent="0.25">
      <c r="A77" t="s">
        <v>18</v>
      </c>
      <c r="B77">
        <v>3</v>
      </c>
      <c r="C77">
        <v>3</v>
      </c>
      <c r="D77">
        <v>0</v>
      </c>
      <c r="E77" t="s">
        <v>48</v>
      </c>
      <c r="F77">
        <v>23410</v>
      </c>
      <c r="G77">
        <v>36990816.727272727</v>
      </c>
      <c r="H77">
        <v>0.96757786924188782</v>
      </c>
      <c r="I77">
        <v>0.94405594405594406</v>
      </c>
      <c r="J77">
        <v>8525002.9090909082</v>
      </c>
      <c r="K77">
        <v>41177</v>
      </c>
      <c r="L77">
        <v>2</v>
      </c>
      <c r="M77">
        <v>135</v>
      </c>
      <c r="N77">
        <v>0.94278448823903371</v>
      </c>
      <c r="O77">
        <v>9300948.5454545449</v>
      </c>
      <c r="P77">
        <v>41754</v>
      </c>
      <c r="Q77">
        <v>2</v>
      </c>
      <c r="R77">
        <v>136</v>
      </c>
      <c r="S77">
        <v>12.069010416666666</v>
      </c>
      <c r="T77">
        <v>0.97558138370513914</v>
      </c>
    </row>
    <row r="78" spans="1:20" x14ac:dyDescent="0.25">
      <c r="A78" t="s">
        <v>18</v>
      </c>
      <c r="B78">
        <v>3</v>
      </c>
      <c r="C78">
        <v>3</v>
      </c>
      <c r="D78">
        <v>0</v>
      </c>
      <c r="E78" t="s">
        <v>35</v>
      </c>
      <c r="F78">
        <v>23738</v>
      </c>
      <c r="G78">
        <v>40066649.63414634</v>
      </c>
      <c r="H78">
        <v>0.97032235744522843</v>
      </c>
      <c r="I78">
        <v>0.93910967081698793</v>
      </c>
      <c r="J78">
        <v>9699292.8536585364</v>
      </c>
      <c r="K78">
        <v>41754</v>
      </c>
      <c r="L78">
        <v>2</v>
      </c>
      <c r="M78">
        <v>136</v>
      </c>
      <c r="N78">
        <v>0.94047415998635508</v>
      </c>
      <c r="O78">
        <v>8831788.4634146336</v>
      </c>
      <c r="P78">
        <v>42335</v>
      </c>
      <c r="Q78">
        <v>2</v>
      </c>
      <c r="R78">
        <v>137</v>
      </c>
      <c r="S78">
        <v>12.090044388078629</v>
      </c>
      <c r="T78">
        <v>0.97965115308761597</v>
      </c>
    </row>
    <row r="79" spans="1:20" x14ac:dyDescent="0.25">
      <c r="A79" t="s">
        <v>18</v>
      </c>
      <c r="B79">
        <v>3</v>
      </c>
      <c r="C79">
        <v>3</v>
      </c>
      <c r="D79">
        <v>0</v>
      </c>
      <c r="E79" t="s">
        <v>49</v>
      </c>
      <c r="F79">
        <v>24024</v>
      </c>
      <c r="G79">
        <v>41095760.909090906</v>
      </c>
      <c r="H79">
        <v>0.96694214777512988</v>
      </c>
      <c r="I79">
        <v>0.94342021614748883</v>
      </c>
      <c r="J79">
        <v>8613017.9090909082</v>
      </c>
      <c r="K79">
        <v>42335</v>
      </c>
      <c r="L79">
        <v>2</v>
      </c>
      <c r="M79">
        <v>137</v>
      </c>
      <c r="N79">
        <v>0.94342021614748883</v>
      </c>
      <c r="O79">
        <v>8961263.4545454551</v>
      </c>
      <c r="P79">
        <v>42920</v>
      </c>
      <c r="Q79">
        <v>2</v>
      </c>
      <c r="R79">
        <v>138</v>
      </c>
      <c r="S79">
        <v>12.08816120906801</v>
      </c>
      <c r="T79">
        <v>0.97790696620941164</v>
      </c>
    </row>
    <row r="80" spans="1:20" x14ac:dyDescent="0.25">
      <c r="A80" t="s">
        <v>18</v>
      </c>
      <c r="B80">
        <v>3</v>
      </c>
      <c r="C80">
        <v>3</v>
      </c>
      <c r="D80">
        <v>0</v>
      </c>
      <c r="E80" t="s">
        <v>36</v>
      </c>
      <c r="F80">
        <v>24316</v>
      </c>
      <c r="G80">
        <v>42468583.853658535</v>
      </c>
      <c r="H80">
        <v>0.9691284269821353</v>
      </c>
      <c r="I80">
        <v>0.94047415998635508</v>
      </c>
      <c r="J80">
        <v>8845190.3170731701</v>
      </c>
      <c r="K80">
        <v>42920</v>
      </c>
      <c r="L80">
        <v>2</v>
      </c>
      <c r="M80">
        <v>138</v>
      </c>
      <c r="N80">
        <v>0.93655125362442437</v>
      </c>
      <c r="O80">
        <v>9206668.3658536579</v>
      </c>
      <c r="P80">
        <v>43509</v>
      </c>
      <c r="Q80">
        <v>2</v>
      </c>
      <c r="R80">
        <v>139</v>
      </c>
      <c r="S80">
        <v>12.112952731737263</v>
      </c>
      <c r="T80">
        <v>0.98081394433975222</v>
      </c>
    </row>
    <row r="81" spans="1:20" x14ac:dyDescent="0.25">
      <c r="A81" t="s">
        <v>18</v>
      </c>
      <c r="B81">
        <v>3</v>
      </c>
      <c r="C81">
        <v>3</v>
      </c>
      <c r="D81">
        <v>0</v>
      </c>
      <c r="E81" t="s">
        <v>50</v>
      </c>
      <c r="F81">
        <v>24638</v>
      </c>
      <c r="G81">
        <v>38891301.454545453</v>
      </c>
      <c r="H81">
        <v>0.96694215319373389</v>
      </c>
      <c r="I81">
        <v>0.94278448823903371</v>
      </c>
      <c r="J81">
        <v>8975869.8181818184</v>
      </c>
      <c r="K81">
        <v>43509</v>
      </c>
      <c r="L81">
        <v>2</v>
      </c>
      <c r="M81">
        <v>139</v>
      </c>
      <c r="N81">
        <v>0.94087730451366813</v>
      </c>
      <c r="O81">
        <v>10119642.727272727</v>
      </c>
      <c r="P81">
        <v>44102</v>
      </c>
      <c r="Q81">
        <v>2</v>
      </c>
      <c r="R81">
        <v>140</v>
      </c>
      <c r="S81">
        <v>12.104878048780488</v>
      </c>
      <c r="T81">
        <v>0.97674417495727539</v>
      </c>
    </row>
    <row r="82" spans="1:20" x14ac:dyDescent="0.25">
      <c r="A82" t="s">
        <v>18</v>
      </c>
      <c r="B82">
        <v>3</v>
      </c>
      <c r="C82">
        <v>3</v>
      </c>
      <c r="D82">
        <v>0</v>
      </c>
      <c r="E82" t="s">
        <v>37</v>
      </c>
      <c r="F82">
        <v>24894</v>
      </c>
      <c r="G82">
        <v>42459826.258064516</v>
      </c>
      <c r="H82">
        <v>0.96706519203801311</v>
      </c>
      <c r="I82">
        <v>0.94089781186555377</v>
      </c>
      <c r="J82">
        <v>8417244.1612903234</v>
      </c>
      <c r="K82">
        <v>44102</v>
      </c>
      <c r="L82">
        <v>2</v>
      </c>
      <c r="M82">
        <v>140</v>
      </c>
      <c r="N82">
        <v>0.93751409880442138</v>
      </c>
      <c r="O82">
        <v>9278765.8387096766</v>
      </c>
      <c r="P82">
        <v>44699</v>
      </c>
      <c r="Q82">
        <v>2</v>
      </c>
      <c r="R82">
        <v>141</v>
      </c>
      <c r="S82">
        <v>12.112507480550569</v>
      </c>
      <c r="T82">
        <v>0.97868216037750244</v>
      </c>
    </row>
    <row r="83" spans="1:20" x14ac:dyDescent="0.25">
      <c r="A83" t="s">
        <v>18</v>
      </c>
      <c r="B83">
        <v>3</v>
      </c>
      <c r="C83">
        <v>3</v>
      </c>
      <c r="D83">
        <v>0</v>
      </c>
      <c r="E83" t="s">
        <v>38</v>
      </c>
      <c r="F83">
        <v>25472</v>
      </c>
      <c r="G83">
        <v>44575483.666666664</v>
      </c>
      <c r="H83">
        <v>0.97036297548384898</v>
      </c>
      <c r="I83">
        <v>0.94005994005994009</v>
      </c>
      <c r="J83">
        <v>8764514.6190476194</v>
      </c>
      <c r="K83">
        <v>44699</v>
      </c>
      <c r="L83">
        <v>2</v>
      </c>
      <c r="M83">
        <v>141</v>
      </c>
      <c r="N83">
        <v>0.93906093906093902</v>
      </c>
      <c r="O83">
        <v>8922520.0952380951</v>
      </c>
      <c r="P83">
        <v>45300</v>
      </c>
      <c r="Q83">
        <v>2</v>
      </c>
      <c r="R83">
        <v>142</v>
      </c>
      <c r="S83">
        <v>12.129432624113475</v>
      </c>
      <c r="T83">
        <v>0.98081394433975222</v>
      </c>
    </row>
    <row r="84" spans="1:20" x14ac:dyDescent="0.25">
      <c r="A84" t="s">
        <v>18</v>
      </c>
      <c r="B84">
        <v>3</v>
      </c>
      <c r="C84">
        <v>3</v>
      </c>
      <c r="D84">
        <v>0</v>
      </c>
      <c r="E84" t="s">
        <v>69</v>
      </c>
      <c r="F84">
        <v>25536</v>
      </c>
      <c r="G84">
        <v>42403018.243902437</v>
      </c>
      <c r="H84">
        <v>0.96674057187103646</v>
      </c>
      <c r="I84">
        <v>0.9426914548865768</v>
      </c>
      <c r="J84">
        <v>8897605.8780487813</v>
      </c>
      <c r="K84">
        <v>45300</v>
      </c>
      <c r="L84">
        <v>2</v>
      </c>
      <c r="M84">
        <v>142</v>
      </c>
      <c r="N84">
        <v>0.94252089374040593</v>
      </c>
      <c r="O84">
        <v>9254177.2195121944</v>
      </c>
      <c r="P84">
        <v>45905</v>
      </c>
      <c r="Q84">
        <v>2</v>
      </c>
      <c r="R84">
        <v>143</v>
      </c>
      <c r="S84">
        <v>12.129255626081939</v>
      </c>
      <c r="T84">
        <v>0.97936045527458193</v>
      </c>
    </row>
    <row r="85" spans="1:20" x14ac:dyDescent="0.25">
      <c r="A85" t="s">
        <v>18</v>
      </c>
      <c r="B85">
        <v>3</v>
      </c>
      <c r="C85">
        <v>3</v>
      </c>
      <c r="D85">
        <v>0</v>
      </c>
      <c r="E85" t="s">
        <v>52</v>
      </c>
      <c r="F85">
        <v>25866</v>
      </c>
      <c r="G85">
        <v>38023647.545454547</v>
      </c>
      <c r="H85">
        <v>0.9815638823942705</v>
      </c>
      <c r="I85">
        <v>0.94087730451366813</v>
      </c>
      <c r="J85">
        <v>8139632.9090909092</v>
      </c>
      <c r="K85">
        <v>45905</v>
      </c>
      <c r="L85">
        <v>2</v>
      </c>
      <c r="M85">
        <v>143</v>
      </c>
      <c r="N85">
        <v>0.93833439287984743</v>
      </c>
      <c r="O85">
        <v>9516916.4545454551</v>
      </c>
      <c r="P85">
        <v>46514</v>
      </c>
      <c r="Q85">
        <v>2</v>
      </c>
      <c r="R85">
        <v>144</v>
      </c>
      <c r="S85">
        <v>12.127293577981652</v>
      </c>
      <c r="T85">
        <v>0.98023254871368404</v>
      </c>
    </row>
    <row r="86" spans="1:20" x14ac:dyDescent="0.25">
      <c r="A86" t="s">
        <v>18</v>
      </c>
      <c r="B86">
        <v>3</v>
      </c>
      <c r="C86">
        <v>3</v>
      </c>
      <c r="D86">
        <v>0</v>
      </c>
      <c r="E86" t="s">
        <v>53</v>
      </c>
      <c r="F86">
        <v>26480</v>
      </c>
      <c r="G86">
        <v>41205979.064516127</v>
      </c>
      <c r="H86">
        <v>0.96548611694766628</v>
      </c>
      <c r="I86">
        <v>0.94428152492668627</v>
      </c>
      <c r="J86">
        <v>8904474.9677419346</v>
      </c>
      <c r="K86">
        <v>46514</v>
      </c>
      <c r="L86">
        <v>2</v>
      </c>
      <c r="M86">
        <v>144</v>
      </c>
      <c r="N86">
        <v>0.94292803970223327</v>
      </c>
      <c r="O86">
        <v>9531637.7096774187</v>
      </c>
      <c r="P86">
        <v>47127</v>
      </c>
      <c r="Q86">
        <v>2</v>
      </c>
      <c r="R86">
        <v>145</v>
      </c>
      <c r="S86">
        <v>12.119436619718309</v>
      </c>
      <c r="T86">
        <v>0.97635657787322994</v>
      </c>
    </row>
    <row r="87" spans="1:20" x14ac:dyDescent="0.25">
      <c r="A87" t="s">
        <v>18</v>
      </c>
      <c r="B87">
        <v>3</v>
      </c>
      <c r="C87">
        <v>3</v>
      </c>
      <c r="D87">
        <v>0</v>
      </c>
      <c r="E87" t="s">
        <v>62</v>
      </c>
      <c r="F87">
        <v>26766</v>
      </c>
      <c r="G87">
        <v>47693082.476190478</v>
      </c>
      <c r="H87">
        <v>0.96936396190098351</v>
      </c>
      <c r="I87">
        <v>0.93872793872793869</v>
      </c>
      <c r="J87">
        <v>8426663.6190476194</v>
      </c>
      <c r="K87">
        <v>47127</v>
      </c>
      <c r="L87">
        <v>2</v>
      </c>
      <c r="M87">
        <v>145</v>
      </c>
      <c r="N87">
        <v>0.9430569430569431</v>
      </c>
      <c r="O87">
        <v>9018037.5714285709</v>
      </c>
      <c r="P87">
        <v>47744</v>
      </c>
      <c r="Q87">
        <v>2</v>
      </c>
      <c r="R87">
        <v>146</v>
      </c>
      <c r="S87">
        <v>12.136971046770601</v>
      </c>
      <c r="T87">
        <v>0.98255813121795654</v>
      </c>
    </row>
    <row r="88" spans="1:20" x14ac:dyDescent="0.25">
      <c r="A88" t="s">
        <v>18</v>
      </c>
      <c r="B88">
        <v>3</v>
      </c>
      <c r="C88">
        <v>3</v>
      </c>
      <c r="D88">
        <v>0</v>
      </c>
      <c r="E88" t="s">
        <v>54</v>
      </c>
      <c r="F88">
        <v>27094</v>
      </c>
      <c r="G88">
        <v>41680690.454545453</v>
      </c>
      <c r="H88">
        <v>0.96439924565228552</v>
      </c>
      <c r="I88">
        <v>0.94278448823903371</v>
      </c>
      <c r="J88">
        <v>9866325.2727272734</v>
      </c>
      <c r="K88">
        <v>47744</v>
      </c>
      <c r="L88">
        <v>2</v>
      </c>
      <c r="M88">
        <v>146</v>
      </c>
      <c r="N88">
        <v>0.94278448823903371</v>
      </c>
      <c r="O88">
        <v>8504079.1818181816</v>
      </c>
      <c r="P88">
        <v>48365</v>
      </c>
      <c r="Q88">
        <v>2</v>
      </c>
      <c r="R88">
        <v>147</v>
      </c>
      <c r="S88">
        <v>12.129496402877697</v>
      </c>
      <c r="T88">
        <v>0.97558138370513914</v>
      </c>
    </row>
    <row r="89" spans="1:20" x14ac:dyDescent="0.25">
      <c r="A89" t="s">
        <v>18</v>
      </c>
      <c r="B89">
        <v>3</v>
      </c>
      <c r="C89">
        <v>3</v>
      </c>
      <c r="D89">
        <v>0</v>
      </c>
      <c r="E89" t="s">
        <v>63</v>
      </c>
      <c r="F89">
        <v>27416</v>
      </c>
      <c r="G89">
        <v>43788754.096774191</v>
      </c>
      <c r="H89">
        <v>0.97338145586752123</v>
      </c>
      <c r="I89">
        <v>0.93525829009699979</v>
      </c>
      <c r="J89">
        <v>8953199.7419354841</v>
      </c>
      <c r="K89">
        <v>48365</v>
      </c>
      <c r="L89">
        <v>2</v>
      </c>
      <c r="M89">
        <v>147</v>
      </c>
      <c r="N89">
        <v>0.93999548838258518</v>
      </c>
      <c r="O89">
        <v>9772989.0967741944</v>
      </c>
      <c r="P89">
        <v>48990</v>
      </c>
      <c r="Q89">
        <v>2</v>
      </c>
      <c r="R89">
        <v>148</v>
      </c>
      <c r="S89">
        <v>12.138193688792166</v>
      </c>
      <c r="T89">
        <v>0.98062014579772949</v>
      </c>
    </row>
    <row r="90" spans="1:20" x14ac:dyDescent="0.25">
      <c r="A90" t="s">
        <v>18</v>
      </c>
      <c r="B90">
        <v>3</v>
      </c>
      <c r="C90">
        <v>3</v>
      </c>
      <c r="D90">
        <v>0</v>
      </c>
      <c r="E90" t="s">
        <v>86</v>
      </c>
      <c r="F90">
        <v>27628</v>
      </c>
      <c r="G90">
        <v>47024148.285714284</v>
      </c>
      <c r="H90">
        <v>0.96669996636254452</v>
      </c>
      <c r="I90">
        <v>0.94072594072594073</v>
      </c>
      <c r="J90">
        <v>9085772.6190476194</v>
      </c>
      <c r="K90">
        <v>48990</v>
      </c>
      <c r="L90">
        <v>2</v>
      </c>
      <c r="M90">
        <v>148</v>
      </c>
      <c r="N90">
        <v>0.9417249417249417</v>
      </c>
      <c r="O90">
        <v>7889954.9523809524</v>
      </c>
      <c r="P90">
        <v>49619</v>
      </c>
      <c r="Q90">
        <v>2</v>
      </c>
      <c r="R90">
        <v>149</v>
      </c>
      <c r="S90">
        <v>12.15115653577192</v>
      </c>
      <c r="T90">
        <v>0.97965115308761597</v>
      </c>
    </row>
    <row r="91" spans="1:20" x14ac:dyDescent="0.25">
      <c r="A91" t="s">
        <v>18</v>
      </c>
      <c r="B91">
        <v>3</v>
      </c>
      <c r="C91">
        <v>3</v>
      </c>
      <c r="D91">
        <v>0</v>
      </c>
      <c r="E91" t="s">
        <v>64</v>
      </c>
      <c r="F91">
        <v>28066</v>
      </c>
      <c r="G91">
        <v>48889665.636363633</v>
      </c>
      <c r="H91">
        <v>0.98029243946075439</v>
      </c>
      <c r="I91">
        <v>0.94151303242212336</v>
      </c>
      <c r="J91">
        <v>8690110.7272727266</v>
      </c>
      <c r="K91">
        <v>49619</v>
      </c>
      <c r="L91">
        <v>2</v>
      </c>
      <c r="M91">
        <v>149</v>
      </c>
      <c r="N91">
        <v>0.93960584869675778</v>
      </c>
      <c r="O91">
        <v>8496640.9090909082</v>
      </c>
      <c r="P91">
        <v>50252</v>
      </c>
      <c r="Q91">
        <v>2</v>
      </c>
      <c r="R91">
        <v>150</v>
      </c>
      <c r="S91">
        <v>12.165240641711231</v>
      </c>
      <c r="T91">
        <v>0.98604650497436519</v>
      </c>
    </row>
    <row r="92" spans="1:20" x14ac:dyDescent="0.25">
      <c r="A92" t="s">
        <v>18</v>
      </c>
      <c r="B92">
        <v>3</v>
      </c>
      <c r="C92">
        <v>3</v>
      </c>
      <c r="D92">
        <v>0</v>
      </c>
      <c r="E92" t="s">
        <v>87</v>
      </c>
      <c r="F92">
        <v>28350</v>
      </c>
      <c r="G92">
        <v>47254775.428571425</v>
      </c>
      <c r="H92">
        <v>0.97036296696889968</v>
      </c>
      <c r="I92">
        <v>0.94039294039294041</v>
      </c>
      <c r="J92">
        <v>9135095.8095238097</v>
      </c>
      <c r="K92">
        <v>50252</v>
      </c>
      <c r="L92">
        <v>2</v>
      </c>
      <c r="M92">
        <v>150</v>
      </c>
      <c r="N92">
        <v>0.93939393939393945</v>
      </c>
      <c r="O92">
        <v>9154158.1904761903</v>
      </c>
      <c r="P92">
        <v>50889</v>
      </c>
      <c r="Q92">
        <v>2</v>
      </c>
      <c r="R92">
        <v>151</v>
      </c>
      <c r="S92">
        <v>12.173453199365415</v>
      </c>
      <c r="T92">
        <v>0.97499998807907107</v>
      </c>
    </row>
    <row r="93" spans="1:20" x14ac:dyDescent="0.25">
      <c r="A93" t="s">
        <v>18</v>
      </c>
      <c r="B93">
        <v>3</v>
      </c>
      <c r="C93">
        <v>3</v>
      </c>
      <c r="D93">
        <v>0</v>
      </c>
      <c r="E93" t="s">
        <v>65</v>
      </c>
      <c r="F93">
        <v>28716</v>
      </c>
      <c r="G93">
        <v>49215072.090909094</v>
      </c>
      <c r="H93">
        <v>0.98092816092751245</v>
      </c>
      <c r="I93">
        <v>0.9402415766052129</v>
      </c>
      <c r="J93">
        <v>9245863.4545454551</v>
      </c>
      <c r="K93">
        <v>50889</v>
      </c>
      <c r="L93">
        <v>2</v>
      </c>
      <c r="M93">
        <v>151</v>
      </c>
      <c r="N93">
        <v>0.93388429752066116</v>
      </c>
      <c r="O93">
        <v>8687800</v>
      </c>
      <c r="P93">
        <v>51530</v>
      </c>
      <c r="Q93">
        <v>2</v>
      </c>
      <c r="R93">
        <v>152</v>
      </c>
      <c r="S93">
        <v>12.186119873817034</v>
      </c>
      <c r="T93">
        <v>0.98139533996582029</v>
      </c>
    </row>
    <row r="94" spans="1:20" x14ac:dyDescent="0.25">
      <c r="A94" t="s">
        <v>18</v>
      </c>
      <c r="B94">
        <v>3</v>
      </c>
      <c r="C94">
        <v>3</v>
      </c>
      <c r="D94">
        <v>0</v>
      </c>
      <c r="E94" t="s">
        <v>88</v>
      </c>
      <c r="F94">
        <v>29072</v>
      </c>
      <c r="G94">
        <v>52401320.380952381</v>
      </c>
      <c r="H94">
        <v>0.97002995581853957</v>
      </c>
      <c r="I94">
        <v>0.94538794538794535</v>
      </c>
      <c r="J94">
        <v>8632082.7142857146</v>
      </c>
      <c r="K94">
        <v>51530</v>
      </c>
      <c r="L94">
        <v>2</v>
      </c>
      <c r="M94">
        <v>152</v>
      </c>
      <c r="N94">
        <v>0.93839493839493837</v>
      </c>
      <c r="O94">
        <v>9677789.1904761903</v>
      </c>
      <c r="P94">
        <v>52175</v>
      </c>
      <c r="Q94">
        <v>2</v>
      </c>
      <c r="R94">
        <v>153</v>
      </c>
      <c r="S94">
        <v>12.212688507540301</v>
      </c>
      <c r="T94">
        <v>0.97965115308761597</v>
      </c>
    </row>
    <row r="95" spans="1:20" x14ac:dyDescent="0.25">
      <c r="A95" t="s">
        <v>18</v>
      </c>
      <c r="B95">
        <v>3</v>
      </c>
      <c r="C95">
        <v>3</v>
      </c>
      <c r="D95">
        <v>0</v>
      </c>
      <c r="E95" t="s">
        <v>74</v>
      </c>
      <c r="F95">
        <v>29652</v>
      </c>
      <c r="G95">
        <v>46650719.363636367</v>
      </c>
      <c r="H95">
        <v>0.97838523171164771</v>
      </c>
      <c r="I95">
        <v>0.93960584869675778</v>
      </c>
      <c r="J95">
        <v>9372596.8181818184</v>
      </c>
      <c r="K95">
        <v>52175</v>
      </c>
      <c r="L95">
        <v>2</v>
      </c>
      <c r="M95">
        <v>153</v>
      </c>
      <c r="N95">
        <v>0.93324856961220604</v>
      </c>
      <c r="O95">
        <v>8940751.1818181816</v>
      </c>
      <c r="P95">
        <v>52824</v>
      </c>
      <c r="Q95">
        <v>2</v>
      </c>
      <c r="R95">
        <v>154</v>
      </c>
      <c r="S95">
        <v>12.217166494312306</v>
      </c>
      <c r="T95">
        <v>0.98604650497436519</v>
      </c>
    </row>
    <row r="96" spans="1:20" x14ac:dyDescent="0.25">
      <c r="A96" t="s">
        <v>18</v>
      </c>
      <c r="B96">
        <v>3</v>
      </c>
      <c r="C96">
        <v>3</v>
      </c>
      <c r="D96">
        <v>0</v>
      </c>
      <c r="E96" t="s">
        <v>89</v>
      </c>
      <c r="F96">
        <v>29794</v>
      </c>
      <c r="G96">
        <v>47272252.727272727</v>
      </c>
      <c r="H96">
        <v>0.97711377794092347</v>
      </c>
      <c r="I96">
        <v>0.93642720915448185</v>
      </c>
      <c r="J96">
        <v>9524006.1818181816</v>
      </c>
      <c r="K96">
        <v>52824</v>
      </c>
      <c r="L96">
        <v>2</v>
      </c>
      <c r="M96">
        <v>154</v>
      </c>
      <c r="N96">
        <v>0.93769866497139231</v>
      </c>
      <c r="O96">
        <v>9163239.8181818184</v>
      </c>
      <c r="P96">
        <v>53477</v>
      </c>
      <c r="Q96">
        <v>2</v>
      </c>
      <c r="R96">
        <v>155</v>
      </c>
      <c r="S96">
        <v>12.223650385604113</v>
      </c>
      <c r="T96">
        <v>0.9837209224700928</v>
      </c>
    </row>
    <row r="97" spans="1:20" x14ac:dyDescent="0.25">
      <c r="A97" t="s">
        <v>18</v>
      </c>
      <c r="B97">
        <v>3</v>
      </c>
      <c r="C97">
        <v>3</v>
      </c>
      <c r="D97">
        <v>0</v>
      </c>
      <c r="E97" t="s">
        <v>75</v>
      </c>
      <c r="F97">
        <v>30338</v>
      </c>
      <c r="G97">
        <v>46827604.454545453</v>
      </c>
      <c r="H97">
        <v>0.97774952108209778</v>
      </c>
      <c r="I97">
        <v>0.93261284170375081</v>
      </c>
      <c r="J97">
        <v>8549976.9090909082</v>
      </c>
      <c r="K97">
        <v>53477</v>
      </c>
      <c r="L97">
        <v>2</v>
      </c>
      <c r="M97">
        <v>155</v>
      </c>
      <c r="N97">
        <v>0.93642720915448185</v>
      </c>
      <c r="O97">
        <v>9796942.2727272734</v>
      </c>
      <c r="P97">
        <v>54134</v>
      </c>
      <c r="Q97">
        <v>2</v>
      </c>
      <c r="R97">
        <v>156</v>
      </c>
      <c r="S97">
        <v>12.227505112474438</v>
      </c>
      <c r="T97">
        <v>0.98720929622650144</v>
      </c>
    </row>
    <row r="98" spans="1:20" x14ac:dyDescent="0.25">
      <c r="A98" t="s">
        <v>18</v>
      </c>
      <c r="B98">
        <v>3</v>
      </c>
      <c r="C98">
        <v>3</v>
      </c>
      <c r="D98">
        <v>0</v>
      </c>
      <c r="E98" t="s">
        <v>90</v>
      </c>
      <c r="F98">
        <v>30516</v>
      </c>
      <c r="G98">
        <v>52948691.18181818</v>
      </c>
      <c r="H98">
        <v>0.97393515435132116</v>
      </c>
      <c r="I98">
        <v>0.9376986649713922</v>
      </c>
      <c r="J98">
        <v>8957905.4545454551</v>
      </c>
      <c r="K98">
        <v>54134</v>
      </c>
      <c r="L98">
        <v>2</v>
      </c>
      <c r="M98">
        <v>156</v>
      </c>
      <c r="N98">
        <v>0.94214876033057848</v>
      </c>
      <c r="O98">
        <v>7494731.5454545459</v>
      </c>
      <c r="P98">
        <v>54795</v>
      </c>
      <c r="Q98">
        <v>2</v>
      </c>
      <c r="R98">
        <v>157</v>
      </c>
      <c r="S98">
        <v>12.238434163701067</v>
      </c>
      <c r="T98">
        <v>0.9837209224700928</v>
      </c>
    </row>
    <row r="99" spans="1:20" x14ac:dyDescent="0.25">
      <c r="A99" t="s">
        <v>18</v>
      </c>
      <c r="B99">
        <v>3</v>
      </c>
      <c r="C99">
        <v>3</v>
      </c>
      <c r="D99">
        <v>0</v>
      </c>
      <c r="E99" t="s">
        <v>91</v>
      </c>
      <c r="F99">
        <v>31238</v>
      </c>
      <c r="G99">
        <v>50576178.636363633</v>
      </c>
      <c r="H99">
        <v>0.97838524796745996</v>
      </c>
      <c r="I99">
        <v>0.9376986649713922</v>
      </c>
      <c r="J99">
        <v>9204049.2727272734</v>
      </c>
      <c r="K99">
        <v>54795</v>
      </c>
      <c r="L99">
        <v>2</v>
      </c>
      <c r="M99">
        <v>157</v>
      </c>
      <c r="N99">
        <v>0.93388429752066116</v>
      </c>
      <c r="O99">
        <v>8500011.2727272734</v>
      </c>
      <c r="P99">
        <v>55460</v>
      </c>
      <c r="Q99">
        <v>2</v>
      </c>
      <c r="R99">
        <v>158</v>
      </c>
      <c r="S99">
        <v>12.246208291203235</v>
      </c>
      <c r="T99">
        <v>0.97790696620941164</v>
      </c>
    </row>
    <row r="100" spans="1:20" x14ac:dyDescent="0.25">
      <c r="A100" t="s">
        <v>18</v>
      </c>
      <c r="B100">
        <v>3</v>
      </c>
      <c r="C100">
        <v>3</v>
      </c>
      <c r="D100">
        <v>0</v>
      </c>
      <c r="E100" t="s">
        <v>92</v>
      </c>
      <c r="F100">
        <v>31960</v>
      </c>
      <c r="G100">
        <v>49019818.727272727</v>
      </c>
      <c r="H100">
        <v>0.97774952108209778</v>
      </c>
      <c r="I100">
        <v>0.93642720915448185</v>
      </c>
      <c r="J100">
        <v>9116021.4545454551</v>
      </c>
      <c r="K100">
        <v>56129</v>
      </c>
      <c r="L100">
        <v>2</v>
      </c>
      <c r="M100">
        <v>159</v>
      </c>
      <c r="N100">
        <v>0.94151303242212336</v>
      </c>
      <c r="O100">
        <v>9482272.6363636367</v>
      </c>
      <c r="P100">
        <v>56802</v>
      </c>
      <c r="Q100">
        <v>2</v>
      </c>
      <c r="R100">
        <v>160</v>
      </c>
      <c r="S100">
        <v>12.248868778280542</v>
      </c>
      <c r="T100">
        <v>0.9837209224700928</v>
      </c>
    </row>
    <row r="101" spans="1:20" x14ac:dyDescent="0.25">
      <c r="A101" t="s">
        <v>18</v>
      </c>
      <c r="B101">
        <v>3</v>
      </c>
      <c r="C101">
        <v>3</v>
      </c>
      <c r="D101">
        <v>0</v>
      </c>
      <c r="E101" t="s">
        <v>105</v>
      </c>
      <c r="F101">
        <v>6360</v>
      </c>
      <c r="G101">
        <v>43710912.909090906</v>
      </c>
      <c r="H101">
        <v>0.97838524796745996</v>
      </c>
      <c r="I101">
        <v>0.93769866497139231</v>
      </c>
      <c r="J101">
        <v>8759095.8181818184</v>
      </c>
      <c r="K101">
        <v>11024</v>
      </c>
      <c r="L101">
        <v>2</v>
      </c>
      <c r="M101">
        <v>66</v>
      </c>
      <c r="N101">
        <v>0.9351557533375715</v>
      </c>
      <c r="O101">
        <v>7951133.5454545459</v>
      </c>
      <c r="P101">
        <v>11325</v>
      </c>
      <c r="Q101">
        <v>2</v>
      </c>
      <c r="R101">
        <v>67</v>
      </c>
      <c r="S101">
        <v>12.246</v>
      </c>
      <c r="T101">
        <v>0.97790696620941164</v>
      </c>
    </row>
    <row r="102" spans="1:20" x14ac:dyDescent="0.25">
      <c r="A102" t="s">
        <v>18</v>
      </c>
      <c r="B102">
        <v>3</v>
      </c>
      <c r="C102">
        <v>3</v>
      </c>
      <c r="D102">
        <v>0</v>
      </c>
      <c r="E102" t="s">
        <v>19</v>
      </c>
      <c r="F102">
        <v>6938</v>
      </c>
      <c r="G102">
        <v>12495857.636363637</v>
      </c>
      <c r="H102">
        <v>0.97012078220194031</v>
      </c>
      <c r="I102">
        <v>0.94087730451366813</v>
      </c>
      <c r="J102">
        <v>3141285</v>
      </c>
      <c r="K102">
        <v>12252</v>
      </c>
      <c r="L102">
        <v>2</v>
      </c>
      <c r="M102">
        <v>70</v>
      </c>
      <c r="N102">
        <v>0.94532739987285441</v>
      </c>
      <c r="O102">
        <v>2963200.8181818184</v>
      </c>
      <c r="P102">
        <v>12569</v>
      </c>
      <c r="Q102">
        <v>2</v>
      </c>
      <c r="R102">
        <v>71</v>
      </c>
      <c r="S102">
        <v>12.232222774738936</v>
      </c>
      <c r="T102">
        <v>0.97558138370513914</v>
      </c>
    </row>
    <row r="103" spans="1:20" x14ac:dyDescent="0.25">
      <c r="A103" t="s">
        <v>18</v>
      </c>
      <c r="B103">
        <v>3</v>
      </c>
      <c r="C103">
        <v>3</v>
      </c>
      <c r="D103">
        <v>0</v>
      </c>
      <c r="E103" t="s">
        <v>20</v>
      </c>
      <c r="F103">
        <v>7516</v>
      </c>
      <c r="G103">
        <v>12193870.454545455</v>
      </c>
      <c r="H103">
        <v>0.95994912494312634</v>
      </c>
      <c r="I103">
        <v>0.94214876033057848</v>
      </c>
      <c r="J103">
        <v>3085452.0909090908</v>
      </c>
      <c r="K103">
        <v>13215</v>
      </c>
      <c r="L103">
        <v>2</v>
      </c>
      <c r="M103">
        <v>73</v>
      </c>
      <c r="N103">
        <v>0.94850603941513034</v>
      </c>
      <c r="O103">
        <v>1805649.3636363635</v>
      </c>
      <c r="P103">
        <v>13544</v>
      </c>
      <c r="Q103">
        <v>2</v>
      </c>
      <c r="R103">
        <v>74</v>
      </c>
      <c r="S103">
        <v>12.214638971315528</v>
      </c>
      <c r="T103">
        <v>0.97325580120086674</v>
      </c>
    </row>
    <row r="104" spans="1:20" x14ac:dyDescent="0.25">
      <c r="A104" t="s">
        <v>18</v>
      </c>
      <c r="B104">
        <v>3</v>
      </c>
      <c r="C104">
        <v>3</v>
      </c>
      <c r="D104">
        <v>0</v>
      </c>
      <c r="E104" t="s">
        <v>21</v>
      </c>
      <c r="F104">
        <v>8094</v>
      </c>
      <c r="G104">
        <v>12159144.818181818</v>
      </c>
      <c r="H104">
        <v>0.95740623365749011</v>
      </c>
      <c r="I104">
        <v>0.94342021614748883</v>
      </c>
      <c r="J104">
        <v>3254536.7272727271</v>
      </c>
      <c r="K104">
        <v>14214</v>
      </c>
      <c r="L104">
        <v>2</v>
      </c>
      <c r="M104">
        <v>76</v>
      </c>
      <c r="N104">
        <v>0.94850603941513034</v>
      </c>
      <c r="O104">
        <v>1717552.1818181819</v>
      </c>
      <c r="P104">
        <v>14555</v>
      </c>
      <c r="Q104">
        <v>2</v>
      </c>
      <c r="R104">
        <v>77</v>
      </c>
      <c r="S104">
        <v>12.195769798327595</v>
      </c>
      <c r="T104">
        <v>0.97209300994873049</v>
      </c>
    </row>
    <row r="105" spans="1:20" x14ac:dyDescent="0.25">
      <c r="A105" t="s">
        <v>18</v>
      </c>
      <c r="B105">
        <v>3</v>
      </c>
      <c r="C105">
        <v>3</v>
      </c>
      <c r="D105">
        <v>0</v>
      </c>
      <c r="E105" t="s">
        <v>22</v>
      </c>
      <c r="F105">
        <v>8672</v>
      </c>
      <c r="G105">
        <v>14744585.636363637</v>
      </c>
      <c r="H105">
        <v>0.96249205415899108</v>
      </c>
      <c r="I105">
        <v>0.94659885568976476</v>
      </c>
      <c r="J105">
        <v>2840685.9090909092</v>
      </c>
      <c r="K105">
        <v>15249</v>
      </c>
      <c r="L105">
        <v>2</v>
      </c>
      <c r="M105">
        <v>79</v>
      </c>
      <c r="N105">
        <v>0.94278448823903371</v>
      </c>
      <c r="O105">
        <v>2405993.8181818184</v>
      </c>
      <c r="P105">
        <v>15602</v>
      </c>
      <c r="Q105">
        <v>2</v>
      </c>
      <c r="R105">
        <v>80</v>
      </c>
      <c r="S105">
        <v>12.185420743639922</v>
      </c>
      <c r="T105">
        <v>0.97441859245300289</v>
      </c>
    </row>
    <row r="106" spans="1:20" x14ac:dyDescent="0.25">
      <c r="A106" t="s">
        <v>18</v>
      </c>
      <c r="B106">
        <v>3</v>
      </c>
      <c r="C106">
        <v>3</v>
      </c>
      <c r="D106">
        <v>0</v>
      </c>
      <c r="E106" t="s">
        <v>39</v>
      </c>
      <c r="F106">
        <v>9250</v>
      </c>
      <c r="G106">
        <v>14929971.181818182</v>
      </c>
      <c r="H106">
        <v>0.97520662437785754</v>
      </c>
      <c r="I106">
        <v>0.94405594405594406</v>
      </c>
      <c r="J106">
        <v>2658907.9090909092</v>
      </c>
      <c r="K106">
        <v>16320</v>
      </c>
      <c r="L106">
        <v>2</v>
      </c>
      <c r="M106">
        <v>82</v>
      </c>
      <c r="N106">
        <v>0.95168467895740627</v>
      </c>
      <c r="O106">
        <v>2355393.8181818184</v>
      </c>
      <c r="P106">
        <v>16685</v>
      </c>
      <c r="Q106">
        <v>2</v>
      </c>
      <c r="R106">
        <v>83</v>
      </c>
      <c r="S106">
        <v>12.172749391727494</v>
      </c>
      <c r="T106">
        <v>0.97790696620941164</v>
      </c>
    </row>
    <row r="107" spans="1:20" x14ac:dyDescent="0.25">
      <c r="A107" t="s">
        <v>18</v>
      </c>
      <c r="B107">
        <v>3</v>
      </c>
      <c r="C107">
        <v>3</v>
      </c>
      <c r="D107">
        <v>0</v>
      </c>
      <c r="E107" t="s">
        <v>55</v>
      </c>
      <c r="F107">
        <v>9828</v>
      </c>
      <c r="G107">
        <v>14621836.636363637</v>
      </c>
      <c r="H107">
        <v>0.96376350792971521</v>
      </c>
      <c r="I107">
        <v>0.94469167196439929</v>
      </c>
      <c r="J107">
        <v>3011865.0909090908</v>
      </c>
      <c r="K107">
        <v>17427</v>
      </c>
      <c r="L107">
        <v>2</v>
      </c>
      <c r="M107">
        <v>85</v>
      </c>
      <c r="N107">
        <v>0.94405594405594406</v>
      </c>
      <c r="O107">
        <v>2615377.4545454546</v>
      </c>
      <c r="P107">
        <v>17804</v>
      </c>
      <c r="Q107">
        <v>2</v>
      </c>
      <c r="R107">
        <v>86</v>
      </c>
      <c r="S107">
        <v>12.156824782187803</v>
      </c>
      <c r="T107">
        <v>0.97558138370513914</v>
      </c>
    </row>
    <row r="108" spans="1:20" x14ac:dyDescent="0.25">
      <c r="A108" t="s">
        <v>18</v>
      </c>
      <c r="B108">
        <v>3</v>
      </c>
      <c r="C108">
        <v>3</v>
      </c>
      <c r="D108">
        <v>0</v>
      </c>
      <c r="E108" t="s">
        <v>66</v>
      </c>
      <c r="F108">
        <v>10406</v>
      </c>
      <c r="G108">
        <v>15789131.818181818</v>
      </c>
      <c r="H108">
        <v>0.95994914119893859</v>
      </c>
      <c r="I108">
        <v>0.93833439287984743</v>
      </c>
      <c r="J108">
        <v>7516838.0909090908</v>
      </c>
      <c r="K108">
        <v>18185</v>
      </c>
      <c r="L108">
        <v>2</v>
      </c>
      <c r="M108">
        <v>87</v>
      </c>
      <c r="N108">
        <v>0.94087730451366813</v>
      </c>
      <c r="O108">
        <v>8677278.4545454551</v>
      </c>
      <c r="P108">
        <v>18570</v>
      </c>
      <c r="Q108">
        <v>2</v>
      </c>
      <c r="R108">
        <v>88</v>
      </c>
      <c r="S108">
        <v>12.142994703899856</v>
      </c>
      <c r="T108">
        <v>0.97674417495727539</v>
      </c>
    </row>
    <row r="109" spans="1:20" x14ac:dyDescent="0.25">
      <c r="A109" t="s">
        <v>18</v>
      </c>
      <c r="B109">
        <v>3</v>
      </c>
      <c r="C109">
        <v>3</v>
      </c>
      <c r="D109">
        <v>0</v>
      </c>
      <c r="E109" t="s">
        <v>76</v>
      </c>
      <c r="F109">
        <v>10984</v>
      </c>
      <c r="G109">
        <v>15054462.454545455</v>
      </c>
      <c r="H109">
        <v>0.96567069400440564</v>
      </c>
      <c r="I109">
        <v>0.94087730451366813</v>
      </c>
      <c r="J109">
        <v>8965327.4545454551</v>
      </c>
      <c r="K109">
        <v>19352</v>
      </c>
      <c r="L109">
        <v>2</v>
      </c>
      <c r="M109">
        <v>90</v>
      </c>
      <c r="N109">
        <v>0.94278448823903371</v>
      </c>
      <c r="O109">
        <v>8101640</v>
      </c>
      <c r="P109">
        <v>19749</v>
      </c>
      <c r="Q109">
        <v>2</v>
      </c>
      <c r="R109">
        <v>91</v>
      </c>
      <c r="S109">
        <v>12.125478927203066</v>
      </c>
      <c r="T109">
        <v>0.97209300994873049</v>
      </c>
    </row>
    <row r="110" spans="1:20" x14ac:dyDescent="0.25">
      <c r="A110" t="s">
        <v>18</v>
      </c>
      <c r="B110">
        <v>3</v>
      </c>
      <c r="C110">
        <v>3</v>
      </c>
      <c r="D110">
        <v>0</v>
      </c>
      <c r="E110" t="s">
        <v>93</v>
      </c>
      <c r="F110">
        <v>11562</v>
      </c>
      <c r="G110">
        <v>17116412.818181816</v>
      </c>
      <c r="H110">
        <v>0.96757787466049194</v>
      </c>
      <c r="I110">
        <v>0.94596312778130964</v>
      </c>
      <c r="J110">
        <v>8652354.7272727266</v>
      </c>
      <c r="K110">
        <v>20150</v>
      </c>
      <c r="L110">
        <v>2</v>
      </c>
      <c r="M110">
        <v>92</v>
      </c>
      <c r="N110">
        <v>0.94342021614748883</v>
      </c>
      <c r="O110">
        <v>7766900.9090909092</v>
      </c>
      <c r="P110">
        <v>20555</v>
      </c>
      <c r="Q110">
        <v>2</v>
      </c>
      <c r="R110">
        <v>93</v>
      </c>
      <c r="S110">
        <v>12.112434492615531</v>
      </c>
      <c r="T110">
        <v>0.97674417495727539</v>
      </c>
    </row>
    <row r="111" spans="1:20" x14ac:dyDescent="0.25">
      <c r="A111" t="s">
        <v>18</v>
      </c>
      <c r="B111">
        <v>3</v>
      </c>
      <c r="C111">
        <v>3</v>
      </c>
      <c r="D111">
        <v>0</v>
      </c>
      <c r="E111" t="s">
        <v>94</v>
      </c>
      <c r="F111">
        <v>12140</v>
      </c>
      <c r="G111">
        <v>17388578.90909091</v>
      </c>
      <c r="H111">
        <v>0.96630641005255957</v>
      </c>
      <c r="I111">
        <v>0.94469167196439929</v>
      </c>
      <c r="J111">
        <v>8382239.2727272725</v>
      </c>
      <c r="K111">
        <v>21377</v>
      </c>
      <c r="L111">
        <v>2</v>
      </c>
      <c r="M111">
        <v>95</v>
      </c>
      <c r="N111">
        <v>0.94469167196439929</v>
      </c>
      <c r="O111">
        <v>9012080.9090909082</v>
      </c>
      <c r="P111">
        <v>21794</v>
      </c>
      <c r="Q111">
        <v>2</v>
      </c>
      <c r="R111">
        <v>96</v>
      </c>
      <c r="S111">
        <v>12.099052132701422</v>
      </c>
      <c r="T111">
        <v>0.97441859245300289</v>
      </c>
    </row>
    <row r="112" spans="1:20" x14ac:dyDescent="0.25">
      <c r="A112" t="s">
        <v>18</v>
      </c>
      <c r="B112">
        <v>3</v>
      </c>
      <c r="C112">
        <v>3</v>
      </c>
      <c r="D112">
        <v>0</v>
      </c>
      <c r="E112" t="s">
        <v>95</v>
      </c>
      <c r="F112">
        <v>12718</v>
      </c>
      <c r="G112">
        <v>17442521.727272727</v>
      </c>
      <c r="H112">
        <v>0.96694214235652576</v>
      </c>
      <c r="I112">
        <v>0.94914176732358546</v>
      </c>
      <c r="J112">
        <v>7597274.2727272725</v>
      </c>
      <c r="K112">
        <v>22215</v>
      </c>
      <c r="L112">
        <v>2</v>
      </c>
      <c r="M112">
        <v>97</v>
      </c>
      <c r="N112">
        <v>0.94024157660521301</v>
      </c>
      <c r="O112">
        <v>7667371.8181818184</v>
      </c>
      <c r="P112">
        <v>22640</v>
      </c>
      <c r="Q112">
        <v>2</v>
      </c>
      <c r="R112">
        <v>98</v>
      </c>
      <c r="S112">
        <v>12.083922677982084</v>
      </c>
      <c r="T112">
        <v>0.9790697574615479</v>
      </c>
    </row>
    <row r="113" spans="1:20" x14ac:dyDescent="0.25">
      <c r="A113" t="s">
        <v>18</v>
      </c>
      <c r="B113">
        <v>3</v>
      </c>
      <c r="C113">
        <v>4</v>
      </c>
      <c r="D113">
        <v>0</v>
      </c>
      <c r="E113" t="s">
        <v>93</v>
      </c>
      <c r="F113">
        <v>12842</v>
      </c>
      <c r="G113">
        <v>19471856.181818184</v>
      </c>
      <c r="H113">
        <v>0.96376351334831933</v>
      </c>
      <c r="I113">
        <v>0.94405594405594406</v>
      </c>
      <c r="J113">
        <v>7245586.1818181816</v>
      </c>
      <c r="K113">
        <v>23939</v>
      </c>
      <c r="L113">
        <v>2</v>
      </c>
      <c r="M113">
        <v>101</v>
      </c>
      <c r="N113">
        <v>0.94469167196439929</v>
      </c>
      <c r="O113">
        <v>8202663.5454545459</v>
      </c>
      <c r="P113">
        <v>24380</v>
      </c>
      <c r="Q113">
        <v>2</v>
      </c>
      <c r="R113">
        <v>102</v>
      </c>
      <c r="S113">
        <v>12.072701688555346</v>
      </c>
      <c r="T113">
        <v>0.97325580120086674</v>
      </c>
    </row>
    <row r="114" spans="1:20" x14ac:dyDescent="0.25">
      <c r="A114" t="s">
        <v>18</v>
      </c>
      <c r="B114">
        <v>3</v>
      </c>
      <c r="C114">
        <v>4</v>
      </c>
      <c r="D114">
        <v>0</v>
      </c>
      <c r="E114" t="s">
        <v>94</v>
      </c>
      <c r="F114">
        <v>13484</v>
      </c>
      <c r="G114">
        <v>18020417.727272727</v>
      </c>
      <c r="H114">
        <v>0.98092816092751245</v>
      </c>
      <c r="I114">
        <v>0.93070565797838523</v>
      </c>
      <c r="J114">
        <v>8288212.0909090908</v>
      </c>
      <c r="K114">
        <v>25274</v>
      </c>
      <c r="L114">
        <v>2</v>
      </c>
      <c r="M114">
        <v>104</v>
      </c>
      <c r="N114">
        <v>0.93833439287984743</v>
      </c>
      <c r="O114">
        <v>8995722.7272727266</v>
      </c>
      <c r="P114">
        <v>25727</v>
      </c>
      <c r="Q114">
        <v>2</v>
      </c>
      <c r="R114">
        <v>105</v>
      </c>
      <c r="S114">
        <v>12.060195986934204</v>
      </c>
      <c r="T114">
        <v>0.98023254871368404</v>
      </c>
    </row>
    <row r="115" spans="1:20" x14ac:dyDescent="0.25">
      <c r="A115" t="s">
        <v>18</v>
      </c>
      <c r="B115">
        <v>3</v>
      </c>
      <c r="C115">
        <v>4</v>
      </c>
      <c r="D115">
        <v>0</v>
      </c>
      <c r="E115" t="s">
        <v>95</v>
      </c>
      <c r="F115">
        <v>14126</v>
      </c>
      <c r="G115">
        <v>18922745.454545453</v>
      </c>
      <c r="H115">
        <v>0.98219961469823669</v>
      </c>
      <c r="I115">
        <v>0.94278448823903371</v>
      </c>
      <c r="J115">
        <v>7914378.4545454541</v>
      </c>
      <c r="K115">
        <v>26645</v>
      </c>
      <c r="L115">
        <v>2</v>
      </c>
      <c r="M115">
        <v>107</v>
      </c>
      <c r="N115">
        <v>0.93960584869675778</v>
      </c>
      <c r="O115">
        <v>8970891.2727272734</v>
      </c>
      <c r="P115">
        <v>27110</v>
      </c>
      <c r="Q115">
        <v>2</v>
      </c>
      <c r="R115">
        <v>108</v>
      </c>
      <c r="S115">
        <v>12.046889507892294</v>
      </c>
      <c r="T115">
        <v>0.97441859245300289</v>
      </c>
    </row>
    <row r="116" spans="1:20" x14ac:dyDescent="0.25">
      <c r="A116" t="s">
        <v>18</v>
      </c>
      <c r="B116">
        <v>3</v>
      </c>
      <c r="C116">
        <v>4</v>
      </c>
      <c r="D116">
        <v>0</v>
      </c>
      <c r="E116" t="s">
        <v>96</v>
      </c>
      <c r="F116">
        <v>14768</v>
      </c>
      <c r="G116">
        <v>18577778.727272727</v>
      </c>
      <c r="H116">
        <v>0.97965669090097596</v>
      </c>
      <c r="I116">
        <v>0.93833439287984743</v>
      </c>
      <c r="J116">
        <v>8895583.7272727266</v>
      </c>
      <c r="K116">
        <v>27579</v>
      </c>
      <c r="L116">
        <v>2</v>
      </c>
      <c r="M116">
        <v>109</v>
      </c>
      <c r="N116">
        <v>0.93769866497139231</v>
      </c>
      <c r="O116">
        <v>8500042.6363636367</v>
      </c>
      <c r="P116">
        <v>28052</v>
      </c>
      <c r="Q116">
        <v>2</v>
      </c>
      <c r="R116">
        <v>110</v>
      </c>
      <c r="S116">
        <v>12.033718244803696</v>
      </c>
      <c r="T116">
        <v>0.97558138370513914</v>
      </c>
    </row>
    <row r="117" spans="1:20" x14ac:dyDescent="0.25">
      <c r="A117" t="s">
        <v>18</v>
      </c>
      <c r="B117">
        <v>3</v>
      </c>
      <c r="C117">
        <v>4</v>
      </c>
      <c r="D117">
        <v>0</v>
      </c>
      <c r="E117" t="s">
        <v>97</v>
      </c>
      <c r="F117">
        <v>15410</v>
      </c>
      <c r="G117">
        <v>20506343.09090909</v>
      </c>
      <c r="H117">
        <v>0.9821996201168407</v>
      </c>
      <c r="I117">
        <v>0.9351557533375715</v>
      </c>
      <c r="J117">
        <v>9276978.1818181816</v>
      </c>
      <c r="K117">
        <v>29010</v>
      </c>
      <c r="L117">
        <v>2</v>
      </c>
      <c r="M117">
        <v>112</v>
      </c>
      <c r="N117">
        <v>0.93261284170375081</v>
      </c>
      <c r="O117">
        <v>8002139.7272727275</v>
      </c>
      <c r="P117">
        <v>29495</v>
      </c>
      <c r="Q117">
        <v>2</v>
      </c>
      <c r="R117">
        <v>113</v>
      </c>
      <c r="S117">
        <v>12.0234375</v>
      </c>
      <c r="T117">
        <v>0.97790696620941164</v>
      </c>
    </row>
    <row r="118" spans="1:20" x14ac:dyDescent="0.25">
      <c r="A118" t="s">
        <v>18</v>
      </c>
      <c r="B118">
        <v>3</v>
      </c>
      <c r="C118">
        <v>4</v>
      </c>
      <c r="D118">
        <v>0</v>
      </c>
      <c r="E118" t="s">
        <v>98</v>
      </c>
      <c r="F118">
        <v>16052</v>
      </c>
      <c r="G118">
        <v>22357537.636363637</v>
      </c>
      <c r="H118">
        <v>0.98219960927963257</v>
      </c>
      <c r="I118">
        <v>0.93579148124602674</v>
      </c>
      <c r="J118">
        <v>8804203.2727272734</v>
      </c>
      <c r="K118">
        <v>29984</v>
      </c>
      <c r="L118">
        <v>2</v>
      </c>
      <c r="M118">
        <v>114</v>
      </c>
      <c r="N118">
        <v>0.93897012078830255</v>
      </c>
      <c r="O118">
        <v>8136293.9090909092</v>
      </c>
      <c r="P118">
        <v>30477</v>
      </c>
      <c r="Q118">
        <v>2</v>
      </c>
      <c r="R118">
        <v>115</v>
      </c>
      <c r="S118">
        <v>12.015089163237311</v>
      </c>
      <c r="T118">
        <v>0.98255813121795654</v>
      </c>
    </row>
    <row r="119" spans="1:20" x14ac:dyDescent="0.25">
      <c r="A119" t="s">
        <v>18</v>
      </c>
      <c r="B119">
        <v>3</v>
      </c>
      <c r="C119">
        <v>4</v>
      </c>
      <c r="D119">
        <v>0</v>
      </c>
      <c r="E119" t="s">
        <v>99</v>
      </c>
      <c r="F119">
        <v>16694</v>
      </c>
      <c r="G119">
        <v>24394208.181818184</v>
      </c>
      <c r="H119">
        <v>0.97902095859700988</v>
      </c>
      <c r="I119">
        <v>0.93833439287984743</v>
      </c>
      <c r="J119">
        <v>8089637.7272727275</v>
      </c>
      <c r="K119">
        <v>31475</v>
      </c>
      <c r="L119">
        <v>2</v>
      </c>
      <c r="M119">
        <v>117</v>
      </c>
      <c r="N119">
        <v>0.9351557533375715</v>
      </c>
      <c r="O119">
        <v>9253157.9090909082</v>
      </c>
      <c r="P119">
        <v>31980</v>
      </c>
      <c r="Q119">
        <v>2</v>
      </c>
      <c r="R119">
        <v>118</v>
      </c>
      <c r="S119">
        <v>12.008189262966333</v>
      </c>
      <c r="T119">
        <v>0.97790696620941164</v>
      </c>
    </row>
    <row r="120" spans="1:20" x14ac:dyDescent="0.25">
      <c r="A120" t="s">
        <v>18</v>
      </c>
      <c r="B120">
        <v>3</v>
      </c>
      <c r="C120">
        <v>4</v>
      </c>
      <c r="D120">
        <v>0</v>
      </c>
      <c r="E120" t="s">
        <v>100</v>
      </c>
      <c r="F120">
        <v>17336</v>
      </c>
      <c r="G120">
        <v>21984614.727272727</v>
      </c>
      <c r="H120">
        <v>0.9783852262930437</v>
      </c>
      <c r="I120">
        <v>0.93897012078830266</v>
      </c>
      <c r="J120">
        <v>8415139.0909090918</v>
      </c>
      <c r="K120">
        <v>32489</v>
      </c>
      <c r="L120">
        <v>2</v>
      </c>
      <c r="M120">
        <v>119</v>
      </c>
      <c r="N120">
        <v>0.93579148124602674</v>
      </c>
      <c r="O120">
        <v>8787866.0909090918</v>
      </c>
      <c r="P120">
        <v>33002</v>
      </c>
      <c r="Q120">
        <v>2</v>
      </c>
      <c r="R120">
        <v>120</v>
      </c>
      <c r="S120">
        <v>11.997283838841104</v>
      </c>
      <c r="T120">
        <v>0.9790697574615479</v>
      </c>
    </row>
    <row r="121" spans="1:20" x14ac:dyDescent="0.25">
      <c r="A121" t="s">
        <v>18</v>
      </c>
      <c r="B121">
        <v>3</v>
      </c>
      <c r="C121">
        <v>4</v>
      </c>
      <c r="D121">
        <v>0</v>
      </c>
      <c r="E121" t="s">
        <v>101</v>
      </c>
      <c r="F121">
        <v>17978</v>
      </c>
      <c r="G121">
        <v>25207823.181818184</v>
      </c>
      <c r="H121">
        <v>0.98092815550890833</v>
      </c>
      <c r="I121">
        <v>0.94024157660521301</v>
      </c>
      <c r="J121">
        <v>7805614.9090909092</v>
      </c>
      <c r="K121">
        <v>34040</v>
      </c>
      <c r="L121">
        <v>2</v>
      </c>
      <c r="M121">
        <v>122</v>
      </c>
      <c r="N121">
        <v>0.94087730451366813</v>
      </c>
      <c r="O121">
        <v>8904205.7272727266</v>
      </c>
      <c r="P121">
        <v>34565</v>
      </c>
      <c r="Q121">
        <v>2</v>
      </c>
      <c r="R121">
        <v>123</v>
      </c>
      <c r="S121">
        <v>11.99009009009009</v>
      </c>
      <c r="T121">
        <v>0.98255813121795654</v>
      </c>
    </row>
    <row r="122" spans="1:20" x14ac:dyDescent="0.25">
      <c r="A122" t="s">
        <v>18</v>
      </c>
      <c r="B122">
        <v>3</v>
      </c>
      <c r="C122">
        <v>4</v>
      </c>
      <c r="D122">
        <v>0</v>
      </c>
      <c r="E122" t="s">
        <v>102</v>
      </c>
      <c r="F122">
        <v>18620</v>
      </c>
      <c r="G122">
        <v>25738760.454545453</v>
      </c>
      <c r="H122">
        <v>0.97584232958880335</v>
      </c>
      <c r="I122">
        <v>0.93897012078830255</v>
      </c>
      <c r="J122">
        <v>8688646.3636363633</v>
      </c>
      <c r="K122">
        <v>35094</v>
      </c>
      <c r="L122">
        <v>2</v>
      </c>
      <c r="M122">
        <v>124</v>
      </c>
      <c r="N122">
        <v>0.93579148124602674</v>
      </c>
      <c r="O122">
        <v>8909970.0909090918</v>
      </c>
      <c r="P122">
        <v>35627</v>
      </c>
      <c r="Q122">
        <v>2</v>
      </c>
      <c r="R122">
        <v>125</v>
      </c>
      <c r="S122">
        <v>11.982070820259974</v>
      </c>
      <c r="T122">
        <v>0.98023254871368404</v>
      </c>
    </row>
    <row r="123" spans="1:20" x14ac:dyDescent="0.25">
      <c r="A123" t="s">
        <v>18</v>
      </c>
      <c r="B123">
        <v>3</v>
      </c>
      <c r="C123">
        <v>4</v>
      </c>
      <c r="D123">
        <v>0</v>
      </c>
      <c r="E123" t="s">
        <v>103</v>
      </c>
      <c r="F123">
        <v>19262</v>
      </c>
      <c r="G123">
        <v>24915606</v>
      </c>
      <c r="H123">
        <v>0.97469197284607656</v>
      </c>
      <c r="I123">
        <v>0.93706293706293708</v>
      </c>
      <c r="J123">
        <v>9311345.5238095243</v>
      </c>
      <c r="K123">
        <v>36164</v>
      </c>
      <c r="L123">
        <v>2</v>
      </c>
      <c r="M123">
        <v>126</v>
      </c>
      <c r="N123">
        <v>0.93706293706293708</v>
      </c>
      <c r="O123">
        <v>8542329.7619047612</v>
      </c>
      <c r="P123">
        <v>36705</v>
      </c>
      <c r="Q123">
        <v>2</v>
      </c>
      <c r="R123">
        <v>127</v>
      </c>
      <c r="S123">
        <v>11.958703374777976</v>
      </c>
      <c r="T123">
        <v>0.9790697574615479</v>
      </c>
    </row>
    <row r="124" spans="1:20" x14ac:dyDescent="0.25">
      <c r="A124" t="s">
        <v>18</v>
      </c>
      <c r="B124">
        <v>3</v>
      </c>
      <c r="C124">
        <v>4</v>
      </c>
      <c r="D124">
        <v>0</v>
      </c>
      <c r="E124" t="s">
        <v>104</v>
      </c>
      <c r="F124">
        <v>19904</v>
      </c>
      <c r="G124">
        <v>27507856.095238097</v>
      </c>
      <c r="H124">
        <v>0.97735597406114849</v>
      </c>
      <c r="I124">
        <v>0.93406593406593408</v>
      </c>
      <c r="J124">
        <v>8297191.666666667</v>
      </c>
      <c r="K124">
        <v>37250</v>
      </c>
      <c r="L124">
        <v>2</v>
      </c>
      <c r="M124">
        <v>128</v>
      </c>
      <c r="N124">
        <v>0.94338994338994342</v>
      </c>
      <c r="O124">
        <v>8592050.0476190485</v>
      </c>
      <c r="P124">
        <v>37799</v>
      </c>
      <c r="Q124">
        <v>2</v>
      </c>
      <c r="R124">
        <v>129</v>
      </c>
      <c r="S124">
        <v>11.945446546414431</v>
      </c>
      <c r="T124">
        <v>0.98604650497436519</v>
      </c>
    </row>
    <row r="125" spans="1:20" x14ac:dyDescent="0.25">
      <c r="A125" t="s">
        <v>18</v>
      </c>
      <c r="B125">
        <v>3</v>
      </c>
      <c r="C125">
        <v>4</v>
      </c>
      <c r="D125">
        <v>0</v>
      </c>
      <c r="E125" t="s">
        <v>25</v>
      </c>
      <c r="F125">
        <v>19946</v>
      </c>
      <c r="G125">
        <v>29962921.476190478</v>
      </c>
      <c r="H125">
        <v>0.98068598338535851</v>
      </c>
      <c r="I125">
        <v>0.9430569430569431</v>
      </c>
      <c r="J125">
        <v>7982556.8571428573</v>
      </c>
      <c r="K125">
        <v>37799</v>
      </c>
      <c r="L125">
        <v>2</v>
      </c>
      <c r="M125">
        <v>129</v>
      </c>
      <c r="N125">
        <v>0.93539793539793537</v>
      </c>
      <c r="O125">
        <v>8839306.2857142854</v>
      </c>
      <c r="P125">
        <v>38352</v>
      </c>
      <c r="Q125">
        <v>2</v>
      </c>
      <c r="R125">
        <v>130</v>
      </c>
      <c r="S125">
        <v>11.935483870967742</v>
      </c>
      <c r="T125">
        <v>0.98139533996582029</v>
      </c>
    </row>
    <row r="126" spans="1:20" x14ac:dyDescent="0.25">
      <c r="A126" t="s">
        <v>18</v>
      </c>
      <c r="B126">
        <v>3</v>
      </c>
      <c r="C126">
        <v>4</v>
      </c>
      <c r="D126">
        <v>0</v>
      </c>
      <c r="E126" t="s">
        <v>26</v>
      </c>
      <c r="F126">
        <v>20588</v>
      </c>
      <c r="G126">
        <v>28806988.181818184</v>
      </c>
      <c r="H126">
        <v>0.97774952108209778</v>
      </c>
      <c r="I126">
        <v>0.9376986649713922</v>
      </c>
      <c r="J126">
        <v>9538953.4545454551</v>
      </c>
      <c r="K126">
        <v>38909</v>
      </c>
      <c r="L126">
        <v>2</v>
      </c>
      <c r="M126">
        <v>131</v>
      </c>
      <c r="N126">
        <v>0.93452002542911639</v>
      </c>
      <c r="O126">
        <v>8678890.8181818184</v>
      </c>
      <c r="P126">
        <v>39470</v>
      </c>
      <c r="Q126">
        <v>2</v>
      </c>
      <c r="R126">
        <v>132</v>
      </c>
      <c r="S126">
        <v>11.927548806941431</v>
      </c>
      <c r="T126">
        <v>0.9837209224700928</v>
      </c>
    </row>
    <row r="127" spans="1:20" x14ac:dyDescent="0.25">
      <c r="A127" t="s">
        <v>18</v>
      </c>
      <c r="B127">
        <v>3</v>
      </c>
      <c r="C127">
        <v>4</v>
      </c>
      <c r="D127">
        <v>0</v>
      </c>
      <c r="E127" t="s">
        <v>56</v>
      </c>
      <c r="F127">
        <v>21066</v>
      </c>
      <c r="G127">
        <v>30661247.952380951</v>
      </c>
      <c r="H127">
        <v>0.96803195987428936</v>
      </c>
      <c r="I127">
        <v>0.93872793872793869</v>
      </c>
      <c r="J127">
        <v>9394113</v>
      </c>
      <c r="K127">
        <v>39470</v>
      </c>
      <c r="L127">
        <v>2</v>
      </c>
      <c r="M127">
        <v>132</v>
      </c>
      <c r="N127">
        <v>0.93373293373293376</v>
      </c>
      <c r="O127">
        <v>9283052.1904761903</v>
      </c>
      <c r="P127">
        <v>40035</v>
      </c>
      <c r="Q127">
        <v>2</v>
      </c>
      <c r="R127">
        <v>133</v>
      </c>
      <c r="S127">
        <v>11.918314703353396</v>
      </c>
      <c r="T127">
        <v>0.98081394433975222</v>
      </c>
    </row>
    <row r="128" spans="1:20" x14ac:dyDescent="0.25">
      <c r="A128" t="s">
        <v>18</v>
      </c>
      <c r="B128">
        <v>3</v>
      </c>
      <c r="C128">
        <v>4</v>
      </c>
      <c r="D128">
        <v>0</v>
      </c>
      <c r="E128" t="s">
        <v>27</v>
      </c>
      <c r="F128">
        <v>21230</v>
      </c>
      <c r="G128">
        <v>31446953.454545453</v>
      </c>
      <c r="H128">
        <v>0.9745708703994751</v>
      </c>
      <c r="I128">
        <v>0.92943420216147488</v>
      </c>
      <c r="J128">
        <v>8276518.2727272725</v>
      </c>
      <c r="K128">
        <v>40035</v>
      </c>
      <c r="L128">
        <v>2</v>
      </c>
      <c r="M128">
        <v>133</v>
      </c>
      <c r="N128">
        <v>0.93388429752066116</v>
      </c>
      <c r="O128">
        <v>9347737.1818181816</v>
      </c>
      <c r="P128">
        <v>40604</v>
      </c>
      <c r="Q128">
        <v>2</v>
      </c>
      <c r="R128">
        <v>134</v>
      </c>
      <c r="S128">
        <v>11.913564398801883</v>
      </c>
      <c r="T128">
        <v>0.98023254871368404</v>
      </c>
    </row>
    <row r="129" spans="1:20" x14ac:dyDescent="0.25">
      <c r="A129" t="s">
        <v>18</v>
      </c>
      <c r="B129">
        <v>3</v>
      </c>
      <c r="C129">
        <v>4</v>
      </c>
      <c r="D129">
        <v>0</v>
      </c>
      <c r="E129" t="s">
        <v>28</v>
      </c>
      <c r="F129">
        <v>21872</v>
      </c>
      <c r="G129">
        <v>32573226.285714287</v>
      </c>
      <c r="H129">
        <v>0.97602397203445435</v>
      </c>
      <c r="I129">
        <v>0.9343989343989344</v>
      </c>
      <c r="J129">
        <v>9086401.1904761903</v>
      </c>
      <c r="K129">
        <v>41177</v>
      </c>
      <c r="L129">
        <v>2</v>
      </c>
      <c r="M129">
        <v>135</v>
      </c>
      <c r="N129">
        <v>0.93772893772893773</v>
      </c>
      <c r="O129">
        <v>7915540.2380952379</v>
      </c>
      <c r="P129">
        <v>41754</v>
      </c>
      <c r="Q129">
        <v>2</v>
      </c>
      <c r="R129">
        <v>136</v>
      </c>
      <c r="S129">
        <v>11.906276505513146</v>
      </c>
      <c r="T129">
        <v>0.98139533996582029</v>
      </c>
    </row>
    <row r="130" spans="1:20" x14ac:dyDescent="0.25">
      <c r="A130" t="s">
        <v>18</v>
      </c>
      <c r="B130">
        <v>3</v>
      </c>
      <c r="C130">
        <v>4</v>
      </c>
      <c r="D130">
        <v>0</v>
      </c>
      <c r="E130" t="s">
        <v>67</v>
      </c>
      <c r="F130">
        <v>22268</v>
      </c>
      <c r="G130">
        <v>33569996.129032262</v>
      </c>
      <c r="H130">
        <v>0.97247912614576282</v>
      </c>
      <c r="I130">
        <v>0.93909316489961647</v>
      </c>
      <c r="J130">
        <v>9016687.8064516131</v>
      </c>
      <c r="K130">
        <v>41754</v>
      </c>
      <c r="L130">
        <v>2</v>
      </c>
      <c r="M130">
        <v>136</v>
      </c>
      <c r="N130">
        <v>0.94022106925332738</v>
      </c>
      <c r="O130">
        <v>8675234.2580645159</v>
      </c>
      <c r="P130">
        <v>42335</v>
      </c>
      <c r="Q130">
        <v>2</v>
      </c>
      <c r="R130">
        <v>137</v>
      </c>
      <c r="S130">
        <v>11.895353704478861</v>
      </c>
      <c r="T130">
        <v>0.98217053413391109</v>
      </c>
    </row>
    <row r="131" spans="1:20" x14ac:dyDescent="0.25">
      <c r="A131" t="s">
        <v>18</v>
      </c>
      <c r="B131">
        <v>3</v>
      </c>
      <c r="C131">
        <v>4</v>
      </c>
      <c r="D131">
        <v>0</v>
      </c>
      <c r="E131" t="s">
        <v>29</v>
      </c>
      <c r="F131">
        <v>22514</v>
      </c>
      <c r="G131">
        <v>35063937.18181818</v>
      </c>
      <c r="H131">
        <v>0.95931341431357642</v>
      </c>
      <c r="I131">
        <v>0.94151303242212336</v>
      </c>
      <c r="J131">
        <v>8777371.9090909082</v>
      </c>
      <c r="K131">
        <v>42335</v>
      </c>
      <c r="L131">
        <v>2</v>
      </c>
      <c r="M131">
        <v>137</v>
      </c>
      <c r="N131">
        <v>0.9376986649713922</v>
      </c>
      <c r="O131">
        <v>8965068.5454545449</v>
      </c>
      <c r="P131">
        <v>42920</v>
      </c>
      <c r="Q131">
        <v>2</v>
      </c>
      <c r="R131">
        <v>138</v>
      </c>
      <c r="S131">
        <v>11.892083333333334</v>
      </c>
      <c r="T131">
        <v>0.9686046421527863</v>
      </c>
    </row>
    <row r="132" spans="1:20" x14ac:dyDescent="0.25">
      <c r="A132" t="s">
        <v>18</v>
      </c>
      <c r="B132">
        <v>3</v>
      </c>
      <c r="C132">
        <v>4</v>
      </c>
      <c r="D132">
        <v>0</v>
      </c>
      <c r="E132" t="s">
        <v>30</v>
      </c>
      <c r="F132">
        <v>23156</v>
      </c>
      <c r="G132">
        <v>33941094.516129032</v>
      </c>
      <c r="H132">
        <v>0.97450935456060594</v>
      </c>
      <c r="I132">
        <v>0.93999548838258518</v>
      </c>
      <c r="J132">
        <v>8413130.4193548393</v>
      </c>
      <c r="K132">
        <v>43509</v>
      </c>
      <c r="L132">
        <v>2</v>
      </c>
      <c r="M132">
        <v>139</v>
      </c>
      <c r="N132">
        <v>0.9336792240018047</v>
      </c>
      <c r="O132">
        <v>8844208.9032258056</v>
      </c>
      <c r="P132">
        <v>44102</v>
      </c>
      <c r="Q132">
        <v>2</v>
      </c>
      <c r="R132">
        <v>140</v>
      </c>
      <c r="S132">
        <v>11.88358700123406</v>
      </c>
      <c r="T132">
        <v>0.98023254871368404</v>
      </c>
    </row>
    <row r="133" spans="1:20" x14ac:dyDescent="0.25">
      <c r="A133" t="s">
        <v>18</v>
      </c>
      <c r="B133">
        <v>3</v>
      </c>
      <c r="C133">
        <v>4</v>
      </c>
      <c r="D133">
        <v>0</v>
      </c>
      <c r="E133" t="s">
        <v>44</v>
      </c>
      <c r="F133">
        <v>23274</v>
      </c>
      <c r="G133">
        <v>33425404.967741936</v>
      </c>
      <c r="H133">
        <v>0.97338144817659933</v>
      </c>
      <c r="I133">
        <v>0.93006993006993011</v>
      </c>
      <c r="J133">
        <v>8763317.9032258056</v>
      </c>
      <c r="K133">
        <v>44102</v>
      </c>
      <c r="L133">
        <v>2</v>
      </c>
      <c r="M133">
        <v>140</v>
      </c>
      <c r="N133">
        <v>0.9305210918114144</v>
      </c>
      <c r="O133">
        <v>9407023.5161290318</v>
      </c>
      <c r="P133">
        <v>44699</v>
      </c>
      <c r="Q133">
        <v>2</v>
      </c>
      <c r="R133">
        <v>141</v>
      </c>
      <c r="S133">
        <v>11.866774979691307</v>
      </c>
      <c r="T133">
        <v>0.97984495162963869</v>
      </c>
    </row>
    <row r="134" spans="1:20" x14ac:dyDescent="0.25">
      <c r="A134" t="s">
        <v>18</v>
      </c>
      <c r="B134">
        <v>3</v>
      </c>
      <c r="C134">
        <v>4</v>
      </c>
      <c r="D134">
        <v>0</v>
      </c>
      <c r="E134" t="s">
        <v>31</v>
      </c>
      <c r="F134">
        <v>23798</v>
      </c>
      <c r="G134">
        <v>33827228.142857142</v>
      </c>
      <c r="H134">
        <v>0.9793539700053987</v>
      </c>
      <c r="I134">
        <v>0.9357309357309358</v>
      </c>
      <c r="J134">
        <v>9314553.2380952388</v>
      </c>
      <c r="K134">
        <v>44699</v>
      </c>
      <c r="L134">
        <v>2</v>
      </c>
      <c r="M134">
        <v>141</v>
      </c>
      <c r="N134">
        <v>0.9357309357309358</v>
      </c>
      <c r="O134">
        <v>8865231.7142857146</v>
      </c>
      <c r="P134">
        <v>45300</v>
      </c>
      <c r="Q134">
        <v>2</v>
      </c>
      <c r="R134">
        <v>142</v>
      </c>
      <c r="S134">
        <v>11.855014095851793</v>
      </c>
      <c r="T134">
        <v>0.98081394433975222</v>
      </c>
    </row>
    <row r="135" spans="1:20" x14ac:dyDescent="0.25">
      <c r="A135" t="s">
        <v>18</v>
      </c>
      <c r="B135">
        <v>3</v>
      </c>
      <c r="C135">
        <v>4</v>
      </c>
      <c r="D135">
        <v>0</v>
      </c>
      <c r="E135" t="s">
        <v>45</v>
      </c>
      <c r="F135">
        <v>23956</v>
      </c>
      <c r="G135">
        <v>33196924.285714287</v>
      </c>
      <c r="H135">
        <v>0.96936395906266715</v>
      </c>
      <c r="I135">
        <v>0.94205794205794202</v>
      </c>
      <c r="J135">
        <v>8831631.7142857146</v>
      </c>
      <c r="K135">
        <v>45300</v>
      </c>
      <c r="L135">
        <v>2</v>
      </c>
      <c r="M135">
        <v>142</v>
      </c>
      <c r="N135">
        <v>0.93772893772893773</v>
      </c>
      <c r="O135">
        <v>8513968.8571428563</v>
      </c>
      <c r="P135">
        <v>45905</v>
      </c>
      <c r="Q135">
        <v>2</v>
      </c>
      <c r="R135">
        <v>143</v>
      </c>
      <c r="S135">
        <v>11.840654952076678</v>
      </c>
      <c r="T135">
        <v>0.9790697574615479</v>
      </c>
    </row>
    <row r="136" spans="1:20" x14ac:dyDescent="0.25">
      <c r="A136" t="s">
        <v>18</v>
      </c>
      <c r="B136">
        <v>3</v>
      </c>
      <c r="C136">
        <v>4</v>
      </c>
      <c r="D136">
        <v>0</v>
      </c>
      <c r="E136" t="s">
        <v>32</v>
      </c>
      <c r="F136">
        <v>24440</v>
      </c>
      <c r="G136">
        <v>38041370</v>
      </c>
      <c r="H136">
        <v>0.97602397203445435</v>
      </c>
      <c r="I136">
        <v>0.93739593739593741</v>
      </c>
      <c r="J136">
        <v>7824598.3809523806</v>
      </c>
      <c r="K136">
        <v>45905</v>
      </c>
      <c r="L136">
        <v>2</v>
      </c>
      <c r="M136">
        <v>143</v>
      </c>
      <c r="N136">
        <v>0.93772893772893773</v>
      </c>
      <c r="O136">
        <v>9583681.9523809515</v>
      </c>
      <c r="P136">
        <v>46514</v>
      </c>
      <c r="Q136">
        <v>2</v>
      </c>
      <c r="R136">
        <v>144</v>
      </c>
      <c r="S136">
        <v>11.83960396039604</v>
      </c>
      <c r="T136">
        <v>0.97965115308761597</v>
      </c>
    </row>
    <row r="137" spans="1:20" x14ac:dyDescent="0.25">
      <c r="A137" t="s">
        <v>18</v>
      </c>
      <c r="B137">
        <v>3</v>
      </c>
      <c r="C137">
        <v>4</v>
      </c>
      <c r="D137">
        <v>0</v>
      </c>
      <c r="E137" t="s">
        <v>46</v>
      </c>
      <c r="F137">
        <v>24638</v>
      </c>
      <c r="G137">
        <v>36050346.714285716</v>
      </c>
      <c r="H137">
        <v>0.97569096656072707</v>
      </c>
      <c r="I137">
        <v>0.93872793872793869</v>
      </c>
      <c r="J137">
        <v>9259886.0952380951</v>
      </c>
      <c r="K137">
        <v>46514</v>
      </c>
      <c r="L137">
        <v>2</v>
      </c>
      <c r="M137">
        <v>144</v>
      </c>
      <c r="N137">
        <v>0.93606393606393612</v>
      </c>
      <c r="O137">
        <v>8931886.5238095243</v>
      </c>
      <c r="P137">
        <v>47127</v>
      </c>
      <c r="Q137">
        <v>2</v>
      </c>
      <c r="R137">
        <v>145</v>
      </c>
      <c r="S137">
        <v>11.831500392772977</v>
      </c>
      <c r="T137">
        <v>0.98081394433975222</v>
      </c>
    </row>
    <row r="138" spans="1:20" x14ac:dyDescent="0.25">
      <c r="A138" t="s">
        <v>18</v>
      </c>
      <c r="B138">
        <v>3</v>
      </c>
      <c r="C138">
        <v>4</v>
      </c>
      <c r="D138">
        <v>0</v>
      </c>
      <c r="E138" t="s">
        <v>33</v>
      </c>
      <c r="F138">
        <v>25082</v>
      </c>
      <c r="G138">
        <v>36450766.645161293</v>
      </c>
      <c r="H138">
        <v>0.96819309265382825</v>
      </c>
      <c r="I138">
        <v>0.93728851793367929</v>
      </c>
      <c r="J138">
        <v>9140768.5161290318</v>
      </c>
      <c r="K138">
        <v>47127</v>
      </c>
      <c r="L138">
        <v>2</v>
      </c>
      <c r="M138">
        <v>145</v>
      </c>
      <c r="N138">
        <v>0.93796526054590568</v>
      </c>
      <c r="O138">
        <v>8403498.4838709682</v>
      </c>
      <c r="P138">
        <v>47744</v>
      </c>
      <c r="Q138">
        <v>2</v>
      </c>
      <c r="R138">
        <v>146</v>
      </c>
      <c r="S138">
        <v>11.820721769499418</v>
      </c>
      <c r="T138">
        <v>0.97945735454559324</v>
      </c>
    </row>
    <row r="139" spans="1:20" x14ac:dyDescent="0.25">
      <c r="A139" t="s">
        <v>18</v>
      </c>
      <c r="B139">
        <v>3</v>
      </c>
      <c r="C139">
        <v>4</v>
      </c>
      <c r="D139">
        <v>0</v>
      </c>
      <c r="E139" t="s">
        <v>47</v>
      </c>
      <c r="F139">
        <v>25320</v>
      </c>
      <c r="G139">
        <v>37171087.047619045</v>
      </c>
      <c r="H139">
        <v>0.97236096858978271</v>
      </c>
      <c r="I139">
        <v>0.93906093906093913</v>
      </c>
      <c r="J139">
        <v>9412689.9523809515</v>
      </c>
      <c r="K139">
        <v>47744</v>
      </c>
      <c r="L139">
        <v>2</v>
      </c>
      <c r="M139">
        <v>146</v>
      </c>
      <c r="N139">
        <v>0.93539793539793548</v>
      </c>
      <c r="O139">
        <v>8607880.3809523806</v>
      </c>
      <c r="P139">
        <v>48365</v>
      </c>
      <c r="Q139">
        <v>2</v>
      </c>
      <c r="R139">
        <v>147</v>
      </c>
      <c r="S139">
        <v>11.81562740569669</v>
      </c>
      <c r="T139">
        <v>0.98197673559188847</v>
      </c>
    </row>
    <row r="140" spans="1:20" x14ac:dyDescent="0.25">
      <c r="A140" t="s">
        <v>18</v>
      </c>
      <c r="B140">
        <v>3</v>
      </c>
      <c r="C140">
        <v>4</v>
      </c>
      <c r="D140">
        <v>0</v>
      </c>
      <c r="E140" t="s">
        <v>34</v>
      </c>
      <c r="F140">
        <v>25724</v>
      </c>
      <c r="G140">
        <v>36851052.806451611</v>
      </c>
      <c r="H140">
        <v>0.97383260919201764</v>
      </c>
      <c r="I140">
        <v>0.9305210918114144</v>
      </c>
      <c r="J140">
        <v>8464013.2258064523</v>
      </c>
      <c r="K140">
        <v>48365</v>
      </c>
      <c r="L140">
        <v>2</v>
      </c>
      <c r="M140">
        <v>147</v>
      </c>
      <c r="N140">
        <v>0.93931874577035868</v>
      </c>
      <c r="O140">
        <v>8685602.9032258056</v>
      </c>
      <c r="P140">
        <v>48990</v>
      </c>
      <c r="Q140">
        <v>2</v>
      </c>
      <c r="R140">
        <v>148</v>
      </c>
      <c r="S140">
        <v>11.803727653100038</v>
      </c>
      <c r="T140">
        <v>0.98100774288177495</v>
      </c>
    </row>
    <row r="141" spans="1:20" x14ac:dyDescent="0.25">
      <c r="A141" t="s">
        <v>18</v>
      </c>
      <c r="B141">
        <v>3</v>
      </c>
      <c r="C141">
        <v>4</v>
      </c>
      <c r="D141">
        <v>0</v>
      </c>
      <c r="E141" t="s">
        <v>48</v>
      </c>
      <c r="F141">
        <v>26002</v>
      </c>
      <c r="G141">
        <v>36061804.909090906</v>
      </c>
      <c r="H141">
        <v>0.97647806189276953</v>
      </c>
      <c r="I141">
        <v>0.94024157660521301</v>
      </c>
      <c r="J141">
        <v>9057232.0909090918</v>
      </c>
      <c r="K141">
        <v>48990</v>
      </c>
      <c r="L141">
        <v>2</v>
      </c>
      <c r="M141">
        <v>148</v>
      </c>
      <c r="N141">
        <v>0.94532739987285441</v>
      </c>
      <c r="O141">
        <v>9262982.4545454551</v>
      </c>
      <c r="P141">
        <v>49619</v>
      </c>
      <c r="Q141">
        <v>2</v>
      </c>
      <c r="R141">
        <v>149</v>
      </c>
      <c r="S141">
        <v>11.800378787878788</v>
      </c>
      <c r="T141">
        <v>0.98255813121795654</v>
      </c>
    </row>
    <row r="142" spans="1:20" x14ac:dyDescent="0.25">
      <c r="A142" t="s">
        <v>18</v>
      </c>
      <c r="B142">
        <v>3</v>
      </c>
      <c r="C142">
        <v>4</v>
      </c>
      <c r="D142">
        <v>0</v>
      </c>
      <c r="E142" t="s">
        <v>35</v>
      </c>
      <c r="F142">
        <v>26366</v>
      </c>
      <c r="G142">
        <v>39007558.536585368</v>
      </c>
      <c r="H142">
        <v>0.96998123134054792</v>
      </c>
      <c r="I142">
        <v>0.93979191540167151</v>
      </c>
      <c r="J142">
        <v>8449056.9268292692</v>
      </c>
      <c r="K142">
        <v>49619</v>
      </c>
      <c r="L142">
        <v>2</v>
      </c>
      <c r="M142">
        <v>149</v>
      </c>
      <c r="N142">
        <v>0.93621013133208253</v>
      </c>
      <c r="O142">
        <v>8913779.7560975607</v>
      </c>
      <c r="P142">
        <v>50252</v>
      </c>
      <c r="Q142">
        <v>2</v>
      </c>
      <c r="R142">
        <v>150</v>
      </c>
      <c r="S142">
        <v>11.7911227154047</v>
      </c>
      <c r="T142">
        <v>0.97994185090065</v>
      </c>
    </row>
    <row r="143" spans="1:20" x14ac:dyDescent="0.25">
      <c r="A143" t="s">
        <v>18</v>
      </c>
      <c r="B143">
        <v>3</v>
      </c>
      <c r="C143">
        <v>4</v>
      </c>
      <c r="D143">
        <v>0</v>
      </c>
      <c r="E143" t="s">
        <v>49</v>
      </c>
      <c r="F143">
        <v>26684</v>
      </c>
      <c r="G143">
        <v>43294123.727272727</v>
      </c>
      <c r="H143">
        <v>0.97520660812204529</v>
      </c>
      <c r="I143">
        <v>0.94342021614748883</v>
      </c>
      <c r="J143">
        <v>9736620.2727272734</v>
      </c>
      <c r="K143">
        <v>50252</v>
      </c>
      <c r="L143">
        <v>2</v>
      </c>
      <c r="M143">
        <v>150</v>
      </c>
      <c r="N143">
        <v>0.94024157660521301</v>
      </c>
      <c r="O143">
        <v>7892230.6363636367</v>
      </c>
      <c r="P143">
        <v>50889</v>
      </c>
      <c r="Q143">
        <v>2</v>
      </c>
      <c r="R143">
        <v>151</v>
      </c>
      <c r="S143">
        <v>11.792347696879643</v>
      </c>
      <c r="T143">
        <v>0.98255813121795654</v>
      </c>
    </row>
    <row r="144" spans="1:20" x14ac:dyDescent="0.25">
      <c r="A144" t="s">
        <v>18</v>
      </c>
      <c r="B144">
        <v>3</v>
      </c>
      <c r="C144">
        <v>4</v>
      </c>
      <c r="D144">
        <v>0</v>
      </c>
      <c r="E144" t="s">
        <v>36</v>
      </c>
      <c r="F144">
        <v>27008</v>
      </c>
      <c r="G144">
        <v>39061368.333333336</v>
      </c>
      <c r="H144">
        <v>0.97469196433112737</v>
      </c>
      <c r="I144">
        <v>0.93606393606393612</v>
      </c>
      <c r="J144">
        <v>8875895.2380952388</v>
      </c>
      <c r="K144">
        <v>50889</v>
      </c>
      <c r="L144">
        <v>2</v>
      </c>
      <c r="M144">
        <v>151</v>
      </c>
      <c r="N144">
        <v>0.9343989343989344</v>
      </c>
      <c r="O144">
        <v>9756820</v>
      </c>
      <c r="P144">
        <v>51530</v>
      </c>
      <c r="Q144">
        <v>2</v>
      </c>
      <c r="R144">
        <v>152</v>
      </c>
      <c r="S144">
        <v>11.786214522668633</v>
      </c>
      <c r="T144">
        <v>0.9790697574615479</v>
      </c>
    </row>
    <row r="145" spans="1:20" x14ac:dyDescent="0.25">
      <c r="A145" t="s">
        <v>18</v>
      </c>
      <c r="B145">
        <v>3</v>
      </c>
      <c r="C145">
        <v>4</v>
      </c>
      <c r="D145">
        <v>0</v>
      </c>
      <c r="E145" t="s">
        <v>50</v>
      </c>
      <c r="F145">
        <v>27366</v>
      </c>
      <c r="G145">
        <v>40117900.935483873</v>
      </c>
      <c r="H145">
        <v>0.97225354371532313</v>
      </c>
      <c r="I145">
        <v>0.94112339273629597</v>
      </c>
      <c r="J145">
        <v>7989653.7419354841</v>
      </c>
      <c r="K145">
        <v>51530</v>
      </c>
      <c r="L145">
        <v>2</v>
      </c>
      <c r="M145">
        <v>152</v>
      </c>
      <c r="N145">
        <v>0.94044665012406947</v>
      </c>
      <c r="O145">
        <v>9467939.935483871</v>
      </c>
      <c r="P145">
        <v>52175</v>
      </c>
      <c r="Q145">
        <v>2</v>
      </c>
      <c r="R145">
        <v>153</v>
      </c>
      <c r="S145">
        <v>11.78134110787172</v>
      </c>
      <c r="T145">
        <v>0.97984495162963869</v>
      </c>
    </row>
    <row r="146" spans="1:20" x14ac:dyDescent="0.25">
      <c r="A146" t="s">
        <v>18</v>
      </c>
      <c r="B146">
        <v>3</v>
      </c>
      <c r="C146">
        <v>4</v>
      </c>
      <c r="D146">
        <v>0</v>
      </c>
      <c r="E146" t="s">
        <v>37</v>
      </c>
      <c r="F146">
        <v>27650</v>
      </c>
      <c r="G146">
        <v>40446010</v>
      </c>
      <c r="H146">
        <v>0.97169496331896099</v>
      </c>
      <c r="I146">
        <v>0.93939393939393945</v>
      </c>
      <c r="J146">
        <v>8449428.0952380951</v>
      </c>
      <c r="K146">
        <v>52175</v>
      </c>
      <c r="L146">
        <v>2</v>
      </c>
      <c r="M146">
        <v>153</v>
      </c>
      <c r="N146">
        <v>0.93839493839493837</v>
      </c>
      <c r="O146">
        <v>9245884.2857142854</v>
      </c>
      <c r="P146">
        <v>52824</v>
      </c>
      <c r="Q146">
        <v>2</v>
      </c>
      <c r="R146">
        <v>154</v>
      </c>
      <c r="S146">
        <v>11.773960216998193</v>
      </c>
      <c r="T146">
        <v>0.97848836183547971</v>
      </c>
    </row>
    <row r="147" spans="1:20" x14ac:dyDescent="0.25">
      <c r="A147" t="s">
        <v>18</v>
      </c>
      <c r="B147">
        <v>3</v>
      </c>
      <c r="C147">
        <v>4</v>
      </c>
      <c r="D147">
        <v>0</v>
      </c>
      <c r="E147" t="s">
        <v>51</v>
      </c>
      <c r="F147">
        <v>28048</v>
      </c>
      <c r="G147">
        <v>37900056.580645159</v>
      </c>
      <c r="H147">
        <v>0.97541167851417299</v>
      </c>
      <c r="I147">
        <v>0.93525829009699979</v>
      </c>
      <c r="J147">
        <v>8358050.5161290327</v>
      </c>
      <c r="K147">
        <v>52824</v>
      </c>
      <c r="L147">
        <v>2</v>
      </c>
      <c r="M147">
        <v>154</v>
      </c>
      <c r="N147">
        <v>0.93661177532145279</v>
      </c>
      <c r="O147">
        <v>8952376.5483870972</v>
      </c>
      <c r="P147">
        <v>53477</v>
      </c>
      <c r="Q147">
        <v>2</v>
      </c>
      <c r="R147">
        <v>155</v>
      </c>
      <c r="S147">
        <v>11.765379113018598</v>
      </c>
      <c r="T147">
        <v>0.97751936912536619</v>
      </c>
    </row>
    <row r="148" spans="1:20" x14ac:dyDescent="0.25">
      <c r="A148" t="s">
        <v>18</v>
      </c>
      <c r="B148">
        <v>3</v>
      </c>
      <c r="C148">
        <v>4</v>
      </c>
      <c r="D148">
        <v>0</v>
      </c>
      <c r="E148" t="s">
        <v>38</v>
      </c>
      <c r="F148">
        <v>28292</v>
      </c>
      <c r="G148">
        <v>37973665.81818182</v>
      </c>
      <c r="H148">
        <v>0.97520660270344128</v>
      </c>
      <c r="I148">
        <v>0.93134138588684046</v>
      </c>
      <c r="J148">
        <v>8102080.5454545459</v>
      </c>
      <c r="K148">
        <v>53477</v>
      </c>
      <c r="L148">
        <v>2</v>
      </c>
      <c r="M148">
        <v>155</v>
      </c>
      <c r="N148">
        <v>0.94278448823903371</v>
      </c>
      <c r="O148">
        <v>8442931.8181818184</v>
      </c>
      <c r="P148">
        <v>54134</v>
      </c>
      <c r="Q148">
        <v>2</v>
      </c>
      <c r="R148">
        <v>156</v>
      </c>
      <c r="S148">
        <v>11.758104738154614</v>
      </c>
      <c r="T148">
        <v>0.98488371372222905</v>
      </c>
    </row>
    <row r="149" spans="1:20" x14ac:dyDescent="0.25">
      <c r="A149" t="s">
        <v>18</v>
      </c>
      <c r="B149">
        <v>3</v>
      </c>
      <c r="C149">
        <v>4</v>
      </c>
      <c r="D149">
        <v>0</v>
      </c>
      <c r="E149" t="s">
        <v>52</v>
      </c>
      <c r="F149">
        <v>28730</v>
      </c>
      <c r="G149">
        <v>41652513.121951222</v>
      </c>
      <c r="H149">
        <v>0.97492750824951546</v>
      </c>
      <c r="I149">
        <v>0.93535732560122808</v>
      </c>
      <c r="J149">
        <v>9006394.9268292692</v>
      </c>
      <c r="K149">
        <v>54134</v>
      </c>
      <c r="L149">
        <v>2</v>
      </c>
      <c r="M149">
        <v>156</v>
      </c>
      <c r="N149">
        <v>0.93723349820910795</v>
      </c>
      <c r="O149">
        <v>8788061.5365853664</v>
      </c>
      <c r="P149">
        <v>54795</v>
      </c>
      <c r="Q149">
        <v>2</v>
      </c>
      <c r="R149">
        <v>157</v>
      </c>
      <c r="S149">
        <v>11.751755617977528</v>
      </c>
      <c r="T149">
        <v>0.98168603777885433</v>
      </c>
    </row>
    <row r="150" spans="1:20" x14ac:dyDescent="0.25">
      <c r="A150" t="s">
        <v>18</v>
      </c>
      <c r="B150">
        <v>3</v>
      </c>
      <c r="C150">
        <v>4</v>
      </c>
      <c r="D150">
        <v>0</v>
      </c>
      <c r="E150" t="s">
        <v>61</v>
      </c>
      <c r="F150">
        <v>29008</v>
      </c>
      <c r="G150">
        <v>44021992.545454547</v>
      </c>
      <c r="H150">
        <v>0.96630641547116369</v>
      </c>
      <c r="I150">
        <v>0.93706293706293708</v>
      </c>
      <c r="J150">
        <v>7634894.6363636367</v>
      </c>
      <c r="K150">
        <v>54795</v>
      </c>
      <c r="L150">
        <v>2</v>
      </c>
      <c r="M150">
        <v>157</v>
      </c>
      <c r="N150">
        <v>0.93197711379529569</v>
      </c>
      <c r="O150">
        <v>9442640.1818181816</v>
      </c>
      <c r="P150">
        <v>55460</v>
      </c>
      <c r="Q150">
        <v>2</v>
      </c>
      <c r="R150">
        <v>158</v>
      </c>
      <c r="S150">
        <v>11.750961874781392</v>
      </c>
      <c r="T150">
        <v>0.9790697574615479</v>
      </c>
    </row>
    <row r="151" spans="1:20" x14ac:dyDescent="0.25">
      <c r="A151" t="s">
        <v>18</v>
      </c>
      <c r="B151">
        <v>3</v>
      </c>
      <c r="C151">
        <v>4</v>
      </c>
      <c r="D151">
        <v>0</v>
      </c>
      <c r="E151" t="s">
        <v>53</v>
      </c>
      <c r="F151">
        <v>29412</v>
      </c>
      <c r="G151">
        <v>41738986.161290325</v>
      </c>
      <c r="H151">
        <v>0.97067448785228116</v>
      </c>
      <c r="I151">
        <v>0.93864200315813218</v>
      </c>
      <c r="J151">
        <v>9193541.5483870972</v>
      </c>
      <c r="K151">
        <v>55460</v>
      </c>
      <c r="L151">
        <v>2</v>
      </c>
      <c r="M151">
        <v>158</v>
      </c>
      <c r="N151">
        <v>0.93525829009699979</v>
      </c>
      <c r="O151">
        <v>9079290.6129032262</v>
      </c>
      <c r="P151">
        <v>56129</v>
      </c>
      <c r="Q151">
        <v>2</v>
      </c>
      <c r="R151">
        <v>159</v>
      </c>
      <c r="S151">
        <v>11.749134948096886</v>
      </c>
      <c r="T151">
        <v>0.98178293704986574</v>
      </c>
    </row>
    <row r="152" spans="1:20" x14ac:dyDescent="0.25">
      <c r="A152" t="s">
        <v>18</v>
      </c>
      <c r="B152">
        <v>3</v>
      </c>
      <c r="C152">
        <v>4</v>
      </c>
      <c r="D152">
        <v>0</v>
      </c>
      <c r="E152" t="s">
        <v>62</v>
      </c>
      <c r="F152">
        <v>29730</v>
      </c>
      <c r="G152">
        <v>41809527</v>
      </c>
      <c r="H152">
        <v>0.97647805647416552</v>
      </c>
      <c r="I152">
        <v>0.93642720915448185</v>
      </c>
      <c r="J152">
        <v>10157729.363636363</v>
      </c>
      <c r="K152">
        <v>56129</v>
      </c>
      <c r="L152">
        <v>2</v>
      </c>
      <c r="M152">
        <v>159</v>
      </c>
      <c r="N152">
        <v>0.93706293706293708</v>
      </c>
      <c r="O152">
        <v>7422029</v>
      </c>
      <c r="P152">
        <v>56802</v>
      </c>
      <c r="Q152">
        <v>2</v>
      </c>
      <c r="R152">
        <v>160</v>
      </c>
      <c r="S152">
        <v>11.744915546363323</v>
      </c>
      <c r="T152">
        <v>0.97790696620941164</v>
      </c>
    </row>
    <row r="153" spans="1:20" x14ac:dyDescent="0.25">
      <c r="A153" t="s">
        <v>18</v>
      </c>
      <c r="B153">
        <v>3</v>
      </c>
      <c r="C153">
        <v>4</v>
      </c>
      <c r="D153">
        <v>0</v>
      </c>
      <c r="E153" t="s">
        <v>54</v>
      </c>
      <c r="F153">
        <v>30094</v>
      </c>
      <c r="G153">
        <v>40391503.225806452</v>
      </c>
      <c r="H153">
        <v>0.97563726094461256</v>
      </c>
      <c r="I153">
        <v>0.93954432664110088</v>
      </c>
      <c r="J153">
        <v>9507053.1935483869</v>
      </c>
      <c r="K153">
        <v>56802</v>
      </c>
      <c r="L153">
        <v>2</v>
      </c>
      <c r="M153">
        <v>160</v>
      </c>
      <c r="N153">
        <v>0.93751409880442138</v>
      </c>
      <c r="O153">
        <v>8894233.5161290318</v>
      </c>
      <c r="P153">
        <v>57479</v>
      </c>
      <c r="Q153">
        <v>2</v>
      </c>
      <c r="R153">
        <v>161</v>
      </c>
      <c r="S153">
        <v>11.732264665757162</v>
      </c>
      <c r="T153">
        <v>0.9790697574615479</v>
      </c>
    </row>
    <row r="154" spans="1:20" x14ac:dyDescent="0.25">
      <c r="A154" t="s">
        <v>18</v>
      </c>
      <c r="B154">
        <v>3</v>
      </c>
      <c r="C154">
        <v>4</v>
      </c>
      <c r="D154">
        <v>0</v>
      </c>
      <c r="E154" t="s">
        <v>63</v>
      </c>
      <c r="F154">
        <v>30452</v>
      </c>
      <c r="G154">
        <v>42204799.545454547</v>
      </c>
      <c r="H154">
        <v>0.97711379419673572</v>
      </c>
      <c r="I154">
        <v>0.9351557533375715</v>
      </c>
      <c r="J154">
        <v>8623822.7272727266</v>
      </c>
      <c r="K154">
        <v>57479</v>
      </c>
      <c r="L154">
        <v>2</v>
      </c>
      <c r="M154">
        <v>161</v>
      </c>
      <c r="N154">
        <v>0.93388429752066116</v>
      </c>
      <c r="O154">
        <v>9342307.7272727266</v>
      </c>
      <c r="P154">
        <v>58160</v>
      </c>
      <c r="Q154">
        <v>2</v>
      </c>
      <c r="R154">
        <v>162</v>
      </c>
      <c r="S154">
        <v>11.728848114169216</v>
      </c>
      <c r="T154">
        <v>0.97441859245300289</v>
      </c>
    </row>
    <row r="155" spans="1:20" x14ac:dyDescent="0.25">
      <c r="A155" t="s">
        <v>18</v>
      </c>
      <c r="B155">
        <v>3</v>
      </c>
      <c r="C155">
        <v>4</v>
      </c>
      <c r="D155">
        <v>0</v>
      </c>
      <c r="E155" t="s">
        <v>86</v>
      </c>
      <c r="F155">
        <v>30688</v>
      </c>
      <c r="G155">
        <v>41766688.809523806</v>
      </c>
      <c r="H155">
        <v>0.97236096291314988</v>
      </c>
      <c r="I155">
        <v>0.93806193806193805</v>
      </c>
      <c r="J155">
        <v>8610128.4761904757</v>
      </c>
      <c r="K155">
        <v>58160</v>
      </c>
      <c r="L155">
        <v>2</v>
      </c>
      <c r="M155">
        <v>162</v>
      </c>
      <c r="N155">
        <v>0.93639693639693644</v>
      </c>
      <c r="O155">
        <v>10030483</v>
      </c>
      <c r="P155">
        <v>58845</v>
      </c>
      <c r="Q155">
        <v>2</v>
      </c>
      <c r="R155">
        <v>163</v>
      </c>
      <c r="S155">
        <v>11.719635627530364</v>
      </c>
      <c r="T155">
        <v>0.97616277933120732</v>
      </c>
    </row>
    <row r="156" spans="1:20" x14ac:dyDescent="0.25">
      <c r="A156" t="s">
        <v>18</v>
      </c>
      <c r="B156">
        <v>3</v>
      </c>
      <c r="C156">
        <v>4</v>
      </c>
      <c r="D156">
        <v>0</v>
      </c>
      <c r="E156" t="s">
        <v>64</v>
      </c>
      <c r="F156">
        <v>31174</v>
      </c>
      <c r="G156">
        <v>45775893.090909094</v>
      </c>
      <c r="H156">
        <v>0.97457088123668323</v>
      </c>
      <c r="I156">
        <v>0.93388429752066116</v>
      </c>
      <c r="J156">
        <v>9676229.9090909082</v>
      </c>
      <c r="K156">
        <v>58845</v>
      </c>
      <c r="L156">
        <v>2</v>
      </c>
      <c r="M156">
        <v>163</v>
      </c>
      <c r="N156">
        <v>0.93261284170375081</v>
      </c>
      <c r="O156">
        <v>9919059.6363636367</v>
      </c>
      <c r="P156">
        <v>59534</v>
      </c>
      <c r="Q156">
        <v>2</v>
      </c>
      <c r="R156">
        <v>164</v>
      </c>
      <c r="S156">
        <v>11.718655462184874</v>
      </c>
      <c r="T156">
        <v>0.9837209224700928</v>
      </c>
    </row>
    <row r="157" spans="1:20" x14ac:dyDescent="0.25">
      <c r="A157" t="s">
        <v>18</v>
      </c>
      <c r="B157">
        <v>3</v>
      </c>
      <c r="C157">
        <v>4</v>
      </c>
      <c r="D157">
        <v>0</v>
      </c>
      <c r="E157" t="s">
        <v>72</v>
      </c>
      <c r="F157">
        <v>31412</v>
      </c>
      <c r="G157">
        <v>39568677.090909094</v>
      </c>
      <c r="H157">
        <v>0.97774951566349377</v>
      </c>
      <c r="I157">
        <v>0.93769866497139231</v>
      </c>
      <c r="J157">
        <v>8408278.8181818184</v>
      </c>
      <c r="K157">
        <v>59534</v>
      </c>
      <c r="L157">
        <v>2</v>
      </c>
      <c r="M157">
        <v>164</v>
      </c>
      <c r="N157">
        <v>0.93324856961220604</v>
      </c>
      <c r="O157">
        <v>8076161</v>
      </c>
      <c r="P157">
        <v>60227</v>
      </c>
      <c r="Q157">
        <v>2</v>
      </c>
      <c r="R157">
        <v>165</v>
      </c>
      <c r="S157">
        <v>11.714668452779639</v>
      </c>
      <c r="T157">
        <v>0.98139533996582029</v>
      </c>
    </row>
    <row r="158" spans="1:20" x14ac:dyDescent="0.25">
      <c r="A158" t="s">
        <v>18</v>
      </c>
      <c r="B158">
        <v>3</v>
      </c>
      <c r="C158">
        <v>4</v>
      </c>
      <c r="D158">
        <v>0</v>
      </c>
      <c r="E158" t="s">
        <v>65</v>
      </c>
      <c r="F158">
        <v>31896</v>
      </c>
      <c r="G158">
        <v>45169416.285714284</v>
      </c>
      <c r="H158">
        <v>0.96603395257677349</v>
      </c>
      <c r="I158">
        <v>0.94072594072594073</v>
      </c>
      <c r="J158">
        <v>9599025</v>
      </c>
      <c r="K158">
        <v>60227</v>
      </c>
      <c r="L158">
        <v>2</v>
      </c>
      <c r="M158">
        <v>165</v>
      </c>
      <c r="N158">
        <v>0.9343989343989344</v>
      </c>
      <c r="O158">
        <v>9671356.7142857146</v>
      </c>
      <c r="P158">
        <v>60924</v>
      </c>
      <c r="Q158">
        <v>2</v>
      </c>
      <c r="R158">
        <v>166</v>
      </c>
      <c r="S158">
        <v>11.707682075157965</v>
      </c>
      <c r="T158">
        <v>0.97790696620941164</v>
      </c>
    </row>
    <row r="159" spans="1:20" x14ac:dyDescent="0.25">
      <c r="A159" t="s">
        <v>18</v>
      </c>
      <c r="B159">
        <v>3</v>
      </c>
      <c r="C159">
        <v>4</v>
      </c>
      <c r="D159">
        <v>0</v>
      </c>
      <c r="E159" t="s">
        <v>73</v>
      </c>
      <c r="F159">
        <v>32174</v>
      </c>
      <c r="G159">
        <v>44232264.090909094</v>
      </c>
      <c r="H159">
        <v>0.97647805647416552</v>
      </c>
      <c r="I159">
        <v>0.94342021614748883</v>
      </c>
      <c r="J159">
        <v>9158892.2727272734</v>
      </c>
      <c r="K159">
        <v>60924</v>
      </c>
      <c r="L159">
        <v>2</v>
      </c>
      <c r="M159">
        <v>166</v>
      </c>
      <c r="N159">
        <v>0.93261284170375081</v>
      </c>
      <c r="O159">
        <v>8713520.6363636367</v>
      </c>
      <c r="P159">
        <v>61625</v>
      </c>
      <c r="Q159">
        <v>2</v>
      </c>
      <c r="R159">
        <v>167</v>
      </c>
      <c r="S159">
        <v>11.703777335984096</v>
      </c>
      <c r="T159">
        <v>0.98255813121795654</v>
      </c>
    </row>
    <row r="160" spans="1:20" x14ac:dyDescent="0.25">
      <c r="A160" t="s">
        <v>18</v>
      </c>
      <c r="B160">
        <v>3</v>
      </c>
      <c r="C160">
        <v>4</v>
      </c>
      <c r="D160">
        <v>0</v>
      </c>
      <c r="E160" t="s">
        <v>74</v>
      </c>
      <c r="F160">
        <v>32936</v>
      </c>
      <c r="G160">
        <v>48383031.333333336</v>
      </c>
      <c r="H160">
        <v>0.98001997811453678</v>
      </c>
      <c r="I160">
        <v>0.93706293706293708</v>
      </c>
      <c r="J160">
        <v>9874272</v>
      </c>
      <c r="K160">
        <v>62330</v>
      </c>
      <c r="L160">
        <v>2</v>
      </c>
      <c r="M160">
        <v>168</v>
      </c>
      <c r="N160">
        <v>0.93506493506493504</v>
      </c>
      <c r="O160">
        <v>9636520.9047619049</v>
      </c>
      <c r="P160">
        <v>63039</v>
      </c>
      <c r="Q160">
        <v>2</v>
      </c>
      <c r="R160">
        <v>169</v>
      </c>
      <c r="S160">
        <v>11.704508061862455</v>
      </c>
      <c r="T160">
        <v>0.98023254871368404</v>
      </c>
    </row>
    <row r="161" spans="1:20" x14ac:dyDescent="0.25">
      <c r="A161" t="s">
        <v>18</v>
      </c>
      <c r="B161">
        <v>3</v>
      </c>
      <c r="C161">
        <v>4</v>
      </c>
      <c r="D161">
        <v>0</v>
      </c>
      <c r="E161" t="s">
        <v>75</v>
      </c>
      <c r="F161">
        <v>33698</v>
      </c>
      <c r="G161">
        <v>45309448.571428575</v>
      </c>
      <c r="H161">
        <v>0.97635696615491596</v>
      </c>
      <c r="I161">
        <v>0.94105894105894106</v>
      </c>
      <c r="J161">
        <v>9142617.333333334</v>
      </c>
      <c r="K161">
        <v>63752</v>
      </c>
      <c r="L161">
        <v>2</v>
      </c>
      <c r="M161">
        <v>170</v>
      </c>
      <c r="N161">
        <v>0.93339993339993343</v>
      </c>
      <c r="O161">
        <v>9388355.666666666</v>
      </c>
      <c r="P161">
        <v>64469</v>
      </c>
      <c r="Q161">
        <v>2</v>
      </c>
      <c r="R161">
        <v>171</v>
      </c>
      <c r="S161">
        <v>11.695751633986928</v>
      </c>
      <c r="T161">
        <v>0.98197673559188847</v>
      </c>
    </row>
    <row r="162" spans="1:20" x14ac:dyDescent="0.25">
      <c r="A162" t="s">
        <v>18</v>
      </c>
      <c r="B162">
        <v>3</v>
      </c>
      <c r="C162">
        <v>4</v>
      </c>
      <c r="D162">
        <v>0</v>
      </c>
      <c r="E162" t="s">
        <v>91</v>
      </c>
      <c r="F162">
        <v>34698</v>
      </c>
      <c r="G162">
        <v>47805886.952380955</v>
      </c>
      <c r="H162">
        <v>0.96137195541745135</v>
      </c>
      <c r="I162">
        <v>0.93839493839493837</v>
      </c>
      <c r="J162">
        <v>9766886.5714285709</v>
      </c>
      <c r="K162">
        <v>65190</v>
      </c>
      <c r="L162">
        <v>2</v>
      </c>
      <c r="M162">
        <v>172</v>
      </c>
      <c r="N162">
        <v>0.93273393273393279</v>
      </c>
      <c r="O162">
        <v>9905761.9047619049</v>
      </c>
      <c r="P162">
        <v>65915</v>
      </c>
      <c r="Q162">
        <v>2</v>
      </c>
      <c r="R162">
        <v>173</v>
      </c>
      <c r="S162">
        <v>11.690360272638754</v>
      </c>
      <c r="T162">
        <v>0.98139533996582029</v>
      </c>
    </row>
    <row r="163" spans="1:20" x14ac:dyDescent="0.25">
      <c r="A163" t="s">
        <v>18</v>
      </c>
      <c r="B163">
        <v>3</v>
      </c>
      <c r="C163">
        <v>4</v>
      </c>
      <c r="D163">
        <v>0</v>
      </c>
      <c r="E163" t="s">
        <v>92</v>
      </c>
      <c r="F163">
        <v>35500</v>
      </c>
      <c r="G163">
        <v>47463063.454545453</v>
      </c>
      <c r="H163">
        <v>0.97393514893271704</v>
      </c>
      <c r="I163">
        <v>0.93452002542911639</v>
      </c>
      <c r="J163">
        <v>9084635</v>
      </c>
      <c r="K163">
        <v>66644</v>
      </c>
      <c r="L163">
        <v>2</v>
      </c>
      <c r="M163">
        <v>174</v>
      </c>
      <c r="N163">
        <v>0.9351557533375715</v>
      </c>
      <c r="O163">
        <v>11008780.727272727</v>
      </c>
      <c r="P163">
        <v>67377</v>
      </c>
      <c r="Q163">
        <v>2</v>
      </c>
      <c r="R163">
        <v>175</v>
      </c>
      <c r="S163">
        <v>11.6879042690815</v>
      </c>
      <c r="T163">
        <v>0.9790697574615479</v>
      </c>
    </row>
    <row r="164" spans="1:20" x14ac:dyDescent="0.25">
      <c r="A164" t="s">
        <v>18</v>
      </c>
      <c r="B164">
        <v>3</v>
      </c>
      <c r="C164">
        <v>4</v>
      </c>
      <c r="D164">
        <v>0</v>
      </c>
      <c r="E164" t="s">
        <v>105</v>
      </c>
      <c r="F164">
        <v>7064</v>
      </c>
      <c r="G164">
        <v>48312125.909090906</v>
      </c>
      <c r="H164">
        <v>0.97457088123668323</v>
      </c>
      <c r="I164">
        <v>0.9376986649713922</v>
      </c>
      <c r="J164">
        <v>9689855.9090909082</v>
      </c>
      <c r="K164">
        <v>13215</v>
      </c>
      <c r="L164">
        <v>2</v>
      </c>
      <c r="M164">
        <v>73</v>
      </c>
      <c r="N164">
        <v>0.93833439287984743</v>
      </c>
      <c r="O164">
        <v>8920133.9090909082</v>
      </c>
      <c r="P164">
        <v>13544</v>
      </c>
      <c r="Q164">
        <v>2</v>
      </c>
      <c r="R164">
        <v>74</v>
      </c>
      <c r="S164">
        <v>11.686110215920078</v>
      </c>
      <c r="T164">
        <v>0.98604650497436519</v>
      </c>
    </row>
    <row r="165" spans="1:20" x14ac:dyDescent="0.25">
      <c r="A165" t="s">
        <v>18</v>
      </c>
      <c r="B165">
        <v>3</v>
      </c>
      <c r="C165">
        <v>4</v>
      </c>
      <c r="D165">
        <v>0</v>
      </c>
      <c r="E165" t="s">
        <v>19</v>
      </c>
      <c r="F165">
        <v>7706</v>
      </c>
      <c r="G165">
        <v>12696765.545454545</v>
      </c>
      <c r="H165">
        <v>0.98474252765828918</v>
      </c>
      <c r="I165">
        <v>0.9402415766052129</v>
      </c>
      <c r="J165">
        <v>3270672.5454545454</v>
      </c>
      <c r="K165">
        <v>14555</v>
      </c>
      <c r="L165">
        <v>2</v>
      </c>
      <c r="M165">
        <v>77</v>
      </c>
      <c r="N165">
        <v>0.93833439287984743</v>
      </c>
      <c r="O165">
        <v>1843558.3636363635</v>
      </c>
      <c r="P165">
        <v>14900</v>
      </c>
      <c r="Q165">
        <v>2</v>
      </c>
      <c r="R165">
        <v>78</v>
      </c>
      <c r="S165">
        <v>11.680475272960821</v>
      </c>
      <c r="T165">
        <v>0.97674417495727539</v>
      </c>
    </row>
    <row r="166" spans="1:20" x14ac:dyDescent="0.25">
      <c r="A166" t="s">
        <v>18</v>
      </c>
      <c r="B166">
        <v>3</v>
      </c>
      <c r="C166">
        <v>4</v>
      </c>
      <c r="D166">
        <v>0</v>
      </c>
      <c r="E166" t="s">
        <v>20</v>
      </c>
      <c r="F166">
        <v>8348</v>
      </c>
      <c r="G166">
        <v>10665033.727272727</v>
      </c>
      <c r="H166">
        <v>0.98283534700220276</v>
      </c>
      <c r="I166">
        <v>0.93897012078830255</v>
      </c>
      <c r="J166">
        <v>3330470.7272727271</v>
      </c>
      <c r="K166">
        <v>15602</v>
      </c>
      <c r="L166">
        <v>2</v>
      </c>
      <c r="M166">
        <v>80</v>
      </c>
      <c r="N166">
        <v>0.93388429752066116</v>
      </c>
      <c r="O166">
        <v>2368796.2727272729</v>
      </c>
      <c r="P166">
        <v>15959</v>
      </c>
      <c r="Q166">
        <v>2</v>
      </c>
      <c r="R166">
        <v>81</v>
      </c>
      <c r="S166">
        <v>11.668799999999999</v>
      </c>
      <c r="T166">
        <v>0.97209300994873049</v>
      </c>
    </row>
    <row r="167" spans="1:20" x14ac:dyDescent="0.25">
      <c r="A167" t="s">
        <v>18</v>
      </c>
      <c r="B167">
        <v>3</v>
      </c>
      <c r="C167">
        <v>4</v>
      </c>
      <c r="D167">
        <v>0</v>
      </c>
      <c r="E167" t="s">
        <v>21</v>
      </c>
      <c r="F167">
        <v>8990</v>
      </c>
      <c r="G167">
        <v>12697467.909090908</v>
      </c>
      <c r="H167">
        <v>0.9815638823942705</v>
      </c>
      <c r="I167">
        <v>0.94469167196439929</v>
      </c>
      <c r="J167">
        <v>2477660.1818181816</v>
      </c>
      <c r="K167">
        <v>16685</v>
      </c>
      <c r="L167">
        <v>2</v>
      </c>
      <c r="M167">
        <v>83</v>
      </c>
      <c r="N167">
        <v>0.93579148124602674</v>
      </c>
      <c r="O167">
        <v>2825408</v>
      </c>
      <c r="P167">
        <v>17054</v>
      </c>
      <c r="Q167">
        <v>2</v>
      </c>
      <c r="R167">
        <v>84</v>
      </c>
      <c r="S167">
        <v>11.659757653061224</v>
      </c>
      <c r="T167">
        <v>0.98023254871368404</v>
      </c>
    </row>
    <row r="168" spans="1:20" x14ac:dyDescent="0.25">
      <c r="A168" t="s">
        <v>18</v>
      </c>
      <c r="B168">
        <v>3</v>
      </c>
      <c r="C168">
        <v>4</v>
      </c>
      <c r="D168">
        <v>0</v>
      </c>
      <c r="E168" t="s">
        <v>22</v>
      </c>
      <c r="F168">
        <v>9632</v>
      </c>
      <c r="G168">
        <v>14303867.454545455</v>
      </c>
      <c r="H168">
        <v>0.98029243946075439</v>
      </c>
      <c r="I168">
        <v>0.93833439287984743</v>
      </c>
      <c r="J168">
        <v>2755607.2727272729</v>
      </c>
      <c r="K168">
        <v>18185</v>
      </c>
      <c r="L168">
        <v>2</v>
      </c>
      <c r="M168">
        <v>87</v>
      </c>
      <c r="N168">
        <v>0.93769866497139231</v>
      </c>
      <c r="O168">
        <v>3337936.5454545454</v>
      </c>
      <c r="P168">
        <v>18570</v>
      </c>
      <c r="Q168">
        <v>2</v>
      </c>
      <c r="R168">
        <v>88</v>
      </c>
      <c r="S168">
        <v>11.654591674610741</v>
      </c>
      <c r="T168">
        <v>0.9790697574615479</v>
      </c>
    </row>
    <row r="169" spans="1:20" x14ac:dyDescent="0.25">
      <c r="A169" t="s">
        <v>18</v>
      </c>
      <c r="B169">
        <v>3</v>
      </c>
      <c r="C169">
        <v>4</v>
      </c>
      <c r="D169">
        <v>0</v>
      </c>
      <c r="E169" t="s">
        <v>39</v>
      </c>
      <c r="F169">
        <v>10274</v>
      </c>
      <c r="G169">
        <v>14477175</v>
      </c>
      <c r="H169">
        <v>0.97965669631958008</v>
      </c>
      <c r="I169">
        <v>0.93960584869675778</v>
      </c>
      <c r="J169">
        <v>7919947.4545454541</v>
      </c>
      <c r="K169">
        <v>19352</v>
      </c>
      <c r="L169">
        <v>2</v>
      </c>
      <c r="M169">
        <v>90</v>
      </c>
      <c r="N169">
        <v>0.9351557533375715</v>
      </c>
      <c r="O169">
        <v>7420738.2727272725</v>
      </c>
      <c r="P169">
        <v>19749</v>
      </c>
      <c r="Q169">
        <v>2</v>
      </c>
      <c r="R169">
        <v>91</v>
      </c>
      <c r="S169">
        <v>11.647245091830273</v>
      </c>
      <c r="T169">
        <v>0.98139533996582029</v>
      </c>
    </row>
    <row r="170" spans="1:20" x14ac:dyDescent="0.25">
      <c r="A170" t="s">
        <v>18</v>
      </c>
      <c r="B170">
        <v>3</v>
      </c>
      <c r="C170">
        <v>4</v>
      </c>
      <c r="D170">
        <v>0</v>
      </c>
      <c r="E170" t="s">
        <v>55</v>
      </c>
      <c r="F170">
        <v>10916</v>
      </c>
      <c r="G170">
        <v>16268408.454545455</v>
      </c>
      <c r="H170">
        <v>0.98092816092751245</v>
      </c>
      <c r="I170">
        <v>0.93769866497139231</v>
      </c>
      <c r="J170">
        <v>7904432.2727272725</v>
      </c>
      <c r="K170">
        <v>20555</v>
      </c>
      <c r="L170">
        <v>2</v>
      </c>
      <c r="M170">
        <v>93</v>
      </c>
      <c r="N170">
        <v>0.93324856961220604</v>
      </c>
      <c r="O170">
        <v>8415909.0909090918</v>
      </c>
      <c r="P170">
        <v>20964</v>
      </c>
      <c r="Q170">
        <v>2</v>
      </c>
      <c r="R170">
        <v>94</v>
      </c>
      <c r="S170">
        <v>11.641211738718839</v>
      </c>
      <c r="T170">
        <v>0.9790697574615479</v>
      </c>
    </row>
    <row r="171" spans="1:20" x14ac:dyDescent="0.25">
      <c r="A171" t="s">
        <v>18</v>
      </c>
      <c r="B171">
        <v>3</v>
      </c>
      <c r="C171">
        <v>4</v>
      </c>
      <c r="D171">
        <v>0</v>
      </c>
      <c r="E171" t="s">
        <v>66</v>
      </c>
      <c r="F171">
        <v>11558</v>
      </c>
      <c r="G171">
        <v>16689170</v>
      </c>
      <c r="H171">
        <v>0.97647805647416552</v>
      </c>
      <c r="I171">
        <v>0.93833439287984743</v>
      </c>
      <c r="J171">
        <v>7749008.9090909092</v>
      </c>
      <c r="K171">
        <v>21794</v>
      </c>
      <c r="L171">
        <v>2</v>
      </c>
      <c r="M171">
        <v>96</v>
      </c>
      <c r="N171">
        <v>0.93897012078830266</v>
      </c>
      <c r="O171">
        <v>9144744.1818181816</v>
      </c>
      <c r="P171">
        <v>22215</v>
      </c>
      <c r="Q171">
        <v>2</v>
      </c>
      <c r="R171">
        <v>97</v>
      </c>
      <c r="S171">
        <v>11.635220125786164</v>
      </c>
      <c r="T171">
        <v>0.9790697574615479</v>
      </c>
    </row>
    <row r="172" spans="1:20" x14ac:dyDescent="0.25">
      <c r="A172" t="s">
        <v>18</v>
      </c>
      <c r="B172">
        <v>3</v>
      </c>
      <c r="C172">
        <v>4</v>
      </c>
      <c r="D172">
        <v>0</v>
      </c>
      <c r="E172" t="s">
        <v>76</v>
      </c>
      <c r="F172">
        <v>12200</v>
      </c>
      <c r="G172">
        <v>17102112.90909091</v>
      </c>
      <c r="H172">
        <v>0.96185633811083704</v>
      </c>
      <c r="I172">
        <v>0.93897012078830255</v>
      </c>
      <c r="J172">
        <v>8098663.8181818184</v>
      </c>
      <c r="K172">
        <v>23069</v>
      </c>
      <c r="L172">
        <v>2</v>
      </c>
      <c r="M172">
        <v>99</v>
      </c>
      <c r="N172">
        <v>0.93642720915448185</v>
      </c>
      <c r="O172">
        <v>7870518.8181818184</v>
      </c>
      <c r="P172">
        <v>23502</v>
      </c>
      <c r="Q172">
        <v>2</v>
      </c>
      <c r="R172">
        <v>100</v>
      </c>
      <c r="S172">
        <v>11.62864305860232</v>
      </c>
      <c r="T172">
        <v>0.97790696620941164</v>
      </c>
    </row>
    <row r="173" spans="1:20" x14ac:dyDescent="0.25">
      <c r="A173" t="s">
        <v>18</v>
      </c>
      <c r="B173">
        <v>3</v>
      </c>
      <c r="C173">
        <v>5</v>
      </c>
      <c r="D173">
        <v>0</v>
      </c>
      <c r="E173" t="s">
        <v>55</v>
      </c>
      <c r="F173">
        <v>12004</v>
      </c>
      <c r="G173">
        <v>18548368.818181816</v>
      </c>
      <c r="H173">
        <v>0.97838523713025183</v>
      </c>
      <c r="I173">
        <v>0.93833439287984743</v>
      </c>
      <c r="J173">
        <v>7936511.8181818184</v>
      </c>
      <c r="K173">
        <v>23939</v>
      </c>
      <c r="L173">
        <v>2</v>
      </c>
      <c r="M173">
        <v>101</v>
      </c>
      <c r="N173">
        <v>0.9376986649713922</v>
      </c>
      <c r="O173">
        <v>8284011.8181818184</v>
      </c>
      <c r="P173">
        <v>24380</v>
      </c>
      <c r="Q173">
        <v>2</v>
      </c>
      <c r="R173">
        <v>102</v>
      </c>
      <c r="S173">
        <v>11.623672704559651</v>
      </c>
      <c r="T173">
        <v>0.9790697574615479</v>
      </c>
    </row>
    <row r="174" spans="1:20" x14ac:dyDescent="0.25">
      <c r="A174" t="s">
        <v>18</v>
      </c>
      <c r="B174">
        <v>3</v>
      </c>
      <c r="C174">
        <v>5</v>
      </c>
      <c r="D174">
        <v>0</v>
      </c>
      <c r="E174" t="s">
        <v>66</v>
      </c>
      <c r="F174">
        <v>12710</v>
      </c>
      <c r="G174">
        <v>26077994.272727273</v>
      </c>
      <c r="H174">
        <v>0.97393515435132116</v>
      </c>
      <c r="I174">
        <v>0.93134138588684046</v>
      </c>
      <c r="J174">
        <v>8781265.3636363633</v>
      </c>
      <c r="K174">
        <v>25274</v>
      </c>
      <c r="L174">
        <v>2</v>
      </c>
      <c r="M174">
        <v>104</v>
      </c>
      <c r="N174">
        <v>0.93706293706293708</v>
      </c>
      <c r="O174">
        <v>9046504.8181818184</v>
      </c>
      <c r="P174">
        <v>25727</v>
      </c>
      <c r="Q174">
        <v>2</v>
      </c>
      <c r="R174">
        <v>105</v>
      </c>
      <c r="S174">
        <v>11.625894802365391</v>
      </c>
      <c r="T174">
        <v>0.98604650497436519</v>
      </c>
    </row>
    <row r="175" spans="1:20" x14ac:dyDescent="0.25">
      <c r="A175" t="s">
        <v>18</v>
      </c>
      <c r="B175">
        <v>3</v>
      </c>
      <c r="C175">
        <v>5</v>
      </c>
      <c r="D175">
        <v>0</v>
      </c>
      <c r="E175" t="s">
        <v>76</v>
      </c>
      <c r="F175">
        <v>13416</v>
      </c>
      <c r="G175">
        <v>23813496.272727273</v>
      </c>
      <c r="H175">
        <v>0.97647806189276953</v>
      </c>
      <c r="I175">
        <v>0.93897012078830266</v>
      </c>
      <c r="J175">
        <v>8879885.0909090918</v>
      </c>
      <c r="K175">
        <v>26645</v>
      </c>
      <c r="L175">
        <v>2</v>
      </c>
      <c r="M175">
        <v>107</v>
      </c>
      <c r="N175">
        <v>0.93706293706293708</v>
      </c>
      <c r="O175">
        <v>8904270.7272727266</v>
      </c>
      <c r="P175">
        <v>27110</v>
      </c>
      <c r="Q175">
        <v>2</v>
      </c>
      <c r="R175">
        <v>108</v>
      </c>
      <c r="S175">
        <v>11.622828784119108</v>
      </c>
      <c r="T175">
        <v>0.98255813121795654</v>
      </c>
    </row>
    <row r="176" spans="1:20" x14ac:dyDescent="0.25">
      <c r="A176" t="s">
        <v>18</v>
      </c>
      <c r="B176">
        <v>3</v>
      </c>
      <c r="C176">
        <v>5</v>
      </c>
      <c r="D176">
        <v>0</v>
      </c>
      <c r="E176" t="s">
        <v>93</v>
      </c>
      <c r="F176">
        <v>14122</v>
      </c>
      <c r="G176">
        <v>25225412.727272727</v>
      </c>
      <c r="H176">
        <v>0.98029242862354626</v>
      </c>
      <c r="I176">
        <v>0.94214876033057848</v>
      </c>
      <c r="J176">
        <v>8119285.0909090908</v>
      </c>
      <c r="K176">
        <v>28052</v>
      </c>
      <c r="L176">
        <v>2</v>
      </c>
      <c r="M176">
        <v>110</v>
      </c>
      <c r="N176">
        <v>0.93134138588684046</v>
      </c>
      <c r="O176">
        <v>7951661.2727272725</v>
      </c>
      <c r="P176">
        <v>28529</v>
      </c>
      <c r="Q176">
        <v>2</v>
      </c>
      <c r="R176">
        <v>111</v>
      </c>
      <c r="S176">
        <v>11.620401854714064</v>
      </c>
      <c r="T176">
        <v>0.98488371372222905</v>
      </c>
    </row>
    <row r="177" spans="1:20" x14ac:dyDescent="0.25">
      <c r="A177" t="s">
        <v>18</v>
      </c>
      <c r="B177">
        <v>3</v>
      </c>
      <c r="C177">
        <v>5</v>
      </c>
      <c r="D177">
        <v>0</v>
      </c>
      <c r="E177" t="s">
        <v>94</v>
      </c>
      <c r="F177">
        <v>14828</v>
      </c>
      <c r="G177">
        <v>23089645.454545453</v>
      </c>
      <c r="H177">
        <v>0.97774952108209778</v>
      </c>
      <c r="I177">
        <v>0.94087730451366813</v>
      </c>
      <c r="J177">
        <v>9006215.1818181816</v>
      </c>
      <c r="K177">
        <v>29495</v>
      </c>
      <c r="L177">
        <v>2</v>
      </c>
      <c r="M177">
        <v>113</v>
      </c>
      <c r="N177">
        <v>0.93579148124602674</v>
      </c>
      <c r="O177">
        <v>9472504.0909090918</v>
      </c>
      <c r="P177">
        <v>29984</v>
      </c>
      <c r="Q177">
        <v>2</v>
      </c>
      <c r="R177">
        <v>114</v>
      </c>
      <c r="S177">
        <v>11.613986444855206</v>
      </c>
      <c r="T177">
        <v>0.98139533996582029</v>
      </c>
    </row>
    <row r="178" spans="1:20" x14ac:dyDescent="0.25">
      <c r="A178" t="s">
        <v>18</v>
      </c>
      <c r="B178">
        <v>3</v>
      </c>
      <c r="C178">
        <v>5</v>
      </c>
      <c r="D178">
        <v>0</v>
      </c>
      <c r="E178" t="s">
        <v>95</v>
      </c>
      <c r="F178">
        <v>15534</v>
      </c>
      <c r="G178">
        <v>25113546.09090909</v>
      </c>
      <c r="H178">
        <v>0.97965669631958008</v>
      </c>
      <c r="I178">
        <v>0.94532739987285441</v>
      </c>
      <c r="J178">
        <v>7587800.4545454541</v>
      </c>
      <c r="K178">
        <v>30974</v>
      </c>
      <c r="L178">
        <v>2</v>
      </c>
      <c r="M178">
        <v>116</v>
      </c>
      <c r="N178">
        <v>0.94087730451366813</v>
      </c>
      <c r="O178">
        <v>7730960.1818181816</v>
      </c>
      <c r="P178">
        <v>31475</v>
      </c>
      <c r="Q178">
        <v>2</v>
      </c>
      <c r="R178">
        <v>117</v>
      </c>
      <c r="S178">
        <v>11.609456555112066</v>
      </c>
      <c r="T178">
        <v>0.9837209224700928</v>
      </c>
    </row>
    <row r="179" spans="1:20" x14ac:dyDescent="0.25">
      <c r="A179" t="s">
        <v>18</v>
      </c>
      <c r="B179">
        <v>3</v>
      </c>
      <c r="C179">
        <v>5</v>
      </c>
      <c r="D179">
        <v>0</v>
      </c>
      <c r="E179" t="s">
        <v>96</v>
      </c>
      <c r="F179">
        <v>16240</v>
      </c>
      <c r="G179">
        <v>32844961.90909091</v>
      </c>
      <c r="H179">
        <v>0.98283535242080688</v>
      </c>
      <c r="I179">
        <v>0.94024157660521301</v>
      </c>
      <c r="J179">
        <v>8575644</v>
      </c>
      <c r="K179">
        <v>31980</v>
      </c>
      <c r="L179">
        <v>2</v>
      </c>
      <c r="M179">
        <v>118</v>
      </c>
      <c r="N179">
        <v>0.93706293706293708</v>
      </c>
      <c r="O179">
        <v>7612041.3636363633</v>
      </c>
      <c r="P179">
        <v>32489</v>
      </c>
      <c r="Q179">
        <v>2</v>
      </c>
      <c r="R179">
        <v>119</v>
      </c>
      <c r="S179">
        <v>11.612301101591187</v>
      </c>
      <c r="T179">
        <v>0.9837209224700928</v>
      </c>
    </row>
    <row r="180" spans="1:20" x14ac:dyDescent="0.25">
      <c r="A180" t="s">
        <v>18</v>
      </c>
      <c r="B180">
        <v>3</v>
      </c>
      <c r="C180">
        <v>5</v>
      </c>
      <c r="D180">
        <v>0</v>
      </c>
      <c r="E180" t="s">
        <v>97</v>
      </c>
      <c r="F180">
        <v>16946</v>
      </c>
      <c r="G180">
        <v>29644317.363636363</v>
      </c>
      <c r="H180">
        <v>0.98156388781287451</v>
      </c>
      <c r="I180">
        <v>0.93197711379529569</v>
      </c>
      <c r="J180">
        <v>7808222.7272727275</v>
      </c>
      <c r="K180">
        <v>33519</v>
      </c>
      <c r="L180">
        <v>2</v>
      </c>
      <c r="M180">
        <v>121</v>
      </c>
      <c r="N180">
        <v>0.94087730451366813</v>
      </c>
      <c r="O180">
        <v>8261675.8181818184</v>
      </c>
      <c r="P180">
        <v>34040</v>
      </c>
      <c r="Q180">
        <v>2</v>
      </c>
      <c r="R180">
        <v>122</v>
      </c>
      <c r="S180">
        <v>11.610247026532479</v>
      </c>
      <c r="T180">
        <v>0.98255813121795654</v>
      </c>
    </row>
    <row r="181" spans="1:20" x14ac:dyDescent="0.25">
      <c r="A181" t="s">
        <v>18</v>
      </c>
      <c r="B181">
        <v>3</v>
      </c>
      <c r="C181">
        <v>5</v>
      </c>
      <c r="D181">
        <v>0</v>
      </c>
      <c r="E181" t="s">
        <v>98</v>
      </c>
      <c r="F181">
        <v>17652</v>
      </c>
      <c r="G181">
        <v>28910865.818181816</v>
      </c>
      <c r="H181">
        <v>0.98156389865008264</v>
      </c>
      <c r="I181">
        <v>0.94278448823903371</v>
      </c>
      <c r="J181">
        <v>7003061.6363636367</v>
      </c>
      <c r="K181">
        <v>35094</v>
      </c>
      <c r="L181">
        <v>2</v>
      </c>
      <c r="M181">
        <v>124</v>
      </c>
      <c r="N181">
        <v>0.94024157660521301</v>
      </c>
      <c r="O181">
        <v>9550688.3636363633</v>
      </c>
      <c r="P181">
        <v>35627</v>
      </c>
      <c r="Q181">
        <v>2</v>
      </c>
      <c r="R181">
        <v>125</v>
      </c>
      <c r="S181">
        <v>11.607902735562311</v>
      </c>
      <c r="T181">
        <v>0.98255813121795654</v>
      </c>
    </row>
    <row r="182" spans="1:20" x14ac:dyDescent="0.25">
      <c r="A182" t="s">
        <v>18</v>
      </c>
      <c r="B182">
        <v>3</v>
      </c>
      <c r="C182">
        <v>5</v>
      </c>
      <c r="D182">
        <v>0</v>
      </c>
      <c r="E182" t="s">
        <v>99</v>
      </c>
      <c r="F182">
        <v>18358</v>
      </c>
      <c r="G182">
        <v>27852520</v>
      </c>
      <c r="H182">
        <v>0.97902096943421801</v>
      </c>
      <c r="I182">
        <v>0.93706293706293708</v>
      </c>
      <c r="J182">
        <v>7929865.2727272725</v>
      </c>
      <c r="K182">
        <v>36164</v>
      </c>
      <c r="L182">
        <v>2</v>
      </c>
      <c r="M182">
        <v>126</v>
      </c>
      <c r="N182">
        <v>0.93579148124602674</v>
      </c>
      <c r="O182">
        <v>9118164.1818181816</v>
      </c>
      <c r="P182">
        <v>36705</v>
      </c>
      <c r="Q182">
        <v>2</v>
      </c>
      <c r="R182">
        <v>127</v>
      </c>
      <c r="S182">
        <v>11.601332929415328</v>
      </c>
      <c r="T182">
        <v>0.98023254871368404</v>
      </c>
    </row>
    <row r="183" spans="1:20" x14ac:dyDescent="0.25">
      <c r="A183" t="s">
        <v>18</v>
      </c>
      <c r="B183">
        <v>3</v>
      </c>
      <c r="C183">
        <v>5</v>
      </c>
      <c r="D183">
        <v>0</v>
      </c>
      <c r="E183" t="s">
        <v>100</v>
      </c>
      <c r="F183">
        <v>19064</v>
      </c>
      <c r="G183">
        <v>27543750.454545453</v>
      </c>
      <c r="H183">
        <v>0.98092815550890833</v>
      </c>
      <c r="I183">
        <v>0.93579148124602674</v>
      </c>
      <c r="J183">
        <v>8424543.9090909082</v>
      </c>
      <c r="K183">
        <v>37799</v>
      </c>
      <c r="L183">
        <v>2</v>
      </c>
      <c r="M183">
        <v>129</v>
      </c>
      <c r="N183">
        <v>0.94024157660521301</v>
      </c>
      <c r="O183">
        <v>9101860.2727272734</v>
      </c>
      <c r="P183">
        <v>38352</v>
      </c>
      <c r="Q183">
        <v>2</v>
      </c>
      <c r="R183">
        <v>130</v>
      </c>
      <c r="S183">
        <v>11.595410628019323</v>
      </c>
      <c r="T183">
        <v>0.98139533996582029</v>
      </c>
    </row>
    <row r="184" spans="1:20" x14ac:dyDescent="0.25">
      <c r="A184" t="s">
        <v>18</v>
      </c>
      <c r="B184">
        <v>3</v>
      </c>
      <c r="C184">
        <v>5</v>
      </c>
      <c r="D184">
        <v>0</v>
      </c>
      <c r="E184" t="s">
        <v>101</v>
      </c>
      <c r="F184">
        <v>19770</v>
      </c>
      <c r="G184">
        <v>29734488.727272727</v>
      </c>
      <c r="H184">
        <v>0.97774951566349377</v>
      </c>
      <c r="I184">
        <v>0.93642720915448185</v>
      </c>
      <c r="J184">
        <v>8623756.2727272734</v>
      </c>
      <c r="K184">
        <v>39470</v>
      </c>
      <c r="L184">
        <v>2</v>
      </c>
      <c r="M184">
        <v>132</v>
      </c>
      <c r="N184">
        <v>0.93642720915448185</v>
      </c>
      <c r="O184">
        <v>9181106.0909090918</v>
      </c>
      <c r="P184">
        <v>40035</v>
      </c>
      <c r="Q184">
        <v>2</v>
      </c>
      <c r="R184">
        <v>133</v>
      </c>
      <c r="S184">
        <v>11.588323803791754</v>
      </c>
      <c r="T184">
        <v>0.9837209224700928</v>
      </c>
    </row>
    <row r="185" spans="1:20" x14ac:dyDescent="0.25">
      <c r="A185" t="s">
        <v>18</v>
      </c>
      <c r="B185">
        <v>3</v>
      </c>
      <c r="C185">
        <v>5</v>
      </c>
      <c r="D185">
        <v>0</v>
      </c>
      <c r="E185" t="s">
        <v>102</v>
      </c>
      <c r="F185">
        <v>20476</v>
      </c>
      <c r="G185">
        <v>32993139.181818184</v>
      </c>
      <c r="H185">
        <v>0.98283535242080688</v>
      </c>
      <c r="I185">
        <v>0.93134138588684046</v>
      </c>
      <c r="J185">
        <v>8697714.9090909082</v>
      </c>
      <c r="K185">
        <v>40604</v>
      </c>
      <c r="L185">
        <v>2</v>
      </c>
      <c r="M185">
        <v>134</v>
      </c>
      <c r="N185">
        <v>0.93452002542911639</v>
      </c>
      <c r="O185">
        <v>8810438.5454545449</v>
      </c>
      <c r="P185">
        <v>41177</v>
      </c>
      <c r="Q185">
        <v>2</v>
      </c>
      <c r="R185">
        <v>135</v>
      </c>
      <c r="S185">
        <v>11.585182963407318</v>
      </c>
      <c r="T185">
        <v>0.9883720874786377</v>
      </c>
    </row>
    <row r="186" spans="1:20" x14ac:dyDescent="0.25">
      <c r="A186" t="s">
        <v>18</v>
      </c>
      <c r="B186">
        <v>3</v>
      </c>
      <c r="C186">
        <v>5</v>
      </c>
      <c r="D186">
        <v>0</v>
      </c>
      <c r="E186" t="s">
        <v>103</v>
      </c>
      <c r="F186">
        <v>21182</v>
      </c>
      <c r="G186">
        <v>34676983.714285716</v>
      </c>
      <c r="H186">
        <v>0.97668997162864324</v>
      </c>
      <c r="I186">
        <v>0.93506493506493504</v>
      </c>
      <c r="J186">
        <v>9101321.9523809515</v>
      </c>
      <c r="K186">
        <v>41754</v>
      </c>
      <c r="L186">
        <v>2</v>
      </c>
      <c r="M186">
        <v>136</v>
      </c>
      <c r="N186">
        <v>0.94005994005994009</v>
      </c>
      <c r="O186">
        <v>8556245.0952380951</v>
      </c>
      <c r="P186">
        <v>42335</v>
      </c>
      <c r="Q186">
        <v>2</v>
      </c>
      <c r="R186">
        <v>137</v>
      </c>
      <c r="S186">
        <v>11.579731743666169</v>
      </c>
      <c r="T186">
        <v>0.97616278231143949</v>
      </c>
    </row>
    <row r="187" spans="1:20" x14ac:dyDescent="0.25">
      <c r="A187" t="s">
        <v>18</v>
      </c>
      <c r="B187">
        <v>3</v>
      </c>
      <c r="C187">
        <v>5</v>
      </c>
      <c r="D187">
        <v>0</v>
      </c>
      <c r="E187" t="s">
        <v>24</v>
      </c>
      <c r="F187">
        <v>21228</v>
      </c>
      <c r="G187">
        <v>37935644.090909094</v>
      </c>
      <c r="H187">
        <v>0.97774951566349377</v>
      </c>
      <c r="I187">
        <v>0.93324856961220604</v>
      </c>
      <c r="J187">
        <v>8540209.9090909082</v>
      </c>
      <c r="K187">
        <v>42335</v>
      </c>
      <c r="L187">
        <v>2</v>
      </c>
      <c r="M187">
        <v>137</v>
      </c>
      <c r="N187">
        <v>0.9376986649713922</v>
      </c>
      <c r="O187">
        <v>8599485.3636363633</v>
      </c>
      <c r="P187">
        <v>42920</v>
      </c>
      <c r="Q187">
        <v>2</v>
      </c>
      <c r="R187">
        <v>138</v>
      </c>
      <c r="S187">
        <v>11.579025549613785</v>
      </c>
      <c r="T187">
        <v>0.98604650497436519</v>
      </c>
    </row>
    <row r="188" spans="1:20" x14ac:dyDescent="0.25">
      <c r="A188" t="s">
        <v>18</v>
      </c>
      <c r="B188">
        <v>3</v>
      </c>
      <c r="C188">
        <v>5</v>
      </c>
      <c r="D188">
        <v>0</v>
      </c>
      <c r="E188" t="s">
        <v>104</v>
      </c>
      <c r="F188">
        <v>21888</v>
      </c>
      <c r="G188">
        <v>41440017.727272727</v>
      </c>
      <c r="H188">
        <v>0.97393515435132116</v>
      </c>
      <c r="I188">
        <v>0.93642720915448185</v>
      </c>
      <c r="J188">
        <v>8619040.5454545449</v>
      </c>
      <c r="K188">
        <v>43509</v>
      </c>
      <c r="L188">
        <v>2</v>
      </c>
      <c r="M188">
        <v>139</v>
      </c>
      <c r="N188">
        <v>0.9351557533375715</v>
      </c>
      <c r="O188">
        <v>9413686.7272727266</v>
      </c>
      <c r="P188">
        <v>44102</v>
      </c>
      <c r="Q188">
        <v>2</v>
      </c>
      <c r="R188">
        <v>140</v>
      </c>
      <c r="S188">
        <v>11.582469647616227</v>
      </c>
      <c r="T188">
        <v>0.98488371372222905</v>
      </c>
    </row>
    <row r="189" spans="1:20" x14ac:dyDescent="0.25">
      <c r="A189" t="s">
        <v>18</v>
      </c>
      <c r="B189">
        <v>3</v>
      </c>
      <c r="C189">
        <v>5</v>
      </c>
      <c r="D189">
        <v>0</v>
      </c>
      <c r="E189" t="s">
        <v>26</v>
      </c>
      <c r="F189">
        <v>22640</v>
      </c>
      <c r="G189">
        <v>40058605.064516127</v>
      </c>
      <c r="H189">
        <v>0.96977216005325317</v>
      </c>
      <c r="I189">
        <v>0.93345364313106249</v>
      </c>
      <c r="J189">
        <v>8734611.8064516131</v>
      </c>
      <c r="K189">
        <v>44699</v>
      </c>
      <c r="L189">
        <v>2</v>
      </c>
      <c r="M189">
        <v>141</v>
      </c>
      <c r="N189">
        <v>0.93593503270922629</v>
      </c>
      <c r="O189">
        <v>9383885.3225806449</v>
      </c>
      <c r="P189">
        <v>45300</v>
      </c>
      <c r="Q189">
        <v>2</v>
      </c>
      <c r="R189">
        <v>142</v>
      </c>
      <c r="S189">
        <v>11.583920187793428</v>
      </c>
      <c r="T189">
        <v>0.97790696819623313</v>
      </c>
    </row>
    <row r="190" spans="1:20" x14ac:dyDescent="0.25">
      <c r="A190" t="s">
        <v>18</v>
      </c>
      <c r="B190">
        <v>3</v>
      </c>
      <c r="C190">
        <v>5</v>
      </c>
      <c r="D190">
        <v>0</v>
      </c>
      <c r="E190" t="s">
        <v>56</v>
      </c>
      <c r="F190">
        <v>23166</v>
      </c>
      <c r="G190">
        <v>43797860.428571425</v>
      </c>
      <c r="H190">
        <v>0.95970695359366276</v>
      </c>
      <c r="I190">
        <v>0.93806193806193805</v>
      </c>
      <c r="J190">
        <v>9021320.2380952388</v>
      </c>
      <c r="K190">
        <v>45905</v>
      </c>
      <c r="L190">
        <v>2</v>
      </c>
      <c r="M190">
        <v>143</v>
      </c>
      <c r="N190">
        <v>0.93872793872793869</v>
      </c>
      <c r="O190">
        <v>8539939.5238095243</v>
      </c>
      <c r="P190">
        <v>46514</v>
      </c>
      <c r="Q190">
        <v>2</v>
      </c>
      <c r="R190">
        <v>144</v>
      </c>
      <c r="S190">
        <v>11.584135316418781</v>
      </c>
      <c r="T190">
        <v>0.96918603181838991</v>
      </c>
    </row>
    <row r="191" spans="1:20" x14ac:dyDescent="0.25">
      <c r="A191" t="s">
        <v>18</v>
      </c>
      <c r="B191">
        <v>3</v>
      </c>
      <c r="C191">
        <v>5</v>
      </c>
      <c r="D191">
        <v>0</v>
      </c>
      <c r="E191" t="s">
        <v>27</v>
      </c>
      <c r="F191">
        <v>23346</v>
      </c>
      <c r="G191">
        <v>47684712.18181818</v>
      </c>
      <c r="H191">
        <v>0.97075651992451062</v>
      </c>
      <c r="I191">
        <v>0.93706293706293708</v>
      </c>
      <c r="J191">
        <v>8423796.2727272734</v>
      </c>
      <c r="K191">
        <v>46514</v>
      </c>
      <c r="L191">
        <v>2</v>
      </c>
      <c r="M191">
        <v>144</v>
      </c>
      <c r="N191">
        <v>0.94024157660521301</v>
      </c>
      <c r="O191">
        <v>10101640.454545455</v>
      </c>
      <c r="P191">
        <v>47127</v>
      </c>
      <c r="Q191">
        <v>2</v>
      </c>
      <c r="R191">
        <v>145</v>
      </c>
      <c r="S191">
        <v>11.587790697674418</v>
      </c>
      <c r="T191">
        <v>0.9779069721698761</v>
      </c>
    </row>
    <row r="192" spans="1:20" x14ac:dyDescent="0.25">
      <c r="A192" t="s">
        <v>18</v>
      </c>
      <c r="B192">
        <v>3</v>
      </c>
      <c r="C192">
        <v>5</v>
      </c>
      <c r="D192">
        <v>0</v>
      </c>
      <c r="E192" t="s">
        <v>28</v>
      </c>
      <c r="F192">
        <v>24052</v>
      </c>
      <c r="G192">
        <v>46164022.095238097</v>
      </c>
      <c r="H192">
        <v>0.96070595866157893</v>
      </c>
      <c r="I192">
        <v>0.93872793872793869</v>
      </c>
      <c r="J192">
        <v>9400169.4761904757</v>
      </c>
      <c r="K192">
        <v>47744</v>
      </c>
      <c r="L192">
        <v>2</v>
      </c>
      <c r="M192">
        <v>146</v>
      </c>
      <c r="N192">
        <v>0.93906093906093913</v>
      </c>
      <c r="O192">
        <v>9194964.6190476194</v>
      </c>
      <c r="P192">
        <v>48365</v>
      </c>
      <c r="Q192">
        <v>2</v>
      </c>
      <c r="R192">
        <v>147</v>
      </c>
      <c r="S192">
        <v>11.592892227679862</v>
      </c>
      <c r="T192">
        <v>0.97093022763729098</v>
      </c>
    </row>
    <row r="193" spans="1:20" x14ac:dyDescent="0.25">
      <c r="A193" t="s">
        <v>18</v>
      </c>
      <c r="B193">
        <v>3</v>
      </c>
      <c r="C193">
        <v>5</v>
      </c>
      <c r="D193">
        <v>0</v>
      </c>
      <c r="E193" t="s">
        <v>67</v>
      </c>
      <c r="F193">
        <v>24488</v>
      </c>
      <c r="G193">
        <v>49680999.096774191</v>
      </c>
      <c r="H193">
        <v>0.95916985504088859</v>
      </c>
      <c r="I193">
        <v>0.93728851793367929</v>
      </c>
      <c r="J193">
        <v>8885591.3870967738</v>
      </c>
      <c r="K193">
        <v>48365</v>
      </c>
      <c r="L193">
        <v>2</v>
      </c>
      <c r="M193">
        <v>147</v>
      </c>
      <c r="N193">
        <v>0.93819084141664788</v>
      </c>
      <c r="O193">
        <v>9753206.1290322579</v>
      </c>
      <c r="P193">
        <v>48990</v>
      </c>
      <c r="Q193">
        <v>2</v>
      </c>
      <c r="R193">
        <v>148</v>
      </c>
      <c r="S193">
        <v>11.608820160366552</v>
      </c>
      <c r="T193">
        <v>0.97558138767878211</v>
      </c>
    </row>
    <row r="194" spans="1:20" x14ac:dyDescent="0.25">
      <c r="A194" t="s">
        <v>18</v>
      </c>
      <c r="B194">
        <v>3</v>
      </c>
      <c r="C194">
        <v>5</v>
      </c>
      <c r="D194">
        <v>0</v>
      </c>
      <c r="E194" t="s">
        <v>29</v>
      </c>
      <c r="F194">
        <v>24758</v>
      </c>
      <c r="G194">
        <v>43392571.272727273</v>
      </c>
      <c r="H194">
        <v>0.9618563218550249</v>
      </c>
      <c r="I194">
        <v>0.94151303242212336</v>
      </c>
      <c r="J194">
        <v>8984579.8181818184</v>
      </c>
      <c r="K194">
        <v>48990</v>
      </c>
      <c r="L194">
        <v>2</v>
      </c>
      <c r="M194">
        <v>148</v>
      </c>
      <c r="N194">
        <v>0.94087730451366813</v>
      </c>
      <c r="O194">
        <v>9277183.5454545449</v>
      </c>
      <c r="P194">
        <v>49619</v>
      </c>
      <c r="Q194">
        <v>2</v>
      </c>
      <c r="R194">
        <v>149</v>
      </c>
      <c r="S194">
        <v>11.607193833856694</v>
      </c>
      <c r="T194">
        <v>0.95930231213569639</v>
      </c>
    </row>
    <row r="195" spans="1:20" x14ac:dyDescent="0.25">
      <c r="A195" t="s">
        <v>18</v>
      </c>
      <c r="B195">
        <v>3</v>
      </c>
      <c r="C195">
        <v>5</v>
      </c>
      <c r="D195">
        <v>0</v>
      </c>
      <c r="E195" t="s">
        <v>30</v>
      </c>
      <c r="F195">
        <v>25464</v>
      </c>
      <c r="G195">
        <v>47720964.516129032</v>
      </c>
      <c r="H195">
        <v>0.95939543939405869</v>
      </c>
      <c r="I195">
        <v>0.93706293706293708</v>
      </c>
      <c r="J195">
        <v>9002247.064516129</v>
      </c>
      <c r="K195">
        <v>50252</v>
      </c>
      <c r="L195">
        <v>2</v>
      </c>
      <c r="M195">
        <v>150</v>
      </c>
      <c r="N195">
        <v>0.94022106925332738</v>
      </c>
      <c r="O195">
        <v>8780447.7096774187</v>
      </c>
      <c r="P195">
        <v>50889</v>
      </c>
      <c r="Q195">
        <v>2</v>
      </c>
      <c r="R195">
        <v>151</v>
      </c>
      <c r="S195">
        <v>11.612903225806452</v>
      </c>
      <c r="T195">
        <v>0.97403099735577903</v>
      </c>
    </row>
    <row r="196" spans="1:20" x14ac:dyDescent="0.25">
      <c r="A196" t="s">
        <v>18</v>
      </c>
      <c r="B196">
        <v>3</v>
      </c>
      <c r="C196">
        <v>5</v>
      </c>
      <c r="D196">
        <v>0</v>
      </c>
      <c r="E196" t="s">
        <v>44</v>
      </c>
      <c r="F196">
        <v>25594</v>
      </c>
      <c r="G196">
        <v>54174648</v>
      </c>
      <c r="H196">
        <v>0.96669995500927874</v>
      </c>
      <c r="I196">
        <v>0.93839493839493837</v>
      </c>
      <c r="J196">
        <v>8139582.6190476194</v>
      </c>
      <c r="K196">
        <v>50889</v>
      </c>
      <c r="L196">
        <v>2</v>
      </c>
      <c r="M196">
        <v>151</v>
      </c>
      <c r="N196">
        <v>0.93939393939393945</v>
      </c>
      <c r="O196">
        <v>9477768.9523809515</v>
      </c>
      <c r="P196">
        <v>51530</v>
      </c>
      <c r="Q196">
        <v>2</v>
      </c>
      <c r="R196">
        <v>152</v>
      </c>
      <c r="S196">
        <v>11.627285513361462</v>
      </c>
      <c r="T196">
        <v>0.9831395298242569</v>
      </c>
    </row>
    <row r="197" spans="1:20" x14ac:dyDescent="0.25">
      <c r="A197" t="s">
        <v>18</v>
      </c>
      <c r="B197">
        <v>3</v>
      </c>
      <c r="C197">
        <v>5</v>
      </c>
      <c r="D197">
        <v>0</v>
      </c>
      <c r="E197" t="s">
        <v>77</v>
      </c>
      <c r="F197">
        <v>25810</v>
      </c>
      <c r="G197">
        <v>46977539.095238097</v>
      </c>
      <c r="H197">
        <v>0.96669996352422805</v>
      </c>
      <c r="I197">
        <v>0.94239094239094245</v>
      </c>
      <c r="J197">
        <v>8959737.5238095243</v>
      </c>
      <c r="K197">
        <v>51530</v>
      </c>
      <c r="L197">
        <v>2</v>
      </c>
      <c r="M197">
        <v>152</v>
      </c>
      <c r="N197">
        <v>0.93672993672993676</v>
      </c>
      <c r="O197">
        <v>9022859.2857142854</v>
      </c>
      <c r="P197">
        <v>52175</v>
      </c>
      <c r="Q197">
        <v>2</v>
      </c>
      <c r="R197">
        <v>153</v>
      </c>
      <c r="S197">
        <v>11.63003355704698</v>
      </c>
      <c r="T197">
        <v>0.97151162326335905</v>
      </c>
    </row>
    <row r="198" spans="1:20" x14ac:dyDescent="0.25">
      <c r="A198" t="s">
        <v>18</v>
      </c>
      <c r="B198">
        <v>3</v>
      </c>
      <c r="C198">
        <v>5</v>
      </c>
      <c r="D198">
        <v>0</v>
      </c>
      <c r="E198" t="s">
        <v>31</v>
      </c>
      <c r="F198">
        <v>26170</v>
      </c>
      <c r="G198">
        <v>54290401.636363633</v>
      </c>
      <c r="H198">
        <v>0.94087730212645093</v>
      </c>
      <c r="I198">
        <v>0.94596312778130964</v>
      </c>
      <c r="J198">
        <v>9694464.1818181816</v>
      </c>
      <c r="K198">
        <v>52175</v>
      </c>
      <c r="L198">
        <v>2</v>
      </c>
      <c r="M198">
        <v>153</v>
      </c>
      <c r="N198">
        <v>0.93706293706293708</v>
      </c>
      <c r="O198">
        <v>9397183.9090909082</v>
      </c>
      <c r="P198">
        <v>52824</v>
      </c>
      <c r="Q198">
        <v>2</v>
      </c>
      <c r="R198">
        <v>154</v>
      </c>
      <c r="S198">
        <v>11.635071090047393</v>
      </c>
      <c r="T198">
        <v>0.96976742744445799</v>
      </c>
    </row>
    <row r="199" spans="1:20" x14ac:dyDescent="0.25">
      <c r="A199" t="s">
        <v>18</v>
      </c>
      <c r="B199">
        <v>3</v>
      </c>
      <c r="C199">
        <v>5</v>
      </c>
      <c r="D199">
        <v>0</v>
      </c>
      <c r="E199" t="s">
        <v>78</v>
      </c>
      <c r="F199">
        <v>26692</v>
      </c>
      <c r="G199">
        <v>52347323.804878049</v>
      </c>
      <c r="H199">
        <v>0.96008868624524368</v>
      </c>
      <c r="I199">
        <v>0.94371482176360222</v>
      </c>
      <c r="J199">
        <v>9146734.7073170729</v>
      </c>
      <c r="K199">
        <v>52824</v>
      </c>
      <c r="L199">
        <v>2</v>
      </c>
      <c r="M199">
        <v>154</v>
      </c>
      <c r="N199">
        <v>0.94064472113252606</v>
      </c>
      <c r="O199">
        <v>10151324.560975609</v>
      </c>
      <c r="P199">
        <v>53477</v>
      </c>
      <c r="Q199">
        <v>2</v>
      </c>
      <c r="R199">
        <v>155</v>
      </c>
      <c r="S199">
        <v>11.65077177508269</v>
      </c>
      <c r="T199">
        <v>0.97499999254941938</v>
      </c>
    </row>
    <row r="200" spans="1:20" x14ac:dyDescent="0.25">
      <c r="A200" t="s">
        <v>18</v>
      </c>
      <c r="B200">
        <v>3</v>
      </c>
      <c r="C200">
        <v>5</v>
      </c>
      <c r="D200">
        <v>0</v>
      </c>
      <c r="E200" t="s">
        <v>32</v>
      </c>
      <c r="F200">
        <v>26876</v>
      </c>
      <c r="G200">
        <v>57231636.545454547</v>
      </c>
      <c r="H200">
        <v>0.95804194970564405</v>
      </c>
      <c r="I200">
        <v>0.94151303242212336</v>
      </c>
      <c r="J200">
        <v>10602767.454545455</v>
      </c>
      <c r="K200">
        <v>53477</v>
      </c>
      <c r="L200">
        <v>2</v>
      </c>
      <c r="M200">
        <v>155</v>
      </c>
      <c r="N200">
        <v>0.94342021614748883</v>
      </c>
      <c r="O200">
        <v>9651428.5454545449</v>
      </c>
      <c r="P200">
        <v>54134</v>
      </c>
      <c r="Q200">
        <v>2</v>
      </c>
      <c r="R200">
        <v>156</v>
      </c>
      <c r="S200">
        <v>11.655125034350096</v>
      </c>
      <c r="T200">
        <v>0.9499999940395355</v>
      </c>
    </row>
    <row r="201" spans="1:20" x14ac:dyDescent="0.25">
      <c r="A201" t="s">
        <v>18</v>
      </c>
      <c r="B201">
        <v>3</v>
      </c>
      <c r="C201">
        <v>5</v>
      </c>
      <c r="D201">
        <v>0</v>
      </c>
      <c r="E201" t="s">
        <v>58</v>
      </c>
      <c r="F201">
        <v>27136</v>
      </c>
      <c r="G201">
        <v>53737725.483870968</v>
      </c>
      <c r="H201">
        <v>0.95104893945878555</v>
      </c>
      <c r="I201">
        <v>0.93728851793367929</v>
      </c>
      <c r="J201">
        <v>9246992.8709677421</v>
      </c>
      <c r="K201">
        <v>54134</v>
      </c>
      <c r="L201">
        <v>2</v>
      </c>
      <c r="M201">
        <v>156</v>
      </c>
      <c r="N201">
        <v>0.94112339273629597</v>
      </c>
      <c r="O201">
        <v>8624912.1935483869</v>
      </c>
      <c r="P201">
        <v>54795</v>
      </c>
      <c r="Q201">
        <v>2</v>
      </c>
      <c r="R201">
        <v>157</v>
      </c>
      <c r="S201">
        <v>11.668119891008175</v>
      </c>
      <c r="T201">
        <v>0.97248060901959732</v>
      </c>
    </row>
    <row r="202" spans="1:20" x14ac:dyDescent="0.25">
      <c r="A202" t="s">
        <v>18</v>
      </c>
      <c r="B202">
        <v>3</v>
      </c>
      <c r="C202">
        <v>5</v>
      </c>
      <c r="D202">
        <v>0</v>
      </c>
      <c r="E202" t="s">
        <v>33</v>
      </c>
      <c r="F202">
        <v>27582</v>
      </c>
      <c r="G202">
        <v>50713251.636363633</v>
      </c>
      <c r="H202">
        <v>0.96948505531657825</v>
      </c>
      <c r="I202">
        <v>0.93833439287984743</v>
      </c>
      <c r="J202">
        <v>9774065.0909090918</v>
      </c>
      <c r="K202">
        <v>54795</v>
      </c>
      <c r="L202">
        <v>2</v>
      </c>
      <c r="M202">
        <v>157</v>
      </c>
      <c r="N202">
        <v>0.94405594405594406</v>
      </c>
      <c r="O202">
        <v>10412826.363636363</v>
      </c>
      <c r="P202">
        <v>55460</v>
      </c>
      <c r="Q202">
        <v>2</v>
      </c>
      <c r="R202">
        <v>158</v>
      </c>
      <c r="S202">
        <v>11.671284976908449</v>
      </c>
      <c r="T202">
        <v>0.9837209224700928</v>
      </c>
    </row>
    <row r="203" spans="1:20" x14ac:dyDescent="0.25">
      <c r="A203" t="s">
        <v>18</v>
      </c>
      <c r="B203">
        <v>3</v>
      </c>
      <c r="C203">
        <v>5</v>
      </c>
      <c r="D203">
        <v>0</v>
      </c>
      <c r="E203" t="s">
        <v>47</v>
      </c>
      <c r="F203">
        <v>27844</v>
      </c>
      <c r="G203">
        <v>51343904.095238097</v>
      </c>
      <c r="H203">
        <v>0.96969696737471078</v>
      </c>
      <c r="I203">
        <v>0.93839493839493837</v>
      </c>
      <c r="J203">
        <v>9199601.8571428563</v>
      </c>
      <c r="K203">
        <v>55460</v>
      </c>
      <c r="L203">
        <v>2</v>
      </c>
      <c r="M203">
        <v>158</v>
      </c>
      <c r="N203">
        <v>0.93806193806193805</v>
      </c>
      <c r="O203">
        <v>10591205.285714285</v>
      </c>
      <c r="P203">
        <v>56129</v>
      </c>
      <c r="Q203">
        <v>2</v>
      </c>
      <c r="R203">
        <v>159</v>
      </c>
      <c r="S203">
        <v>11.672879524581308</v>
      </c>
      <c r="T203">
        <v>0.97790696620941164</v>
      </c>
    </row>
    <row r="204" spans="1:20" x14ac:dyDescent="0.25">
      <c r="A204" t="s">
        <v>18</v>
      </c>
      <c r="B204">
        <v>3</v>
      </c>
      <c r="C204">
        <v>5</v>
      </c>
      <c r="D204">
        <v>0</v>
      </c>
      <c r="E204" t="s">
        <v>34</v>
      </c>
      <c r="F204">
        <v>28288</v>
      </c>
      <c r="G204">
        <v>49498121.612903222</v>
      </c>
      <c r="H204">
        <v>0.96571170322356681</v>
      </c>
      <c r="I204">
        <v>0.93976990751184297</v>
      </c>
      <c r="J204">
        <v>8565427.2580645159</v>
      </c>
      <c r="K204">
        <v>56129</v>
      </c>
      <c r="L204">
        <v>2</v>
      </c>
      <c r="M204">
        <v>159</v>
      </c>
      <c r="N204">
        <v>0.94134897360703818</v>
      </c>
      <c r="O204">
        <v>9895879.2903225813</v>
      </c>
      <c r="P204">
        <v>56802</v>
      </c>
      <c r="Q204">
        <v>2</v>
      </c>
      <c r="R204">
        <v>160</v>
      </c>
      <c r="S204">
        <v>11.674792392177872</v>
      </c>
      <c r="T204">
        <v>0.97674417694409688</v>
      </c>
    </row>
    <row r="205" spans="1:20" x14ac:dyDescent="0.25">
      <c r="A205" t="s">
        <v>18</v>
      </c>
      <c r="B205">
        <v>3</v>
      </c>
      <c r="C205">
        <v>5</v>
      </c>
      <c r="D205">
        <v>0</v>
      </c>
      <c r="E205" t="s">
        <v>48</v>
      </c>
      <c r="F205">
        <v>28594</v>
      </c>
      <c r="G205">
        <v>61932981.18181818</v>
      </c>
      <c r="H205">
        <v>0.95232040231878112</v>
      </c>
      <c r="I205">
        <v>0.93706293706293708</v>
      </c>
      <c r="J205">
        <v>9466084.2727272734</v>
      </c>
      <c r="K205">
        <v>56802</v>
      </c>
      <c r="L205">
        <v>2</v>
      </c>
      <c r="M205">
        <v>160</v>
      </c>
      <c r="N205">
        <v>0.93833439287984743</v>
      </c>
      <c r="O205">
        <v>9919410.8181818184</v>
      </c>
      <c r="P205">
        <v>57479</v>
      </c>
      <c r="Q205">
        <v>2</v>
      </c>
      <c r="R205">
        <v>161</v>
      </c>
      <c r="S205">
        <v>11.681623931623932</v>
      </c>
      <c r="T205">
        <v>0.97441859245300289</v>
      </c>
    </row>
    <row r="206" spans="1:20" x14ac:dyDescent="0.25">
      <c r="A206" t="s">
        <v>18</v>
      </c>
      <c r="B206">
        <v>3</v>
      </c>
      <c r="C206">
        <v>5</v>
      </c>
      <c r="D206">
        <v>0</v>
      </c>
      <c r="E206" t="s">
        <v>35</v>
      </c>
      <c r="F206">
        <v>28994</v>
      </c>
      <c r="G206">
        <v>53973218.926829271</v>
      </c>
      <c r="H206">
        <v>0.95991812537356125</v>
      </c>
      <c r="I206">
        <v>0.93876854852464608</v>
      </c>
      <c r="J206">
        <v>9512748.2926829271</v>
      </c>
      <c r="K206">
        <v>57479</v>
      </c>
      <c r="L206">
        <v>2</v>
      </c>
      <c r="M206">
        <v>161</v>
      </c>
      <c r="N206">
        <v>0.94013303769401335</v>
      </c>
      <c r="O206">
        <v>10364235</v>
      </c>
      <c r="P206">
        <v>58160</v>
      </c>
      <c r="Q206">
        <v>2</v>
      </c>
      <c r="R206">
        <v>162</v>
      </c>
      <c r="S206">
        <v>11.690092470277412</v>
      </c>
      <c r="T206">
        <v>0.97180231958627705</v>
      </c>
    </row>
    <row r="207" spans="1:20" x14ac:dyDescent="0.25">
      <c r="A207" t="s">
        <v>18</v>
      </c>
      <c r="B207">
        <v>3</v>
      </c>
      <c r="C207">
        <v>5</v>
      </c>
      <c r="D207">
        <v>0</v>
      </c>
      <c r="E207" t="s">
        <v>49</v>
      </c>
      <c r="F207">
        <v>29344</v>
      </c>
      <c r="G207">
        <v>53753951.81818182</v>
      </c>
      <c r="H207">
        <v>0.96058486808430066</v>
      </c>
      <c r="I207">
        <v>0.94278448823903371</v>
      </c>
      <c r="J207">
        <v>8741703.7272727266</v>
      </c>
      <c r="K207">
        <v>58160</v>
      </c>
      <c r="L207">
        <v>2</v>
      </c>
      <c r="M207">
        <v>162</v>
      </c>
      <c r="N207">
        <v>0.93960584869675778</v>
      </c>
      <c r="O207">
        <v>9757836.4545454551</v>
      </c>
      <c r="P207">
        <v>58845</v>
      </c>
      <c r="Q207">
        <v>2</v>
      </c>
      <c r="R207">
        <v>163</v>
      </c>
      <c r="S207">
        <v>11.692571127502635</v>
      </c>
      <c r="T207">
        <v>0.9686046421527863</v>
      </c>
    </row>
    <row r="208" spans="1:20" x14ac:dyDescent="0.25">
      <c r="A208" t="s">
        <v>18</v>
      </c>
      <c r="B208">
        <v>3</v>
      </c>
      <c r="C208">
        <v>5</v>
      </c>
      <c r="D208">
        <v>0</v>
      </c>
      <c r="E208" t="s">
        <v>36</v>
      </c>
      <c r="F208">
        <v>29700</v>
      </c>
      <c r="G208">
        <v>50203226.428571425</v>
      </c>
      <c r="H208">
        <v>0.94405594042369301</v>
      </c>
      <c r="I208">
        <v>0.9417249417249417</v>
      </c>
      <c r="J208">
        <v>9502690.7619047612</v>
      </c>
      <c r="K208">
        <v>58845</v>
      </c>
      <c r="L208">
        <v>2</v>
      </c>
      <c r="M208">
        <v>163</v>
      </c>
      <c r="N208">
        <v>0.93772893772893773</v>
      </c>
      <c r="O208">
        <v>10166679.619047619</v>
      </c>
      <c r="P208">
        <v>59534</v>
      </c>
      <c r="Q208">
        <v>2</v>
      </c>
      <c r="R208">
        <v>164</v>
      </c>
      <c r="S208">
        <v>11.689284778621955</v>
      </c>
      <c r="T208">
        <v>0.97441859841346745</v>
      </c>
    </row>
    <row r="209" spans="1:20" x14ac:dyDescent="0.25">
      <c r="A209" t="s">
        <v>18</v>
      </c>
      <c r="B209">
        <v>3</v>
      </c>
      <c r="C209">
        <v>5</v>
      </c>
      <c r="D209">
        <v>0</v>
      </c>
      <c r="E209" t="s">
        <v>50</v>
      </c>
      <c r="F209">
        <v>30094</v>
      </c>
      <c r="G209">
        <v>56371516.354838707</v>
      </c>
      <c r="H209">
        <v>0.96029776527035626</v>
      </c>
      <c r="I209">
        <v>0.94022106925332738</v>
      </c>
      <c r="J209">
        <v>9628715.4193548393</v>
      </c>
      <c r="K209">
        <v>59534</v>
      </c>
      <c r="L209">
        <v>2</v>
      </c>
      <c r="M209">
        <v>164</v>
      </c>
      <c r="N209">
        <v>0.93976990751184297</v>
      </c>
      <c r="O209">
        <v>10083522.129032258</v>
      </c>
      <c r="P209">
        <v>60227</v>
      </c>
      <c r="Q209">
        <v>2</v>
      </c>
      <c r="R209">
        <v>165</v>
      </c>
      <c r="S209">
        <v>11.696205821205821</v>
      </c>
      <c r="T209">
        <v>0.96899223526318867</v>
      </c>
    </row>
    <row r="210" spans="1:20" x14ac:dyDescent="0.25">
      <c r="A210" t="s">
        <v>18</v>
      </c>
      <c r="B210">
        <v>3</v>
      </c>
      <c r="C210">
        <v>5</v>
      </c>
      <c r="D210">
        <v>0</v>
      </c>
      <c r="E210" t="s">
        <v>37</v>
      </c>
      <c r="F210">
        <v>30406</v>
      </c>
      <c r="G210">
        <v>59506162.636363633</v>
      </c>
      <c r="H210">
        <v>0.95613476363095373</v>
      </c>
      <c r="I210">
        <v>0.93960584869675778</v>
      </c>
      <c r="J210">
        <v>10318729.272727273</v>
      </c>
      <c r="K210">
        <v>60227</v>
      </c>
      <c r="L210">
        <v>2</v>
      </c>
      <c r="M210">
        <v>165</v>
      </c>
      <c r="N210">
        <v>0.93833439287984743</v>
      </c>
      <c r="O210">
        <v>10591135</v>
      </c>
      <c r="P210">
        <v>60924</v>
      </c>
      <c r="Q210">
        <v>2</v>
      </c>
      <c r="R210">
        <v>166</v>
      </c>
      <c r="S210">
        <v>11.700699663125162</v>
      </c>
      <c r="T210">
        <v>0.97674417495727539</v>
      </c>
    </row>
    <row r="211" spans="1:20" x14ac:dyDescent="0.25">
      <c r="A211" t="s">
        <v>18</v>
      </c>
      <c r="B211">
        <v>3</v>
      </c>
      <c r="C211">
        <v>5</v>
      </c>
      <c r="D211">
        <v>0</v>
      </c>
      <c r="E211" t="s">
        <v>51</v>
      </c>
      <c r="F211">
        <v>30844</v>
      </c>
      <c r="G211">
        <v>60534348.390243903</v>
      </c>
      <c r="H211">
        <v>0.95718914851909731</v>
      </c>
      <c r="I211">
        <v>0.94371482176360222</v>
      </c>
      <c r="J211">
        <v>10541261.414634146</v>
      </c>
      <c r="K211">
        <v>60924</v>
      </c>
      <c r="L211">
        <v>2</v>
      </c>
      <c r="M211">
        <v>166</v>
      </c>
      <c r="N211">
        <v>0.93655125362442437</v>
      </c>
      <c r="O211">
        <v>9868457.4146341458</v>
      </c>
      <c r="P211">
        <v>61625</v>
      </c>
      <c r="Q211">
        <v>2</v>
      </c>
      <c r="R211">
        <v>167</v>
      </c>
      <c r="S211">
        <v>11.714615384615385</v>
      </c>
      <c r="T211">
        <v>0.97063952386379238</v>
      </c>
    </row>
    <row r="212" spans="1:20" x14ac:dyDescent="0.25">
      <c r="A212" t="s">
        <v>18</v>
      </c>
      <c r="B212">
        <v>3</v>
      </c>
      <c r="C212">
        <v>5</v>
      </c>
      <c r="D212">
        <v>0</v>
      </c>
      <c r="E212" t="s">
        <v>38</v>
      </c>
      <c r="F212">
        <v>31112</v>
      </c>
      <c r="G212">
        <v>60125301.363636367</v>
      </c>
      <c r="H212">
        <v>0.92879847504875879</v>
      </c>
      <c r="I212">
        <v>0.94405594405594406</v>
      </c>
      <c r="J212">
        <v>10704351.363636363</v>
      </c>
      <c r="K212">
        <v>61625</v>
      </c>
      <c r="L212">
        <v>2</v>
      </c>
      <c r="M212">
        <v>167</v>
      </c>
      <c r="N212">
        <v>0.93960584869675778</v>
      </c>
      <c r="O212">
        <v>11378481</v>
      </c>
      <c r="P212">
        <v>62330</v>
      </c>
      <c r="Q212">
        <v>2</v>
      </c>
      <c r="R212">
        <v>168</v>
      </c>
      <c r="S212">
        <v>11.717207875223728</v>
      </c>
      <c r="T212">
        <v>0.96162790060043335</v>
      </c>
    </row>
    <row r="213" spans="1:20" x14ac:dyDescent="0.25">
      <c r="A213" t="s">
        <v>18</v>
      </c>
      <c r="B213">
        <v>3</v>
      </c>
      <c r="C213">
        <v>5</v>
      </c>
      <c r="D213">
        <v>0</v>
      </c>
      <c r="E213" t="s">
        <v>52</v>
      </c>
      <c r="F213">
        <v>31594</v>
      </c>
      <c r="G213">
        <v>55375298.975609757</v>
      </c>
      <c r="H213">
        <v>0.95838307462087491</v>
      </c>
      <c r="I213">
        <v>0.94030359884018422</v>
      </c>
      <c r="J213">
        <v>10010984.731707318</v>
      </c>
      <c r="K213">
        <v>63039</v>
      </c>
      <c r="L213">
        <v>2</v>
      </c>
      <c r="M213">
        <v>169</v>
      </c>
      <c r="N213">
        <v>0.94064472113252606</v>
      </c>
      <c r="O213">
        <v>10556987.731707318</v>
      </c>
      <c r="P213">
        <v>63752</v>
      </c>
      <c r="Q213">
        <v>2</v>
      </c>
      <c r="R213">
        <v>170</v>
      </c>
      <c r="S213">
        <v>11.717864372469636</v>
      </c>
      <c r="T213">
        <v>0.97441859394311903</v>
      </c>
    </row>
    <row r="214" spans="1:20" x14ac:dyDescent="0.25">
      <c r="A214" t="s">
        <v>18</v>
      </c>
      <c r="B214">
        <v>3</v>
      </c>
      <c r="C214">
        <v>5</v>
      </c>
      <c r="D214">
        <v>0</v>
      </c>
      <c r="E214" t="s">
        <v>70</v>
      </c>
      <c r="F214">
        <v>32030</v>
      </c>
      <c r="G214">
        <v>61366459.666666664</v>
      </c>
      <c r="H214">
        <v>0.96070595866157893</v>
      </c>
      <c r="I214">
        <v>0.93906093906093913</v>
      </c>
      <c r="J214">
        <v>10129593.047619049</v>
      </c>
      <c r="K214">
        <v>63752</v>
      </c>
      <c r="L214">
        <v>2</v>
      </c>
      <c r="M214">
        <v>170</v>
      </c>
      <c r="N214">
        <v>0.94105894105894106</v>
      </c>
      <c r="O214">
        <v>10431955.095238095</v>
      </c>
      <c r="P214">
        <v>64469</v>
      </c>
      <c r="Q214">
        <v>2</v>
      </c>
      <c r="R214">
        <v>171</v>
      </c>
      <c r="S214">
        <v>11.723131135162346</v>
      </c>
      <c r="T214">
        <v>0.96686045527458186</v>
      </c>
    </row>
    <row r="215" spans="1:20" x14ac:dyDescent="0.25">
      <c r="A215" t="s">
        <v>18</v>
      </c>
      <c r="B215">
        <v>3</v>
      </c>
      <c r="C215">
        <v>5</v>
      </c>
      <c r="D215">
        <v>0</v>
      </c>
      <c r="E215" t="s">
        <v>53</v>
      </c>
      <c r="F215">
        <v>32344</v>
      </c>
      <c r="G215">
        <v>57163535.809523806</v>
      </c>
      <c r="H215">
        <v>0.95504494508107507</v>
      </c>
      <c r="I215">
        <v>0.9417249417249417</v>
      </c>
      <c r="J215">
        <v>10478629.666666666</v>
      </c>
      <c r="K215">
        <v>64469</v>
      </c>
      <c r="L215">
        <v>2</v>
      </c>
      <c r="M215">
        <v>171</v>
      </c>
      <c r="N215">
        <v>0.94072594072594073</v>
      </c>
      <c r="O215">
        <v>10462985.380952381</v>
      </c>
      <c r="P215">
        <v>65190</v>
      </c>
      <c r="Q215">
        <v>2</v>
      </c>
      <c r="R215">
        <v>172</v>
      </c>
      <c r="S215">
        <v>11.725338007010516</v>
      </c>
      <c r="T215">
        <v>0.96686045527458186</v>
      </c>
    </row>
    <row r="216" spans="1:20" x14ac:dyDescent="0.25">
      <c r="A216" t="s">
        <v>18</v>
      </c>
      <c r="B216">
        <v>3</v>
      </c>
      <c r="C216">
        <v>5</v>
      </c>
      <c r="D216">
        <v>0</v>
      </c>
      <c r="E216" t="s">
        <v>62</v>
      </c>
      <c r="F216">
        <v>32694</v>
      </c>
      <c r="G216">
        <v>62446848.363636367</v>
      </c>
      <c r="H216">
        <v>0.92371264912865381</v>
      </c>
      <c r="I216">
        <v>0.94024157660521301</v>
      </c>
      <c r="J216">
        <v>9621147.5454545449</v>
      </c>
      <c r="K216">
        <v>65190</v>
      </c>
      <c r="L216">
        <v>2</v>
      </c>
      <c r="M216">
        <v>172</v>
      </c>
      <c r="N216">
        <v>0.93897012078830266</v>
      </c>
      <c r="O216">
        <v>10497453.545454545</v>
      </c>
      <c r="P216">
        <v>65915</v>
      </c>
      <c r="Q216">
        <v>2</v>
      </c>
      <c r="R216">
        <v>173</v>
      </c>
      <c r="S216">
        <v>11.727840199750313</v>
      </c>
      <c r="T216">
        <v>0.98139534592628475</v>
      </c>
    </row>
    <row r="217" spans="1:20" x14ac:dyDescent="0.25">
      <c r="A217" t="s">
        <v>18</v>
      </c>
      <c r="B217">
        <v>3</v>
      </c>
      <c r="C217">
        <v>5</v>
      </c>
      <c r="D217">
        <v>0</v>
      </c>
      <c r="E217" t="s">
        <v>54</v>
      </c>
      <c r="F217">
        <v>33094</v>
      </c>
      <c r="G217">
        <v>60302084.096774191</v>
      </c>
      <c r="H217">
        <v>0.95894427837864049</v>
      </c>
      <c r="I217">
        <v>0.94270245883149106</v>
      </c>
      <c r="J217">
        <v>11030870.677419355</v>
      </c>
      <c r="K217">
        <v>65915</v>
      </c>
      <c r="L217">
        <v>2</v>
      </c>
      <c r="M217">
        <v>173</v>
      </c>
      <c r="N217">
        <v>0.94315362057297547</v>
      </c>
      <c r="O217">
        <v>10861548.548387097</v>
      </c>
      <c r="P217">
        <v>66644</v>
      </c>
      <c r="Q217">
        <v>2</v>
      </c>
      <c r="R217">
        <v>174</v>
      </c>
      <c r="S217">
        <v>11.732408325074331</v>
      </c>
      <c r="T217">
        <v>0.97635657986005142</v>
      </c>
    </row>
    <row r="218" spans="1:20" x14ac:dyDescent="0.25">
      <c r="A218" t="s">
        <v>18</v>
      </c>
      <c r="B218">
        <v>3</v>
      </c>
      <c r="C218">
        <v>5</v>
      </c>
      <c r="D218">
        <v>0</v>
      </c>
      <c r="E218" t="s">
        <v>63</v>
      </c>
      <c r="F218">
        <v>33488</v>
      </c>
      <c r="G218">
        <v>68194207.090909094</v>
      </c>
      <c r="H218">
        <v>0.96312778104435315</v>
      </c>
      <c r="I218">
        <v>0.93960584869675778</v>
      </c>
      <c r="J218">
        <v>11017500.909090908</v>
      </c>
      <c r="K218">
        <v>66644</v>
      </c>
      <c r="L218">
        <v>2</v>
      </c>
      <c r="M218">
        <v>174</v>
      </c>
      <c r="N218">
        <v>0.94214876033057848</v>
      </c>
      <c r="O218">
        <v>10554081.272727273</v>
      </c>
      <c r="P218">
        <v>67377</v>
      </c>
      <c r="Q218">
        <v>2</v>
      </c>
      <c r="R218">
        <v>175</v>
      </c>
      <c r="S218">
        <v>11.738571781566593</v>
      </c>
      <c r="T218">
        <v>0.97093021869659424</v>
      </c>
    </row>
    <row r="219" spans="1:20" x14ac:dyDescent="0.25">
      <c r="A219" t="s">
        <v>18</v>
      </c>
      <c r="B219">
        <v>3</v>
      </c>
      <c r="C219">
        <v>5</v>
      </c>
      <c r="D219">
        <v>0</v>
      </c>
      <c r="E219" t="s">
        <v>86</v>
      </c>
      <c r="F219">
        <v>33748</v>
      </c>
      <c r="G219">
        <v>68224306</v>
      </c>
      <c r="H219">
        <v>0.96370295967374531</v>
      </c>
      <c r="I219">
        <v>0.93972693972693977</v>
      </c>
      <c r="J219">
        <v>10670893.952380951</v>
      </c>
      <c r="K219">
        <v>67377</v>
      </c>
      <c r="L219">
        <v>2</v>
      </c>
      <c r="M219">
        <v>175</v>
      </c>
      <c r="N219">
        <v>0.9417249417249417</v>
      </c>
      <c r="O219">
        <v>10340968.571428571</v>
      </c>
      <c r="P219">
        <v>68114</v>
      </c>
      <c r="Q219">
        <v>2</v>
      </c>
      <c r="R219">
        <v>176</v>
      </c>
      <c r="S219">
        <v>11.751229105211406</v>
      </c>
      <c r="T219">
        <v>0.97093022167682652</v>
      </c>
    </row>
    <row r="220" spans="1:20" x14ac:dyDescent="0.25">
      <c r="A220" t="s">
        <v>18</v>
      </c>
      <c r="B220">
        <v>3</v>
      </c>
      <c r="C220">
        <v>5</v>
      </c>
      <c r="D220">
        <v>0</v>
      </c>
      <c r="E220" t="s">
        <v>64</v>
      </c>
      <c r="F220">
        <v>34282</v>
      </c>
      <c r="G220">
        <v>61210055.454545453</v>
      </c>
      <c r="H220">
        <v>0.96821360696445813</v>
      </c>
      <c r="I220">
        <v>0.94596312778130964</v>
      </c>
      <c r="J220">
        <v>10924223.090909092</v>
      </c>
      <c r="K220">
        <v>68114</v>
      </c>
      <c r="L220">
        <v>2</v>
      </c>
      <c r="M220">
        <v>176</v>
      </c>
      <c r="N220">
        <v>0.93897012078830266</v>
      </c>
      <c r="O220">
        <v>10750038.272727273</v>
      </c>
      <c r="P220">
        <v>68855</v>
      </c>
      <c r="Q220">
        <v>2</v>
      </c>
      <c r="R220">
        <v>177</v>
      </c>
      <c r="S220">
        <v>11.752390291738172</v>
      </c>
      <c r="T220">
        <v>0.97209301590919495</v>
      </c>
    </row>
    <row r="221" spans="1:20" x14ac:dyDescent="0.25">
      <c r="A221" t="s">
        <v>18</v>
      </c>
      <c r="B221">
        <v>3</v>
      </c>
      <c r="C221">
        <v>5</v>
      </c>
      <c r="D221">
        <v>0</v>
      </c>
      <c r="E221" t="s">
        <v>72</v>
      </c>
      <c r="F221">
        <v>34544</v>
      </c>
      <c r="G221">
        <v>66350467.81818182</v>
      </c>
      <c r="H221">
        <v>0.96821360696445813</v>
      </c>
      <c r="I221">
        <v>0.93897012078830266</v>
      </c>
      <c r="J221">
        <v>10753541</v>
      </c>
      <c r="K221">
        <v>68855</v>
      </c>
      <c r="L221">
        <v>2</v>
      </c>
      <c r="M221">
        <v>177</v>
      </c>
      <c r="N221">
        <v>0.93897012078830266</v>
      </c>
      <c r="O221">
        <v>11450633.818181818</v>
      </c>
      <c r="P221">
        <v>69600</v>
      </c>
      <c r="Q221">
        <v>2</v>
      </c>
      <c r="R221">
        <v>178</v>
      </c>
      <c r="S221">
        <v>11.756723716381417</v>
      </c>
      <c r="T221">
        <v>0.97441859245300289</v>
      </c>
    </row>
    <row r="222" spans="1:20" x14ac:dyDescent="0.25">
      <c r="A222" t="s">
        <v>18</v>
      </c>
      <c r="B222">
        <v>3</v>
      </c>
      <c r="C222">
        <v>5</v>
      </c>
      <c r="D222">
        <v>0</v>
      </c>
      <c r="E222" t="s">
        <v>65</v>
      </c>
      <c r="F222">
        <v>35076</v>
      </c>
      <c r="G222">
        <v>64107190.476190478</v>
      </c>
      <c r="H222">
        <v>0.96270395744414561</v>
      </c>
      <c r="I222">
        <v>0.94538794538794535</v>
      </c>
      <c r="J222">
        <v>11671855.857142856</v>
      </c>
      <c r="K222">
        <v>69600</v>
      </c>
      <c r="L222">
        <v>2</v>
      </c>
      <c r="M222">
        <v>178</v>
      </c>
      <c r="N222">
        <v>0.93972693972693977</v>
      </c>
      <c r="O222">
        <v>11078242.952380951</v>
      </c>
      <c r="P222">
        <v>70349</v>
      </c>
      <c r="Q222">
        <v>2</v>
      </c>
      <c r="R222">
        <v>179</v>
      </c>
      <c r="S222">
        <v>11.761371928971053</v>
      </c>
      <c r="T222">
        <v>0.97267440557479856</v>
      </c>
    </row>
    <row r="223" spans="1:20" x14ac:dyDescent="0.25">
      <c r="A223" t="s">
        <v>18</v>
      </c>
      <c r="B223">
        <v>3</v>
      </c>
      <c r="C223">
        <v>5</v>
      </c>
      <c r="D223">
        <v>0</v>
      </c>
      <c r="E223" t="s">
        <v>73</v>
      </c>
      <c r="F223">
        <v>35382</v>
      </c>
      <c r="G223">
        <v>67845900.63636364</v>
      </c>
      <c r="H223">
        <v>0.95041322166269471</v>
      </c>
      <c r="I223">
        <v>0.94278448823903371</v>
      </c>
      <c r="J223">
        <v>11034048.363636363</v>
      </c>
      <c r="K223">
        <v>70349</v>
      </c>
      <c r="L223">
        <v>2</v>
      </c>
      <c r="M223">
        <v>179</v>
      </c>
      <c r="N223">
        <v>0.94596312778130964</v>
      </c>
      <c r="O223">
        <v>11115497.090909092</v>
      </c>
      <c r="P223">
        <v>71102</v>
      </c>
      <c r="Q223">
        <v>2</v>
      </c>
      <c r="R223">
        <v>180</v>
      </c>
      <c r="S223">
        <v>11.764677341096554</v>
      </c>
      <c r="T223">
        <v>0.95813953280448916</v>
      </c>
    </row>
    <row r="224" spans="1:20" x14ac:dyDescent="0.25">
      <c r="A224" t="s">
        <v>18</v>
      </c>
      <c r="B224">
        <v>3</v>
      </c>
      <c r="C224">
        <v>5</v>
      </c>
      <c r="D224">
        <v>0</v>
      </c>
      <c r="E224" t="s">
        <v>74</v>
      </c>
      <c r="F224">
        <v>36220</v>
      </c>
      <c r="G224">
        <v>62264227.285714284</v>
      </c>
      <c r="H224">
        <v>0.96403596514747258</v>
      </c>
      <c r="I224">
        <v>0.9430569430569431</v>
      </c>
      <c r="J224">
        <v>11706964.476190476</v>
      </c>
      <c r="K224">
        <v>71859</v>
      </c>
      <c r="L224">
        <v>2</v>
      </c>
      <c r="M224">
        <v>181</v>
      </c>
      <c r="N224">
        <v>0.94072594072594073</v>
      </c>
      <c r="O224">
        <v>12243078.857142856</v>
      </c>
      <c r="P224">
        <v>72620</v>
      </c>
      <c r="Q224">
        <v>2</v>
      </c>
      <c r="R224">
        <v>182</v>
      </c>
      <c r="S224">
        <v>11.766835626357711</v>
      </c>
      <c r="T224">
        <v>0.97267440557479856</v>
      </c>
    </row>
    <row r="225" spans="1:20" x14ac:dyDescent="0.25">
      <c r="A225" t="s">
        <v>18</v>
      </c>
      <c r="B225">
        <v>3</v>
      </c>
      <c r="C225">
        <v>5</v>
      </c>
      <c r="D225">
        <v>0</v>
      </c>
      <c r="E225" t="s">
        <v>89</v>
      </c>
      <c r="F225">
        <v>36394</v>
      </c>
      <c r="G225">
        <v>67435568.181818187</v>
      </c>
      <c r="H225">
        <v>0.96948505531657825</v>
      </c>
      <c r="I225">
        <v>0.94024157660521301</v>
      </c>
      <c r="J225">
        <v>13222686.818181818</v>
      </c>
      <c r="K225">
        <v>72620</v>
      </c>
      <c r="L225">
        <v>2</v>
      </c>
      <c r="M225">
        <v>182</v>
      </c>
      <c r="N225">
        <v>0.93897012078830266</v>
      </c>
      <c r="O225">
        <v>12567108.818181818</v>
      </c>
      <c r="P225">
        <v>73385</v>
      </c>
      <c r="Q225">
        <v>2</v>
      </c>
      <c r="R225">
        <v>183</v>
      </c>
      <c r="S225">
        <v>11.76865671641791</v>
      </c>
      <c r="T225">
        <v>0.9686046421527863</v>
      </c>
    </row>
    <row r="226" spans="1:20" x14ac:dyDescent="0.25">
      <c r="A226" t="s">
        <v>18</v>
      </c>
      <c r="B226">
        <v>3</v>
      </c>
      <c r="C226">
        <v>5</v>
      </c>
      <c r="D226">
        <v>0</v>
      </c>
      <c r="E226" t="s">
        <v>75</v>
      </c>
      <c r="F226">
        <v>37058</v>
      </c>
      <c r="G226">
        <v>57521184.727272727</v>
      </c>
      <c r="H226">
        <v>0.95994913578033447</v>
      </c>
      <c r="I226">
        <v>0.93833439287984743</v>
      </c>
      <c r="J226">
        <v>12945946.454545455</v>
      </c>
      <c r="K226">
        <v>73385</v>
      </c>
      <c r="L226">
        <v>2</v>
      </c>
      <c r="M226">
        <v>183</v>
      </c>
      <c r="N226">
        <v>0.93897012078830266</v>
      </c>
      <c r="O226">
        <v>13341281.181818182</v>
      </c>
      <c r="P226">
        <v>74154</v>
      </c>
      <c r="Q226">
        <v>2</v>
      </c>
      <c r="R226">
        <v>184</v>
      </c>
      <c r="S226">
        <v>11.765426170468187</v>
      </c>
      <c r="T226">
        <v>0.9546511590480804</v>
      </c>
    </row>
    <row r="227" spans="1:20" x14ac:dyDescent="0.25">
      <c r="A227" t="s">
        <v>18</v>
      </c>
      <c r="B227">
        <v>3</v>
      </c>
      <c r="C227">
        <v>5</v>
      </c>
      <c r="D227">
        <v>0</v>
      </c>
      <c r="E227" t="s">
        <v>90</v>
      </c>
      <c r="F227">
        <v>37276</v>
      </c>
      <c r="G227">
        <v>67175576.909090906</v>
      </c>
      <c r="H227">
        <v>0.96058486808430066</v>
      </c>
      <c r="I227">
        <v>0.94214876033057848</v>
      </c>
      <c r="J227">
        <v>12995341.181818182</v>
      </c>
      <c r="K227">
        <v>74154</v>
      </c>
      <c r="L227">
        <v>2</v>
      </c>
      <c r="M227">
        <v>184</v>
      </c>
      <c r="N227">
        <v>0.93579148124602674</v>
      </c>
      <c r="O227">
        <v>11962181.090909092</v>
      </c>
      <c r="P227">
        <v>74927</v>
      </c>
      <c r="Q227">
        <v>2</v>
      </c>
      <c r="R227">
        <v>185</v>
      </c>
      <c r="S227">
        <v>11.767241379310345</v>
      </c>
      <c r="T227">
        <v>0.96511626839637754</v>
      </c>
    </row>
    <row r="228" spans="1:20" x14ac:dyDescent="0.25">
      <c r="A228" t="s">
        <v>18</v>
      </c>
      <c r="B228">
        <v>3</v>
      </c>
      <c r="C228">
        <v>5</v>
      </c>
      <c r="D228">
        <v>0</v>
      </c>
      <c r="E228" t="s">
        <v>91</v>
      </c>
      <c r="F228">
        <v>38158</v>
      </c>
      <c r="G228">
        <v>65003001.909090906</v>
      </c>
      <c r="H228">
        <v>0.96630641547116369</v>
      </c>
      <c r="I228">
        <v>0.94214876033057848</v>
      </c>
      <c r="J228">
        <v>12083818.636363637</v>
      </c>
      <c r="K228">
        <v>75704</v>
      </c>
      <c r="L228">
        <v>2</v>
      </c>
      <c r="M228">
        <v>186</v>
      </c>
      <c r="N228">
        <v>0.93960584869675778</v>
      </c>
      <c r="O228">
        <v>13152637.636363637</v>
      </c>
      <c r="P228">
        <v>76485</v>
      </c>
      <c r="Q228">
        <v>2</v>
      </c>
      <c r="R228">
        <v>187</v>
      </c>
      <c r="S228">
        <v>11.768091712443276</v>
      </c>
      <c r="T228">
        <v>0.98023254871368404</v>
      </c>
    </row>
    <row r="229" spans="1:20" x14ac:dyDescent="0.25">
      <c r="A229" t="s">
        <v>18</v>
      </c>
      <c r="B229">
        <v>3</v>
      </c>
      <c r="C229">
        <v>5</v>
      </c>
      <c r="D229">
        <v>0</v>
      </c>
      <c r="E229" t="s">
        <v>92</v>
      </c>
      <c r="F229">
        <v>39040</v>
      </c>
      <c r="G229">
        <v>82083822.909090906</v>
      </c>
      <c r="H229">
        <v>0.95677050135352393</v>
      </c>
      <c r="I229">
        <v>0.94214876033057848</v>
      </c>
      <c r="J229">
        <v>14268581.636363637</v>
      </c>
      <c r="K229">
        <v>77270</v>
      </c>
      <c r="L229">
        <v>2</v>
      </c>
      <c r="M229">
        <v>188</v>
      </c>
      <c r="N229">
        <v>0.94342021614748883</v>
      </c>
      <c r="O229">
        <v>14175419.181818182</v>
      </c>
      <c r="P229">
        <v>78059</v>
      </c>
      <c r="Q229">
        <v>2</v>
      </c>
      <c r="R229">
        <v>189</v>
      </c>
      <c r="S229">
        <v>11.774892806098142</v>
      </c>
      <c r="T229">
        <v>0.96162790060043335</v>
      </c>
    </row>
    <row r="230" spans="1:20" x14ac:dyDescent="0.25">
      <c r="A230" t="s">
        <v>18</v>
      </c>
      <c r="B230">
        <v>3</v>
      </c>
      <c r="C230">
        <v>5</v>
      </c>
      <c r="D230">
        <v>0</v>
      </c>
      <c r="E230" t="s">
        <v>105</v>
      </c>
      <c r="F230">
        <v>7768</v>
      </c>
      <c r="G230">
        <v>68530973.454545453</v>
      </c>
      <c r="H230">
        <v>0.96630641547116369</v>
      </c>
      <c r="I230">
        <v>0.94405594405594406</v>
      </c>
      <c r="J230">
        <v>13564758.909090908</v>
      </c>
      <c r="K230">
        <v>15249</v>
      </c>
      <c r="L230">
        <v>2</v>
      </c>
      <c r="M230">
        <v>79</v>
      </c>
      <c r="N230">
        <v>0.94596312778130964</v>
      </c>
      <c r="O230">
        <v>13439114.090909092</v>
      </c>
      <c r="P230">
        <v>15602</v>
      </c>
      <c r="Q230">
        <v>2</v>
      </c>
      <c r="R230">
        <v>80</v>
      </c>
      <c r="S230">
        <v>11.777144214777858</v>
      </c>
      <c r="T230">
        <v>0.96976743340492244</v>
      </c>
    </row>
    <row r="231" spans="1:20" x14ac:dyDescent="0.25">
      <c r="A231" t="s">
        <v>18</v>
      </c>
      <c r="B231">
        <v>3</v>
      </c>
      <c r="C231">
        <v>5</v>
      </c>
      <c r="D231">
        <v>0</v>
      </c>
      <c r="E231" t="s">
        <v>19</v>
      </c>
      <c r="F231">
        <v>8474</v>
      </c>
      <c r="G231">
        <v>16923052</v>
      </c>
      <c r="H231">
        <v>0.97902098027142614</v>
      </c>
      <c r="I231">
        <v>0.9376986649713922</v>
      </c>
      <c r="J231">
        <v>2770532</v>
      </c>
      <c r="K231">
        <v>16685</v>
      </c>
      <c r="L231">
        <v>2</v>
      </c>
      <c r="M231">
        <v>83</v>
      </c>
      <c r="N231">
        <v>0.9351557533375715</v>
      </c>
      <c r="O231">
        <v>2578340</v>
      </c>
      <c r="P231">
        <v>17054</v>
      </c>
      <c r="Q231">
        <v>2</v>
      </c>
      <c r="R231">
        <v>84</v>
      </c>
      <c r="S231">
        <v>11.772274881516587</v>
      </c>
      <c r="T231">
        <v>0.98023254871368404</v>
      </c>
    </row>
    <row r="232" spans="1:20" x14ac:dyDescent="0.25">
      <c r="A232" t="s">
        <v>18</v>
      </c>
      <c r="B232">
        <v>3</v>
      </c>
      <c r="C232">
        <v>5</v>
      </c>
      <c r="D232">
        <v>0</v>
      </c>
      <c r="E232" t="s">
        <v>20</v>
      </c>
      <c r="F232">
        <v>9180</v>
      </c>
      <c r="G232">
        <v>15080374.454545455</v>
      </c>
      <c r="H232">
        <v>0.97266368974338879</v>
      </c>
      <c r="I232">
        <v>0.93833439287984743</v>
      </c>
      <c r="J232">
        <v>3802453.2727272729</v>
      </c>
      <c r="K232">
        <v>18185</v>
      </c>
      <c r="L232">
        <v>2</v>
      </c>
      <c r="M232">
        <v>87</v>
      </c>
      <c r="N232">
        <v>0.93769866497139231</v>
      </c>
      <c r="O232">
        <v>2524635.9090909092</v>
      </c>
      <c r="P232">
        <v>18570</v>
      </c>
      <c r="Q232">
        <v>2</v>
      </c>
      <c r="R232">
        <v>88</v>
      </c>
      <c r="S232">
        <v>11.764594658473174</v>
      </c>
      <c r="T232">
        <v>0.9883720874786377</v>
      </c>
    </row>
    <row r="233" spans="1:20" x14ac:dyDescent="0.25">
      <c r="A233" t="s">
        <v>18</v>
      </c>
      <c r="B233">
        <v>3</v>
      </c>
      <c r="C233">
        <v>5</v>
      </c>
      <c r="D233">
        <v>0</v>
      </c>
      <c r="E233" t="s">
        <v>21</v>
      </c>
      <c r="F233">
        <v>9886</v>
      </c>
      <c r="G233">
        <v>17796002.09090909</v>
      </c>
      <c r="H233">
        <v>0.98347106846896082</v>
      </c>
      <c r="I233">
        <v>0.94278448823903371</v>
      </c>
      <c r="J233">
        <v>8306831.9090909092</v>
      </c>
      <c r="K233">
        <v>19352</v>
      </c>
      <c r="L233">
        <v>2</v>
      </c>
      <c r="M233">
        <v>90</v>
      </c>
      <c r="N233">
        <v>0.93388429752066116</v>
      </c>
      <c r="O233">
        <v>7578826.4545454541</v>
      </c>
      <c r="P233">
        <v>19749</v>
      </c>
      <c r="Q233">
        <v>2</v>
      </c>
      <c r="R233">
        <v>91</v>
      </c>
      <c r="S233">
        <v>11.760254596888259</v>
      </c>
      <c r="T233">
        <v>0.98139533996582029</v>
      </c>
    </row>
    <row r="234" spans="1:20" x14ac:dyDescent="0.25">
      <c r="A234" t="s">
        <v>18</v>
      </c>
      <c r="B234">
        <v>3</v>
      </c>
      <c r="C234">
        <v>5</v>
      </c>
      <c r="D234">
        <v>0</v>
      </c>
      <c r="E234" t="s">
        <v>22</v>
      </c>
      <c r="F234">
        <v>10592</v>
      </c>
      <c r="G234">
        <v>18649754.90909091</v>
      </c>
      <c r="H234">
        <v>0.97838525338606397</v>
      </c>
      <c r="I234">
        <v>0.94151303242212336</v>
      </c>
      <c r="J234">
        <v>9705291.2727272734</v>
      </c>
      <c r="K234">
        <v>20964</v>
      </c>
      <c r="L234">
        <v>2</v>
      </c>
      <c r="M234">
        <v>94</v>
      </c>
      <c r="N234">
        <v>0.93388429752066116</v>
      </c>
      <c r="O234">
        <v>7701585.0909090908</v>
      </c>
      <c r="P234">
        <v>21377</v>
      </c>
      <c r="Q234">
        <v>2</v>
      </c>
      <c r="R234">
        <v>95</v>
      </c>
      <c r="S234">
        <v>11.755936985657183</v>
      </c>
      <c r="T234">
        <v>0.98139533996582029</v>
      </c>
    </row>
    <row r="235" spans="1:20" x14ac:dyDescent="0.25">
      <c r="A235" t="s">
        <v>18</v>
      </c>
      <c r="B235">
        <v>3</v>
      </c>
      <c r="C235">
        <v>5</v>
      </c>
      <c r="D235">
        <v>0</v>
      </c>
      <c r="E235" t="s">
        <v>39</v>
      </c>
      <c r="F235">
        <v>11298</v>
      </c>
      <c r="G235">
        <v>20696221.272727273</v>
      </c>
      <c r="H235">
        <v>0.98537825996225525</v>
      </c>
      <c r="I235">
        <v>0.9351557533375715</v>
      </c>
      <c r="J235">
        <v>7895420.9090909092</v>
      </c>
      <c r="K235">
        <v>22215</v>
      </c>
      <c r="L235">
        <v>2</v>
      </c>
      <c r="M235">
        <v>97</v>
      </c>
      <c r="N235">
        <v>0.93388429752066116</v>
      </c>
      <c r="O235">
        <v>8199622.3636363633</v>
      </c>
      <c r="P235">
        <v>22640</v>
      </c>
      <c r="Q235">
        <v>2</v>
      </c>
      <c r="R235">
        <v>98</v>
      </c>
      <c r="S235">
        <v>11.752814258911821</v>
      </c>
      <c r="T235">
        <v>0.98255813121795654</v>
      </c>
    </row>
    <row r="236" spans="1:20" x14ac:dyDescent="0.25">
      <c r="A236" t="s">
        <v>18</v>
      </c>
      <c r="B236">
        <v>5</v>
      </c>
      <c r="C236">
        <v>2</v>
      </c>
      <c r="D236">
        <v>0</v>
      </c>
      <c r="E236" t="s">
        <v>98</v>
      </c>
      <c r="F236">
        <v>16052</v>
      </c>
      <c r="G236">
        <v>19433454.90909091</v>
      </c>
      <c r="H236">
        <v>0.98283534158359875</v>
      </c>
      <c r="I236">
        <v>0.93769866497139231</v>
      </c>
      <c r="J236">
        <v>7719585</v>
      </c>
      <c r="K236">
        <v>23939</v>
      </c>
      <c r="L236">
        <v>2</v>
      </c>
      <c r="M236">
        <v>101</v>
      </c>
      <c r="N236">
        <v>0.92879847425301976</v>
      </c>
      <c r="O236">
        <v>7437186.8181818184</v>
      </c>
      <c r="P236">
        <v>24380</v>
      </c>
      <c r="Q236">
        <v>2</v>
      </c>
      <c r="R236">
        <v>102</v>
      </c>
      <c r="S236">
        <v>11.747602339181286</v>
      </c>
      <c r="T236">
        <v>0.9883720874786377</v>
      </c>
    </row>
    <row r="237" spans="1:20" x14ac:dyDescent="0.25">
      <c r="A237" t="s">
        <v>18</v>
      </c>
      <c r="B237">
        <v>5</v>
      </c>
      <c r="C237">
        <v>2</v>
      </c>
      <c r="D237">
        <v>0</v>
      </c>
      <c r="E237" t="s">
        <v>99</v>
      </c>
      <c r="F237">
        <v>16694</v>
      </c>
      <c r="G237">
        <v>23218525.818181816</v>
      </c>
      <c r="H237">
        <v>0.97774951566349377</v>
      </c>
      <c r="I237">
        <v>0.94342021614748883</v>
      </c>
      <c r="J237">
        <v>8672995</v>
      </c>
      <c r="K237">
        <v>24825</v>
      </c>
      <c r="L237">
        <v>2</v>
      </c>
      <c r="M237">
        <v>103</v>
      </c>
      <c r="N237">
        <v>0.94914176732358546</v>
      </c>
      <c r="O237">
        <v>7973634.2727272725</v>
      </c>
      <c r="P237">
        <v>25274</v>
      </c>
      <c r="Q237">
        <v>2</v>
      </c>
      <c r="R237">
        <v>104</v>
      </c>
      <c r="S237">
        <v>11.747550163322446</v>
      </c>
      <c r="T237">
        <v>0.95813953280448916</v>
      </c>
    </row>
    <row r="238" spans="1:20" x14ac:dyDescent="0.25">
      <c r="A238" t="s">
        <v>18</v>
      </c>
      <c r="B238">
        <v>5</v>
      </c>
      <c r="C238">
        <v>2</v>
      </c>
      <c r="D238">
        <v>0</v>
      </c>
      <c r="E238" t="s">
        <v>100</v>
      </c>
      <c r="F238">
        <v>17336</v>
      </c>
      <c r="G238">
        <v>23136422.90909091</v>
      </c>
      <c r="H238">
        <v>0.97711378877813171</v>
      </c>
      <c r="I238">
        <v>0.94596312778130964</v>
      </c>
      <c r="J238">
        <v>7966603.6363636367</v>
      </c>
      <c r="K238">
        <v>25727</v>
      </c>
      <c r="L238">
        <v>2</v>
      </c>
      <c r="M238">
        <v>105</v>
      </c>
      <c r="N238">
        <v>0.94278448823903371</v>
      </c>
      <c r="O238">
        <v>8639319.7272727266</v>
      </c>
      <c r="P238">
        <v>26184</v>
      </c>
      <c r="Q238">
        <v>2</v>
      </c>
      <c r="R238">
        <v>106</v>
      </c>
      <c r="S238">
        <v>11.746334652082849</v>
      </c>
      <c r="T238">
        <v>0.96046510338783264</v>
      </c>
    </row>
    <row r="239" spans="1:20" x14ac:dyDescent="0.25">
      <c r="A239" t="s">
        <v>18</v>
      </c>
      <c r="B239">
        <v>5</v>
      </c>
      <c r="C239">
        <v>2</v>
      </c>
      <c r="D239">
        <v>0</v>
      </c>
      <c r="E239" t="s">
        <v>101</v>
      </c>
      <c r="F239">
        <v>17978</v>
      </c>
      <c r="G239">
        <v>24300209.363636363</v>
      </c>
      <c r="H239">
        <v>0.97902097485282202</v>
      </c>
      <c r="I239">
        <v>0.94087730451366813</v>
      </c>
      <c r="J239">
        <v>9170043.9090909082</v>
      </c>
      <c r="K239">
        <v>26645</v>
      </c>
      <c r="L239">
        <v>2</v>
      </c>
      <c r="M239">
        <v>107</v>
      </c>
      <c r="N239">
        <v>0.94405594405594406</v>
      </c>
      <c r="O239">
        <v>8328636.7272727275</v>
      </c>
      <c r="P239">
        <v>27110</v>
      </c>
      <c r="Q239">
        <v>2</v>
      </c>
      <c r="R239">
        <v>108</v>
      </c>
      <c r="S239">
        <v>11.745821727019498</v>
      </c>
      <c r="T239">
        <v>0.95813952088356014</v>
      </c>
    </row>
    <row r="240" spans="1:20" x14ac:dyDescent="0.25">
      <c r="A240" t="s">
        <v>18</v>
      </c>
      <c r="B240">
        <v>5</v>
      </c>
      <c r="C240">
        <v>2</v>
      </c>
      <c r="D240">
        <v>0</v>
      </c>
      <c r="E240" t="s">
        <v>102</v>
      </c>
      <c r="F240">
        <v>18620</v>
      </c>
      <c r="G240">
        <v>27537377.90909091</v>
      </c>
      <c r="H240">
        <v>0.98601399768482556</v>
      </c>
      <c r="I240">
        <v>0.94087730451366813</v>
      </c>
      <c r="J240">
        <v>9081179.4545454551</v>
      </c>
      <c r="K240">
        <v>27579</v>
      </c>
      <c r="L240">
        <v>2</v>
      </c>
      <c r="M240">
        <v>109</v>
      </c>
      <c r="N240">
        <v>0.94405594405594406</v>
      </c>
      <c r="O240">
        <v>7798202.2727272725</v>
      </c>
      <c r="P240">
        <v>28052</v>
      </c>
      <c r="Q240">
        <v>2</v>
      </c>
      <c r="R240">
        <v>110</v>
      </c>
      <c r="S240">
        <v>11.749015975920353</v>
      </c>
      <c r="T240">
        <v>0.96279067993164058</v>
      </c>
    </row>
    <row r="241" spans="1:20" x14ac:dyDescent="0.25">
      <c r="A241" t="s">
        <v>18</v>
      </c>
      <c r="B241">
        <v>5</v>
      </c>
      <c r="C241">
        <v>2</v>
      </c>
      <c r="D241">
        <v>0</v>
      </c>
      <c r="E241" t="s">
        <v>103</v>
      </c>
      <c r="F241">
        <v>19262</v>
      </c>
      <c r="G241">
        <v>28513987.952380951</v>
      </c>
      <c r="H241">
        <v>0.97236096291314988</v>
      </c>
      <c r="I241">
        <v>0.94205794205794202</v>
      </c>
      <c r="J241">
        <v>8725761.5714285709</v>
      </c>
      <c r="K241">
        <v>28529</v>
      </c>
      <c r="L241">
        <v>2</v>
      </c>
      <c r="M241">
        <v>111</v>
      </c>
      <c r="N241">
        <v>0.94139194139194138</v>
      </c>
      <c r="O241">
        <v>8349418.1428571427</v>
      </c>
      <c r="P241">
        <v>29010</v>
      </c>
      <c r="Q241">
        <v>2</v>
      </c>
      <c r="R241">
        <v>112</v>
      </c>
      <c r="S241">
        <v>11.751382488479262</v>
      </c>
      <c r="T241">
        <v>0.9563953369855881</v>
      </c>
    </row>
    <row r="242" spans="1:20" x14ac:dyDescent="0.25">
      <c r="A242" t="s">
        <v>18</v>
      </c>
      <c r="B242">
        <v>5</v>
      </c>
      <c r="C242">
        <v>2</v>
      </c>
      <c r="D242">
        <v>0</v>
      </c>
      <c r="E242" t="s">
        <v>104</v>
      </c>
      <c r="F242">
        <v>19904</v>
      </c>
      <c r="G242">
        <v>26667037.285714287</v>
      </c>
      <c r="H242">
        <v>0.97502497548148748</v>
      </c>
      <c r="I242">
        <v>0.94105894105894106</v>
      </c>
      <c r="J242">
        <v>8349680.0952380951</v>
      </c>
      <c r="K242">
        <v>29495</v>
      </c>
      <c r="L242">
        <v>2</v>
      </c>
      <c r="M242">
        <v>113</v>
      </c>
      <c r="N242">
        <v>0.94405594405594406</v>
      </c>
      <c r="O242">
        <v>9163724.3809523806</v>
      </c>
      <c r="P242">
        <v>29984</v>
      </c>
      <c r="Q242">
        <v>2</v>
      </c>
      <c r="R242">
        <v>114</v>
      </c>
      <c r="S242">
        <v>11.749140105480395</v>
      </c>
      <c r="T242">
        <v>0.95348834991455078</v>
      </c>
    </row>
    <row r="243" spans="1:20" x14ac:dyDescent="0.25">
      <c r="A243" t="s">
        <v>18</v>
      </c>
      <c r="B243">
        <v>5</v>
      </c>
      <c r="C243">
        <v>2</v>
      </c>
      <c r="D243">
        <v>0</v>
      </c>
      <c r="E243" t="s">
        <v>26</v>
      </c>
      <c r="F243">
        <v>20588</v>
      </c>
      <c r="G243">
        <v>28417073.096774194</v>
      </c>
      <c r="H243">
        <v>0.97541167274598151</v>
      </c>
      <c r="I243">
        <v>0.93954432664110088</v>
      </c>
      <c r="J243">
        <v>8424481.6774193551</v>
      </c>
      <c r="K243">
        <v>30477</v>
      </c>
      <c r="L243">
        <v>2</v>
      </c>
      <c r="M243">
        <v>115</v>
      </c>
      <c r="N243">
        <v>0.94563501015113915</v>
      </c>
      <c r="O243">
        <v>7792868.3225806449</v>
      </c>
      <c r="P243">
        <v>30974</v>
      </c>
      <c r="Q243">
        <v>2</v>
      </c>
      <c r="R243">
        <v>116</v>
      </c>
      <c r="S243">
        <v>11.747495446265939</v>
      </c>
      <c r="T243">
        <v>0.95348835984865821</v>
      </c>
    </row>
    <row r="244" spans="1:20" x14ac:dyDescent="0.25">
      <c r="A244" t="s">
        <v>18</v>
      </c>
      <c r="B244">
        <v>5</v>
      </c>
      <c r="C244">
        <v>2</v>
      </c>
      <c r="D244">
        <v>0</v>
      </c>
      <c r="E244" t="s">
        <v>27</v>
      </c>
      <c r="F244">
        <v>21230</v>
      </c>
      <c r="G244">
        <v>27850319.238095239</v>
      </c>
      <c r="H244">
        <v>0.97569096656072707</v>
      </c>
      <c r="I244">
        <v>0.94039294039294041</v>
      </c>
      <c r="J244">
        <v>8343334.5714285718</v>
      </c>
      <c r="K244">
        <v>31475</v>
      </c>
      <c r="L244">
        <v>2</v>
      </c>
      <c r="M244">
        <v>117</v>
      </c>
      <c r="N244">
        <v>0.94638694638694643</v>
      </c>
      <c r="O244">
        <v>8623358.333333334</v>
      </c>
      <c r="P244">
        <v>31980</v>
      </c>
      <c r="Q244">
        <v>2</v>
      </c>
      <c r="R244">
        <v>118</v>
      </c>
      <c r="S244">
        <v>11.742125538182643</v>
      </c>
      <c r="T244">
        <v>0.9505813866853714</v>
      </c>
    </row>
    <row r="245" spans="1:20" x14ac:dyDescent="0.25">
      <c r="A245" t="s">
        <v>18</v>
      </c>
      <c r="B245">
        <v>5</v>
      </c>
      <c r="C245">
        <v>2</v>
      </c>
      <c r="D245">
        <v>0</v>
      </c>
      <c r="E245" t="s">
        <v>28</v>
      </c>
      <c r="F245">
        <v>21872</v>
      </c>
      <c r="G245">
        <v>31542374.677419353</v>
      </c>
      <c r="H245">
        <v>0.9643582201773121</v>
      </c>
      <c r="I245">
        <v>0.94022106925332738</v>
      </c>
      <c r="J245">
        <v>8798243.8064516131</v>
      </c>
      <c r="K245">
        <v>32489</v>
      </c>
      <c r="L245">
        <v>2</v>
      </c>
      <c r="M245">
        <v>119</v>
      </c>
      <c r="N245">
        <v>0.93954432664110088</v>
      </c>
      <c r="O245">
        <v>9781592.064516129</v>
      </c>
      <c r="P245">
        <v>33002</v>
      </c>
      <c r="Q245">
        <v>2</v>
      </c>
      <c r="R245">
        <v>120</v>
      </c>
      <c r="S245">
        <v>11.742574257425742</v>
      </c>
      <c r="T245">
        <v>0.93992247184117639</v>
      </c>
    </row>
    <row r="246" spans="1:20" x14ac:dyDescent="0.25">
      <c r="A246" t="s">
        <v>18</v>
      </c>
      <c r="B246">
        <v>5</v>
      </c>
      <c r="C246">
        <v>2</v>
      </c>
      <c r="D246">
        <v>0</v>
      </c>
      <c r="E246" t="s">
        <v>67</v>
      </c>
      <c r="F246">
        <v>22268</v>
      </c>
      <c r="G246">
        <v>31931043.580645163</v>
      </c>
      <c r="H246">
        <v>0.97450935840606689</v>
      </c>
      <c r="I246">
        <v>0.93909316489961658</v>
      </c>
      <c r="J246">
        <v>8167668.7741935486</v>
      </c>
      <c r="K246">
        <v>33002</v>
      </c>
      <c r="L246">
        <v>2</v>
      </c>
      <c r="M246">
        <v>120</v>
      </c>
      <c r="N246">
        <v>0.94202571621926456</v>
      </c>
      <c r="O246">
        <v>9261885.9677419346</v>
      </c>
      <c r="P246">
        <v>33519</v>
      </c>
      <c r="Q246">
        <v>2</v>
      </c>
      <c r="R246">
        <v>121</v>
      </c>
      <c r="S246">
        <v>11.743463687150838</v>
      </c>
      <c r="T246">
        <v>0.95348836183547969</v>
      </c>
    </row>
    <row r="247" spans="1:20" x14ac:dyDescent="0.25">
      <c r="A247" t="s">
        <v>18</v>
      </c>
      <c r="B247">
        <v>5</v>
      </c>
      <c r="C247">
        <v>2</v>
      </c>
      <c r="D247">
        <v>0</v>
      </c>
      <c r="E247" t="s">
        <v>29</v>
      </c>
      <c r="F247">
        <v>22514</v>
      </c>
      <c r="G247">
        <v>29828749.363636363</v>
      </c>
      <c r="H247">
        <v>0.93769867311824451</v>
      </c>
      <c r="I247">
        <v>0.92116973935155755</v>
      </c>
      <c r="J247">
        <v>8039737.4545454541</v>
      </c>
      <c r="K247">
        <v>33519</v>
      </c>
      <c r="L247">
        <v>2</v>
      </c>
      <c r="M247">
        <v>121</v>
      </c>
      <c r="N247">
        <v>0.91608391608391615</v>
      </c>
      <c r="O247">
        <v>8554847.5454545449</v>
      </c>
      <c r="P247">
        <v>34040</v>
      </c>
      <c r="Q247">
        <v>2</v>
      </c>
      <c r="R247">
        <v>122</v>
      </c>
      <c r="S247">
        <v>11.745876058849754</v>
      </c>
      <c r="T247">
        <v>0.93372092247009275</v>
      </c>
    </row>
    <row r="248" spans="1:20" x14ac:dyDescent="0.25">
      <c r="A248" t="s">
        <v>18</v>
      </c>
      <c r="B248">
        <v>5</v>
      </c>
      <c r="C248">
        <v>2</v>
      </c>
      <c r="D248">
        <v>0</v>
      </c>
      <c r="E248" t="s">
        <v>68</v>
      </c>
      <c r="F248">
        <v>23030</v>
      </c>
      <c r="G248">
        <v>28325336.741935484</v>
      </c>
      <c r="H248">
        <v>0.96120008153300129</v>
      </c>
      <c r="I248">
        <v>0.93661177532145279</v>
      </c>
      <c r="J248">
        <v>8464372.3225806449</v>
      </c>
      <c r="K248">
        <v>34040</v>
      </c>
      <c r="L248">
        <v>2</v>
      </c>
      <c r="M248">
        <v>122</v>
      </c>
      <c r="N248">
        <v>0.93142341529438311</v>
      </c>
      <c r="O248">
        <v>8664984.7741935477</v>
      </c>
      <c r="P248">
        <v>34565</v>
      </c>
      <c r="Q248">
        <v>2</v>
      </c>
      <c r="R248">
        <v>123</v>
      </c>
      <c r="S248">
        <v>11.737214965685189</v>
      </c>
      <c r="T248">
        <v>0.94457364281018574</v>
      </c>
    </row>
    <row r="249" spans="1:20" x14ac:dyDescent="0.25">
      <c r="A249" t="s">
        <v>18</v>
      </c>
      <c r="B249">
        <v>5</v>
      </c>
      <c r="C249">
        <v>2</v>
      </c>
      <c r="D249">
        <v>0</v>
      </c>
      <c r="E249" t="s">
        <v>30</v>
      </c>
      <c r="F249">
        <v>23156</v>
      </c>
      <c r="G249">
        <v>24079384.272727273</v>
      </c>
      <c r="H249">
        <v>0.94278449361974548</v>
      </c>
      <c r="I249">
        <v>0.92371265098537825</v>
      </c>
      <c r="J249">
        <v>7470301.2727272725</v>
      </c>
      <c r="K249">
        <v>34565</v>
      </c>
      <c r="L249">
        <v>2</v>
      </c>
      <c r="M249">
        <v>123</v>
      </c>
      <c r="N249">
        <v>0.90336935791481243</v>
      </c>
      <c r="O249">
        <v>8747876.1818181816</v>
      </c>
      <c r="P249">
        <v>35094</v>
      </c>
      <c r="Q249">
        <v>2</v>
      </c>
      <c r="R249">
        <v>124</v>
      </c>
      <c r="S249">
        <v>11.732332155477032</v>
      </c>
      <c r="T249">
        <v>0.96046511530876155</v>
      </c>
    </row>
    <row r="250" spans="1:20" x14ac:dyDescent="0.25">
      <c r="A250" t="s">
        <v>18</v>
      </c>
      <c r="B250">
        <v>5</v>
      </c>
      <c r="C250">
        <v>2</v>
      </c>
      <c r="D250">
        <v>0</v>
      </c>
      <c r="E250" t="s">
        <v>77</v>
      </c>
      <c r="F250">
        <v>23470</v>
      </c>
      <c r="G250">
        <v>32012242.516129032</v>
      </c>
      <c r="H250">
        <v>0.96074891859485256</v>
      </c>
      <c r="I250">
        <v>0.9325513196480939</v>
      </c>
      <c r="J250">
        <v>8271835.1935483869</v>
      </c>
      <c r="K250">
        <v>35094</v>
      </c>
      <c r="L250">
        <v>2</v>
      </c>
      <c r="M250">
        <v>124</v>
      </c>
      <c r="N250">
        <v>0.9298443491991879</v>
      </c>
      <c r="O250">
        <v>9810448.1612903234</v>
      </c>
      <c r="P250">
        <v>35627</v>
      </c>
      <c r="Q250">
        <v>2</v>
      </c>
      <c r="R250">
        <v>125</v>
      </c>
      <c r="S250">
        <v>11.733713533669665</v>
      </c>
      <c r="T250">
        <v>0.93953488270441687</v>
      </c>
    </row>
    <row r="251" spans="1:20" x14ac:dyDescent="0.25">
      <c r="A251" t="s">
        <v>18</v>
      </c>
      <c r="B251">
        <v>5</v>
      </c>
      <c r="C251">
        <v>2</v>
      </c>
      <c r="D251">
        <v>0</v>
      </c>
      <c r="E251" t="s">
        <v>31</v>
      </c>
      <c r="F251">
        <v>23798</v>
      </c>
      <c r="G251">
        <v>26728630.818181816</v>
      </c>
      <c r="H251">
        <v>0.95994913578033447</v>
      </c>
      <c r="I251">
        <v>0.92180546726001267</v>
      </c>
      <c r="J251">
        <v>7812409.2727272725</v>
      </c>
      <c r="K251">
        <v>35627</v>
      </c>
      <c r="L251">
        <v>2</v>
      </c>
      <c r="M251">
        <v>125</v>
      </c>
      <c r="N251">
        <v>0.91799109980928162</v>
      </c>
      <c r="O251">
        <v>8634719.7272727266</v>
      </c>
      <c r="P251">
        <v>36164</v>
      </c>
      <c r="Q251">
        <v>2</v>
      </c>
      <c r="R251">
        <v>126</v>
      </c>
      <c r="S251">
        <v>11.731072210065646</v>
      </c>
      <c r="T251">
        <v>0.96279068589210515</v>
      </c>
    </row>
    <row r="252" spans="1:20" x14ac:dyDescent="0.25">
      <c r="A252" t="s">
        <v>18</v>
      </c>
      <c r="B252">
        <v>5</v>
      </c>
      <c r="C252">
        <v>2</v>
      </c>
      <c r="D252">
        <v>0</v>
      </c>
      <c r="E252" t="s">
        <v>32</v>
      </c>
      <c r="F252">
        <v>24440</v>
      </c>
      <c r="G252">
        <v>29155306.609756097</v>
      </c>
      <c r="H252">
        <v>0.96145317321870383</v>
      </c>
      <c r="I252">
        <v>0.9278526351697084</v>
      </c>
      <c r="J252">
        <v>8293728.6097560972</v>
      </c>
      <c r="K252">
        <v>36164</v>
      </c>
      <c r="L252">
        <v>2</v>
      </c>
      <c r="M252">
        <v>126</v>
      </c>
      <c r="N252">
        <v>0.92682926829268297</v>
      </c>
      <c r="O252">
        <v>8498926.4146341458</v>
      </c>
      <c r="P252">
        <v>36705</v>
      </c>
      <c r="Q252">
        <v>2</v>
      </c>
      <c r="R252">
        <v>127</v>
      </c>
      <c r="S252">
        <v>11.720667967902841</v>
      </c>
      <c r="T252">
        <v>0.95377906709909444</v>
      </c>
    </row>
    <row r="253" spans="1:20" x14ac:dyDescent="0.25">
      <c r="A253" t="s">
        <v>18</v>
      </c>
      <c r="B253">
        <v>5</v>
      </c>
      <c r="C253">
        <v>2</v>
      </c>
      <c r="D253">
        <v>0</v>
      </c>
      <c r="E253" t="s">
        <v>46</v>
      </c>
      <c r="F253">
        <v>24638</v>
      </c>
      <c r="G253">
        <v>25712641.571428571</v>
      </c>
      <c r="H253">
        <v>0.97036296413058332</v>
      </c>
      <c r="I253">
        <v>0.92973692973692978</v>
      </c>
      <c r="J253">
        <v>8236579.1428571427</v>
      </c>
      <c r="K253">
        <v>36705</v>
      </c>
      <c r="L253">
        <v>2</v>
      </c>
      <c r="M253">
        <v>127</v>
      </c>
      <c r="N253">
        <v>0.92840492840492839</v>
      </c>
      <c r="O253">
        <v>9882821.2857142854</v>
      </c>
      <c r="P253">
        <v>37250</v>
      </c>
      <c r="Q253">
        <v>2</v>
      </c>
      <c r="R253">
        <v>128</v>
      </c>
      <c r="S253">
        <v>11.708981001727116</v>
      </c>
      <c r="T253">
        <v>0.95348836183547969</v>
      </c>
    </row>
    <row r="254" spans="1:20" x14ac:dyDescent="0.25">
      <c r="A254" t="s">
        <v>18</v>
      </c>
      <c r="B254">
        <v>5</v>
      </c>
      <c r="C254">
        <v>2</v>
      </c>
      <c r="D254">
        <v>0</v>
      </c>
      <c r="E254" t="s">
        <v>33</v>
      </c>
      <c r="F254">
        <v>25082</v>
      </c>
      <c r="G254">
        <v>30091347.870967742</v>
      </c>
      <c r="H254">
        <v>0.95804195442507345</v>
      </c>
      <c r="I254">
        <v>0.92307692307692313</v>
      </c>
      <c r="J254">
        <v>8601874.7419354841</v>
      </c>
      <c r="K254">
        <v>37250</v>
      </c>
      <c r="L254">
        <v>2</v>
      </c>
      <c r="M254">
        <v>128</v>
      </c>
      <c r="N254">
        <v>0.92352808481840742</v>
      </c>
      <c r="O254">
        <v>8462334.935483871</v>
      </c>
      <c r="P254">
        <v>37799</v>
      </c>
      <c r="Q254">
        <v>2</v>
      </c>
      <c r="R254">
        <v>129</v>
      </c>
      <c r="S254">
        <v>11.704267638859104</v>
      </c>
      <c r="T254">
        <v>0.95193797151247661</v>
      </c>
    </row>
    <row r="255" spans="1:20" x14ac:dyDescent="0.25">
      <c r="A255" t="s">
        <v>18</v>
      </c>
      <c r="B255">
        <v>5</v>
      </c>
      <c r="C255">
        <v>2</v>
      </c>
      <c r="D255">
        <v>0</v>
      </c>
      <c r="E255" t="s">
        <v>47</v>
      </c>
      <c r="F255">
        <v>25320</v>
      </c>
      <c r="G255">
        <v>31796705.333333332</v>
      </c>
      <c r="H255">
        <v>0.97236095723651705</v>
      </c>
      <c r="I255">
        <v>0.92440892440892442</v>
      </c>
      <c r="J255">
        <v>7190773.9047619049</v>
      </c>
      <c r="K255">
        <v>37799</v>
      </c>
      <c r="L255">
        <v>2</v>
      </c>
      <c r="M255">
        <v>129</v>
      </c>
      <c r="N255">
        <v>0.92807192807192807</v>
      </c>
      <c r="O255">
        <v>8399354.3809523806</v>
      </c>
      <c r="P255">
        <v>38352</v>
      </c>
      <c r="Q255">
        <v>2</v>
      </c>
      <c r="R255">
        <v>130</v>
      </c>
      <c r="S255">
        <v>11.701110162254484</v>
      </c>
      <c r="T255">
        <v>0.95755812227725978</v>
      </c>
    </row>
    <row r="256" spans="1:20" x14ac:dyDescent="0.25">
      <c r="A256" t="s">
        <v>18</v>
      </c>
      <c r="B256">
        <v>5</v>
      </c>
      <c r="C256">
        <v>2</v>
      </c>
      <c r="D256">
        <v>0</v>
      </c>
      <c r="E256" t="s">
        <v>34</v>
      </c>
      <c r="F256">
        <v>25724</v>
      </c>
      <c r="G256">
        <v>29580662.612903226</v>
      </c>
      <c r="H256">
        <v>0.95804194865688197</v>
      </c>
      <c r="I256">
        <v>0.92736295962102411</v>
      </c>
      <c r="J256">
        <v>8731013.9032258056</v>
      </c>
      <c r="K256">
        <v>38352</v>
      </c>
      <c r="L256">
        <v>2</v>
      </c>
      <c r="M256">
        <v>130</v>
      </c>
      <c r="N256">
        <v>0.92285134220618092</v>
      </c>
      <c r="O256">
        <v>8695524.1612903234</v>
      </c>
      <c r="P256">
        <v>38909</v>
      </c>
      <c r="Q256">
        <v>2</v>
      </c>
      <c r="R256">
        <v>131</v>
      </c>
      <c r="S256">
        <v>11.69374337221633</v>
      </c>
      <c r="T256">
        <v>0.94457363684972129</v>
      </c>
    </row>
    <row r="257" spans="1:20" x14ac:dyDescent="0.25">
      <c r="A257" t="s">
        <v>18</v>
      </c>
      <c r="B257">
        <v>5</v>
      </c>
      <c r="C257">
        <v>2</v>
      </c>
      <c r="D257">
        <v>0</v>
      </c>
      <c r="E257" t="s">
        <v>48</v>
      </c>
      <c r="F257">
        <v>26002</v>
      </c>
      <c r="G257">
        <v>33263128.047619049</v>
      </c>
      <c r="H257">
        <v>0.96303696291787289</v>
      </c>
      <c r="I257">
        <v>0.93206793206793204</v>
      </c>
      <c r="J257">
        <v>8610791</v>
      </c>
      <c r="K257">
        <v>38909</v>
      </c>
      <c r="L257">
        <v>2</v>
      </c>
      <c r="M257">
        <v>131</v>
      </c>
      <c r="N257">
        <v>0.93240093240093236</v>
      </c>
      <c r="O257">
        <v>9717676.9523809515</v>
      </c>
      <c r="P257">
        <v>39470</v>
      </c>
      <c r="Q257">
        <v>2</v>
      </c>
      <c r="R257">
        <v>132</v>
      </c>
      <c r="S257">
        <v>11.691722972972974</v>
      </c>
      <c r="T257">
        <v>0.95116278827190404</v>
      </c>
    </row>
    <row r="258" spans="1:20" x14ac:dyDescent="0.25">
      <c r="A258" t="s">
        <v>18</v>
      </c>
      <c r="B258">
        <v>5</v>
      </c>
      <c r="C258">
        <v>2</v>
      </c>
      <c r="D258">
        <v>0</v>
      </c>
      <c r="E258" t="s">
        <v>35</v>
      </c>
      <c r="F258">
        <v>26366</v>
      </c>
      <c r="G258">
        <v>30162777.612903226</v>
      </c>
      <c r="H258">
        <v>0.96097449333437024</v>
      </c>
      <c r="I258">
        <v>0.92646063613805552</v>
      </c>
      <c r="J258">
        <v>9284982.3548387103</v>
      </c>
      <c r="K258">
        <v>39470</v>
      </c>
      <c r="L258">
        <v>2</v>
      </c>
      <c r="M258">
        <v>132</v>
      </c>
      <c r="N258">
        <v>0.92623505526731331</v>
      </c>
      <c r="O258">
        <v>8866896.3225806449</v>
      </c>
      <c r="P258">
        <v>40035</v>
      </c>
      <c r="Q258">
        <v>2</v>
      </c>
      <c r="R258">
        <v>133</v>
      </c>
      <c r="S258">
        <v>11.684078036500944</v>
      </c>
      <c r="T258">
        <v>0.95232556859652207</v>
      </c>
    </row>
    <row r="259" spans="1:20" x14ac:dyDescent="0.25">
      <c r="A259" t="s">
        <v>18</v>
      </c>
      <c r="B259">
        <v>5</v>
      </c>
      <c r="C259">
        <v>2</v>
      </c>
      <c r="D259">
        <v>0</v>
      </c>
      <c r="E259" t="s">
        <v>36</v>
      </c>
      <c r="F259">
        <v>27008</v>
      </c>
      <c r="G259">
        <v>34711055.290322579</v>
      </c>
      <c r="H259">
        <v>0.96548612271585776</v>
      </c>
      <c r="I259">
        <v>0.9318745770358674</v>
      </c>
      <c r="J259">
        <v>8337507.1290322579</v>
      </c>
      <c r="K259">
        <v>40035</v>
      </c>
      <c r="L259">
        <v>2</v>
      </c>
      <c r="M259">
        <v>133</v>
      </c>
      <c r="N259">
        <v>0.93142341529438299</v>
      </c>
      <c r="O259">
        <v>8802842.8709677421</v>
      </c>
      <c r="P259">
        <v>40604</v>
      </c>
      <c r="Q259">
        <v>2</v>
      </c>
      <c r="R259">
        <v>134</v>
      </c>
      <c r="S259">
        <v>11.680908711963317</v>
      </c>
      <c r="T259">
        <v>0.9519379734992981</v>
      </c>
    </row>
    <row r="260" spans="1:20" x14ac:dyDescent="0.25">
      <c r="A260" t="s">
        <v>18</v>
      </c>
      <c r="B260">
        <v>5</v>
      </c>
      <c r="C260">
        <v>2</v>
      </c>
      <c r="D260">
        <v>0</v>
      </c>
      <c r="E260" t="s">
        <v>50</v>
      </c>
      <c r="F260">
        <v>27366</v>
      </c>
      <c r="G260">
        <v>37186610.838709675</v>
      </c>
      <c r="H260">
        <v>0.96548612463858818</v>
      </c>
      <c r="I260">
        <v>0.92578389352582902</v>
      </c>
      <c r="J260">
        <v>8140504.3870967738</v>
      </c>
      <c r="K260">
        <v>40604</v>
      </c>
      <c r="L260">
        <v>2</v>
      </c>
      <c r="M260">
        <v>134</v>
      </c>
      <c r="N260">
        <v>0.92397924655989172</v>
      </c>
      <c r="O260">
        <v>8299160.5483870972</v>
      </c>
      <c r="P260">
        <v>41177</v>
      </c>
      <c r="Q260">
        <v>2</v>
      </c>
      <c r="R260">
        <v>135</v>
      </c>
      <c r="S260">
        <v>11.688134189273141</v>
      </c>
      <c r="T260">
        <v>0.95465115308761606</v>
      </c>
    </row>
    <row r="261" spans="1:20" x14ac:dyDescent="0.25">
      <c r="A261" t="s">
        <v>18</v>
      </c>
      <c r="B261">
        <v>5</v>
      </c>
      <c r="C261">
        <v>2</v>
      </c>
      <c r="D261">
        <v>0</v>
      </c>
      <c r="E261" t="s">
        <v>37</v>
      </c>
      <c r="F261">
        <v>27650</v>
      </c>
      <c r="G261">
        <v>41397693.363636367</v>
      </c>
      <c r="H261">
        <v>0.96503496170043945</v>
      </c>
      <c r="I261">
        <v>0.93960584869675778</v>
      </c>
      <c r="J261">
        <v>8409173.5454545449</v>
      </c>
      <c r="K261">
        <v>41177</v>
      </c>
      <c r="L261">
        <v>2</v>
      </c>
      <c r="M261">
        <v>135</v>
      </c>
      <c r="N261">
        <v>0.94024157660521301</v>
      </c>
      <c r="O261">
        <v>9061343.4545454551</v>
      </c>
      <c r="P261">
        <v>41754</v>
      </c>
      <c r="Q261">
        <v>2</v>
      </c>
      <c r="R261">
        <v>136</v>
      </c>
      <c r="S261">
        <v>11.691735537190082</v>
      </c>
      <c r="T261">
        <v>0.93720930218696596</v>
      </c>
    </row>
    <row r="262" spans="1:20" x14ac:dyDescent="0.25">
      <c r="A262" t="s">
        <v>18</v>
      </c>
      <c r="B262">
        <v>5</v>
      </c>
      <c r="C262">
        <v>2</v>
      </c>
      <c r="D262">
        <v>0</v>
      </c>
      <c r="E262" t="s">
        <v>51</v>
      </c>
      <c r="F262">
        <v>28048</v>
      </c>
      <c r="G262">
        <v>30805166.707317073</v>
      </c>
      <c r="H262">
        <v>0.96469383995707447</v>
      </c>
      <c r="I262">
        <v>0.92597646256182842</v>
      </c>
      <c r="J262">
        <v>8065905.8780487804</v>
      </c>
      <c r="K262">
        <v>41754</v>
      </c>
      <c r="L262">
        <v>2</v>
      </c>
      <c r="M262">
        <v>136</v>
      </c>
      <c r="N262">
        <v>0.92341804536926486</v>
      </c>
      <c r="O262">
        <v>8937577.9512195121</v>
      </c>
      <c r="P262">
        <v>42335</v>
      </c>
      <c r="Q262">
        <v>2</v>
      </c>
      <c r="R262">
        <v>137</v>
      </c>
      <c r="S262">
        <v>11.68039336201598</v>
      </c>
      <c r="T262">
        <v>0.94970929324626918</v>
      </c>
    </row>
    <row r="263" spans="1:20" x14ac:dyDescent="0.25">
      <c r="A263" t="s">
        <v>18</v>
      </c>
      <c r="B263">
        <v>5</v>
      </c>
      <c r="C263">
        <v>2</v>
      </c>
      <c r="D263">
        <v>0</v>
      </c>
      <c r="E263" t="s">
        <v>38</v>
      </c>
      <c r="F263">
        <v>28292</v>
      </c>
      <c r="G263">
        <v>35092855.909090906</v>
      </c>
      <c r="H263">
        <v>0.97329942204735498</v>
      </c>
      <c r="I263">
        <v>0.94342021614748883</v>
      </c>
      <c r="J263">
        <v>9911070.9090909082</v>
      </c>
      <c r="K263">
        <v>42335</v>
      </c>
      <c r="L263">
        <v>2</v>
      </c>
      <c r="M263">
        <v>137</v>
      </c>
      <c r="N263">
        <v>0.93642720915448185</v>
      </c>
      <c r="O263">
        <v>9146847.9090909082</v>
      </c>
      <c r="P263">
        <v>42920</v>
      </c>
      <c r="Q263">
        <v>2</v>
      </c>
      <c r="R263">
        <v>138</v>
      </c>
      <c r="S263">
        <v>11.678250204415372</v>
      </c>
      <c r="T263">
        <v>0.93255814909934998</v>
      </c>
    </row>
    <row r="264" spans="1:20" x14ac:dyDescent="0.25">
      <c r="A264" t="s">
        <v>18</v>
      </c>
      <c r="B264">
        <v>5</v>
      </c>
      <c r="C264">
        <v>2</v>
      </c>
      <c r="D264">
        <v>0</v>
      </c>
      <c r="E264" t="s">
        <v>52</v>
      </c>
      <c r="F264">
        <v>28730</v>
      </c>
      <c r="G264">
        <v>35138321.146341465</v>
      </c>
      <c r="H264">
        <v>0.95838307607464679</v>
      </c>
      <c r="I264">
        <v>0.92188299505372673</v>
      </c>
      <c r="J264">
        <v>8937566.2195121944</v>
      </c>
      <c r="K264">
        <v>42920</v>
      </c>
      <c r="L264">
        <v>2</v>
      </c>
      <c r="M264">
        <v>138</v>
      </c>
      <c r="N264">
        <v>0.91727784410711244</v>
      </c>
      <c r="O264">
        <v>8613308.3902439028</v>
      </c>
      <c r="P264">
        <v>43509</v>
      </c>
      <c r="Q264">
        <v>2</v>
      </c>
      <c r="R264">
        <v>139</v>
      </c>
      <c r="S264">
        <v>11.677072775187513</v>
      </c>
      <c r="T264">
        <v>0.95145348906517024</v>
      </c>
    </row>
    <row r="265" spans="1:20" x14ac:dyDescent="0.25">
      <c r="A265" t="s">
        <v>18</v>
      </c>
      <c r="B265">
        <v>5</v>
      </c>
      <c r="C265">
        <v>2</v>
      </c>
      <c r="D265">
        <v>0</v>
      </c>
      <c r="E265" t="s">
        <v>53</v>
      </c>
      <c r="F265">
        <v>29412</v>
      </c>
      <c r="G265">
        <v>38376903.476190478</v>
      </c>
      <c r="H265">
        <v>0.96237095480873469</v>
      </c>
      <c r="I265">
        <v>0.93173493173493172</v>
      </c>
      <c r="J265">
        <v>9258963.1904761903</v>
      </c>
      <c r="K265">
        <v>43509</v>
      </c>
      <c r="L265">
        <v>2</v>
      </c>
      <c r="M265">
        <v>139</v>
      </c>
      <c r="N265">
        <v>0.92973692973692978</v>
      </c>
      <c r="O265">
        <v>10078393.476190476</v>
      </c>
      <c r="P265">
        <v>44102</v>
      </c>
      <c r="Q265">
        <v>2</v>
      </c>
      <c r="R265">
        <v>140</v>
      </c>
      <c r="S265">
        <v>11.680056519983852</v>
      </c>
      <c r="T265">
        <v>0.94476743340492253</v>
      </c>
    </row>
    <row r="266" spans="1:20" x14ac:dyDescent="0.25">
      <c r="A266" t="s">
        <v>18</v>
      </c>
      <c r="B266">
        <v>5</v>
      </c>
      <c r="C266">
        <v>2</v>
      </c>
      <c r="D266">
        <v>0</v>
      </c>
      <c r="E266" t="s">
        <v>62</v>
      </c>
      <c r="F266">
        <v>29730</v>
      </c>
      <c r="G266">
        <v>34079704.322580643</v>
      </c>
      <c r="H266">
        <v>0.96368147288599326</v>
      </c>
      <c r="I266">
        <v>0.92014437175727504</v>
      </c>
      <c r="J266">
        <v>8461523.2580645159</v>
      </c>
      <c r="K266">
        <v>44102</v>
      </c>
      <c r="L266">
        <v>2</v>
      </c>
      <c r="M266">
        <v>140</v>
      </c>
      <c r="N266">
        <v>0.92375366568914952</v>
      </c>
      <c r="O266">
        <v>8741260.4193548393</v>
      </c>
      <c r="P266">
        <v>44699</v>
      </c>
      <c r="Q266">
        <v>2</v>
      </c>
      <c r="R266">
        <v>141</v>
      </c>
      <c r="S266">
        <v>11.675827482447342</v>
      </c>
      <c r="T266">
        <v>0.94728681643803914</v>
      </c>
    </row>
    <row r="267" spans="1:20" x14ac:dyDescent="0.25">
      <c r="A267" t="s">
        <v>18</v>
      </c>
      <c r="B267">
        <v>5</v>
      </c>
      <c r="C267">
        <v>2</v>
      </c>
      <c r="D267">
        <v>0</v>
      </c>
      <c r="E267" t="s">
        <v>54</v>
      </c>
      <c r="F267">
        <v>30094</v>
      </c>
      <c r="G267">
        <v>33881357.454545453</v>
      </c>
      <c r="H267">
        <v>0.9459631226279519</v>
      </c>
      <c r="I267">
        <v>0.92307692307692313</v>
      </c>
      <c r="J267">
        <v>9220209.1818181816</v>
      </c>
      <c r="K267">
        <v>44699</v>
      </c>
      <c r="L267">
        <v>2</v>
      </c>
      <c r="M267">
        <v>141</v>
      </c>
      <c r="N267">
        <v>0.91481246026700569</v>
      </c>
      <c r="O267">
        <v>8842414.8181818184</v>
      </c>
      <c r="P267">
        <v>45300</v>
      </c>
      <c r="Q267">
        <v>2</v>
      </c>
      <c r="R267">
        <v>142</v>
      </c>
      <c r="S267">
        <v>11.67413931144916</v>
      </c>
      <c r="T267">
        <v>0.94186046123504641</v>
      </c>
    </row>
    <row r="268" spans="1:20" x14ac:dyDescent="0.25">
      <c r="A268" t="s">
        <v>18</v>
      </c>
      <c r="B268">
        <v>5</v>
      </c>
      <c r="C268">
        <v>2</v>
      </c>
      <c r="D268">
        <v>0</v>
      </c>
      <c r="E268" t="s">
        <v>63</v>
      </c>
      <c r="F268">
        <v>30452</v>
      </c>
      <c r="G268">
        <v>32554971.096774194</v>
      </c>
      <c r="H268">
        <v>0.96052335154625679</v>
      </c>
      <c r="I268">
        <v>0.92488157004286042</v>
      </c>
      <c r="J268">
        <v>9008537.3225806449</v>
      </c>
      <c r="K268">
        <v>45300</v>
      </c>
      <c r="L268">
        <v>2</v>
      </c>
      <c r="M268">
        <v>142</v>
      </c>
      <c r="N268">
        <v>0.92894202571621931</v>
      </c>
      <c r="O268">
        <v>9202977.2258064523</v>
      </c>
      <c r="P268">
        <v>45905</v>
      </c>
      <c r="Q268">
        <v>2</v>
      </c>
      <c r="R268">
        <v>143</v>
      </c>
      <c r="S268">
        <v>11.665008951661031</v>
      </c>
      <c r="T268">
        <v>0.9403100728988647</v>
      </c>
    </row>
    <row r="269" spans="1:20" x14ac:dyDescent="0.25">
      <c r="A269" t="s">
        <v>18</v>
      </c>
      <c r="B269">
        <v>5</v>
      </c>
      <c r="C269">
        <v>2</v>
      </c>
      <c r="D269">
        <v>0</v>
      </c>
      <c r="E269" t="s">
        <v>71</v>
      </c>
      <c r="F269">
        <v>30650</v>
      </c>
      <c r="G269">
        <v>37040432.81818182</v>
      </c>
      <c r="H269">
        <v>0.96630641547116369</v>
      </c>
      <c r="I269">
        <v>0.92053401144310232</v>
      </c>
      <c r="J269">
        <v>9159572.1818181816</v>
      </c>
      <c r="K269">
        <v>45905</v>
      </c>
      <c r="L269">
        <v>2</v>
      </c>
      <c r="M269">
        <v>143</v>
      </c>
      <c r="N269">
        <v>0.91290527654164022</v>
      </c>
      <c r="O269">
        <v>9989109.5454545449</v>
      </c>
      <c r="P269">
        <v>46514</v>
      </c>
      <c r="Q269">
        <v>2</v>
      </c>
      <c r="R269">
        <v>144</v>
      </c>
      <c r="S269">
        <v>11.665541881699086</v>
      </c>
      <c r="T269">
        <v>0.9441860437393188</v>
      </c>
    </row>
    <row r="270" spans="1:20" x14ac:dyDescent="0.25">
      <c r="A270" t="s">
        <v>18</v>
      </c>
      <c r="B270">
        <v>5</v>
      </c>
      <c r="C270">
        <v>2</v>
      </c>
      <c r="D270">
        <v>0</v>
      </c>
      <c r="E270" t="s">
        <v>64</v>
      </c>
      <c r="F270">
        <v>31174</v>
      </c>
      <c r="G270">
        <v>35718563.142857142</v>
      </c>
      <c r="H270">
        <v>0.96403596230915611</v>
      </c>
      <c r="I270">
        <v>0.91941391941391937</v>
      </c>
      <c r="J270">
        <v>9093520.2857142854</v>
      </c>
      <c r="K270">
        <v>46514</v>
      </c>
      <c r="L270">
        <v>2</v>
      </c>
      <c r="M270">
        <v>144</v>
      </c>
      <c r="N270">
        <v>0.9154179154179154</v>
      </c>
      <c r="O270">
        <v>8030192.3809523806</v>
      </c>
      <c r="P270">
        <v>47127</v>
      </c>
      <c r="Q270">
        <v>2</v>
      </c>
      <c r="R270">
        <v>145</v>
      </c>
      <c r="S270">
        <v>11.664755880608816</v>
      </c>
      <c r="T270">
        <v>0.95290697216987608</v>
      </c>
    </row>
    <row r="271" spans="1:20" x14ac:dyDescent="0.25">
      <c r="A271" t="s">
        <v>18</v>
      </c>
      <c r="B271">
        <v>5</v>
      </c>
      <c r="C271">
        <v>2</v>
      </c>
      <c r="D271">
        <v>0</v>
      </c>
      <c r="E271" t="s">
        <v>87</v>
      </c>
      <c r="F271">
        <v>31490</v>
      </c>
      <c r="G271">
        <v>33939310.952380955</v>
      </c>
      <c r="H271">
        <v>0.96570096129462835</v>
      </c>
      <c r="I271">
        <v>0.91208791208791207</v>
      </c>
      <c r="J271">
        <v>9155671.2380952388</v>
      </c>
      <c r="K271">
        <v>47127</v>
      </c>
      <c r="L271">
        <v>2</v>
      </c>
      <c r="M271">
        <v>145</v>
      </c>
      <c r="N271">
        <v>0.92041292041292044</v>
      </c>
      <c r="O271">
        <v>9410344</v>
      </c>
      <c r="P271">
        <v>47744</v>
      </c>
      <c r="Q271">
        <v>2</v>
      </c>
      <c r="R271">
        <v>146</v>
      </c>
      <c r="S271">
        <v>11.660629921259842</v>
      </c>
      <c r="T271">
        <v>0.95813951790332796</v>
      </c>
    </row>
    <row r="272" spans="1:20" x14ac:dyDescent="0.25">
      <c r="A272" t="s">
        <v>18</v>
      </c>
      <c r="B272">
        <v>5</v>
      </c>
      <c r="C272">
        <v>2</v>
      </c>
      <c r="D272">
        <v>0</v>
      </c>
      <c r="E272" t="s">
        <v>65</v>
      </c>
      <c r="F272">
        <v>31896</v>
      </c>
      <c r="G272">
        <v>38531173.18181818</v>
      </c>
      <c r="H272">
        <v>0.96503495628183533</v>
      </c>
      <c r="I272">
        <v>0.92180546726001267</v>
      </c>
      <c r="J272">
        <v>8732946.0909090918</v>
      </c>
      <c r="K272">
        <v>47744</v>
      </c>
      <c r="L272">
        <v>2</v>
      </c>
      <c r="M272">
        <v>146</v>
      </c>
      <c r="N272">
        <v>0.91544818817546092</v>
      </c>
      <c r="O272">
        <v>9625444.4545454551</v>
      </c>
      <c r="P272">
        <v>48365</v>
      </c>
      <c r="Q272">
        <v>2</v>
      </c>
      <c r="R272">
        <v>147</v>
      </c>
      <c r="S272">
        <v>11.661363189943037</v>
      </c>
      <c r="T272">
        <v>0.95116279125213621</v>
      </c>
    </row>
    <row r="273" spans="1:20" x14ac:dyDescent="0.25">
      <c r="A273" t="s">
        <v>18</v>
      </c>
      <c r="B273">
        <v>5</v>
      </c>
      <c r="C273">
        <v>2</v>
      </c>
      <c r="D273">
        <v>0</v>
      </c>
      <c r="E273" t="s">
        <v>88</v>
      </c>
      <c r="F273">
        <v>32292</v>
      </c>
      <c r="G273">
        <v>37639138.190476194</v>
      </c>
      <c r="H273">
        <v>0.94905094305674231</v>
      </c>
      <c r="I273">
        <v>0.91641691641691647</v>
      </c>
      <c r="J273">
        <v>8294644.0952380951</v>
      </c>
      <c r="K273">
        <v>48365</v>
      </c>
      <c r="L273">
        <v>2</v>
      </c>
      <c r="M273">
        <v>147</v>
      </c>
      <c r="N273">
        <v>0.91508491508491507</v>
      </c>
      <c r="O273">
        <v>9203441</v>
      </c>
      <c r="P273">
        <v>48990</v>
      </c>
      <c r="Q273">
        <v>2</v>
      </c>
      <c r="R273">
        <v>148</v>
      </c>
      <c r="S273">
        <v>11.660406885758999</v>
      </c>
      <c r="T273">
        <v>0.93662790656089778</v>
      </c>
    </row>
    <row r="274" spans="1:20" x14ac:dyDescent="0.25">
      <c r="A274" t="s">
        <v>18</v>
      </c>
      <c r="B274">
        <v>5</v>
      </c>
      <c r="C274">
        <v>2</v>
      </c>
      <c r="D274">
        <v>0</v>
      </c>
      <c r="E274" t="s">
        <v>74</v>
      </c>
      <c r="F274">
        <v>32936</v>
      </c>
      <c r="G274">
        <v>43530573.272727273</v>
      </c>
      <c r="H274">
        <v>0.9357914924621582</v>
      </c>
      <c r="I274">
        <v>0.92180546726001267</v>
      </c>
      <c r="J274">
        <v>9951231.9090909082</v>
      </c>
      <c r="K274">
        <v>48990</v>
      </c>
      <c r="L274">
        <v>2</v>
      </c>
      <c r="M274">
        <v>148</v>
      </c>
      <c r="N274">
        <v>0.91226954863318499</v>
      </c>
      <c r="O274">
        <v>7935200.7272727275</v>
      </c>
      <c r="P274">
        <v>49619</v>
      </c>
      <c r="Q274">
        <v>2</v>
      </c>
      <c r="R274">
        <v>149</v>
      </c>
      <c r="S274">
        <v>11.663868826859263</v>
      </c>
      <c r="T274">
        <v>0.9395348787307739</v>
      </c>
    </row>
    <row r="275" spans="1:20" x14ac:dyDescent="0.25">
      <c r="A275" t="s">
        <v>18</v>
      </c>
      <c r="B275">
        <v>5</v>
      </c>
      <c r="C275">
        <v>2</v>
      </c>
      <c r="D275">
        <v>0</v>
      </c>
      <c r="E275" t="s">
        <v>75</v>
      </c>
      <c r="F275">
        <v>33698</v>
      </c>
      <c r="G275">
        <v>36183495.285714284</v>
      </c>
      <c r="H275">
        <v>0.96137195541745135</v>
      </c>
      <c r="I275">
        <v>0.91774891774891776</v>
      </c>
      <c r="J275">
        <v>9566936.9523809515</v>
      </c>
      <c r="K275">
        <v>50252</v>
      </c>
      <c r="L275">
        <v>2</v>
      </c>
      <c r="M275">
        <v>150</v>
      </c>
      <c r="N275">
        <v>0.91508491508491507</v>
      </c>
      <c r="O275">
        <v>9705919.8095238097</v>
      </c>
      <c r="P275">
        <v>50889</v>
      </c>
      <c r="Q275">
        <v>2</v>
      </c>
      <c r="R275">
        <v>151</v>
      </c>
      <c r="S275">
        <v>11.659797822706066</v>
      </c>
      <c r="T275">
        <v>0.94941860735416417</v>
      </c>
    </row>
    <row r="276" spans="1:20" x14ac:dyDescent="0.25">
      <c r="A276" t="s">
        <v>18</v>
      </c>
      <c r="B276">
        <v>5</v>
      </c>
      <c r="C276">
        <v>2</v>
      </c>
      <c r="D276">
        <v>0</v>
      </c>
      <c r="E276" t="s">
        <v>91</v>
      </c>
      <c r="F276">
        <v>34698</v>
      </c>
      <c r="G276">
        <v>37637429.714285716</v>
      </c>
      <c r="H276">
        <v>0.95937395095825195</v>
      </c>
      <c r="I276">
        <v>0.91808191808191808</v>
      </c>
      <c r="J276">
        <v>8881103.1428571437</v>
      </c>
      <c r="K276">
        <v>51530</v>
      </c>
      <c r="L276">
        <v>2</v>
      </c>
      <c r="M276">
        <v>152</v>
      </c>
      <c r="N276">
        <v>0.91475191475191475</v>
      </c>
      <c r="O276">
        <v>9584900.5238095243</v>
      </c>
      <c r="P276">
        <v>52175</v>
      </c>
      <c r="Q276">
        <v>2</v>
      </c>
      <c r="R276">
        <v>153</v>
      </c>
      <c r="S276">
        <v>11.656921587608906</v>
      </c>
      <c r="T276">
        <v>0.95058139562606814</v>
      </c>
    </row>
    <row r="277" spans="1:20" x14ac:dyDescent="0.25">
      <c r="A277" t="s">
        <v>18</v>
      </c>
      <c r="B277">
        <v>5</v>
      </c>
      <c r="C277">
        <v>2</v>
      </c>
      <c r="D277">
        <v>0</v>
      </c>
      <c r="E277" t="s">
        <v>92</v>
      </c>
      <c r="F277">
        <v>35500</v>
      </c>
      <c r="G277">
        <v>39397981.545454547</v>
      </c>
      <c r="H277">
        <v>0.96249203790317883</v>
      </c>
      <c r="I277">
        <v>0.91608391608391615</v>
      </c>
      <c r="J277">
        <v>8772762.7272727266</v>
      </c>
      <c r="K277">
        <v>52824</v>
      </c>
      <c r="L277">
        <v>2</v>
      </c>
      <c r="M277">
        <v>154</v>
      </c>
      <c r="N277">
        <v>0.91354100445009534</v>
      </c>
      <c r="O277">
        <v>9075634.5454545449</v>
      </c>
      <c r="P277">
        <v>53477</v>
      </c>
      <c r="Q277">
        <v>2</v>
      </c>
      <c r="R277">
        <v>155</v>
      </c>
      <c r="S277">
        <v>11.655525502318392</v>
      </c>
      <c r="T277">
        <v>0.95116279125213621</v>
      </c>
    </row>
    <row r="278" spans="1:20" x14ac:dyDescent="0.25">
      <c r="A278" t="s">
        <v>18</v>
      </c>
      <c r="B278">
        <v>5</v>
      </c>
      <c r="C278">
        <v>2</v>
      </c>
      <c r="D278">
        <v>0</v>
      </c>
      <c r="E278" t="s">
        <v>105</v>
      </c>
      <c r="F278">
        <v>7064</v>
      </c>
      <c r="G278">
        <v>51650330.363636367</v>
      </c>
      <c r="H278">
        <v>0.94405594739046961</v>
      </c>
      <c r="I278">
        <v>0.92434837889383348</v>
      </c>
      <c r="J278">
        <v>8477754.0909090918</v>
      </c>
      <c r="K278">
        <v>10434</v>
      </c>
      <c r="L278">
        <v>2</v>
      </c>
      <c r="M278">
        <v>64</v>
      </c>
      <c r="N278">
        <v>0.9173553719008265</v>
      </c>
      <c r="O278">
        <v>8104594.0909090908</v>
      </c>
      <c r="P278">
        <v>10727</v>
      </c>
      <c r="Q278">
        <v>2</v>
      </c>
      <c r="R278">
        <v>65</v>
      </c>
      <c r="S278">
        <v>11.662618083670715</v>
      </c>
      <c r="T278">
        <v>0.95</v>
      </c>
    </row>
    <row r="279" spans="1:20" x14ac:dyDescent="0.25">
      <c r="A279" t="s">
        <v>18</v>
      </c>
      <c r="B279">
        <v>5</v>
      </c>
      <c r="C279">
        <v>2</v>
      </c>
      <c r="D279">
        <v>0</v>
      </c>
      <c r="E279" t="s">
        <v>19</v>
      </c>
      <c r="F279">
        <v>7706</v>
      </c>
      <c r="G279">
        <v>13387676.909090908</v>
      </c>
      <c r="H279">
        <v>0.96312778646295716</v>
      </c>
      <c r="I279">
        <v>0.94214876033057848</v>
      </c>
      <c r="J279">
        <v>2285568.0909090908</v>
      </c>
      <c r="K279">
        <v>11325</v>
      </c>
      <c r="L279">
        <v>2</v>
      </c>
      <c r="M279">
        <v>67</v>
      </c>
      <c r="N279">
        <v>0.94151303242212336</v>
      </c>
      <c r="O279">
        <v>1866398.0909090908</v>
      </c>
      <c r="P279">
        <v>11630</v>
      </c>
      <c r="Q279">
        <v>2</v>
      </c>
      <c r="R279">
        <v>68</v>
      </c>
      <c r="S279">
        <v>11.661600615621392</v>
      </c>
      <c r="T279">
        <v>0.94767439961433408</v>
      </c>
    </row>
    <row r="280" spans="1:20" x14ac:dyDescent="0.25">
      <c r="A280" t="s">
        <v>18</v>
      </c>
      <c r="B280">
        <v>5</v>
      </c>
      <c r="C280">
        <v>2</v>
      </c>
      <c r="D280">
        <v>0</v>
      </c>
      <c r="E280" t="s">
        <v>20</v>
      </c>
      <c r="F280">
        <v>8348</v>
      </c>
      <c r="G280">
        <v>15418594.272727273</v>
      </c>
      <c r="H280">
        <v>0.9853782707994635</v>
      </c>
      <c r="I280">
        <v>0.94024157660521301</v>
      </c>
      <c r="J280">
        <v>2504791.0909090908</v>
      </c>
      <c r="K280">
        <v>12252</v>
      </c>
      <c r="L280">
        <v>2</v>
      </c>
      <c r="M280">
        <v>70</v>
      </c>
      <c r="N280">
        <v>0.94151303242212336</v>
      </c>
      <c r="O280">
        <v>2574388.7272727271</v>
      </c>
      <c r="P280">
        <v>12569</v>
      </c>
      <c r="Q280">
        <v>2</v>
      </c>
      <c r="R280">
        <v>71</v>
      </c>
      <c r="S280">
        <v>11.664234977922826</v>
      </c>
      <c r="T280">
        <v>0.96627905368804934</v>
      </c>
    </row>
    <row r="281" spans="1:20" x14ac:dyDescent="0.25">
      <c r="A281" t="s">
        <v>18</v>
      </c>
      <c r="B281">
        <v>5</v>
      </c>
      <c r="C281">
        <v>2</v>
      </c>
      <c r="D281">
        <v>0</v>
      </c>
      <c r="E281" t="s">
        <v>21</v>
      </c>
      <c r="F281">
        <v>8990</v>
      </c>
      <c r="G281">
        <v>20233932.272727273</v>
      </c>
      <c r="H281">
        <v>0.97520660812204529</v>
      </c>
      <c r="I281">
        <v>0.94405594405594406</v>
      </c>
      <c r="J281">
        <v>2515573.4545454546</v>
      </c>
      <c r="K281">
        <v>13215</v>
      </c>
      <c r="L281">
        <v>2</v>
      </c>
      <c r="M281">
        <v>73</v>
      </c>
      <c r="N281">
        <v>0.94214876033057848</v>
      </c>
      <c r="O281">
        <v>2806009.4545454546</v>
      </c>
      <c r="P281">
        <v>13544</v>
      </c>
      <c r="Q281">
        <v>2</v>
      </c>
      <c r="R281">
        <v>74</v>
      </c>
      <c r="S281">
        <v>11.672222222222222</v>
      </c>
      <c r="T281">
        <v>0.97558138370513914</v>
      </c>
    </row>
    <row r="282" spans="1:20" x14ac:dyDescent="0.25">
      <c r="A282" t="s">
        <v>18</v>
      </c>
      <c r="B282">
        <v>5</v>
      </c>
      <c r="C282">
        <v>2</v>
      </c>
      <c r="D282">
        <v>0</v>
      </c>
      <c r="E282" t="s">
        <v>22</v>
      </c>
      <c r="F282">
        <v>9632</v>
      </c>
      <c r="G282">
        <v>13950405.090909092</v>
      </c>
      <c r="H282">
        <v>0.95549905300140381</v>
      </c>
      <c r="I282">
        <v>0.94914176732358546</v>
      </c>
      <c r="J282">
        <v>2731157.4545454546</v>
      </c>
      <c r="K282">
        <v>14214</v>
      </c>
      <c r="L282">
        <v>2</v>
      </c>
      <c r="M282">
        <v>76</v>
      </c>
      <c r="N282">
        <v>0.94214876033057848</v>
      </c>
      <c r="O282">
        <v>2620147.1818181816</v>
      </c>
      <c r="P282">
        <v>14555</v>
      </c>
      <c r="Q282">
        <v>2</v>
      </c>
      <c r="R282">
        <v>77</v>
      </c>
      <c r="S282">
        <v>11.66947046453833</v>
      </c>
      <c r="T282">
        <v>0.95232558250427246</v>
      </c>
    </row>
    <row r="283" spans="1:20" x14ac:dyDescent="0.25">
      <c r="A283" t="s">
        <v>18</v>
      </c>
      <c r="B283">
        <v>5</v>
      </c>
      <c r="C283">
        <v>2</v>
      </c>
      <c r="D283">
        <v>0</v>
      </c>
      <c r="E283" t="s">
        <v>39</v>
      </c>
      <c r="F283">
        <v>10274</v>
      </c>
      <c r="G283">
        <v>15485556.636363637</v>
      </c>
      <c r="H283">
        <v>0.9821996201168407</v>
      </c>
      <c r="I283">
        <v>0.94024157660521301</v>
      </c>
      <c r="J283">
        <v>3367512.1818181816</v>
      </c>
      <c r="K283">
        <v>15249</v>
      </c>
      <c r="L283">
        <v>2</v>
      </c>
      <c r="M283">
        <v>79</v>
      </c>
      <c r="N283">
        <v>0.94405594405594406</v>
      </c>
      <c r="O283">
        <v>2233859.9090909092</v>
      </c>
      <c r="P283">
        <v>15602</v>
      </c>
      <c r="Q283">
        <v>2</v>
      </c>
      <c r="R283">
        <v>80</v>
      </c>
      <c r="S283">
        <v>11.668256390690576</v>
      </c>
      <c r="T283">
        <v>0.96976742744445799</v>
      </c>
    </row>
    <row r="284" spans="1:20" x14ac:dyDescent="0.25">
      <c r="A284" t="s">
        <v>18</v>
      </c>
      <c r="B284">
        <v>5</v>
      </c>
      <c r="C284">
        <v>2</v>
      </c>
      <c r="D284">
        <v>0</v>
      </c>
      <c r="E284" t="s">
        <v>55</v>
      </c>
      <c r="F284">
        <v>10916</v>
      </c>
      <c r="G284">
        <v>15102965.454545455</v>
      </c>
      <c r="H284">
        <v>0.9745708703994751</v>
      </c>
      <c r="I284">
        <v>0.94469167196439929</v>
      </c>
      <c r="J284">
        <v>2990911.8181818184</v>
      </c>
      <c r="K284">
        <v>16320</v>
      </c>
      <c r="L284">
        <v>2</v>
      </c>
      <c r="M284">
        <v>82</v>
      </c>
      <c r="N284">
        <v>0.94342021614748883</v>
      </c>
      <c r="O284">
        <v>2518549.6363636362</v>
      </c>
      <c r="P284">
        <v>16685</v>
      </c>
      <c r="Q284">
        <v>2</v>
      </c>
      <c r="R284">
        <v>83</v>
      </c>
      <c r="S284">
        <v>11.665714829621169</v>
      </c>
      <c r="T284">
        <v>0.96162788867950444</v>
      </c>
    </row>
    <row r="285" spans="1:20" x14ac:dyDescent="0.25">
      <c r="A285" t="s">
        <v>18</v>
      </c>
      <c r="B285">
        <v>5</v>
      </c>
      <c r="C285">
        <v>2</v>
      </c>
      <c r="D285">
        <v>0</v>
      </c>
      <c r="E285" t="s">
        <v>66</v>
      </c>
      <c r="F285">
        <v>11558</v>
      </c>
      <c r="G285">
        <v>21206520.454545453</v>
      </c>
      <c r="H285">
        <v>0.984106800772927</v>
      </c>
      <c r="I285">
        <v>0.93833439287984743</v>
      </c>
      <c r="J285">
        <v>2976737.1818181816</v>
      </c>
      <c r="K285">
        <v>17054</v>
      </c>
      <c r="L285">
        <v>2</v>
      </c>
      <c r="M285">
        <v>84</v>
      </c>
      <c r="N285">
        <v>0.94151303242212336</v>
      </c>
      <c r="O285">
        <v>3008295.6363636362</v>
      </c>
      <c r="P285">
        <v>17427</v>
      </c>
      <c r="Q285">
        <v>2</v>
      </c>
      <c r="R285">
        <v>85</v>
      </c>
      <c r="S285">
        <v>11.67154255319149</v>
      </c>
      <c r="T285">
        <v>0.96395347118377683</v>
      </c>
    </row>
    <row r="286" spans="1:20" x14ac:dyDescent="0.25">
      <c r="A286" t="s">
        <v>18</v>
      </c>
      <c r="B286">
        <v>5</v>
      </c>
      <c r="C286">
        <v>2</v>
      </c>
      <c r="D286">
        <v>0</v>
      </c>
      <c r="E286" t="s">
        <v>76</v>
      </c>
      <c r="F286">
        <v>12200</v>
      </c>
      <c r="G286">
        <v>15652872</v>
      </c>
      <c r="H286">
        <v>0.97584233500740747</v>
      </c>
      <c r="I286">
        <v>0.94087730451366813</v>
      </c>
      <c r="J286">
        <v>3317115.8181818184</v>
      </c>
      <c r="K286">
        <v>18185</v>
      </c>
      <c r="L286">
        <v>2</v>
      </c>
      <c r="M286">
        <v>87</v>
      </c>
      <c r="N286">
        <v>0.93769866497139231</v>
      </c>
      <c r="O286">
        <v>7267966.8181818184</v>
      </c>
      <c r="P286">
        <v>18570</v>
      </c>
      <c r="Q286">
        <v>2</v>
      </c>
      <c r="R286">
        <v>88</v>
      </c>
      <c r="S286">
        <v>11.66824644549763</v>
      </c>
      <c r="T286">
        <v>0.96046509742736819</v>
      </c>
    </row>
    <row r="287" spans="1:20" x14ac:dyDescent="0.25">
      <c r="A287" t="s">
        <v>18</v>
      </c>
      <c r="B287">
        <v>5</v>
      </c>
      <c r="C287">
        <v>2</v>
      </c>
      <c r="D287">
        <v>0</v>
      </c>
      <c r="E287" t="s">
        <v>93</v>
      </c>
      <c r="F287">
        <v>12842</v>
      </c>
      <c r="G287">
        <v>17204621.818181816</v>
      </c>
      <c r="H287">
        <v>0.97139223597266455</v>
      </c>
      <c r="I287">
        <v>0.94024157660521301</v>
      </c>
      <c r="J287">
        <v>6668353.2727272725</v>
      </c>
      <c r="K287">
        <v>18959</v>
      </c>
      <c r="L287">
        <v>2</v>
      </c>
      <c r="M287">
        <v>89</v>
      </c>
      <c r="N287">
        <v>0.94342021614748883</v>
      </c>
      <c r="O287">
        <v>8951559.9090909082</v>
      </c>
      <c r="P287">
        <v>19352</v>
      </c>
      <c r="Q287">
        <v>2</v>
      </c>
      <c r="R287">
        <v>90</v>
      </c>
      <c r="S287">
        <v>11.66572077185017</v>
      </c>
      <c r="T287">
        <v>0.96162789463996889</v>
      </c>
    </row>
    <row r="288" spans="1:20" x14ac:dyDescent="0.25">
      <c r="A288" t="s">
        <v>18</v>
      </c>
      <c r="B288">
        <v>5</v>
      </c>
      <c r="C288">
        <v>2</v>
      </c>
      <c r="D288">
        <v>0</v>
      </c>
      <c r="E288" t="s">
        <v>94</v>
      </c>
      <c r="F288">
        <v>13484</v>
      </c>
      <c r="G288">
        <v>22721084.09090909</v>
      </c>
      <c r="H288">
        <v>0.9796567017381842</v>
      </c>
      <c r="I288">
        <v>0.93833439287984743</v>
      </c>
      <c r="J288">
        <v>8437661.9090909082</v>
      </c>
      <c r="K288">
        <v>20150</v>
      </c>
      <c r="L288">
        <v>2</v>
      </c>
      <c r="M288">
        <v>92</v>
      </c>
      <c r="N288">
        <v>0.94024157660521301</v>
      </c>
      <c r="O288">
        <v>8082033.1818181816</v>
      </c>
      <c r="P288">
        <v>20555</v>
      </c>
      <c r="Q288">
        <v>2</v>
      </c>
      <c r="R288">
        <v>93</v>
      </c>
      <c r="S288">
        <v>11.669435529545025</v>
      </c>
      <c r="T288">
        <v>0.96627905964851379</v>
      </c>
    </row>
    <row r="289" spans="1:20" x14ac:dyDescent="0.25">
      <c r="A289" t="s">
        <v>18</v>
      </c>
      <c r="B289">
        <v>5</v>
      </c>
      <c r="C289">
        <v>2</v>
      </c>
      <c r="D289">
        <v>0</v>
      </c>
      <c r="E289" t="s">
        <v>95</v>
      </c>
      <c r="F289">
        <v>14126</v>
      </c>
      <c r="G289">
        <v>19301597.363636363</v>
      </c>
      <c r="H289">
        <v>0.97902097485282202</v>
      </c>
      <c r="I289">
        <v>0.9351557533375715</v>
      </c>
      <c r="J289">
        <v>7994932.9090909092</v>
      </c>
      <c r="K289">
        <v>20964</v>
      </c>
      <c r="L289">
        <v>2</v>
      </c>
      <c r="M289">
        <v>94</v>
      </c>
      <c r="N289">
        <v>0.94214876033057848</v>
      </c>
      <c r="O289">
        <v>8163229.5454545459</v>
      </c>
      <c r="P289">
        <v>21377</v>
      </c>
      <c r="Q289">
        <v>2</v>
      </c>
      <c r="R289">
        <v>95</v>
      </c>
      <c r="S289">
        <v>11.668801808590807</v>
      </c>
      <c r="T289">
        <v>0.96395347118377683</v>
      </c>
    </row>
    <row r="290" spans="1:20" x14ac:dyDescent="0.25">
      <c r="A290" t="s">
        <v>18</v>
      </c>
      <c r="B290">
        <v>5</v>
      </c>
      <c r="C290">
        <v>2</v>
      </c>
      <c r="D290">
        <v>0</v>
      </c>
      <c r="E290" t="s">
        <v>96</v>
      </c>
      <c r="F290">
        <v>14768</v>
      </c>
      <c r="G290">
        <v>18244493.454545453</v>
      </c>
      <c r="H290">
        <v>0.98029242320494214</v>
      </c>
      <c r="I290">
        <v>0.93960584869675778</v>
      </c>
      <c r="J290">
        <v>8068478.3636363633</v>
      </c>
      <c r="K290">
        <v>21794</v>
      </c>
      <c r="L290">
        <v>2</v>
      </c>
      <c r="M290">
        <v>96</v>
      </c>
      <c r="N290">
        <v>0.93833439287984743</v>
      </c>
      <c r="O290">
        <v>9032993.8181818184</v>
      </c>
      <c r="P290">
        <v>22215</v>
      </c>
      <c r="Q290">
        <v>2</v>
      </c>
      <c r="R290">
        <v>97</v>
      </c>
      <c r="S290">
        <v>11.666102650874224</v>
      </c>
      <c r="T290">
        <v>0.96162788867950444</v>
      </c>
    </row>
    <row r="291" spans="1:20" x14ac:dyDescent="0.25">
      <c r="A291" t="s">
        <v>18</v>
      </c>
      <c r="B291">
        <v>5</v>
      </c>
      <c r="C291">
        <v>2</v>
      </c>
      <c r="D291">
        <v>0</v>
      </c>
      <c r="E291" t="s">
        <v>97</v>
      </c>
      <c r="F291">
        <v>15410</v>
      </c>
      <c r="G291">
        <v>21066857.818181816</v>
      </c>
      <c r="H291">
        <v>0.97774951566349377</v>
      </c>
      <c r="I291">
        <v>0.93833439287984743</v>
      </c>
      <c r="J291">
        <v>7739374.4545454541</v>
      </c>
      <c r="K291">
        <v>23069</v>
      </c>
      <c r="L291">
        <v>2</v>
      </c>
      <c r="M291">
        <v>99</v>
      </c>
      <c r="N291">
        <v>0.94342021614748883</v>
      </c>
      <c r="O291">
        <v>7940430.3636363633</v>
      </c>
      <c r="P291">
        <v>23502</v>
      </c>
      <c r="Q291">
        <v>2</v>
      </c>
      <c r="R291">
        <v>100</v>
      </c>
      <c r="S291">
        <v>11.665666041275797</v>
      </c>
      <c r="T291">
        <v>0.96395347118377683</v>
      </c>
    </row>
    <row r="292" spans="1:20" x14ac:dyDescent="0.25">
      <c r="A292" t="s">
        <v>18</v>
      </c>
      <c r="B292">
        <v>5</v>
      </c>
      <c r="C292">
        <v>3</v>
      </c>
      <c r="D292">
        <v>0</v>
      </c>
      <c r="E292" t="s">
        <v>94</v>
      </c>
      <c r="F292">
        <v>14828</v>
      </c>
      <c r="G292">
        <v>18529197.363636363</v>
      </c>
      <c r="H292">
        <v>0.97139223055406054</v>
      </c>
      <c r="I292">
        <v>0.93960584869675778</v>
      </c>
      <c r="J292">
        <v>8610361.3636363633</v>
      </c>
      <c r="K292">
        <v>23939</v>
      </c>
      <c r="L292">
        <v>2</v>
      </c>
      <c r="M292">
        <v>101</v>
      </c>
      <c r="N292">
        <v>0.94151303242212336</v>
      </c>
      <c r="O292">
        <v>7631095.6363636367</v>
      </c>
      <c r="P292">
        <v>24380</v>
      </c>
      <c r="Q292">
        <v>2</v>
      </c>
      <c r="R292">
        <v>102</v>
      </c>
      <c r="S292">
        <v>11.662048305560756</v>
      </c>
      <c r="T292">
        <v>0.95348835587501524</v>
      </c>
    </row>
    <row r="293" spans="1:20" x14ac:dyDescent="0.25">
      <c r="A293" t="s">
        <v>18</v>
      </c>
      <c r="B293">
        <v>5</v>
      </c>
      <c r="C293">
        <v>3</v>
      </c>
      <c r="D293">
        <v>0</v>
      </c>
      <c r="E293" t="s">
        <v>95</v>
      </c>
      <c r="F293">
        <v>15534</v>
      </c>
      <c r="G293">
        <v>17546237.818181816</v>
      </c>
      <c r="H293">
        <v>0.95867768200961023</v>
      </c>
      <c r="I293">
        <v>0.92180546726001267</v>
      </c>
      <c r="J293">
        <v>7555180.4545454541</v>
      </c>
      <c r="K293">
        <v>25274</v>
      </c>
      <c r="L293">
        <v>2</v>
      </c>
      <c r="M293">
        <v>104</v>
      </c>
      <c r="N293">
        <v>0.91862682771773685</v>
      </c>
      <c r="O293">
        <v>8656583.1818181816</v>
      </c>
      <c r="P293">
        <v>25727</v>
      </c>
      <c r="Q293">
        <v>2</v>
      </c>
      <c r="R293">
        <v>105</v>
      </c>
      <c r="S293">
        <v>11.660313901345292</v>
      </c>
      <c r="T293">
        <v>0.97093022465705869</v>
      </c>
    </row>
    <row r="294" spans="1:20" x14ac:dyDescent="0.25">
      <c r="A294" t="s">
        <v>18</v>
      </c>
      <c r="B294">
        <v>5</v>
      </c>
      <c r="C294">
        <v>3</v>
      </c>
      <c r="D294">
        <v>0</v>
      </c>
      <c r="E294" t="s">
        <v>96</v>
      </c>
      <c r="F294">
        <v>16240</v>
      </c>
      <c r="G294">
        <v>16832059</v>
      </c>
      <c r="H294">
        <v>0.94596312804655591</v>
      </c>
      <c r="I294">
        <v>0.91799109980928162</v>
      </c>
      <c r="J294">
        <v>8730240.6363636367</v>
      </c>
      <c r="K294">
        <v>26184</v>
      </c>
      <c r="L294">
        <v>2</v>
      </c>
      <c r="M294">
        <v>106</v>
      </c>
      <c r="N294">
        <v>0.9224411951684679</v>
      </c>
      <c r="O294">
        <v>8339146.3636363633</v>
      </c>
      <c r="P294">
        <v>26645</v>
      </c>
      <c r="Q294">
        <v>2</v>
      </c>
      <c r="R294">
        <v>107</v>
      </c>
      <c r="S294">
        <v>11.655976132761515</v>
      </c>
      <c r="T294">
        <v>0.97325580120086674</v>
      </c>
    </row>
    <row r="295" spans="1:20" x14ac:dyDescent="0.25">
      <c r="A295" t="s">
        <v>18</v>
      </c>
      <c r="B295">
        <v>5</v>
      </c>
      <c r="C295">
        <v>3</v>
      </c>
      <c r="D295">
        <v>0</v>
      </c>
      <c r="E295" t="s">
        <v>97</v>
      </c>
      <c r="F295">
        <v>16946</v>
      </c>
      <c r="G295">
        <v>18965252.90909091</v>
      </c>
      <c r="H295">
        <v>0.95359185608950525</v>
      </c>
      <c r="I295">
        <v>0.91862682771773685</v>
      </c>
      <c r="J295">
        <v>9491278.6363636367</v>
      </c>
      <c r="K295">
        <v>27579</v>
      </c>
      <c r="L295">
        <v>2</v>
      </c>
      <c r="M295">
        <v>109</v>
      </c>
      <c r="N295">
        <v>0.92625556261919895</v>
      </c>
      <c r="O295">
        <v>8661561.1818181816</v>
      </c>
      <c r="P295">
        <v>28052</v>
      </c>
      <c r="Q295">
        <v>2</v>
      </c>
      <c r="R295">
        <v>110</v>
      </c>
      <c r="S295">
        <v>11.653703014514328</v>
      </c>
      <c r="T295">
        <v>0.96511629223823547</v>
      </c>
    </row>
    <row r="296" spans="1:20" x14ac:dyDescent="0.25">
      <c r="A296" t="s">
        <v>18</v>
      </c>
      <c r="B296">
        <v>5</v>
      </c>
      <c r="C296">
        <v>3</v>
      </c>
      <c r="D296">
        <v>0</v>
      </c>
      <c r="E296" t="s">
        <v>98</v>
      </c>
      <c r="F296">
        <v>17652</v>
      </c>
      <c r="G296">
        <v>18435763.454545453</v>
      </c>
      <c r="H296">
        <v>0.952320396900177</v>
      </c>
      <c r="I296">
        <v>0.91862682771773685</v>
      </c>
      <c r="J296">
        <v>7827845.7272727275</v>
      </c>
      <c r="K296">
        <v>28529</v>
      </c>
      <c r="L296">
        <v>2</v>
      </c>
      <c r="M296">
        <v>111</v>
      </c>
      <c r="N296">
        <v>0.91735537190082639</v>
      </c>
      <c r="O296">
        <v>6900809.0909090908</v>
      </c>
      <c r="P296">
        <v>29010</v>
      </c>
      <c r="Q296">
        <v>2</v>
      </c>
      <c r="R296">
        <v>112</v>
      </c>
      <c r="S296">
        <v>11.649582172701949</v>
      </c>
      <c r="T296">
        <v>0.9686046421527863</v>
      </c>
    </row>
    <row r="297" spans="1:20" x14ac:dyDescent="0.25">
      <c r="A297" t="s">
        <v>18</v>
      </c>
      <c r="B297">
        <v>5</v>
      </c>
      <c r="C297">
        <v>3</v>
      </c>
      <c r="D297">
        <v>0</v>
      </c>
      <c r="E297" t="s">
        <v>99</v>
      </c>
      <c r="F297">
        <v>18358</v>
      </c>
      <c r="G297">
        <v>18898294</v>
      </c>
      <c r="H297">
        <v>0.95104894312945276</v>
      </c>
      <c r="I297">
        <v>0.92180546726001267</v>
      </c>
      <c r="J297">
        <v>9075375.1818181816</v>
      </c>
      <c r="K297">
        <v>29984</v>
      </c>
      <c r="L297">
        <v>2</v>
      </c>
      <c r="M297">
        <v>114</v>
      </c>
      <c r="N297">
        <v>0.9198982835346472</v>
      </c>
      <c r="O297">
        <v>9148178.9090909082</v>
      </c>
      <c r="P297">
        <v>30477</v>
      </c>
      <c r="Q297">
        <v>2</v>
      </c>
      <c r="R297">
        <v>115</v>
      </c>
      <c r="S297">
        <v>11.645478131949591</v>
      </c>
      <c r="T297">
        <v>0.96744186282157896</v>
      </c>
    </row>
    <row r="298" spans="1:20" x14ac:dyDescent="0.25">
      <c r="A298" t="s">
        <v>18</v>
      </c>
      <c r="B298">
        <v>5</v>
      </c>
      <c r="C298">
        <v>3</v>
      </c>
      <c r="D298">
        <v>0</v>
      </c>
      <c r="E298" t="s">
        <v>100</v>
      </c>
      <c r="F298">
        <v>19064</v>
      </c>
      <c r="G298">
        <v>19439357.727272727</v>
      </c>
      <c r="H298">
        <v>0.95549904216419568</v>
      </c>
      <c r="I298">
        <v>0.90336935791481243</v>
      </c>
      <c r="J298">
        <v>7549219.2727272725</v>
      </c>
      <c r="K298">
        <v>30974</v>
      </c>
      <c r="L298">
        <v>2</v>
      </c>
      <c r="M298">
        <v>116</v>
      </c>
      <c r="N298">
        <v>0.93006993006993011</v>
      </c>
      <c r="O298">
        <v>7897252.4545454541</v>
      </c>
      <c r="P298">
        <v>31475</v>
      </c>
      <c r="Q298">
        <v>2</v>
      </c>
      <c r="R298">
        <v>117</v>
      </c>
      <c r="S298">
        <v>11.641945626040318</v>
      </c>
      <c r="T298">
        <v>0.9674418568611145</v>
      </c>
    </row>
    <row r="299" spans="1:20" x14ac:dyDescent="0.25">
      <c r="A299" t="s">
        <v>18</v>
      </c>
      <c r="B299">
        <v>5</v>
      </c>
      <c r="C299">
        <v>3</v>
      </c>
      <c r="D299">
        <v>0</v>
      </c>
      <c r="E299" t="s">
        <v>101</v>
      </c>
      <c r="F299">
        <v>19770</v>
      </c>
      <c r="G299">
        <v>21858249.90909091</v>
      </c>
      <c r="H299">
        <v>0.95295612920414319</v>
      </c>
      <c r="I299">
        <v>0.91290527654164022</v>
      </c>
      <c r="J299">
        <v>7980605.1818181816</v>
      </c>
      <c r="K299">
        <v>31980</v>
      </c>
      <c r="L299">
        <v>2</v>
      </c>
      <c r="M299">
        <v>118</v>
      </c>
      <c r="N299">
        <v>0.91799109980928162</v>
      </c>
      <c r="O299">
        <v>9096031.6363636367</v>
      </c>
      <c r="P299">
        <v>32489</v>
      </c>
      <c r="Q299">
        <v>2</v>
      </c>
      <c r="R299">
        <v>119</v>
      </c>
      <c r="S299">
        <v>11.638612033960872</v>
      </c>
      <c r="T299">
        <v>0.96860464811325075</v>
      </c>
    </row>
    <row r="300" spans="1:20" x14ac:dyDescent="0.25">
      <c r="A300" t="s">
        <v>18</v>
      </c>
      <c r="B300">
        <v>5</v>
      </c>
      <c r="C300">
        <v>3</v>
      </c>
      <c r="D300">
        <v>0</v>
      </c>
      <c r="E300" t="s">
        <v>102</v>
      </c>
      <c r="F300">
        <v>20476</v>
      </c>
      <c r="G300">
        <v>20606749.272727273</v>
      </c>
      <c r="H300">
        <v>0.94659884951331397</v>
      </c>
      <c r="I300">
        <v>0.92689129052765418</v>
      </c>
      <c r="J300">
        <v>8359371.4545454541</v>
      </c>
      <c r="K300">
        <v>33002</v>
      </c>
      <c r="L300">
        <v>2</v>
      </c>
      <c r="M300">
        <v>120</v>
      </c>
      <c r="N300">
        <v>0.91926255562619197</v>
      </c>
      <c r="O300">
        <v>8663705.9090909082</v>
      </c>
      <c r="P300">
        <v>33519</v>
      </c>
      <c r="Q300">
        <v>2</v>
      </c>
      <c r="R300">
        <v>121</v>
      </c>
      <c r="S300">
        <v>11.634002578743784</v>
      </c>
      <c r="T300">
        <v>0.96976743936538701</v>
      </c>
    </row>
    <row r="301" spans="1:20" x14ac:dyDescent="0.25">
      <c r="A301" t="s">
        <v>18</v>
      </c>
      <c r="B301">
        <v>5</v>
      </c>
      <c r="C301">
        <v>3</v>
      </c>
      <c r="D301">
        <v>0</v>
      </c>
      <c r="E301" t="s">
        <v>23</v>
      </c>
      <c r="F301">
        <v>20522</v>
      </c>
      <c r="G301">
        <v>24888907</v>
      </c>
      <c r="H301">
        <v>0.94787030870264222</v>
      </c>
      <c r="I301">
        <v>0.91671964399237127</v>
      </c>
      <c r="J301">
        <v>8769670.8181818184</v>
      </c>
      <c r="K301">
        <v>33519</v>
      </c>
      <c r="L301">
        <v>2</v>
      </c>
      <c r="M301">
        <v>121</v>
      </c>
      <c r="N301">
        <v>0.92053401144310232</v>
      </c>
      <c r="O301">
        <v>7821535.7272727275</v>
      </c>
      <c r="P301">
        <v>34040</v>
      </c>
      <c r="Q301">
        <v>2</v>
      </c>
      <c r="R301">
        <v>122</v>
      </c>
      <c r="S301">
        <v>11.632720588235294</v>
      </c>
      <c r="T301">
        <v>0.96395350098609922</v>
      </c>
    </row>
    <row r="302" spans="1:20" x14ac:dyDescent="0.25">
      <c r="A302" t="s">
        <v>18</v>
      </c>
      <c r="B302">
        <v>5</v>
      </c>
      <c r="C302">
        <v>3</v>
      </c>
      <c r="D302">
        <v>0</v>
      </c>
      <c r="E302" t="s">
        <v>103</v>
      </c>
      <c r="F302">
        <v>21182</v>
      </c>
      <c r="G302">
        <v>37436198.909090906</v>
      </c>
      <c r="H302">
        <v>0.9485060410066084</v>
      </c>
      <c r="I302">
        <v>0.92053401144310232</v>
      </c>
      <c r="J302">
        <v>9881858.1818181816</v>
      </c>
      <c r="K302">
        <v>34565</v>
      </c>
      <c r="L302">
        <v>2</v>
      </c>
      <c r="M302">
        <v>123</v>
      </c>
      <c r="N302">
        <v>0.91544818817546092</v>
      </c>
      <c r="O302">
        <v>8183316.8181818184</v>
      </c>
      <c r="P302">
        <v>35094</v>
      </c>
      <c r="Q302">
        <v>2</v>
      </c>
      <c r="R302">
        <v>124</v>
      </c>
      <c r="S302">
        <v>11.63896532746285</v>
      </c>
      <c r="T302">
        <v>0.96511626243591309</v>
      </c>
    </row>
    <row r="303" spans="1:20" x14ac:dyDescent="0.25">
      <c r="A303" t="s">
        <v>18</v>
      </c>
      <c r="B303">
        <v>5</v>
      </c>
      <c r="C303">
        <v>3</v>
      </c>
      <c r="D303">
        <v>0</v>
      </c>
      <c r="E303" t="s">
        <v>104</v>
      </c>
      <c r="F303">
        <v>21888</v>
      </c>
      <c r="G303">
        <v>25875951.857142858</v>
      </c>
      <c r="H303">
        <v>0.95071594488053091</v>
      </c>
      <c r="I303">
        <v>0.91641691641691647</v>
      </c>
      <c r="J303">
        <v>8723729.0952380951</v>
      </c>
      <c r="K303">
        <v>35627</v>
      </c>
      <c r="L303">
        <v>2</v>
      </c>
      <c r="M303">
        <v>125</v>
      </c>
      <c r="N303">
        <v>0.91674991674991679</v>
      </c>
      <c r="O303">
        <v>8087624.333333333</v>
      </c>
      <c r="P303">
        <v>36164</v>
      </c>
      <c r="Q303">
        <v>2</v>
      </c>
      <c r="R303">
        <v>126</v>
      </c>
      <c r="S303">
        <v>11.635782163742689</v>
      </c>
      <c r="T303">
        <v>0.95697674453258519</v>
      </c>
    </row>
    <row r="304" spans="1:20" x14ac:dyDescent="0.25">
      <c r="A304" t="s">
        <v>18</v>
      </c>
      <c r="B304">
        <v>5</v>
      </c>
      <c r="C304">
        <v>3</v>
      </c>
      <c r="D304">
        <v>0</v>
      </c>
      <c r="E304" t="s">
        <v>26</v>
      </c>
      <c r="F304">
        <v>22640</v>
      </c>
      <c r="G304">
        <v>29854387.774193548</v>
      </c>
      <c r="H304">
        <v>0.95894427645590996</v>
      </c>
      <c r="I304">
        <v>0.91473043085946315</v>
      </c>
      <c r="J304">
        <v>8300419.6451612907</v>
      </c>
      <c r="K304">
        <v>36705</v>
      </c>
      <c r="L304">
        <v>2</v>
      </c>
      <c r="M304">
        <v>127</v>
      </c>
      <c r="N304">
        <v>0.91179787953981506</v>
      </c>
      <c r="O304">
        <v>8816329.6129032262</v>
      </c>
      <c r="P304">
        <v>37250</v>
      </c>
      <c r="Q304">
        <v>2</v>
      </c>
      <c r="R304">
        <v>128</v>
      </c>
      <c r="S304">
        <v>11.637288751590042</v>
      </c>
      <c r="T304">
        <v>0.9682170510292053</v>
      </c>
    </row>
    <row r="305" spans="1:20" x14ac:dyDescent="0.25">
      <c r="A305" t="s">
        <v>18</v>
      </c>
      <c r="B305">
        <v>5</v>
      </c>
      <c r="C305">
        <v>3</v>
      </c>
      <c r="D305">
        <v>0</v>
      </c>
      <c r="E305" t="s">
        <v>27</v>
      </c>
      <c r="F305">
        <v>23346</v>
      </c>
      <c r="G305">
        <v>34308664.523809522</v>
      </c>
      <c r="H305">
        <v>0.95670994690486366</v>
      </c>
      <c r="I305">
        <v>0.91441891441891443</v>
      </c>
      <c r="J305">
        <v>9163562.1428571437</v>
      </c>
      <c r="K305">
        <v>37799</v>
      </c>
      <c r="L305">
        <v>2</v>
      </c>
      <c r="M305">
        <v>129</v>
      </c>
      <c r="N305">
        <v>0.91741591741591744</v>
      </c>
      <c r="O305">
        <v>8411205.0476190485</v>
      </c>
      <c r="P305">
        <v>38352</v>
      </c>
      <c r="Q305">
        <v>2</v>
      </c>
      <c r="R305">
        <v>130</v>
      </c>
      <c r="S305">
        <v>11.642469225199131</v>
      </c>
      <c r="T305">
        <v>0.97034882605075834</v>
      </c>
    </row>
    <row r="306" spans="1:20" x14ac:dyDescent="0.25">
      <c r="A306" t="s">
        <v>18</v>
      </c>
      <c r="B306">
        <v>5</v>
      </c>
      <c r="C306">
        <v>3</v>
      </c>
      <c r="D306">
        <v>0</v>
      </c>
      <c r="E306" t="s">
        <v>28</v>
      </c>
      <c r="F306">
        <v>24052</v>
      </c>
      <c r="G306">
        <v>34449248.419354841</v>
      </c>
      <c r="H306">
        <v>0.95420708194855719</v>
      </c>
      <c r="I306">
        <v>0.91946762914504854</v>
      </c>
      <c r="J306">
        <v>7599527.2258064514</v>
      </c>
      <c r="K306">
        <v>38909</v>
      </c>
      <c r="L306">
        <v>2</v>
      </c>
      <c r="M306">
        <v>131</v>
      </c>
      <c r="N306">
        <v>0.91473043085946315</v>
      </c>
      <c r="O306">
        <v>9556728.6129032262</v>
      </c>
      <c r="P306">
        <v>39470</v>
      </c>
      <c r="Q306">
        <v>2</v>
      </c>
      <c r="R306">
        <v>132</v>
      </c>
      <c r="S306">
        <v>11.648244824482449</v>
      </c>
      <c r="T306">
        <v>0.96821704506874084</v>
      </c>
    </row>
    <row r="307" spans="1:20" x14ac:dyDescent="0.25">
      <c r="A307" t="s">
        <v>18</v>
      </c>
      <c r="B307">
        <v>5</v>
      </c>
      <c r="C307">
        <v>3</v>
      </c>
      <c r="D307">
        <v>0</v>
      </c>
      <c r="E307" t="s">
        <v>67</v>
      </c>
      <c r="F307">
        <v>24488</v>
      </c>
      <c r="G307">
        <v>37222266.451612905</v>
      </c>
      <c r="H307">
        <v>0.96345589814647548</v>
      </c>
      <c r="I307">
        <v>0.91901646740356413</v>
      </c>
      <c r="J307">
        <v>8467692.5806451607</v>
      </c>
      <c r="K307">
        <v>39470</v>
      </c>
      <c r="L307">
        <v>2</v>
      </c>
      <c r="M307">
        <v>132</v>
      </c>
      <c r="N307">
        <v>0.91495601173020524</v>
      </c>
      <c r="O307">
        <v>8867392.8064516131</v>
      </c>
      <c r="P307">
        <v>40035</v>
      </c>
      <c r="Q307">
        <v>2</v>
      </c>
      <c r="R307">
        <v>133</v>
      </c>
      <c r="S307">
        <v>11.658073755818117</v>
      </c>
      <c r="T307">
        <v>0.97015502850214641</v>
      </c>
    </row>
    <row r="308" spans="1:20" x14ac:dyDescent="0.25">
      <c r="A308" t="s">
        <v>18</v>
      </c>
      <c r="B308">
        <v>5</v>
      </c>
      <c r="C308">
        <v>3</v>
      </c>
      <c r="D308">
        <v>0</v>
      </c>
      <c r="E308" t="s">
        <v>29</v>
      </c>
      <c r="F308">
        <v>24758</v>
      </c>
      <c r="G308">
        <v>37402367.81818182</v>
      </c>
      <c r="H308">
        <v>0.93388429013165564</v>
      </c>
      <c r="I308">
        <v>0.91354100445009534</v>
      </c>
      <c r="J308">
        <v>7467297.2727272725</v>
      </c>
      <c r="K308">
        <v>40035</v>
      </c>
      <c r="L308">
        <v>2</v>
      </c>
      <c r="M308">
        <v>133</v>
      </c>
      <c r="N308">
        <v>0.91926255562619197</v>
      </c>
      <c r="O308">
        <v>9573820.8181818184</v>
      </c>
      <c r="P308">
        <v>40604</v>
      </c>
      <c r="Q308">
        <v>2</v>
      </c>
      <c r="R308">
        <v>134</v>
      </c>
      <c r="S308">
        <v>11.661247096658924</v>
      </c>
      <c r="T308">
        <v>0.96046510338783264</v>
      </c>
    </row>
    <row r="309" spans="1:20" x14ac:dyDescent="0.25">
      <c r="A309" t="s">
        <v>18</v>
      </c>
      <c r="B309">
        <v>5</v>
      </c>
      <c r="C309">
        <v>3</v>
      </c>
      <c r="D309">
        <v>0</v>
      </c>
      <c r="E309" t="s">
        <v>43</v>
      </c>
      <c r="F309">
        <v>24844</v>
      </c>
      <c r="G309">
        <v>35824621.619047619</v>
      </c>
      <c r="H309">
        <v>0.96436896210625056</v>
      </c>
      <c r="I309">
        <v>0.92474192474192474</v>
      </c>
      <c r="J309">
        <v>7920570.666666667</v>
      </c>
      <c r="K309">
        <v>40604</v>
      </c>
      <c r="L309">
        <v>2</v>
      </c>
      <c r="M309">
        <v>134</v>
      </c>
      <c r="N309">
        <v>0.91308691308691303</v>
      </c>
      <c r="O309">
        <v>9631989.333333334</v>
      </c>
      <c r="P309">
        <v>41177</v>
      </c>
      <c r="Q309">
        <v>2</v>
      </c>
      <c r="R309">
        <v>135</v>
      </c>
      <c r="S309">
        <v>11.66500533997864</v>
      </c>
      <c r="T309">
        <v>0.96686045527458186</v>
      </c>
    </row>
    <row r="310" spans="1:20" x14ac:dyDescent="0.25">
      <c r="A310" t="s">
        <v>18</v>
      </c>
      <c r="B310">
        <v>5</v>
      </c>
      <c r="C310">
        <v>3</v>
      </c>
      <c r="D310">
        <v>0</v>
      </c>
      <c r="E310" t="s">
        <v>30</v>
      </c>
      <c r="F310">
        <v>25464</v>
      </c>
      <c r="G310">
        <v>33807779.18181818</v>
      </c>
      <c r="H310">
        <v>0.96058485724709253</v>
      </c>
      <c r="I310">
        <v>0.91926255562619197</v>
      </c>
      <c r="J310">
        <v>8736557.7272727266</v>
      </c>
      <c r="K310">
        <v>41177</v>
      </c>
      <c r="L310">
        <v>2</v>
      </c>
      <c r="M310">
        <v>135</v>
      </c>
      <c r="N310">
        <v>0.92053401144310232</v>
      </c>
      <c r="O310">
        <v>8959804.7272727266</v>
      </c>
      <c r="P310">
        <v>41754</v>
      </c>
      <c r="Q310">
        <v>2</v>
      </c>
      <c r="R310">
        <v>136</v>
      </c>
      <c r="S310">
        <v>11.664949369337361</v>
      </c>
      <c r="T310">
        <v>0.96627906560897825</v>
      </c>
    </row>
    <row r="311" spans="1:20" x14ac:dyDescent="0.25">
      <c r="A311" t="s">
        <v>18</v>
      </c>
      <c r="B311">
        <v>5</v>
      </c>
      <c r="C311">
        <v>3</v>
      </c>
      <c r="D311">
        <v>0</v>
      </c>
      <c r="E311" t="s">
        <v>77</v>
      </c>
      <c r="F311">
        <v>25810</v>
      </c>
      <c r="G311">
        <v>35357941.761904761</v>
      </c>
      <c r="H311">
        <v>0.95337994325728648</v>
      </c>
      <c r="I311">
        <v>0.92141192141192141</v>
      </c>
      <c r="J311">
        <v>9427119.0476190485</v>
      </c>
      <c r="K311">
        <v>41754</v>
      </c>
      <c r="L311">
        <v>2</v>
      </c>
      <c r="M311">
        <v>136</v>
      </c>
      <c r="N311">
        <v>0.9197469197469198</v>
      </c>
      <c r="O311">
        <v>8789606.3809523806</v>
      </c>
      <c r="P311">
        <v>42335</v>
      </c>
      <c r="Q311">
        <v>2</v>
      </c>
      <c r="R311">
        <v>137</v>
      </c>
      <c r="S311">
        <v>11.667610619469027</v>
      </c>
      <c r="T311">
        <v>0.96453488171100621</v>
      </c>
    </row>
    <row r="312" spans="1:20" x14ac:dyDescent="0.25">
      <c r="A312" t="s">
        <v>18</v>
      </c>
      <c r="B312">
        <v>5</v>
      </c>
      <c r="C312">
        <v>3</v>
      </c>
      <c r="D312">
        <v>0</v>
      </c>
      <c r="E312" t="s">
        <v>31</v>
      </c>
      <c r="F312">
        <v>26170</v>
      </c>
      <c r="G312">
        <v>40299877.888888888</v>
      </c>
      <c r="H312">
        <v>0.96017870638105607</v>
      </c>
      <c r="I312">
        <v>0.92249417249417254</v>
      </c>
      <c r="J312">
        <v>9007935.8611111119</v>
      </c>
      <c r="K312">
        <v>42335</v>
      </c>
      <c r="L312">
        <v>2</v>
      </c>
      <c r="M312">
        <v>137</v>
      </c>
      <c r="N312">
        <v>0.91822066822066828</v>
      </c>
      <c r="O312">
        <v>9701678.722222222</v>
      </c>
      <c r="P312">
        <v>42920</v>
      </c>
      <c r="Q312">
        <v>2</v>
      </c>
      <c r="R312">
        <v>138</v>
      </c>
      <c r="S312">
        <v>11.680091452690819</v>
      </c>
      <c r="T312">
        <v>0.9601328883852277</v>
      </c>
    </row>
    <row r="313" spans="1:20" x14ac:dyDescent="0.25">
      <c r="A313" t="s">
        <v>18</v>
      </c>
      <c r="B313">
        <v>5</v>
      </c>
      <c r="C313">
        <v>3</v>
      </c>
      <c r="D313">
        <v>0</v>
      </c>
      <c r="E313" t="s">
        <v>45</v>
      </c>
      <c r="F313">
        <v>26344</v>
      </c>
      <c r="G313">
        <v>38645562.809523806</v>
      </c>
      <c r="H313">
        <v>0.95604394731067477</v>
      </c>
      <c r="I313">
        <v>0.91608391608391604</v>
      </c>
      <c r="J313">
        <v>8659557.333333334</v>
      </c>
      <c r="K313">
        <v>42920</v>
      </c>
      <c r="L313">
        <v>2</v>
      </c>
      <c r="M313">
        <v>138</v>
      </c>
      <c r="N313">
        <v>0.91075591075591078</v>
      </c>
      <c r="O313">
        <v>9156001.1904761903</v>
      </c>
      <c r="P313">
        <v>43509</v>
      </c>
      <c r="Q313">
        <v>2</v>
      </c>
      <c r="R313">
        <v>139</v>
      </c>
      <c r="S313">
        <v>11.685473979323637</v>
      </c>
      <c r="T313">
        <v>0.96627906262874608</v>
      </c>
    </row>
    <row r="314" spans="1:20" x14ac:dyDescent="0.25">
      <c r="A314" t="s">
        <v>18</v>
      </c>
      <c r="B314">
        <v>5</v>
      </c>
      <c r="C314">
        <v>3</v>
      </c>
      <c r="D314">
        <v>0</v>
      </c>
      <c r="E314" t="s">
        <v>78</v>
      </c>
      <c r="F314">
        <v>26692</v>
      </c>
      <c r="G314">
        <v>40538569.095238097</v>
      </c>
      <c r="H314">
        <v>0.95071594204221455</v>
      </c>
      <c r="I314">
        <v>0.92041292041292044</v>
      </c>
      <c r="J314">
        <v>9328127.4761904757</v>
      </c>
      <c r="K314">
        <v>43509</v>
      </c>
      <c r="L314">
        <v>2</v>
      </c>
      <c r="M314">
        <v>139</v>
      </c>
      <c r="N314">
        <v>0.91441891441891443</v>
      </c>
      <c r="O314">
        <v>8454295.0476190485</v>
      </c>
      <c r="P314">
        <v>44102</v>
      </c>
      <c r="Q314">
        <v>2</v>
      </c>
      <c r="R314">
        <v>140</v>
      </c>
      <c r="S314">
        <v>11.692562849162011</v>
      </c>
      <c r="T314">
        <v>0.96453488171100621</v>
      </c>
    </row>
    <row r="315" spans="1:20" x14ac:dyDescent="0.25">
      <c r="A315" t="s">
        <v>18</v>
      </c>
      <c r="B315">
        <v>5</v>
      </c>
      <c r="C315">
        <v>3</v>
      </c>
      <c r="D315">
        <v>0</v>
      </c>
      <c r="E315" t="s">
        <v>46</v>
      </c>
      <c r="F315">
        <v>27094</v>
      </c>
      <c r="G315">
        <v>35617813.57692308</v>
      </c>
      <c r="H315">
        <v>0.96637976628083444</v>
      </c>
      <c r="I315">
        <v>0.92092522861753634</v>
      </c>
      <c r="J315">
        <v>8700331.0769230761</v>
      </c>
      <c r="K315">
        <v>44102</v>
      </c>
      <c r="L315">
        <v>2</v>
      </c>
      <c r="M315">
        <v>140</v>
      </c>
      <c r="N315">
        <v>0.92011834319526631</v>
      </c>
      <c r="O315">
        <v>8966629.9230769239</v>
      </c>
      <c r="P315">
        <v>44699</v>
      </c>
      <c r="Q315">
        <v>2</v>
      </c>
      <c r="R315">
        <v>141</v>
      </c>
      <c r="S315">
        <v>11.692735488355927</v>
      </c>
      <c r="T315">
        <v>0.96139533996582027</v>
      </c>
    </row>
    <row r="316" spans="1:20" x14ac:dyDescent="0.25">
      <c r="A316" t="s">
        <v>18</v>
      </c>
      <c r="B316">
        <v>5</v>
      </c>
      <c r="C316">
        <v>3</v>
      </c>
      <c r="D316">
        <v>0</v>
      </c>
      <c r="E316" t="s">
        <v>79</v>
      </c>
      <c r="F316">
        <v>27574</v>
      </c>
      <c r="G316">
        <v>34850993.354838707</v>
      </c>
      <c r="H316">
        <v>0.95623731036340032</v>
      </c>
      <c r="I316">
        <v>0.92059553349875933</v>
      </c>
      <c r="J316">
        <v>9092171.3870967738</v>
      </c>
      <c r="K316">
        <v>44699</v>
      </c>
      <c r="L316">
        <v>2</v>
      </c>
      <c r="M316">
        <v>141</v>
      </c>
      <c r="N316">
        <v>0.91879088653282204</v>
      </c>
      <c r="O316">
        <v>8515819.8387096766</v>
      </c>
      <c r="P316">
        <v>45300</v>
      </c>
      <c r="Q316">
        <v>2</v>
      </c>
      <c r="R316">
        <v>142</v>
      </c>
      <c r="S316">
        <v>11.692134831460674</v>
      </c>
      <c r="T316">
        <v>0.96162789861361186</v>
      </c>
    </row>
    <row r="317" spans="1:20" x14ac:dyDescent="0.25">
      <c r="A317" t="s">
        <v>18</v>
      </c>
      <c r="B317">
        <v>5</v>
      </c>
      <c r="C317">
        <v>3</v>
      </c>
      <c r="D317">
        <v>0</v>
      </c>
      <c r="E317" t="s">
        <v>47</v>
      </c>
      <c r="F317">
        <v>27844</v>
      </c>
      <c r="G317">
        <v>37216963.153846152</v>
      </c>
      <c r="H317">
        <v>0.96933835057111883</v>
      </c>
      <c r="I317">
        <v>0.92818719741796663</v>
      </c>
      <c r="J317">
        <v>8658164.0769230761</v>
      </c>
      <c r="K317">
        <v>45300</v>
      </c>
      <c r="L317">
        <v>2</v>
      </c>
      <c r="M317">
        <v>142</v>
      </c>
      <c r="N317">
        <v>0.9276492738031199</v>
      </c>
      <c r="O317">
        <v>9927666.7692307699</v>
      </c>
      <c r="P317">
        <v>45905</v>
      </c>
      <c r="Q317">
        <v>2</v>
      </c>
      <c r="R317">
        <v>143</v>
      </c>
      <c r="S317">
        <v>11.69299604198933</v>
      </c>
      <c r="T317">
        <v>0.96139533758163453</v>
      </c>
    </row>
    <row r="318" spans="1:20" x14ac:dyDescent="0.25">
      <c r="A318" t="s">
        <v>18</v>
      </c>
      <c r="B318">
        <v>5</v>
      </c>
      <c r="C318">
        <v>3</v>
      </c>
      <c r="D318">
        <v>0</v>
      </c>
      <c r="E318" t="s">
        <v>34</v>
      </c>
      <c r="F318">
        <v>28288</v>
      </c>
      <c r="G318">
        <v>37367907.161290325</v>
      </c>
      <c r="H318">
        <v>0.95646288702564852</v>
      </c>
      <c r="I318">
        <v>0.92104669524024363</v>
      </c>
      <c r="J318">
        <v>9073573.9032258056</v>
      </c>
      <c r="K318">
        <v>45905</v>
      </c>
      <c r="L318">
        <v>2</v>
      </c>
      <c r="M318">
        <v>143</v>
      </c>
      <c r="N318">
        <v>0.91901646740356413</v>
      </c>
      <c r="O318">
        <v>9423026.0322580654</v>
      </c>
      <c r="P318">
        <v>46514</v>
      </c>
      <c r="Q318">
        <v>2</v>
      </c>
      <c r="R318">
        <v>144</v>
      </c>
      <c r="S318">
        <v>11.694796302636083</v>
      </c>
      <c r="T318">
        <v>0.96279070178667703</v>
      </c>
    </row>
    <row r="319" spans="1:20" x14ac:dyDescent="0.25">
      <c r="A319" t="s">
        <v>18</v>
      </c>
      <c r="B319">
        <v>5</v>
      </c>
      <c r="C319">
        <v>3</v>
      </c>
      <c r="D319">
        <v>0</v>
      </c>
      <c r="E319" t="s">
        <v>80</v>
      </c>
      <c r="F319">
        <v>28456</v>
      </c>
      <c r="G319">
        <v>46478184.454545453</v>
      </c>
      <c r="H319">
        <v>0.95613476904955774</v>
      </c>
      <c r="I319">
        <v>0.92116973935155755</v>
      </c>
      <c r="J319">
        <v>8093634.8181818184</v>
      </c>
      <c r="K319">
        <v>46514</v>
      </c>
      <c r="L319">
        <v>2</v>
      </c>
      <c r="M319">
        <v>144</v>
      </c>
      <c r="N319">
        <v>0.92053401144310232</v>
      </c>
      <c r="O319">
        <v>9246550.4545454551</v>
      </c>
      <c r="P319">
        <v>47127</v>
      </c>
      <c r="Q319">
        <v>2</v>
      </c>
      <c r="R319">
        <v>145</v>
      </c>
      <c r="S319">
        <v>11.700324619853067</v>
      </c>
      <c r="T319">
        <v>0.9686046421527863</v>
      </c>
    </row>
    <row r="320" spans="1:20" x14ac:dyDescent="0.25">
      <c r="A320" t="s">
        <v>18</v>
      </c>
      <c r="B320">
        <v>5</v>
      </c>
      <c r="C320">
        <v>3</v>
      </c>
      <c r="D320">
        <v>0</v>
      </c>
      <c r="E320" t="s">
        <v>35</v>
      </c>
      <c r="F320">
        <v>28994</v>
      </c>
      <c r="G320">
        <v>40544283.152173914</v>
      </c>
      <c r="H320">
        <v>0.96093037076618359</v>
      </c>
      <c r="I320">
        <v>0.91775615688659173</v>
      </c>
      <c r="J320">
        <v>9129127.6521739122</v>
      </c>
      <c r="K320">
        <v>47127</v>
      </c>
      <c r="L320">
        <v>2</v>
      </c>
      <c r="M320">
        <v>145</v>
      </c>
      <c r="N320">
        <v>0.92505320766190335</v>
      </c>
      <c r="O320">
        <v>9490709.826086957</v>
      </c>
      <c r="P320">
        <v>47744</v>
      </c>
      <c r="Q320">
        <v>2</v>
      </c>
      <c r="R320">
        <v>146</v>
      </c>
      <c r="S320">
        <v>11.708425156806239</v>
      </c>
      <c r="T320">
        <v>0.96563306252161663</v>
      </c>
    </row>
    <row r="321" spans="1:20" x14ac:dyDescent="0.25">
      <c r="A321" t="s">
        <v>18</v>
      </c>
      <c r="B321">
        <v>5</v>
      </c>
      <c r="C321">
        <v>3</v>
      </c>
      <c r="D321">
        <v>0</v>
      </c>
      <c r="E321" t="s">
        <v>81</v>
      </c>
      <c r="F321">
        <v>29338</v>
      </c>
      <c r="G321">
        <v>37875152.18181818</v>
      </c>
      <c r="H321">
        <v>0.94787029786543409</v>
      </c>
      <c r="I321">
        <v>0.9224411951684679</v>
      </c>
      <c r="J321">
        <v>7848566.1818181816</v>
      </c>
      <c r="K321">
        <v>47744</v>
      </c>
      <c r="L321">
        <v>2</v>
      </c>
      <c r="M321">
        <v>146</v>
      </c>
      <c r="N321">
        <v>0.91799109980928162</v>
      </c>
      <c r="O321">
        <v>7746327.0909090908</v>
      </c>
      <c r="P321">
        <v>48365</v>
      </c>
      <c r="Q321">
        <v>2</v>
      </c>
      <c r="R321">
        <v>147</v>
      </c>
      <c r="S321">
        <v>11.708121827411167</v>
      </c>
      <c r="T321">
        <v>0.96627905368804934</v>
      </c>
    </row>
    <row r="322" spans="1:20" x14ac:dyDescent="0.25">
      <c r="A322" t="s">
        <v>18</v>
      </c>
      <c r="B322">
        <v>5</v>
      </c>
      <c r="C322">
        <v>3</v>
      </c>
      <c r="D322">
        <v>0</v>
      </c>
      <c r="E322" t="s">
        <v>36</v>
      </c>
      <c r="F322">
        <v>29700</v>
      </c>
      <c r="G322">
        <v>40534527.891304351</v>
      </c>
      <c r="H322">
        <v>0.95925813135893445</v>
      </c>
      <c r="I322">
        <v>0.92094861660079053</v>
      </c>
      <c r="J322">
        <v>9276527.2608695645</v>
      </c>
      <c r="K322">
        <v>48365</v>
      </c>
      <c r="L322">
        <v>2</v>
      </c>
      <c r="M322">
        <v>147</v>
      </c>
      <c r="N322">
        <v>0.91547582851930676</v>
      </c>
      <c r="O322">
        <v>8935179.173913043</v>
      </c>
      <c r="P322">
        <v>48990</v>
      </c>
      <c r="Q322">
        <v>2</v>
      </c>
      <c r="R322">
        <v>148</v>
      </c>
      <c r="S322">
        <v>11.711719274680995</v>
      </c>
      <c r="T322">
        <v>0.9656330664952596</v>
      </c>
    </row>
    <row r="323" spans="1:20" x14ac:dyDescent="0.25">
      <c r="A323" t="s">
        <v>18</v>
      </c>
      <c r="B323">
        <v>5</v>
      </c>
      <c r="C323">
        <v>3</v>
      </c>
      <c r="D323">
        <v>0</v>
      </c>
      <c r="E323" t="s">
        <v>82</v>
      </c>
      <c r="F323">
        <v>30220</v>
      </c>
      <c r="G323">
        <v>39458081.454545453</v>
      </c>
      <c r="H323">
        <v>0.95359186150810937</v>
      </c>
      <c r="I323">
        <v>0.91862682771773685</v>
      </c>
      <c r="J323">
        <v>8799147.7272727266</v>
      </c>
      <c r="K323">
        <v>48990</v>
      </c>
      <c r="L323">
        <v>2</v>
      </c>
      <c r="M323">
        <v>148</v>
      </c>
      <c r="N323">
        <v>0.91862682771773685</v>
      </c>
      <c r="O323">
        <v>9811034</v>
      </c>
      <c r="P323">
        <v>49619</v>
      </c>
      <c r="Q323">
        <v>2</v>
      </c>
      <c r="R323">
        <v>149</v>
      </c>
      <c r="S323">
        <v>11.712585889056477</v>
      </c>
      <c r="T323">
        <v>0.96511628031730656</v>
      </c>
    </row>
    <row r="324" spans="1:20" x14ac:dyDescent="0.25">
      <c r="A324" t="s">
        <v>18</v>
      </c>
      <c r="B324">
        <v>5</v>
      </c>
      <c r="C324">
        <v>3</v>
      </c>
      <c r="D324">
        <v>0</v>
      </c>
      <c r="E324" t="s">
        <v>37</v>
      </c>
      <c r="F324">
        <v>30406</v>
      </c>
      <c r="G324">
        <v>40521348.956521742</v>
      </c>
      <c r="H324">
        <v>0.96229856428892713</v>
      </c>
      <c r="I324">
        <v>0.91836424445120102</v>
      </c>
      <c r="J324">
        <v>9257306.0434782617</v>
      </c>
      <c r="K324">
        <v>49619</v>
      </c>
      <c r="L324">
        <v>2</v>
      </c>
      <c r="M324">
        <v>149</v>
      </c>
      <c r="N324">
        <v>0.91653998175737306</v>
      </c>
      <c r="O324">
        <v>9214086.5434782617</v>
      </c>
      <c r="P324">
        <v>50252</v>
      </c>
      <c r="Q324">
        <v>2</v>
      </c>
      <c r="R324">
        <v>150</v>
      </c>
      <c r="S324">
        <v>11.715616164975886</v>
      </c>
      <c r="T324">
        <v>0.96330748399098709</v>
      </c>
    </row>
    <row r="325" spans="1:20" x14ac:dyDescent="0.25">
      <c r="A325" t="s">
        <v>18</v>
      </c>
      <c r="B325">
        <v>5</v>
      </c>
      <c r="C325">
        <v>3</v>
      </c>
      <c r="D325">
        <v>0</v>
      </c>
      <c r="E325" t="s">
        <v>83</v>
      </c>
      <c r="F325">
        <v>31102</v>
      </c>
      <c r="G325">
        <v>41907537.545454547</v>
      </c>
      <c r="H325">
        <v>0.96058486808430066</v>
      </c>
      <c r="I325">
        <v>0.92116973935155755</v>
      </c>
      <c r="J325">
        <v>8229017.2727272725</v>
      </c>
      <c r="K325">
        <v>50252</v>
      </c>
      <c r="L325">
        <v>2</v>
      </c>
      <c r="M325">
        <v>150</v>
      </c>
      <c r="N325">
        <v>0.91862682771773685</v>
      </c>
      <c r="O325">
        <v>9368710.2727272734</v>
      </c>
      <c r="P325">
        <v>50889</v>
      </c>
      <c r="Q325">
        <v>2</v>
      </c>
      <c r="R325">
        <v>151</v>
      </c>
      <c r="S325">
        <v>11.716965471447542</v>
      </c>
      <c r="T325">
        <v>0.96976743936538701</v>
      </c>
    </row>
    <row r="326" spans="1:20" x14ac:dyDescent="0.25">
      <c r="A326" t="s">
        <v>18</v>
      </c>
      <c r="B326">
        <v>5</v>
      </c>
      <c r="C326">
        <v>3</v>
      </c>
      <c r="D326">
        <v>0</v>
      </c>
      <c r="E326" t="s">
        <v>69</v>
      </c>
      <c r="F326">
        <v>31192</v>
      </c>
      <c r="G326">
        <v>42506629.586956523</v>
      </c>
      <c r="H326">
        <v>0.95408938630767492</v>
      </c>
      <c r="I326">
        <v>0.92140468227424754</v>
      </c>
      <c r="J326">
        <v>9061945.1086956523</v>
      </c>
      <c r="K326">
        <v>50889</v>
      </c>
      <c r="L326">
        <v>2</v>
      </c>
      <c r="M326">
        <v>151</v>
      </c>
      <c r="N326">
        <v>0.92110063849194279</v>
      </c>
      <c r="O326">
        <v>9777457.2173913047</v>
      </c>
      <c r="P326">
        <v>51530</v>
      </c>
      <c r="Q326">
        <v>2</v>
      </c>
      <c r="R326">
        <v>152</v>
      </c>
      <c r="S326">
        <v>11.71993410214168</v>
      </c>
      <c r="T326">
        <v>0.96485787630081177</v>
      </c>
    </row>
    <row r="327" spans="1:20" x14ac:dyDescent="0.25">
      <c r="A327" t="s">
        <v>18</v>
      </c>
      <c r="B327">
        <v>5</v>
      </c>
      <c r="C327">
        <v>3</v>
      </c>
      <c r="D327">
        <v>0</v>
      </c>
      <c r="E327" t="s">
        <v>52</v>
      </c>
      <c r="F327">
        <v>31594</v>
      </c>
      <c r="G327">
        <v>43001014.636363633</v>
      </c>
      <c r="H327">
        <v>0.94787030870264222</v>
      </c>
      <c r="I327">
        <v>0.92053401144310232</v>
      </c>
      <c r="J327">
        <v>8975148</v>
      </c>
      <c r="K327">
        <v>51530</v>
      </c>
      <c r="L327">
        <v>2</v>
      </c>
      <c r="M327">
        <v>152</v>
      </c>
      <c r="N327">
        <v>0.91926255562619197</v>
      </c>
      <c r="O327">
        <v>9731694.9090909082</v>
      </c>
      <c r="P327">
        <v>52175</v>
      </c>
      <c r="Q327">
        <v>2</v>
      </c>
      <c r="R327">
        <v>153</v>
      </c>
      <c r="S327">
        <v>11.721756290083867</v>
      </c>
      <c r="T327">
        <v>0.96162790060043335</v>
      </c>
    </row>
    <row r="328" spans="1:20" x14ac:dyDescent="0.25">
      <c r="A328" t="s">
        <v>18</v>
      </c>
      <c r="B328">
        <v>5</v>
      </c>
      <c r="C328">
        <v>3</v>
      </c>
      <c r="D328">
        <v>0</v>
      </c>
      <c r="E328" t="s">
        <v>84</v>
      </c>
      <c r="F328">
        <v>31984</v>
      </c>
      <c r="G328">
        <v>42976583.619047619</v>
      </c>
      <c r="H328">
        <v>0.95437894832520254</v>
      </c>
      <c r="I328">
        <v>0.91674991674991679</v>
      </c>
      <c r="J328">
        <v>9002225.5238095243</v>
      </c>
      <c r="K328">
        <v>52175</v>
      </c>
      <c r="L328">
        <v>2</v>
      </c>
      <c r="M328">
        <v>153</v>
      </c>
      <c r="N328">
        <v>0.92007992007992012</v>
      </c>
      <c r="O328">
        <v>10413509.904761905</v>
      </c>
      <c r="P328">
        <v>52824</v>
      </c>
      <c r="Q328">
        <v>2</v>
      </c>
      <c r="R328">
        <v>154</v>
      </c>
      <c r="S328">
        <v>11.72369714847591</v>
      </c>
      <c r="T328">
        <v>0.96744185984134679</v>
      </c>
    </row>
    <row r="329" spans="1:20" x14ac:dyDescent="0.25">
      <c r="A329" t="s">
        <v>18</v>
      </c>
      <c r="B329">
        <v>5</v>
      </c>
      <c r="C329">
        <v>3</v>
      </c>
      <c r="D329">
        <v>0</v>
      </c>
      <c r="E329" t="s">
        <v>53</v>
      </c>
      <c r="F329">
        <v>32344</v>
      </c>
      <c r="G329">
        <v>43009683.07692308</v>
      </c>
      <c r="H329">
        <v>0.96557288674207831</v>
      </c>
      <c r="I329">
        <v>0.92173211403980637</v>
      </c>
      <c r="J329">
        <v>9617103.4230769239</v>
      </c>
      <c r="K329">
        <v>52824</v>
      </c>
      <c r="L329">
        <v>2</v>
      </c>
      <c r="M329">
        <v>154</v>
      </c>
      <c r="N329">
        <v>0.92442173211403977</v>
      </c>
      <c r="O329">
        <v>10502743.115384616</v>
      </c>
      <c r="P329">
        <v>53477</v>
      </c>
      <c r="Q329">
        <v>2</v>
      </c>
      <c r="R329">
        <v>155</v>
      </c>
      <c r="S329">
        <v>11.725685378590079</v>
      </c>
      <c r="T329">
        <v>0.96883719921112066</v>
      </c>
    </row>
    <row r="330" spans="1:20" x14ac:dyDescent="0.25">
      <c r="A330" t="s">
        <v>18</v>
      </c>
      <c r="B330">
        <v>5</v>
      </c>
      <c r="C330">
        <v>3</v>
      </c>
      <c r="D330">
        <v>0</v>
      </c>
      <c r="E330" t="s">
        <v>85</v>
      </c>
      <c r="F330">
        <v>32866</v>
      </c>
      <c r="G330">
        <v>46187575.047619045</v>
      </c>
      <c r="H330">
        <v>0.96370296251206167</v>
      </c>
      <c r="I330">
        <v>0.91375291375291379</v>
      </c>
      <c r="J330">
        <v>8766985.5238095243</v>
      </c>
      <c r="K330">
        <v>53477</v>
      </c>
      <c r="L330">
        <v>2</v>
      </c>
      <c r="M330">
        <v>155</v>
      </c>
      <c r="N330">
        <v>0.91708291708291712</v>
      </c>
      <c r="O330">
        <v>9593733.5238095243</v>
      </c>
      <c r="P330">
        <v>54134</v>
      </c>
      <c r="Q330">
        <v>2</v>
      </c>
      <c r="R330">
        <v>156</v>
      </c>
      <c r="S330">
        <v>11.7297121483168</v>
      </c>
      <c r="T330">
        <v>0.96569766998291018</v>
      </c>
    </row>
    <row r="331" spans="1:20" x14ac:dyDescent="0.25">
      <c r="A331" t="s">
        <v>18</v>
      </c>
      <c r="B331">
        <v>5</v>
      </c>
      <c r="C331">
        <v>3</v>
      </c>
      <c r="D331">
        <v>0</v>
      </c>
      <c r="E331" t="s">
        <v>63</v>
      </c>
      <c r="F331">
        <v>33488</v>
      </c>
      <c r="G331">
        <v>44661559.777777776</v>
      </c>
      <c r="H331">
        <v>0.96114995910061729</v>
      </c>
      <c r="I331">
        <v>0.92443667443667443</v>
      </c>
      <c r="J331">
        <v>8614843.75</v>
      </c>
      <c r="K331">
        <v>54134</v>
      </c>
      <c r="L331">
        <v>2</v>
      </c>
      <c r="M331">
        <v>156</v>
      </c>
      <c r="N331">
        <v>0.92560217560217561</v>
      </c>
      <c r="O331">
        <v>10468384.166666666</v>
      </c>
      <c r="P331">
        <v>54795</v>
      </c>
      <c r="Q331">
        <v>2</v>
      </c>
      <c r="R331">
        <v>157</v>
      </c>
      <c r="S331">
        <v>11.73290218270008</v>
      </c>
      <c r="T331">
        <v>0.96478404487882341</v>
      </c>
    </row>
    <row r="332" spans="1:20" x14ac:dyDescent="0.25">
      <c r="A332" t="s">
        <v>18</v>
      </c>
      <c r="B332">
        <v>5</v>
      </c>
      <c r="C332">
        <v>3</v>
      </c>
      <c r="D332">
        <v>0</v>
      </c>
      <c r="E332" t="s">
        <v>86</v>
      </c>
      <c r="F332">
        <v>33748</v>
      </c>
      <c r="G332">
        <v>47360404.81818182</v>
      </c>
      <c r="H332">
        <v>0.96249204874038696</v>
      </c>
      <c r="I332">
        <v>0.92053401144310232</v>
      </c>
      <c r="J332">
        <v>8964375.8181818184</v>
      </c>
      <c r="K332">
        <v>54795</v>
      </c>
      <c r="L332">
        <v>2</v>
      </c>
      <c r="M332">
        <v>157</v>
      </c>
      <c r="N332">
        <v>0.91926255562619197</v>
      </c>
      <c r="O332">
        <v>9329010.9090909082</v>
      </c>
      <c r="P332">
        <v>55460</v>
      </c>
      <c r="Q332">
        <v>2</v>
      </c>
      <c r="R332">
        <v>158</v>
      </c>
      <c r="S332">
        <v>11.734667527437056</v>
      </c>
      <c r="T332">
        <v>0.96976744532585146</v>
      </c>
    </row>
    <row r="333" spans="1:20" x14ac:dyDescent="0.25">
      <c r="A333" t="s">
        <v>18</v>
      </c>
      <c r="B333">
        <v>5</v>
      </c>
      <c r="C333">
        <v>3</v>
      </c>
      <c r="D333">
        <v>0</v>
      </c>
      <c r="E333" t="s">
        <v>64</v>
      </c>
      <c r="F333">
        <v>34282</v>
      </c>
      <c r="G333">
        <v>39749483.846153848</v>
      </c>
      <c r="H333">
        <v>0.96476600261834955</v>
      </c>
      <c r="I333">
        <v>0.92630446476600325</v>
      </c>
      <c r="J333">
        <v>9682042.9230769239</v>
      </c>
      <c r="K333">
        <v>55460</v>
      </c>
      <c r="L333">
        <v>2</v>
      </c>
      <c r="M333">
        <v>158</v>
      </c>
      <c r="N333">
        <v>0.92899408284023666</v>
      </c>
      <c r="O333">
        <v>10617397.307692308</v>
      </c>
      <c r="P333">
        <v>56129</v>
      </c>
      <c r="Q333">
        <v>2</v>
      </c>
      <c r="R333">
        <v>159</v>
      </c>
      <c r="S333">
        <v>11.730633236901317</v>
      </c>
      <c r="T333">
        <v>0.96465114593505863</v>
      </c>
    </row>
    <row r="334" spans="1:20" x14ac:dyDescent="0.25">
      <c r="A334" t="s">
        <v>18</v>
      </c>
      <c r="B334">
        <v>5</v>
      </c>
      <c r="C334">
        <v>3</v>
      </c>
      <c r="D334">
        <v>0</v>
      </c>
      <c r="E334" t="s">
        <v>87</v>
      </c>
      <c r="F334">
        <v>34630</v>
      </c>
      <c r="G334">
        <v>48490587.81818182</v>
      </c>
      <c r="H334">
        <v>0.95994914119893859</v>
      </c>
      <c r="I334">
        <v>0.91481246026700569</v>
      </c>
      <c r="J334">
        <v>8596672.4545454551</v>
      </c>
      <c r="K334">
        <v>56129</v>
      </c>
      <c r="L334">
        <v>2</v>
      </c>
      <c r="M334">
        <v>159</v>
      </c>
      <c r="N334">
        <v>0.91799109980928162</v>
      </c>
      <c r="O334">
        <v>10068268.090909092</v>
      </c>
      <c r="P334">
        <v>56802</v>
      </c>
      <c r="Q334">
        <v>2</v>
      </c>
      <c r="R334">
        <v>160</v>
      </c>
      <c r="S334">
        <v>11.733675597625542</v>
      </c>
      <c r="T334">
        <v>0.96744186282157896</v>
      </c>
    </row>
    <row r="335" spans="1:20" x14ac:dyDescent="0.25">
      <c r="A335" t="s">
        <v>18</v>
      </c>
      <c r="B335">
        <v>5</v>
      </c>
      <c r="C335">
        <v>3</v>
      </c>
      <c r="D335">
        <v>0</v>
      </c>
      <c r="E335" t="s">
        <v>65</v>
      </c>
      <c r="F335">
        <v>35076</v>
      </c>
      <c r="G335">
        <v>44186909.346153848</v>
      </c>
      <c r="H335">
        <v>0.96584184582416832</v>
      </c>
      <c r="I335">
        <v>0.92442173211403977</v>
      </c>
      <c r="J335">
        <v>9190040.038461538</v>
      </c>
      <c r="K335">
        <v>56802</v>
      </c>
      <c r="L335">
        <v>2</v>
      </c>
      <c r="M335">
        <v>160</v>
      </c>
      <c r="N335">
        <v>0.92738031199569659</v>
      </c>
      <c r="O335">
        <v>9858559.0769230761</v>
      </c>
      <c r="P335">
        <v>57479</v>
      </c>
      <c r="Q335">
        <v>2</v>
      </c>
      <c r="R335">
        <v>161</v>
      </c>
      <c r="S335">
        <v>11.732704904936892</v>
      </c>
      <c r="T335">
        <v>0.96139533758163453</v>
      </c>
    </row>
    <row r="336" spans="1:20" x14ac:dyDescent="0.25">
      <c r="A336" t="s">
        <v>18</v>
      </c>
      <c r="B336">
        <v>5</v>
      </c>
      <c r="C336">
        <v>3</v>
      </c>
      <c r="D336">
        <v>0</v>
      </c>
      <c r="E336" t="s">
        <v>88</v>
      </c>
      <c r="F336">
        <v>35512</v>
      </c>
      <c r="G336">
        <v>45676828.090909094</v>
      </c>
      <c r="H336">
        <v>0.95295612378553907</v>
      </c>
      <c r="I336">
        <v>0.9198982835346472</v>
      </c>
      <c r="J336">
        <v>10176909.181818182</v>
      </c>
      <c r="K336">
        <v>57479</v>
      </c>
      <c r="L336">
        <v>2</v>
      </c>
      <c r="M336">
        <v>161</v>
      </c>
      <c r="N336">
        <v>0.92116973935155755</v>
      </c>
      <c r="O336">
        <v>9350269.7272727266</v>
      </c>
      <c r="P336">
        <v>58160</v>
      </c>
      <c r="Q336">
        <v>2</v>
      </c>
      <c r="R336">
        <v>162</v>
      </c>
      <c r="S336">
        <v>11.733173843700159</v>
      </c>
      <c r="T336">
        <v>0.96395347714424129</v>
      </c>
    </row>
    <row r="337" spans="1:20" x14ac:dyDescent="0.25">
      <c r="A337" t="s">
        <v>18</v>
      </c>
      <c r="B337">
        <v>5</v>
      </c>
      <c r="C337">
        <v>3</v>
      </c>
      <c r="D337">
        <v>0</v>
      </c>
      <c r="E337" t="s">
        <v>89</v>
      </c>
      <c r="F337">
        <v>36394</v>
      </c>
      <c r="G337">
        <v>48693561.384615384</v>
      </c>
      <c r="H337">
        <v>0.96880042323699367</v>
      </c>
      <c r="I337">
        <v>0.92469069392146319</v>
      </c>
      <c r="J337">
        <v>9338750.4230769239</v>
      </c>
      <c r="K337">
        <v>58845</v>
      </c>
      <c r="L337">
        <v>2</v>
      </c>
      <c r="M337">
        <v>163</v>
      </c>
      <c r="N337">
        <v>0.92442173211403977</v>
      </c>
      <c r="O337">
        <v>10218668.923076924</v>
      </c>
      <c r="P337">
        <v>59534</v>
      </c>
      <c r="Q337">
        <v>2</v>
      </c>
      <c r="R337">
        <v>164</v>
      </c>
      <c r="S337">
        <v>11.736340533672173</v>
      </c>
      <c r="T337">
        <v>0.96465115308761595</v>
      </c>
    </row>
    <row r="338" spans="1:20" x14ac:dyDescent="0.25">
      <c r="A338" t="s">
        <v>18</v>
      </c>
      <c r="B338">
        <v>5</v>
      </c>
      <c r="C338">
        <v>3</v>
      </c>
      <c r="D338">
        <v>0</v>
      </c>
      <c r="E338" t="s">
        <v>75</v>
      </c>
      <c r="F338">
        <v>37058</v>
      </c>
      <c r="G338">
        <v>49251077.807692304</v>
      </c>
      <c r="H338">
        <v>0.96691769361495972</v>
      </c>
      <c r="I338">
        <v>0.92173211403980637</v>
      </c>
      <c r="J338">
        <v>9510371.5769230761</v>
      </c>
      <c r="K338">
        <v>60227</v>
      </c>
      <c r="L338">
        <v>2</v>
      </c>
      <c r="M338">
        <v>165</v>
      </c>
      <c r="N338">
        <v>0.9249596557288865</v>
      </c>
      <c r="O338">
        <v>10797644.576923076</v>
      </c>
      <c r="P338">
        <v>60924</v>
      </c>
      <c r="Q338">
        <v>2</v>
      </c>
      <c r="R338">
        <v>166</v>
      </c>
      <c r="S338">
        <v>11.738690287883582</v>
      </c>
      <c r="T338">
        <v>0.96418603897094723</v>
      </c>
    </row>
    <row r="339" spans="1:20" x14ac:dyDescent="0.25">
      <c r="A339" t="s">
        <v>18</v>
      </c>
      <c r="B339">
        <v>5</v>
      </c>
      <c r="C339">
        <v>3</v>
      </c>
      <c r="D339">
        <v>0</v>
      </c>
      <c r="E339" t="s">
        <v>90</v>
      </c>
      <c r="F339">
        <v>37276</v>
      </c>
      <c r="G339">
        <v>47396724.083333336</v>
      </c>
      <c r="H339">
        <v>0.95979019999504089</v>
      </c>
      <c r="I339">
        <v>0.91958041958041958</v>
      </c>
      <c r="J339">
        <v>9708532.833333334</v>
      </c>
      <c r="K339">
        <v>60924</v>
      </c>
      <c r="L339">
        <v>2</v>
      </c>
      <c r="M339">
        <v>166</v>
      </c>
      <c r="N339">
        <v>0.92365967365967361</v>
      </c>
      <c r="O339">
        <v>11288018.5</v>
      </c>
      <c r="P339">
        <v>61625</v>
      </c>
      <c r="Q339">
        <v>2</v>
      </c>
      <c r="R339">
        <v>167</v>
      </c>
      <c r="S339">
        <v>11.738869592674455</v>
      </c>
      <c r="T339">
        <v>0.96934459426186304</v>
      </c>
    </row>
    <row r="340" spans="1:20" x14ac:dyDescent="0.25">
      <c r="A340" t="s">
        <v>18</v>
      </c>
      <c r="B340">
        <v>5</v>
      </c>
      <c r="C340">
        <v>3</v>
      </c>
      <c r="D340">
        <v>0</v>
      </c>
      <c r="E340" t="s">
        <v>91</v>
      </c>
      <c r="F340">
        <v>38158</v>
      </c>
      <c r="G340">
        <v>46565819</v>
      </c>
      <c r="H340">
        <v>0.95541958138346672</v>
      </c>
      <c r="I340">
        <v>0.9226398601398601</v>
      </c>
      <c r="J340">
        <v>11300593.4375</v>
      </c>
      <c r="K340">
        <v>62330</v>
      </c>
      <c r="L340">
        <v>2</v>
      </c>
      <c r="M340">
        <v>168</v>
      </c>
      <c r="N340">
        <v>0.92788461538461542</v>
      </c>
      <c r="O340">
        <v>11239090.4375</v>
      </c>
      <c r="P340">
        <v>63039</v>
      </c>
      <c r="Q340">
        <v>2</v>
      </c>
      <c r="R340">
        <v>169</v>
      </c>
      <c r="S340">
        <v>11.73748031496063</v>
      </c>
      <c r="T340">
        <v>0.9596899151802063</v>
      </c>
    </row>
    <row r="341" spans="1:20" x14ac:dyDescent="0.25">
      <c r="A341" t="s">
        <v>18</v>
      </c>
      <c r="B341">
        <v>5</v>
      </c>
      <c r="C341">
        <v>3</v>
      </c>
      <c r="D341">
        <v>0</v>
      </c>
      <c r="E341" t="s">
        <v>92</v>
      </c>
      <c r="F341">
        <v>39040</v>
      </c>
      <c r="G341">
        <v>47949346.3125</v>
      </c>
      <c r="H341">
        <v>0.98251747339963913</v>
      </c>
      <c r="I341">
        <v>0.93531468531468531</v>
      </c>
      <c r="J341">
        <v>11360059.9375</v>
      </c>
      <c r="K341">
        <v>63752</v>
      </c>
      <c r="L341">
        <v>2</v>
      </c>
      <c r="M341">
        <v>170</v>
      </c>
      <c r="N341">
        <v>0.93094405594405594</v>
      </c>
      <c r="O341">
        <v>11417198.875</v>
      </c>
      <c r="P341">
        <v>64469</v>
      </c>
      <c r="Q341">
        <v>2</v>
      </c>
      <c r="R341">
        <v>171</v>
      </c>
      <c r="S341">
        <v>11.736255105246622</v>
      </c>
      <c r="T341">
        <v>0.95736434062321984</v>
      </c>
    </row>
    <row r="342" spans="1:20" x14ac:dyDescent="0.25">
      <c r="A342" t="s">
        <v>18</v>
      </c>
      <c r="B342">
        <v>5</v>
      </c>
      <c r="C342">
        <v>3</v>
      </c>
      <c r="D342">
        <v>0</v>
      </c>
      <c r="E342" t="s">
        <v>105</v>
      </c>
      <c r="F342">
        <v>7768</v>
      </c>
      <c r="G342">
        <v>45019947.375</v>
      </c>
      <c r="H342">
        <v>0.96722027286887169</v>
      </c>
      <c r="I342">
        <v>0.92832167832167833</v>
      </c>
      <c r="J342">
        <v>9964963.0625</v>
      </c>
      <c r="K342">
        <v>12569</v>
      </c>
      <c r="L342">
        <v>2</v>
      </c>
      <c r="M342">
        <v>71</v>
      </c>
      <c r="N342">
        <v>0.93312937062937062</v>
      </c>
      <c r="O342">
        <v>11165666.875</v>
      </c>
      <c r="P342">
        <v>12890</v>
      </c>
      <c r="Q342">
        <v>2</v>
      </c>
      <c r="R342">
        <v>72</v>
      </c>
      <c r="S342">
        <v>11.734095894703854</v>
      </c>
      <c r="T342">
        <v>0.96046510140101116</v>
      </c>
    </row>
    <row r="343" spans="1:20" x14ac:dyDescent="0.25">
      <c r="A343" t="s">
        <v>18</v>
      </c>
      <c r="B343">
        <v>5</v>
      </c>
      <c r="C343">
        <v>3</v>
      </c>
      <c r="D343">
        <v>0</v>
      </c>
      <c r="E343" t="s">
        <v>19</v>
      </c>
      <c r="F343">
        <v>8474</v>
      </c>
      <c r="G343">
        <v>12819114.272727273</v>
      </c>
      <c r="H343">
        <v>0.95994914119893859</v>
      </c>
      <c r="I343">
        <v>0.9173553719008265</v>
      </c>
      <c r="J343">
        <v>2643071.0909090908</v>
      </c>
      <c r="K343">
        <v>13544</v>
      </c>
      <c r="L343">
        <v>2</v>
      </c>
      <c r="M343">
        <v>74</v>
      </c>
      <c r="N343">
        <v>0.9224411951684679</v>
      </c>
      <c r="O343">
        <v>2346136.5454545454</v>
      </c>
      <c r="P343">
        <v>13877</v>
      </c>
      <c r="Q343">
        <v>2</v>
      </c>
      <c r="R343">
        <v>75</v>
      </c>
      <c r="S343">
        <v>11.732989206945096</v>
      </c>
      <c r="T343">
        <v>0.96627905964851379</v>
      </c>
    </row>
    <row r="344" spans="1:20" x14ac:dyDescent="0.25">
      <c r="A344" t="s">
        <v>18</v>
      </c>
      <c r="B344">
        <v>5</v>
      </c>
      <c r="C344">
        <v>3</v>
      </c>
      <c r="D344">
        <v>0</v>
      </c>
      <c r="E344" t="s">
        <v>20</v>
      </c>
      <c r="F344">
        <v>9180</v>
      </c>
      <c r="G344">
        <v>13352122.818181818</v>
      </c>
      <c r="H344">
        <v>0.9529561346227472</v>
      </c>
      <c r="I344">
        <v>0.91926255562619197</v>
      </c>
      <c r="J344">
        <v>2663146.1818181816</v>
      </c>
      <c r="K344">
        <v>14900</v>
      </c>
      <c r="L344">
        <v>2</v>
      </c>
      <c r="M344">
        <v>78</v>
      </c>
      <c r="N344">
        <v>0.9173553719008265</v>
      </c>
      <c r="O344">
        <v>2161542.9090909092</v>
      </c>
      <c r="P344">
        <v>15249</v>
      </c>
      <c r="Q344">
        <v>2</v>
      </c>
      <c r="R344">
        <v>79</v>
      </c>
      <c r="S344">
        <v>11.732042473454092</v>
      </c>
      <c r="T344">
        <v>0.97093021869659424</v>
      </c>
    </row>
    <row r="345" spans="1:20" x14ac:dyDescent="0.25">
      <c r="A345" t="s">
        <v>18</v>
      </c>
      <c r="B345">
        <v>5</v>
      </c>
      <c r="C345">
        <v>3</v>
      </c>
      <c r="D345">
        <v>0</v>
      </c>
      <c r="E345" t="s">
        <v>21</v>
      </c>
      <c r="F345">
        <v>9886</v>
      </c>
      <c r="G345">
        <v>14249084.818181818</v>
      </c>
      <c r="H345">
        <v>0.94469167427583178</v>
      </c>
      <c r="I345">
        <v>0.91608391608391615</v>
      </c>
      <c r="J345">
        <v>2589787</v>
      </c>
      <c r="K345">
        <v>15959</v>
      </c>
      <c r="L345">
        <v>2</v>
      </c>
      <c r="M345">
        <v>81</v>
      </c>
      <c r="N345">
        <v>0.92180546726001267</v>
      </c>
      <c r="O345">
        <v>2225724.4545454546</v>
      </c>
      <c r="P345">
        <v>16320</v>
      </c>
      <c r="Q345">
        <v>2</v>
      </c>
      <c r="R345">
        <v>82</v>
      </c>
      <c r="S345">
        <v>11.73141075604053</v>
      </c>
      <c r="T345">
        <v>0.9686046421527863</v>
      </c>
    </row>
    <row r="346" spans="1:20" x14ac:dyDescent="0.25">
      <c r="A346" t="s">
        <v>18</v>
      </c>
      <c r="B346">
        <v>5</v>
      </c>
      <c r="C346">
        <v>3</v>
      </c>
      <c r="D346">
        <v>0</v>
      </c>
      <c r="E346" t="s">
        <v>22</v>
      </c>
      <c r="F346">
        <v>10592</v>
      </c>
      <c r="G346">
        <v>11196784.818181818</v>
      </c>
      <c r="H346">
        <v>0.95931341431357642</v>
      </c>
      <c r="I346">
        <v>0.92307692307692313</v>
      </c>
      <c r="J346">
        <v>2240696.5454545454</v>
      </c>
      <c r="K346">
        <v>17054</v>
      </c>
      <c r="L346">
        <v>2</v>
      </c>
      <c r="M346">
        <v>84</v>
      </c>
      <c r="N346">
        <v>0.93134138588684046</v>
      </c>
      <c r="O346">
        <v>2596939.2727272729</v>
      </c>
      <c r="P346">
        <v>17427</v>
      </c>
      <c r="Q346">
        <v>2</v>
      </c>
      <c r="R346">
        <v>85</v>
      </c>
      <c r="S346">
        <v>11.725801431683784</v>
      </c>
      <c r="T346">
        <v>0.9662790715694427</v>
      </c>
    </row>
    <row r="347" spans="1:20" x14ac:dyDescent="0.25">
      <c r="A347" t="s">
        <v>18</v>
      </c>
      <c r="B347">
        <v>5</v>
      </c>
      <c r="C347">
        <v>3</v>
      </c>
      <c r="D347">
        <v>0</v>
      </c>
      <c r="E347" t="s">
        <v>39</v>
      </c>
      <c r="F347">
        <v>11298</v>
      </c>
      <c r="G347">
        <v>11819815.181818182</v>
      </c>
      <c r="H347">
        <v>0.95486332069743762</v>
      </c>
      <c r="I347">
        <v>0.92307692307692313</v>
      </c>
      <c r="J347">
        <v>3487164.5454545454</v>
      </c>
      <c r="K347">
        <v>18185</v>
      </c>
      <c r="L347">
        <v>2</v>
      </c>
      <c r="M347">
        <v>87</v>
      </c>
      <c r="N347">
        <v>0.9224411951684679</v>
      </c>
      <c r="O347">
        <v>8177588.1818181816</v>
      </c>
      <c r="P347">
        <v>18570</v>
      </c>
      <c r="Q347">
        <v>2</v>
      </c>
      <c r="R347">
        <v>88</v>
      </c>
      <c r="S347">
        <v>11.721920149137796</v>
      </c>
      <c r="T347">
        <v>0.96279069781303406</v>
      </c>
    </row>
    <row r="348" spans="1:20" x14ac:dyDescent="0.25">
      <c r="A348" t="s">
        <v>18</v>
      </c>
      <c r="B348">
        <v>5</v>
      </c>
      <c r="C348">
        <v>3</v>
      </c>
      <c r="D348">
        <v>0</v>
      </c>
      <c r="E348" t="s">
        <v>55</v>
      </c>
      <c r="F348">
        <v>12004</v>
      </c>
      <c r="G348">
        <v>14666954.272727273</v>
      </c>
      <c r="H348">
        <v>0.95168467543341895</v>
      </c>
      <c r="I348">
        <v>0.9198982835346472</v>
      </c>
      <c r="J348">
        <v>8200309.5454545459</v>
      </c>
      <c r="K348">
        <v>19352</v>
      </c>
      <c r="L348">
        <v>2</v>
      </c>
      <c r="M348">
        <v>90</v>
      </c>
      <c r="N348">
        <v>0.91544818817546092</v>
      </c>
      <c r="O348">
        <v>8322038.7272727275</v>
      </c>
      <c r="P348">
        <v>19749</v>
      </c>
      <c r="Q348">
        <v>2</v>
      </c>
      <c r="R348">
        <v>91</v>
      </c>
      <c r="S348">
        <v>11.719137717121589</v>
      </c>
      <c r="T348">
        <v>0.9686046421527863</v>
      </c>
    </row>
    <row r="349" spans="1:20" x14ac:dyDescent="0.25">
      <c r="A349" t="s">
        <v>18</v>
      </c>
      <c r="B349">
        <v>5</v>
      </c>
      <c r="C349">
        <v>3</v>
      </c>
      <c r="D349">
        <v>0</v>
      </c>
      <c r="E349" t="s">
        <v>66</v>
      </c>
      <c r="F349">
        <v>12710</v>
      </c>
      <c r="G349">
        <v>15923005.363636363</v>
      </c>
      <c r="H349">
        <v>0.9459631226279519</v>
      </c>
      <c r="I349">
        <v>0.92371265098537825</v>
      </c>
      <c r="J349">
        <v>8441395.8181818184</v>
      </c>
      <c r="K349">
        <v>20555</v>
      </c>
      <c r="L349">
        <v>2</v>
      </c>
      <c r="M349">
        <v>93</v>
      </c>
      <c r="N349">
        <v>0.91799109980928162</v>
      </c>
      <c r="O349">
        <v>9074162.5454545449</v>
      </c>
      <c r="P349">
        <v>20964</v>
      </c>
      <c r="Q349">
        <v>2</v>
      </c>
      <c r="R349">
        <v>94</v>
      </c>
      <c r="S349">
        <v>11.7177581668989</v>
      </c>
      <c r="T349">
        <v>0.9686046421527863</v>
      </c>
    </row>
    <row r="350" spans="1:20" x14ac:dyDescent="0.25">
      <c r="A350" t="s">
        <v>18</v>
      </c>
      <c r="B350">
        <v>5</v>
      </c>
      <c r="C350">
        <v>3</v>
      </c>
      <c r="D350">
        <v>0</v>
      </c>
      <c r="E350" t="s">
        <v>76</v>
      </c>
      <c r="F350">
        <v>13416</v>
      </c>
      <c r="G350">
        <v>15050421.363636363</v>
      </c>
      <c r="H350">
        <v>0.95295612378553907</v>
      </c>
      <c r="I350">
        <v>0.92371265098537825</v>
      </c>
      <c r="J350">
        <v>7781049.9090909092</v>
      </c>
      <c r="K350">
        <v>21794</v>
      </c>
      <c r="L350">
        <v>2</v>
      </c>
      <c r="M350">
        <v>96</v>
      </c>
      <c r="N350">
        <v>0.9173553719008265</v>
      </c>
      <c r="O350">
        <v>7087448.3636363633</v>
      </c>
      <c r="P350">
        <v>22215</v>
      </c>
      <c r="Q350">
        <v>2</v>
      </c>
      <c r="R350">
        <v>97</v>
      </c>
      <c r="S350">
        <v>11.714528593508501</v>
      </c>
      <c r="T350">
        <v>0.96279070973396297</v>
      </c>
    </row>
    <row r="351" spans="1:20" x14ac:dyDescent="0.25">
      <c r="A351" t="s">
        <v>18</v>
      </c>
      <c r="B351">
        <v>5</v>
      </c>
      <c r="C351">
        <v>3</v>
      </c>
      <c r="D351">
        <v>0</v>
      </c>
      <c r="E351" t="s">
        <v>93</v>
      </c>
      <c r="F351">
        <v>14122</v>
      </c>
      <c r="G351">
        <v>14683573.363636363</v>
      </c>
      <c r="H351">
        <v>0.9567704905163158</v>
      </c>
      <c r="I351">
        <v>0.92371265098537825</v>
      </c>
      <c r="J351">
        <v>6802803.6363636367</v>
      </c>
      <c r="K351">
        <v>23069</v>
      </c>
      <c r="L351">
        <v>2</v>
      </c>
      <c r="M351">
        <v>99</v>
      </c>
      <c r="N351">
        <v>0.91608391608391615</v>
      </c>
      <c r="O351">
        <v>8151379.8181818184</v>
      </c>
      <c r="P351">
        <v>23502</v>
      </c>
      <c r="Q351">
        <v>2</v>
      </c>
      <c r="R351">
        <v>100</v>
      </c>
      <c r="S351">
        <v>11.710229902792779</v>
      </c>
      <c r="T351">
        <v>0.96860464811325075</v>
      </c>
    </row>
    <row r="352" spans="1:20" x14ac:dyDescent="0.25">
      <c r="A352" t="s">
        <v>18</v>
      </c>
      <c r="B352">
        <v>5</v>
      </c>
      <c r="C352">
        <v>4</v>
      </c>
      <c r="D352">
        <v>0</v>
      </c>
      <c r="E352" t="s">
        <v>66</v>
      </c>
      <c r="F352">
        <v>13862</v>
      </c>
      <c r="G352">
        <v>14473615.181818182</v>
      </c>
      <c r="H352">
        <v>0.95232041315598925</v>
      </c>
      <c r="I352">
        <v>0.91926255562619197</v>
      </c>
      <c r="J352">
        <v>7906375.7272727275</v>
      </c>
      <c r="K352">
        <v>23939</v>
      </c>
      <c r="L352">
        <v>2</v>
      </c>
      <c r="M352">
        <v>101</v>
      </c>
      <c r="N352">
        <v>0.92561983471074383</v>
      </c>
      <c r="O352">
        <v>8260502.3636363633</v>
      </c>
      <c r="P352">
        <v>24380</v>
      </c>
      <c r="Q352">
        <v>2</v>
      </c>
      <c r="R352">
        <v>102</v>
      </c>
      <c r="S352">
        <v>11.705021565003081</v>
      </c>
      <c r="T352">
        <v>0.97209301590919495</v>
      </c>
    </row>
    <row r="353" spans="1:20" x14ac:dyDescent="0.25">
      <c r="A353" t="s">
        <v>18</v>
      </c>
      <c r="B353">
        <v>5</v>
      </c>
      <c r="C353">
        <v>4</v>
      </c>
      <c r="D353">
        <v>0</v>
      </c>
      <c r="E353" t="s">
        <v>76</v>
      </c>
      <c r="F353">
        <v>14632</v>
      </c>
      <c r="G353">
        <v>16652506</v>
      </c>
      <c r="H353">
        <v>0.96241258457303047</v>
      </c>
      <c r="I353">
        <v>0.92482517482517479</v>
      </c>
      <c r="J353">
        <v>8392203.3125</v>
      </c>
      <c r="K353">
        <v>25274</v>
      </c>
      <c r="L353">
        <v>2</v>
      </c>
      <c r="M353">
        <v>104</v>
      </c>
      <c r="N353">
        <v>0.92569930069930073</v>
      </c>
      <c r="O353">
        <v>8833398.0625</v>
      </c>
      <c r="P353">
        <v>25727</v>
      </c>
      <c r="Q353">
        <v>2</v>
      </c>
      <c r="R353">
        <v>105</v>
      </c>
      <c r="S353">
        <v>11.697141979102643</v>
      </c>
      <c r="T353">
        <v>0.96589146057764685</v>
      </c>
    </row>
    <row r="354" spans="1:20" x14ac:dyDescent="0.25">
      <c r="A354" t="s">
        <v>18</v>
      </c>
      <c r="B354">
        <v>5</v>
      </c>
      <c r="C354">
        <v>4</v>
      </c>
      <c r="D354">
        <v>0</v>
      </c>
      <c r="E354" t="s">
        <v>93</v>
      </c>
      <c r="F354">
        <v>15402</v>
      </c>
      <c r="G354">
        <v>15673308.375</v>
      </c>
      <c r="H354">
        <v>0.96153846383094788</v>
      </c>
      <c r="I354">
        <v>0.92832167832167833</v>
      </c>
      <c r="J354">
        <v>8237794.4375</v>
      </c>
      <c r="K354">
        <v>26645</v>
      </c>
      <c r="L354">
        <v>2</v>
      </c>
      <c r="M354">
        <v>107</v>
      </c>
      <c r="N354">
        <v>0.94099650349650354</v>
      </c>
      <c r="O354">
        <v>9054276.9375</v>
      </c>
      <c r="P354">
        <v>27110</v>
      </c>
      <c r="Q354">
        <v>2</v>
      </c>
      <c r="R354">
        <v>108</v>
      </c>
      <c r="S354">
        <v>11.68853464132434</v>
      </c>
      <c r="T354">
        <v>0.96744184494018559</v>
      </c>
    </row>
    <row r="355" spans="1:20" x14ac:dyDescent="0.25">
      <c r="A355" t="s">
        <v>18</v>
      </c>
      <c r="B355">
        <v>5</v>
      </c>
      <c r="C355">
        <v>4</v>
      </c>
      <c r="D355">
        <v>0</v>
      </c>
      <c r="E355" t="s">
        <v>94</v>
      </c>
      <c r="F355">
        <v>16172</v>
      </c>
      <c r="G355">
        <v>17992574.3125</v>
      </c>
      <c r="H355">
        <v>0.96284964680671692</v>
      </c>
      <c r="I355">
        <v>0.9200174825174825</v>
      </c>
      <c r="J355">
        <v>9592363.4375</v>
      </c>
      <c r="K355">
        <v>28052</v>
      </c>
      <c r="L355">
        <v>2</v>
      </c>
      <c r="M355">
        <v>110</v>
      </c>
      <c r="N355">
        <v>0.92132867132867136</v>
      </c>
      <c r="O355">
        <v>8733543.625</v>
      </c>
      <c r="P355">
        <v>28529</v>
      </c>
      <c r="Q355">
        <v>2</v>
      </c>
      <c r="R355">
        <v>111</v>
      </c>
      <c r="S355">
        <v>11.681804281345565</v>
      </c>
      <c r="T355">
        <v>0.96821703910827639</v>
      </c>
    </row>
    <row r="356" spans="1:20" x14ac:dyDescent="0.25">
      <c r="A356" t="s">
        <v>18</v>
      </c>
      <c r="B356">
        <v>5</v>
      </c>
      <c r="C356">
        <v>4</v>
      </c>
      <c r="D356">
        <v>0</v>
      </c>
      <c r="E356" t="s">
        <v>95</v>
      </c>
      <c r="F356">
        <v>16942</v>
      </c>
      <c r="G356">
        <v>19620346.375</v>
      </c>
      <c r="H356">
        <v>0.96722027659416199</v>
      </c>
      <c r="I356">
        <v>0.93181818181818188</v>
      </c>
      <c r="J356">
        <v>9514472.5</v>
      </c>
      <c r="K356">
        <v>29495</v>
      </c>
      <c r="L356">
        <v>2</v>
      </c>
      <c r="M356">
        <v>113</v>
      </c>
      <c r="N356">
        <v>0.92482517482517479</v>
      </c>
      <c r="O356">
        <v>9187501.0625</v>
      </c>
      <c r="P356">
        <v>29984</v>
      </c>
      <c r="Q356">
        <v>2</v>
      </c>
      <c r="R356">
        <v>114</v>
      </c>
      <c r="S356">
        <v>11.677242220866383</v>
      </c>
      <c r="T356">
        <v>0.96821703910827639</v>
      </c>
    </row>
    <row r="357" spans="1:20" x14ac:dyDescent="0.25">
      <c r="A357" t="s">
        <v>18</v>
      </c>
      <c r="B357">
        <v>5</v>
      </c>
      <c r="C357">
        <v>4</v>
      </c>
      <c r="D357">
        <v>0</v>
      </c>
      <c r="E357" t="s">
        <v>96</v>
      </c>
      <c r="F357">
        <v>17712</v>
      </c>
      <c r="G357">
        <v>19856197.125</v>
      </c>
      <c r="H357">
        <v>0.9589160829782486</v>
      </c>
      <c r="I357">
        <v>0.92220279720279719</v>
      </c>
      <c r="J357">
        <v>8702260.375</v>
      </c>
      <c r="K357">
        <v>30477</v>
      </c>
      <c r="L357">
        <v>2</v>
      </c>
      <c r="M357">
        <v>115</v>
      </c>
      <c r="N357">
        <v>0.92569930069930073</v>
      </c>
      <c r="O357">
        <v>10053063.375</v>
      </c>
      <c r="P357">
        <v>30974</v>
      </c>
      <c r="Q357">
        <v>2</v>
      </c>
      <c r="R357">
        <v>116</v>
      </c>
      <c r="S357">
        <v>11.671028606208155</v>
      </c>
      <c r="T357">
        <v>0.96356587807337446</v>
      </c>
    </row>
    <row r="358" spans="1:20" x14ac:dyDescent="0.25">
      <c r="A358" t="s">
        <v>18</v>
      </c>
      <c r="B358">
        <v>5</v>
      </c>
      <c r="C358">
        <v>4</v>
      </c>
      <c r="D358">
        <v>0</v>
      </c>
      <c r="E358" t="s">
        <v>97</v>
      </c>
      <c r="F358">
        <v>18482</v>
      </c>
      <c r="G358">
        <v>24501186.9375</v>
      </c>
      <c r="H358">
        <v>0.9654720351099968</v>
      </c>
      <c r="I358">
        <v>0.92482517482517479</v>
      </c>
      <c r="J358">
        <v>9310589.5625</v>
      </c>
      <c r="K358">
        <v>31980</v>
      </c>
      <c r="L358">
        <v>2</v>
      </c>
      <c r="M358">
        <v>118</v>
      </c>
      <c r="N358">
        <v>0.92526223776223782</v>
      </c>
      <c r="O358">
        <v>8483455.8125</v>
      </c>
      <c r="P358">
        <v>32489</v>
      </c>
      <c r="Q358">
        <v>2</v>
      </c>
      <c r="R358">
        <v>119</v>
      </c>
      <c r="S358">
        <v>11.669247115968428</v>
      </c>
      <c r="T358">
        <v>0.96899223327636719</v>
      </c>
    </row>
    <row r="359" spans="1:20" x14ac:dyDescent="0.25">
      <c r="A359" t="s">
        <v>18</v>
      </c>
      <c r="B359">
        <v>5</v>
      </c>
      <c r="C359">
        <v>4</v>
      </c>
      <c r="D359">
        <v>0</v>
      </c>
      <c r="E359" t="s">
        <v>98</v>
      </c>
      <c r="F359">
        <v>19252</v>
      </c>
      <c r="G359">
        <v>20803806.5</v>
      </c>
      <c r="H359">
        <v>0.9654720202088356</v>
      </c>
      <c r="I359">
        <v>0.93094405594405594</v>
      </c>
      <c r="J359">
        <v>9762765.1875</v>
      </c>
      <c r="K359">
        <v>33519</v>
      </c>
      <c r="L359">
        <v>2</v>
      </c>
      <c r="M359">
        <v>121</v>
      </c>
      <c r="N359">
        <v>0.92788461538461542</v>
      </c>
      <c r="O359">
        <v>9049063.25</v>
      </c>
      <c r="P359">
        <v>34040</v>
      </c>
      <c r="Q359">
        <v>2</v>
      </c>
      <c r="R359">
        <v>122</v>
      </c>
      <c r="S359">
        <v>11.662628709872804</v>
      </c>
      <c r="T359">
        <v>0.96589145660400388</v>
      </c>
    </row>
    <row r="360" spans="1:20" x14ac:dyDescent="0.25">
      <c r="A360" t="s">
        <v>18</v>
      </c>
      <c r="B360">
        <v>5</v>
      </c>
      <c r="C360">
        <v>4</v>
      </c>
      <c r="D360">
        <v>0</v>
      </c>
      <c r="E360" t="s">
        <v>99</v>
      </c>
      <c r="F360">
        <v>20022</v>
      </c>
      <c r="G360">
        <v>20929868.9375</v>
      </c>
      <c r="H360">
        <v>0.94973776489496231</v>
      </c>
      <c r="I360">
        <v>0.93138111888111885</v>
      </c>
      <c r="J360">
        <v>8269405.3125</v>
      </c>
      <c r="K360">
        <v>34565</v>
      </c>
      <c r="L360">
        <v>2</v>
      </c>
      <c r="M360">
        <v>123</v>
      </c>
      <c r="N360">
        <v>0.92482517482517479</v>
      </c>
      <c r="O360">
        <v>7274534.25</v>
      </c>
      <c r="P360">
        <v>35094</v>
      </c>
      <c r="Q360">
        <v>2</v>
      </c>
      <c r="R360">
        <v>124</v>
      </c>
      <c r="S360">
        <v>11.655438066465257</v>
      </c>
      <c r="T360">
        <v>0.95736433267593379</v>
      </c>
    </row>
    <row r="361" spans="1:20" x14ac:dyDescent="0.25">
      <c r="A361" t="s">
        <v>18</v>
      </c>
      <c r="B361">
        <v>5</v>
      </c>
      <c r="C361">
        <v>4</v>
      </c>
      <c r="D361">
        <v>0</v>
      </c>
      <c r="E361" t="s">
        <v>100</v>
      </c>
      <c r="F361">
        <v>20792</v>
      </c>
      <c r="G361">
        <v>23183316.3125</v>
      </c>
      <c r="H361">
        <v>0.94580419361591339</v>
      </c>
      <c r="I361">
        <v>0.92744755244755239</v>
      </c>
      <c r="J361">
        <v>8007832.25</v>
      </c>
      <c r="K361">
        <v>36164</v>
      </c>
      <c r="L361">
        <v>2</v>
      </c>
      <c r="M361">
        <v>126</v>
      </c>
      <c r="N361">
        <v>0.9200174825174825</v>
      </c>
      <c r="O361">
        <v>6843274.75</v>
      </c>
      <c r="P361">
        <v>36705</v>
      </c>
      <c r="Q361">
        <v>2</v>
      </c>
      <c r="R361">
        <v>127</v>
      </c>
      <c r="S361">
        <v>11.649789029535865</v>
      </c>
      <c r="T361">
        <v>0.96046509742736819</v>
      </c>
    </row>
    <row r="362" spans="1:20" x14ac:dyDescent="0.25">
      <c r="A362" t="s">
        <v>18</v>
      </c>
      <c r="B362">
        <v>5</v>
      </c>
      <c r="C362">
        <v>4</v>
      </c>
      <c r="D362">
        <v>0</v>
      </c>
      <c r="E362" t="s">
        <v>101</v>
      </c>
      <c r="F362">
        <v>21562</v>
      </c>
      <c r="G362">
        <v>23219261.375</v>
      </c>
      <c r="H362">
        <v>0.96110140159726143</v>
      </c>
      <c r="I362">
        <v>0.93181818181818177</v>
      </c>
      <c r="J362">
        <v>9280220.375</v>
      </c>
      <c r="K362">
        <v>37250</v>
      </c>
      <c r="L362">
        <v>2</v>
      </c>
      <c r="M362">
        <v>128</v>
      </c>
      <c r="N362">
        <v>0.92438811188811187</v>
      </c>
      <c r="O362">
        <v>9467538.375</v>
      </c>
      <c r="P362">
        <v>37799</v>
      </c>
      <c r="Q362">
        <v>2</v>
      </c>
      <c r="R362">
        <v>129</v>
      </c>
      <c r="S362">
        <v>11.644167167769092</v>
      </c>
      <c r="T362">
        <v>0.96744184494018559</v>
      </c>
    </row>
    <row r="363" spans="1:20" x14ac:dyDescent="0.25">
      <c r="A363" t="s">
        <v>18</v>
      </c>
      <c r="B363">
        <v>5</v>
      </c>
      <c r="C363">
        <v>4</v>
      </c>
      <c r="D363">
        <v>0</v>
      </c>
      <c r="E363" t="s">
        <v>102</v>
      </c>
      <c r="F363">
        <v>22332</v>
      </c>
      <c r="G363">
        <v>24576184</v>
      </c>
      <c r="H363">
        <v>0.96809440478682518</v>
      </c>
      <c r="I363">
        <v>0.93400349650349646</v>
      </c>
      <c r="J363">
        <v>8835256.9375</v>
      </c>
      <c r="K363">
        <v>38909</v>
      </c>
      <c r="L363">
        <v>2</v>
      </c>
      <c r="M363">
        <v>131</v>
      </c>
      <c r="N363">
        <v>0.92875874125874125</v>
      </c>
      <c r="O363">
        <v>9591874.25</v>
      </c>
      <c r="P363">
        <v>39470</v>
      </c>
      <c r="Q363">
        <v>2</v>
      </c>
      <c r="R363">
        <v>132</v>
      </c>
      <c r="S363">
        <v>11.639022195560887</v>
      </c>
      <c r="T363">
        <v>0.96356587409973149</v>
      </c>
    </row>
    <row r="364" spans="1:20" x14ac:dyDescent="0.25">
      <c r="A364" t="s">
        <v>18</v>
      </c>
      <c r="B364">
        <v>5</v>
      </c>
      <c r="C364">
        <v>4</v>
      </c>
      <c r="D364">
        <v>0</v>
      </c>
      <c r="E364" t="s">
        <v>103</v>
      </c>
      <c r="F364">
        <v>23102</v>
      </c>
      <c r="G364">
        <v>28490780.35483871</v>
      </c>
      <c r="H364">
        <v>0.9465373389182552</v>
      </c>
      <c r="I364">
        <v>0.92646063613805552</v>
      </c>
      <c r="J364">
        <v>9063627.3870967738</v>
      </c>
      <c r="K364">
        <v>40035</v>
      </c>
      <c r="L364">
        <v>2</v>
      </c>
      <c r="M364">
        <v>133</v>
      </c>
      <c r="N364">
        <v>0.9291676065869614</v>
      </c>
      <c r="O364">
        <v>8158166.7419354841</v>
      </c>
      <c r="P364">
        <v>40604</v>
      </c>
      <c r="Q364">
        <v>2</v>
      </c>
      <c r="R364">
        <v>134</v>
      </c>
      <c r="S364">
        <v>11.632333184057321</v>
      </c>
      <c r="T364">
        <v>0.95542634328206377</v>
      </c>
    </row>
    <row r="365" spans="1:20" x14ac:dyDescent="0.25">
      <c r="A365" t="s">
        <v>18</v>
      </c>
      <c r="B365">
        <v>5</v>
      </c>
      <c r="C365">
        <v>4</v>
      </c>
      <c r="D365">
        <v>0</v>
      </c>
      <c r="E365" t="s">
        <v>104</v>
      </c>
      <c r="F365">
        <v>23872</v>
      </c>
      <c r="G365">
        <v>29558166.451612905</v>
      </c>
      <c r="H365">
        <v>0.95601172601023032</v>
      </c>
      <c r="I365">
        <v>0.92668621700879761</v>
      </c>
      <c r="J365">
        <v>8848473.6774193551</v>
      </c>
      <c r="K365">
        <v>41177</v>
      </c>
      <c r="L365">
        <v>2</v>
      </c>
      <c r="M365">
        <v>135</v>
      </c>
      <c r="N365">
        <v>0.92488157004286042</v>
      </c>
      <c r="O365">
        <v>8778636.1612903234</v>
      </c>
      <c r="P365">
        <v>41754</v>
      </c>
      <c r="Q365">
        <v>2</v>
      </c>
      <c r="R365">
        <v>136</v>
      </c>
      <c r="S365">
        <v>11.626002971768202</v>
      </c>
      <c r="T365">
        <v>0.95968991120656333</v>
      </c>
    </row>
    <row r="366" spans="1:20" x14ac:dyDescent="0.25">
      <c r="A366" t="s">
        <v>18</v>
      </c>
      <c r="B366">
        <v>5</v>
      </c>
      <c r="C366">
        <v>4</v>
      </c>
      <c r="D366">
        <v>0</v>
      </c>
      <c r="E366" t="s">
        <v>25</v>
      </c>
      <c r="F366">
        <v>23922</v>
      </c>
      <c r="G366">
        <v>31597157.387096774</v>
      </c>
      <c r="H366">
        <v>0.96120009499211467</v>
      </c>
      <c r="I366">
        <v>0.93142341529438299</v>
      </c>
      <c r="J366">
        <v>9301526.0967741944</v>
      </c>
      <c r="K366">
        <v>41754</v>
      </c>
      <c r="L366">
        <v>2</v>
      </c>
      <c r="M366">
        <v>136</v>
      </c>
      <c r="N366">
        <v>0.93683735619219488</v>
      </c>
      <c r="O366">
        <v>9306718.1290322579</v>
      </c>
      <c r="P366">
        <v>42335</v>
      </c>
      <c r="Q366">
        <v>2</v>
      </c>
      <c r="R366">
        <v>137</v>
      </c>
      <c r="S366">
        <v>11.622836858452892</v>
      </c>
      <c r="T366">
        <v>0.95348835984865821</v>
      </c>
    </row>
    <row r="367" spans="1:20" x14ac:dyDescent="0.25">
      <c r="A367" t="s">
        <v>18</v>
      </c>
      <c r="B367">
        <v>5</v>
      </c>
      <c r="C367">
        <v>4</v>
      </c>
      <c r="D367">
        <v>0</v>
      </c>
      <c r="E367" t="s">
        <v>26</v>
      </c>
      <c r="F367">
        <v>24692</v>
      </c>
      <c r="G367">
        <v>36746668.5</v>
      </c>
      <c r="H367">
        <v>0.94798950850963593</v>
      </c>
      <c r="I367">
        <v>0.93050699300699302</v>
      </c>
      <c r="J367">
        <v>8481391.625</v>
      </c>
      <c r="K367">
        <v>42920</v>
      </c>
      <c r="L367">
        <v>2</v>
      </c>
      <c r="M367">
        <v>138</v>
      </c>
      <c r="N367">
        <v>0.92220279720279719</v>
      </c>
      <c r="O367">
        <v>9615704.125</v>
      </c>
      <c r="P367">
        <v>43509</v>
      </c>
      <c r="Q367">
        <v>2</v>
      </c>
      <c r="R367">
        <v>139</v>
      </c>
      <c r="S367">
        <v>11.623432197137376</v>
      </c>
      <c r="T367">
        <v>0.95658913056055705</v>
      </c>
    </row>
    <row r="368" spans="1:20" x14ac:dyDescent="0.25">
      <c r="A368" t="s">
        <v>18</v>
      </c>
      <c r="B368">
        <v>5</v>
      </c>
      <c r="C368">
        <v>4</v>
      </c>
      <c r="D368">
        <v>0</v>
      </c>
      <c r="E368" t="s">
        <v>27</v>
      </c>
      <c r="F368">
        <v>25462</v>
      </c>
      <c r="G368">
        <v>32241937.64516129</v>
      </c>
      <c r="H368">
        <v>0.90096999176086923</v>
      </c>
      <c r="I368">
        <v>0.93728851793367918</v>
      </c>
      <c r="J368">
        <v>9348986.5483870972</v>
      </c>
      <c r="K368">
        <v>44102</v>
      </c>
      <c r="L368">
        <v>2</v>
      </c>
      <c r="M368">
        <v>140</v>
      </c>
      <c r="N368">
        <v>0.93796526054590568</v>
      </c>
      <c r="O368">
        <v>9485323.064516129</v>
      </c>
      <c r="P368">
        <v>44699</v>
      </c>
      <c r="Q368">
        <v>2</v>
      </c>
      <c r="R368">
        <v>141</v>
      </c>
      <c r="S368">
        <v>11.615746180963573</v>
      </c>
      <c r="T368">
        <v>0.93449612657229109</v>
      </c>
    </row>
    <row r="369" spans="1:20" x14ac:dyDescent="0.25">
      <c r="A369" t="s">
        <v>18</v>
      </c>
      <c r="B369">
        <v>5</v>
      </c>
      <c r="C369">
        <v>4</v>
      </c>
      <c r="D369">
        <v>0</v>
      </c>
      <c r="E369" t="s">
        <v>28</v>
      </c>
      <c r="F369">
        <v>26232</v>
      </c>
      <c r="G369">
        <v>34959127.282608695</v>
      </c>
      <c r="H369">
        <v>0.95530556207117823</v>
      </c>
      <c r="I369">
        <v>0.9428397689267255</v>
      </c>
      <c r="J369">
        <v>9007880.4347826093</v>
      </c>
      <c r="K369">
        <v>45300</v>
      </c>
      <c r="L369">
        <v>2</v>
      </c>
      <c r="M369">
        <v>142</v>
      </c>
      <c r="N369">
        <v>0.93584676193371852</v>
      </c>
      <c r="O369">
        <v>10078928.456521738</v>
      </c>
      <c r="P369">
        <v>45905</v>
      </c>
      <c r="Q369">
        <v>2</v>
      </c>
      <c r="R369">
        <v>143</v>
      </c>
      <c r="S369">
        <v>11.613948059527283</v>
      </c>
      <c r="T369">
        <v>0.95012918975618155</v>
      </c>
    </row>
    <row r="370" spans="1:20" x14ac:dyDescent="0.25">
      <c r="A370" t="s">
        <v>18</v>
      </c>
      <c r="B370">
        <v>5</v>
      </c>
      <c r="C370">
        <v>4</v>
      </c>
      <c r="D370">
        <v>0</v>
      </c>
      <c r="E370" t="s">
        <v>42</v>
      </c>
      <c r="F370">
        <v>26278</v>
      </c>
      <c r="G370">
        <v>32594656.419354837</v>
      </c>
      <c r="H370">
        <v>0.95510940205666328</v>
      </c>
      <c r="I370">
        <v>0.93593503270922629</v>
      </c>
      <c r="J370">
        <v>9178123.3548387103</v>
      </c>
      <c r="K370">
        <v>45905</v>
      </c>
      <c r="L370">
        <v>2</v>
      </c>
      <c r="M370">
        <v>143</v>
      </c>
      <c r="N370">
        <v>0.93435596661403109</v>
      </c>
      <c r="O370">
        <v>9738030.2258064523</v>
      </c>
      <c r="P370">
        <v>46514</v>
      </c>
      <c r="Q370">
        <v>2</v>
      </c>
      <c r="R370">
        <v>144</v>
      </c>
      <c r="S370">
        <v>11.607843137254902</v>
      </c>
      <c r="T370">
        <v>0.95193798144658404</v>
      </c>
    </row>
    <row r="371" spans="1:20" x14ac:dyDescent="0.25">
      <c r="A371" t="s">
        <v>18</v>
      </c>
      <c r="B371">
        <v>5</v>
      </c>
      <c r="C371">
        <v>4</v>
      </c>
      <c r="D371">
        <v>0</v>
      </c>
      <c r="E371" t="s">
        <v>67</v>
      </c>
      <c r="F371">
        <v>26708</v>
      </c>
      <c r="G371">
        <v>32507630.5625</v>
      </c>
      <c r="H371">
        <v>0.94055944308638573</v>
      </c>
      <c r="I371">
        <v>0.94187062937062938</v>
      </c>
      <c r="J371">
        <v>10170846.4375</v>
      </c>
      <c r="K371">
        <v>46514</v>
      </c>
      <c r="L371">
        <v>2</v>
      </c>
      <c r="M371">
        <v>144</v>
      </c>
      <c r="N371">
        <v>0.94405594405594406</v>
      </c>
      <c r="O371">
        <v>8753409.8125</v>
      </c>
      <c r="P371">
        <v>47127</v>
      </c>
      <c r="Q371">
        <v>2</v>
      </c>
      <c r="R371">
        <v>145</v>
      </c>
      <c r="S371">
        <v>11.605274597884364</v>
      </c>
      <c r="T371">
        <v>0.93720930020014448</v>
      </c>
    </row>
    <row r="372" spans="1:20" x14ac:dyDescent="0.25">
      <c r="A372" t="s">
        <v>18</v>
      </c>
      <c r="B372">
        <v>5</v>
      </c>
      <c r="C372">
        <v>4</v>
      </c>
      <c r="D372">
        <v>0</v>
      </c>
      <c r="E372" t="s">
        <v>29</v>
      </c>
      <c r="F372">
        <v>27002</v>
      </c>
      <c r="G372">
        <v>30956863.545454547</v>
      </c>
      <c r="H372">
        <v>0.9307056611234491</v>
      </c>
      <c r="I372">
        <v>0.94596312778130964</v>
      </c>
      <c r="J372">
        <v>8386272.7272727275</v>
      </c>
      <c r="K372">
        <v>47127</v>
      </c>
      <c r="L372">
        <v>2</v>
      </c>
      <c r="M372">
        <v>145</v>
      </c>
      <c r="N372">
        <v>0.93960584869675778</v>
      </c>
      <c r="O372">
        <v>9521387.4545454551</v>
      </c>
      <c r="P372">
        <v>47744</v>
      </c>
      <c r="Q372">
        <v>2</v>
      </c>
      <c r="R372">
        <v>146</v>
      </c>
      <c r="S372">
        <v>11.603298611111111</v>
      </c>
      <c r="T372">
        <v>0.9325581312179565</v>
      </c>
    </row>
    <row r="373" spans="1:20" x14ac:dyDescent="0.25">
      <c r="A373" t="s">
        <v>18</v>
      </c>
      <c r="B373">
        <v>5</v>
      </c>
      <c r="C373">
        <v>4</v>
      </c>
      <c r="D373">
        <v>0</v>
      </c>
      <c r="E373" t="s">
        <v>68</v>
      </c>
      <c r="F373">
        <v>27622</v>
      </c>
      <c r="G373">
        <v>36535821.847826086</v>
      </c>
      <c r="H373">
        <v>0.94892064384792163</v>
      </c>
      <c r="I373">
        <v>0.94040741866828825</v>
      </c>
      <c r="J373">
        <v>9452975.6521739122</v>
      </c>
      <c r="K373">
        <v>47744</v>
      </c>
      <c r="L373">
        <v>2</v>
      </c>
      <c r="M373">
        <v>146</v>
      </c>
      <c r="N373">
        <v>0.94071146245059289</v>
      </c>
      <c r="O373">
        <v>9450939.5434782617</v>
      </c>
      <c r="P373">
        <v>48365</v>
      </c>
      <c r="Q373">
        <v>2</v>
      </c>
      <c r="R373">
        <v>147</v>
      </c>
      <c r="S373">
        <v>11.601897096866916</v>
      </c>
      <c r="T373">
        <v>0.94702840911017527</v>
      </c>
    </row>
    <row r="374" spans="1:20" x14ac:dyDescent="0.25">
      <c r="A374" t="s">
        <v>18</v>
      </c>
      <c r="B374">
        <v>5</v>
      </c>
      <c r="C374">
        <v>4</v>
      </c>
      <c r="D374">
        <v>0</v>
      </c>
      <c r="E374" t="s">
        <v>30</v>
      </c>
      <c r="F374">
        <v>27772</v>
      </c>
      <c r="G374">
        <v>35122184.363636367</v>
      </c>
      <c r="H374">
        <v>0.93897011605176062</v>
      </c>
      <c r="I374">
        <v>0.94405594405594406</v>
      </c>
      <c r="J374">
        <v>10363997.363636363</v>
      </c>
      <c r="K374">
        <v>48365</v>
      </c>
      <c r="L374">
        <v>2</v>
      </c>
      <c r="M374">
        <v>147</v>
      </c>
      <c r="N374">
        <v>0.94342021614748883</v>
      </c>
      <c r="O374">
        <v>7034799.1818181816</v>
      </c>
      <c r="P374">
        <v>48990</v>
      </c>
      <c r="Q374">
        <v>2</v>
      </c>
      <c r="R374">
        <v>148</v>
      </c>
      <c r="S374">
        <v>11.601951499497776</v>
      </c>
      <c r="T374">
        <v>0.9465116143226624</v>
      </c>
    </row>
    <row r="375" spans="1:20" x14ac:dyDescent="0.25">
      <c r="A375" t="s">
        <v>18</v>
      </c>
      <c r="B375">
        <v>5</v>
      </c>
      <c r="C375">
        <v>4</v>
      </c>
      <c r="D375">
        <v>0</v>
      </c>
      <c r="E375" t="s">
        <v>77</v>
      </c>
      <c r="F375">
        <v>28150</v>
      </c>
      <c r="G375">
        <v>38801635.108695649</v>
      </c>
      <c r="H375">
        <v>0.94223168233166565</v>
      </c>
      <c r="I375">
        <v>0.93523867436910912</v>
      </c>
      <c r="J375">
        <v>9332564.1521739122</v>
      </c>
      <c r="K375">
        <v>48990</v>
      </c>
      <c r="L375">
        <v>2</v>
      </c>
      <c r="M375">
        <v>148</v>
      </c>
      <c r="N375">
        <v>0.93721495895408935</v>
      </c>
      <c r="O375">
        <v>9117837.5434782617</v>
      </c>
      <c r="P375">
        <v>49619</v>
      </c>
      <c r="Q375">
        <v>2</v>
      </c>
      <c r="R375">
        <v>149</v>
      </c>
      <c r="S375">
        <v>11.602280826799715</v>
      </c>
      <c r="T375">
        <v>0.95012918710708616</v>
      </c>
    </row>
    <row r="376" spans="1:20" x14ac:dyDescent="0.25">
      <c r="A376" t="s">
        <v>18</v>
      </c>
      <c r="B376">
        <v>5</v>
      </c>
      <c r="C376">
        <v>4</v>
      </c>
      <c r="D376">
        <v>0</v>
      </c>
      <c r="E376" t="s">
        <v>31</v>
      </c>
      <c r="F376">
        <v>28542</v>
      </c>
      <c r="G376">
        <v>35023273.363636367</v>
      </c>
      <c r="H376">
        <v>0.96884933384982019</v>
      </c>
      <c r="I376">
        <v>0.94278448823903371</v>
      </c>
      <c r="J376">
        <v>9743686.8181818184</v>
      </c>
      <c r="K376">
        <v>49619</v>
      </c>
      <c r="L376">
        <v>2</v>
      </c>
      <c r="M376">
        <v>149</v>
      </c>
      <c r="N376">
        <v>0.93642720915448185</v>
      </c>
      <c r="O376">
        <v>8305177.5454545459</v>
      </c>
      <c r="P376">
        <v>50252</v>
      </c>
      <c r="Q376">
        <v>2</v>
      </c>
      <c r="R376">
        <v>150</v>
      </c>
      <c r="S376">
        <v>11.60204953031597</v>
      </c>
      <c r="T376">
        <v>0.96046509742736819</v>
      </c>
    </row>
    <row r="377" spans="1:20" x14ac:dyDescent="0.25">
      <c r="A377" t="s">
        <v>18</v>
      </c>
      <c r="B377">
        <v>5</v>
      </c>
      <c r="C377">
        <v>4</v>
      </c>
      <c r="D377">
        <v>0</v>
      </c>
      <c r="E377" t="s">
        <v>32</v>
      </c>
      <c r="F377">
        <v>29312</v>
      </c>
      <c r="G377">
        <v>39192219.625</v>
      </c>
      <c r="H377">
        <v>0.95129870091165813</v>
      </c>
      <c r="I377">
        <v>0.93706293706293708</v>
      </c>
      <c r="J377">
        <v>9185652.125</v>
      </c>
      <c r="K377">
        <v>50889</v>
      </c>
      <c r="L377">
        <v>2</v>
      </c>
      <c r="M377">
        <v>151</v>
      </c>
      <c r="N377">
        <v>0.93768731268731265</v>
      </c>
      <c r="O377">
        <v>9792719.9642857146</v>
      </c>
      <c r="P377">
        <v>51530</v>
      </c>
      <c r="Q377">
        <v>2</v>
      </c>
      <c r="R377">
        <v>152</v>
      </c>
      <c r="S377">
        <v>11.602795820389721</v>
      </c>
      <c r="T377">
        <v>0.95010569854216143</v>
      </c>
    </row>
    <row r="378" spans="1:20" x14ac:dyDescent="0.25">
      <c r="A378" t="s">
        <v>18</v>
      </c>
      <c r="B378">
        <v>5</v>
      </c>
      <c r="C378">
        <v>4</v>
      </c>
      <c r="D378">
        <v>0</v>
      </c>
      <c r="E378" t="s">
        <v>46</v>
      </c>
      <c r="F378">
        <v>29550</v>
      </c>
      <c r="G378">
        <v>37408846.583333336</v>
      </c>
      <c r="H378">
        <v>0.93764568865299225</v>
      </c>
      <c r="I378">
        <v>0.93531468531468531</v>
      </c>
      <c r="J378">
        <v>8667965.6111111119</v>
      </c>
      <c r="K378">
        <v>51530</v>
      </c>
      <c r="L378">
        <v>2</v>
      </c>
      <c r="M378">
        <v>152</v>
      </c>
      <c r="N378">
        <v>0.93473193473193472</v>
      </c>
      <c r="O378">
        <v>9489186.25</v>
      </c>
      <c r="P378">
        <v>52175</v>
      </c>
      <c r="Q378">
        <v>2</v>
      </c>
      <c r="R378">
        <v>153</v>
      </c>
      <c r="S378">
        <v>11.60073054228716</v>
      </c>
      <c r="T378">
        <v>0.94916942119598391</v>
      </c>
    </row>
    <row r="379" spans="1:20" x14ac:dyDescent="0.25">
      <c r="A379" t="s">
        <v>18</v>
      </c>
      <c r="B379">
        <v>5</v>
      </c>
      <c r="C379">
        <v>4</v>
      </c>
      <c r="D379">
        <v>0</v>
      </c>
      <c r="E379" t="s">
        <v>33</v>
      </c>
      <c r="F379">
        <v>30082</v>
      </c>
      <c r="G379">
        <v>37374016.387096778</v>
      </c>
      <c r="H379">
        <v>0.95375592285586941</v>
      </c>
      <c r="I379">
        <v>0.94383036318520186</v>
      </c>
      <c r="J379">
        <v>10105961.161290323</v>
      </c>
      <c r="K379">
        <v>52175</v>
      </c>
      <c r="L379">
        <v>2</v>
      </c>
      <c r="M379">
        <v>153</v>
      </c>
      <c r="N379">
        <v>0.94292803970223327</v>
      </c>
      <c r="O379">
        <v>9877319.4838709682</v>
      </c>
      <c r="P379">
        <v>52824</v>
      </c>
      <c r="Q379">
        <v>2</v>
      </c>
      <c r="R379">
        <v>154</v>
      </c>
      <c r="S379">
        <v>11.597146454049517</v>
      </c>
      <c r="T379">
        <v>0.94534882704416912</v>
      </c>
    </row>
    <row r="380" spans="1:20" x14ac:dyDescent="0.25">
      <c r="A380" t="s">
        <v>18</v>
      </c>
      <c r="B380">
        <v>5</v>
      </c>
      <c r="C380">
        <v>4</v>
      </c>
      <c r="D380">
        <v>0</v>
      </c>
      <c r="E380" t="s">
        <v>47</v>
      </c>
      <c r="F380">
        <v>30368</v>
      </c>
      <c r="G380">
        <v>43019280.07692308</v>
      </c>
      <c r="H380">
        <v>0.95346960425376892</v>
      </c>
      <c r="I380">
        <v>0.93544916621839702</v>
      </c>
      <c r="J380">
        <v>10070523.807692308</v>
      </c>
      <c r="K380">
        <v>52824</v>
      </c>
      <c r="L380">
        <v>2</v>
      </c>
      <c r="M380">
        <v>154</v>
      </c>
      <c r="N380">
        <v>0.93679397525551367</v>
      </c>
      <c r="O380">
        <v>9942859.9230769239</v>
      </c>
      <c r="P380">
        <v>53477</v>
      </c>
      <c r="Q380">
        <v>2</v>
      </c>
      <c r="R380">
        <v>155</v>
      </c>
      <c r="S380">
        <v>11.598885017421603</v>
      </c>
      <c r="T380">
        <v>0.95023255109786986</v>
      </c>
    </row>
    <row r="381" spans="1:20" x14ac:dyDescent="0.25">
      <c r="A381" t="s">
        <v>18</v>
      </c>
      <c r="B381">
        <v>5</v>
      </c>
      <c r="C381">
        <v>4</v>
      </c>
      <c r="D381">
        <v>0</v>
      </c>
      <c r="E381" t="s">
        <v>34</v>
      </c>
      <c r="F381">
        <v>30852</v>
      </c>
      <c r="G381">
        <v>39055755.36585366</v>
      </c>
      <c r="H381">
        <v>0.93433395391557272</v>
      </c>
      <c r="I381">
        <v>0.94286201603274777</v>
      </c>
      <c r="J381">
        <v>9799451.8292682935</v>
      </c>
      <c r="K381">
        <v>53477</v>
      </c>
      <c r="L381">
        <v>2</v>
      </c>
      <c r="M381">
        <v>155</v>
      </c>
      <c r="N381">
        <v>0.94320313832508951</v>
      </c>
      <c r="O381">
        <v>9571913.2926829271</v>
      </c>
      <c r="P381">
        <v>54134</v>
      </c>
      <c r="Q381">
        <v>2</v>
      </c>
      <c r="R381">
        <v>156</v>
      </c>
      <c r="S381">
        <v>11.59478935698448</v>
      </c>
      <c r="T381">
        <v>0.93691860139369965</v>
      </c>
    </row>
    <row r="382" spans="1:20" x14ac:dyDescent="0.25">
      <c r="A382" t="s">
        <v>18</v>
      </c>
      <c r="B382">
        <v>5</v>
      </c>
      <c r="C382">
        <v>4</v>
      </c>
      <c r="D382">
        <v>0</v>
      </c>
      <c r="E382" t="s">
        <v>48</v>
      </c>
      <c r="F382">
        <v>31186</v>
      </c>
      <c r="G382">
        <v>38885087.4375</v>
      </c>
      <c r="H382">
        <v>0.95760489627718925</v>
      </c>
      <c r="I382">
        <v>0.95104895104895104</v>
      </c>
      <c r="J382">
        <v>9276682.5</v>
      </c>
      <c r="K382">
        <v>54134</v>
      </c>
      <c r="L382">
        <v>2</v>
      </c>
      <c r="M382">
        <v>156</v>
      </c>
      <c r="N382">
        <v>0.94449300699300698</v>
      </c>
      <c r="O382">
        <v>10197562.1875</v>
      </c>
      <c r="P382">
        <v>54795</v>
      </c>
      <c r="Q382">
        <v>2</v>
      </c>
      <c r="R382">
        <v>157</v>
      </c>
      <c r="S382">
        <v>11.592643805309734</v>
      </c>
      <c r="T382">
        <v>0.95038757721583045</v>
      </c>
    </row>
    <row r="383" spans="1:20" x14ac:dyDescent="0.25">
      <c r="A383" t="s">
        <v>18</v>
      </c>
      <c r="B383">
        <v>5</v>
      </c>
      <c r="C383">
        <v>4</v>
      </c>
      <c r="D383">
        <v>0</v>
      </c>
      <c r="E383" t="s">
        <v>35</v>
      </c>
      <c r="F383">
        <v>31622</v>
      </c>
      <c r="G383">
        <v>37333342.156862743</v>
      </c>
      <c r="H383">
        <v>0.94830659324047617</v>
      </c>
      <c r="I383">
        <v>0.94487865076100375</v>
      </c>
      <c r="J383">
        <v>9138199.2745098043</v>
      </c>
      <c r="K383">
        <v>54795</v>
      </c>
      <c r="L383">
        <v>2</v>
      </c>
      <c r="M383">
        <v>157</v>
      </c>
      <c r="N383">
        <v>0.9417249417249417</v>
      </c>
      <c r="O383">
        <v>10022828.94117647</v>
      </c>
      <c r="P383">
        <v>55460</v>
      </c>
      <c r="Q383">
        <v>2</v>
      </c>
      <c r="R383">
        <v>158</v>
      </c>
      <c r="S383">
        <v>11.586434161746533</v>
      </c>
      <c r="T383">
        <v>0.94906975507736202</v>
      </c>
    </row>
    <row r="384" spans="1:20" x14ac:dyDescent="0.25">
      <c r="A384" t="s">
        <v>18</v>
      </c>
      <c r="B384">
        <v>5</v>
      </c>
      <c r="C384">
        <v>4</v>
      </c>
      <c r="D384">
        <v>0</v>
      </c>
      <c r="E384" t="s">
        <v>49</v>
      </c>
      <c r="F384">
        <v>32004</v>
      </c>
      <c r="G384">
        <v>42912978.5</v>
      </c>
      <c r="H384">
        <v>0.92832167446613312</v>
      </c>
      <c r="I384">
        <v>0.94667832167832167</v>
      </c>
      <c r="J384">
        <v>11130484</v>
      </c>
      <c r="K384">
        <v>55460</v>
      </c>
      <c r="L384">
        <v>2</v>
      </c>
      <c r="M384">
        <v>158</v>
      </c>
      <c r="N384">
        <v>0.95104895104895104</v>
      </c>
      <c r="O384">
        <v>10708035.9375</v>
      </c>
      <c r="P384">
        <v>56129</v>
      </c>
      <c r="Q384">
        <v>2</v>
      </c>
      <c r="R384">
        <v>159</v>
      </c>
      <c r="S384">
        <v>11.585148650500068</v>
      </c>
      <c r="T384">
        <v>0.93953487475713093</v>
      </c>
    </row>
    <row r="385" spans="1:20" x14ac:dyDescent="0.25">
      <c r="A385" t="s">
        <v>18</v>
      </c>
      <c r="B385">
        <v>5</v>
      </c>
      <c r="C385">
        <v>4</v>
      </c>
      <c r="D385">
        <v>0</v>
      </c>
      <c r="E385" t="s">
        <v>36</v>
      </c>
      <c r="F385">
        <v>32392</v>
      </c>
      <c r="G385">
        <v>40435660.92307692</v>
      </c>
      <c r="H385">
        <v>0.93571812372941232</v>
      </c>
      <c r="I385">
        <v>0.94029047875201721</v>
      </c>
      <c r="J385">
        <v>10448613.461538462</v>
      </c>
      <c r="K385">
        <v>56129</v>
      </c>
      <c r="L385">
        <v>2</v>
      </c>
      <c r="M385">
        <v>159</v>
      </c>
      <c r="N385">
        <v>0.94217321140398069</v>
      </c>
      <c r="O385">
        <v>10459255.346153846</v>
      </c>
      <c r="P385">
        <v>56802</v>
      </c>
      <c r="Q385">
        <v>2</v>
      </c>
      <c r="R385">
        <v>160</v>
      </c>
      <c r="S385">
        <v>11.582252559726962</v>
      </c>
      <c r="T385">
        <v>0.94837207794189449</v>
      </c>
    </row>
    <row r="386" spans="1:20" x14ac:dyDescent="0.25">
      <c r="A386" t="s">
        <v>18</v>
      </c>
      <c r="B386">
        <v>5</v>
      </c>
      <c r="C386">
        <v>4</v>
      </c>
      <c r="D386">
        <v>0</v>
      </c>
      <c r="E386" t="s">
        <v>50</v>
      </c>
      <c r="F386">
        <v>32822</v>
      </c>
      <c r="G386">
        <v>39143205.512195125</v>
      </c>
      <c r="H386">
        <v>0.94661435848329123</v>
      </c>
      <c r="I386">
        <v>0.9392802319631588</v>
      </c>
      <c r="J386">
        <v>9647073.0975609757</v>
      </c>
      <c r="K386">
        <v>56802</v>
      </c>
      <c r="L386">
        <v>2</v>
      </c>
      <c r="M386">
        <v>160</v>
      </c>
      <c r="N386">
        <v>0.9438853829097732</v>
      </c>
      <c r="O386">
        <v>10046064.756097561</v>
      </c>
      <c r="P386">
        <v>57479</v>
      </c>
      <c r="Q386">
        <v>2</v>
      </c>
      <c r="R386">
        <v>161</v>
      </c>
      <c r="S386">
        <v>11.577925604127071</v>
      </c>
      <c r="T386">
        <v>0.94360464215278628</v>
      </c>
    </row>
    <row r="387" spans="1:20" x14ac:dyDescent="0.25">
      <c r="A387" t="s">
        <v>18</v>
      </c>
      <c r="B387">
        <v>5</v>
      </c>
      <c r="C387">
        <v>4</v>
      </c>
      <c r="D387">
        <v>0</v>
      </c>
      <c r="E387" t="s">
        <v>37</v>
      </c>
      <c r="F387">
        <v>33162</v>
      </c>
      <c r="G387">
        <v>43349366.3125</v>
      </c>
      <c r="H387">
        <v>0.94624125212430954</v>
      </c>
      <c r="I387">
        <v>0.94187062937062938</v>
      </c>
      <c r="J387">
        <v>9264933.375</v>
      </c>
      <c r="K387">
        <v>57479</v>
      </c>
      <c r="L387">
        <v>2</v>
      </c>
      <c r="M387">
        <v>161</v>
      </c>
      <c r="N387">
        <v>0.9475524475524475</v>
      </c>
      <c r="O387">
        <v>10613223.375</v>
      </c>
      <c r="P387">
        <v>58160</v>
      </c>
      <c r="Q387">
        <v>2</v>
      </c>
      <c r="R387">
        <v>162</v>
      </c>
      <c r="S387">
        <v>11.576808452993768</v>
      </c>
      <c r="T387">
        <v>0.94651161829630537</v>
      </c>
    </row>
    <row r="388" spans="1:20" x14ac:dyDescent="0.25">
      <c r="A388" t="s">
        <v>18</v>
      </c>
      <c r="B388">
        <v>5</v>
      </c>
      <c r="C388">
        <v>4</v>
      </c>
      <c r="D388">
        <v>0</v>
      </c>
      <c r="E388" t="s">
        <v>51</v>
      </c>
      <c r="F388">
        <v>33640</v>
      </c>
      <c r="G388">
        <v>42235523.647058822</v>
      </c>
      <c r="H388">
        <v>0.94350747267405188</v>
      </c>
      <c r="I388">
        <v>0.94158782394076512</v>
      </c>
      <c r="J388">
        <v>9739825.5490196086</v>
      </c>
      <c r="K388">
        <v>58160</v>
      </c>
      <c r="L388">
        <v>2</v>
      </c>
      <c r="M388">
        <v>162</v>
      </c>
      <c r="N388">
        <v>0.94419306184012064</v>
      </c>
      <c r="O388">
        <v>9699845.3725490198</v>
      </c>
      <c r="P388">
        <v>58845</v>
      </c>
      <c r="Q388">
        <v>2</v>
      </c>
      <c r="R388">
        <v>163</v>
      </c>
      <c r="S388">
        <v>11.57755953181757</v>
      </c>
      <c r="T388">
        <v>0.94697673320770259</v>
      </c>
    </row>
    <row r="389" spans="1:20" x14ac:dyDescent="0.25">
      <c r="A389" t="s">
        <v>18</v>
      </c>
      <c r="B389">
        <v>5</v>
      </c>
      <c r="C389">
        <v>4</v>
      </c>
      <c r="D389">
        <v>0</v>
      </c>
      <c r="E389" t="s">
        <v>38</v>
      </c>
      <c r="F389">
        <v>33932</v>
      </c>
      <c r="G389">
        <v>51397834.875</v>
      </c>
      <c r="H389">
        <v>0.95673076808452606</v>
      </c>
      <c r="I389">
        <v>0.93968531468531469</v>
      </c>
      <c r="J389">
        <v>9928005.8125</v>
      </c>
      <c r="K389">
        <v>58845</v>
      </c>
      <c r="L389">
        <v>2</v>
      </c>
      <c r="M389">
        <v>163</v>
      </c>
      <c r="N389">
        <v>0.94711538461538458</v>
      </c>
      <c r="O389">
        <v>9833203.625</v>
      </c>
      <c r="P389">
        <v>59534</v>
      </c>
      <c r="Q389">
        <v>2</v>
      </c>
      <c r="R389">
        <v>164</v>
      </c>
      <c r="S389">
        <v>11.580614847630555</v>
      </c>
      <c r="T389">
        <v>0.94573642412821457</v>
      </c>
    </row>
    <row r="390" spans="1:20" x14ac:dyDescent="0.25">
      <c r="A390" t="s">
        <v>18</v>
      </c>
      <c r="B390">
        <v>5</v>
      </c>
      <c r="C390">
        <v>4</v>
      </c>
      <c r="D390">
        <v>0</v>
      </c>
      <c r="E390" t="s">
        <v>52</v>
      </c>
      <c r="F390">
        <v>34458</v>
      </c>
      <c r="G390">
        <v>39837405.490196079</v>
      </c>
      <c r="H390">
        <v>0.94871794709972301</v>
      </c>
      <c r="I390">
        <v>0.93884546825723303</v>
      </c>
      <c r="J390">
        <v>9988192.7254901957</v>
      </c>
      <c r="K390">
        <v>60227</v>
      </c>
      <c r="L390">
        <v>2</v>
      </c>
      <c r="M390">
        <v>165</v>
      </c>
      <c r="N390">
        <v>0.94323323735088438</v>
      </c>
      <c r="O390">
        <v>10132941</v>
      </c>
      <c r="P390">
        <v>60924</v>
      </c>
      <c r="Q390">
        <v>2</v>
      </c>
      <c r="R390">
        <v>166</v>
      </c>
      <c r="S390">
        <v>11.5732</v>
      </c>
      <c r="T390">
        <v>0.94465114831924435</v>
      </c>
    </row>
    <row r="391" spans="1:20" x14ac:dyDescent="0.25">
      <c r="A391" t="s">
        <v>18</v>
      </c>
      <c r="B391">
        <v>5</v>
      </c>
      <c r="C391">
        <v>4</v>
      </c>
      <c r="D391">
        <v>0</v>
      </c>
      <c r="E391" t="s">
        <v>70</v>
      </c>
      <c r="F391">
        <v>34934</v>
      </c>
      <c r="G391">
        <v>41795159.137931034</v>
      </c>
      <c r="H391">
        <v>0.9570774024930494</v>
      </c>
      <c r="I391">
        <v>0.9430913913672534</v>
      </c>
      <c r="J391">
        <v>10041386.379310345</v>
      </c>
      <c r="K391">
        <v>60924</v>
      </c>
      <c r="L391">
        <v>2</v>
      </c>
      <c r="M391">
        <v>166</v>
      </c>
      <c r="N391">
        <v>0.94285025319508076</v>
      </c>
      <c r="O391">
        <v>11149340.068965517</v>
      </c>
      <c r="P391">
        <v>61625</v>
      </c>
      <c r="Q391">
        <v>2</v>
      </c>
      <c r="R391">
        <v>167</v>
      </c>
      <c r="S391">
        <v>11.570195245052464</v>
      </c>
      <c r="T391">
        <v>0.95141194760799408</v>
      </c>
    </row>
    <row r="392" spans="1:20" x14ac:dyDescent="0.25">
      <c r="A392" t="s">
        <v>18</v>
      </c>
      <c r="B392">
        <v>5</v>
      </c>
      <c r="C392">
        <v>4</v>
      </c>
      <c r="D392">
        <v>0</v>
      </c>
      <c r="E392" t="s">
        <v>53</v>
      </c>
      <c r="F392">
        <v>35276</v>
      </c>
      <c r="G392">
        <v>39585550.190476194</v>
      </c>
      <c r="H392">
        <v>0.93639693657557166</v>
      </c>
      <c r="I392">
        <v>0.94005994005994009</v>
      </c>
      <c r="J392">
        <v>10196524.714285715</v>
      </c>
      <c r="K392">
        <v>61625</v>
      </c>
      <c r="L392">
        <v>2</v>
      </c>
      <c r="M392">
        <v>167</v>
      </c>
      <c r="N392">
        <v>0.94005994005994009</v>
      </c>
      <c r="O392">
        <v>9426498.8571428563</v>
      </c>
      <c r="P392">
        <v>62330</v>
      </c>
      <c r="Q392">
        <v>2</v>
      </c>
      <c r="R392">
        <v>168</v>
      </c>
      <c r="S392">
        <v>11.568476821192053</v>
      </c>
      <c r="T392">
        <v>0.9401162713766098</v>
      </c>
    </row>
    <row r="393" spans="1:20" x14ac:dyDescent="0.25">
      <c r="A393" t="s">
        <v>18</v>
      </c>
      <c r="B393">
        <v>5</v>
      </c>
      <c r="C393">
        <v>4</v>
      </c>
      <c r="D393">
        <v>0</v>
      </c>
      <c r="E393" t="s">
        <v>62</v>
      </c>
      <c r="F393">
        <v>35658</v>
      </c>
      <c r="G393">
        <v>46762790.5625</v>
      </c>
      <c r="H393">
        <v>0.92744754999876022</v>
      </c>
      <c r="I393">
        <v>0.94361888111888115</v>
      </c>
      <c r="J393">
        <v>10421810.375</v>
      </c>
      <c r="K393">
        <v>62330</v>
      </c>
      <c r="L393">
        <v>2</v>
      </c>
      <c r="M393">
        <v>168</v>
      </c>
      <c r="N393">
        <v>0.94187062937062938</v>
      </c>
      <c r="O393">
        <v>9975619.8125</v>
      </c>
      <c r="P393">
        <v>63039</v>
      </c>
      <c r="Q393">
        <v>2</v>
      </c>
      <c r="R393">
        <v>169</v>
      </c>
      <c r="S393">
        <v>11.568199841395717</v>
      </c>
      <c r="T393">
        <v>0.94341084162394206</v>
      </c>
    </row>
    <row r="394" spans="1:20" x14ac:dyDescent="0.25">
      <c r="A394" t="s">
        <v>18</v>
      </c>
      <c r="B394">
        <v>5</v>
      </c>
      <c r="C394">
        <v>4</v>
      </c>
      <c r="D394">
        <v>0</v>
      </c>
      <c r="E394" t="s">
        <v>54</v>
      </c>
      <c r="F394">
        <v>36094</v>
      </c>
      <c r="G394">
        <v>38802108.870967738</v>
      </c>
      <c r="H394">
        <v>0.949469885518474</v>
      </c>
      <c r="I394">
        <v>0.94270245883149106</v>
      </c>
      <c r="J394">
        <v>9256610.9677419346</v>
      </c>
      <c r="K394">
        <v>63039</v>
      </c>
      <c r="L394">
        <v>2</v>
      </c>
      <c r="M394">
        <v>169</v>
      </c>
      <c r="N394">
        <v>0.93999548838258518</v>
      </c>
      <c r="O394">
        <v>9726601.6451612897</v>
      </c>
      <c r="P394">
        <v>63752</v>
      </c>
      <c r="Q394">
        <v>2</v>
      </c>
      <c r="R394">
        <v>170</v>
      </c>
      <c r="S394">
        <v>11.563906805317888</v>
      </c>
      <c r="T394">
        <v>0.94612401723861694</v>
      </c>
    </row>
    <row r="395" spans="1:20" x14ac:dyDescent="0.25">
      <c r="A395" t="s">
        <v>18</v>
      </c>
      <c r="B395">
        <v>5</v>
      </c>
      <c r="C395">
        <v>4</v>
      </c>
      <c r="D395">
        <v>0</v>
      </c>
      <c r="E395" t="s">
        <v>63</v>
      </c>
      <c r="F395">
        <v>36524</v>
      </c>
      <c r="G395">
        <v>46079259.25</v>
      </c>
      <c r="H395">
        <v>0.95935313776135445</v>
      </c>
      <c r="I395">
        <v>0.94624125874125875</v>
      </c>
      <c r="J395">
        <v>11282704.625</v>
      </c>
      <c r="K395">
        <v>63752</v>
      </c>
      <c r="L395">
        <v>2</v>
      </c>
      <c r="M395">
        <v>170</v>
      </c>
      <c r="N395">
        <v>0.94624125874125875</v>
      </c>
      <c r="O395">
        <v>10195517.8125</v>
      </c>
      <c r="P395">
        <v>64469</v>
      </c>
      <c r="Q395">
        <v>2</v>
      </c>
      <c r="R395">
        <v>171</v>
      </c>
      <c r="S395">
        <v>11.563378431630106</v>
      </c>
      <c r="T395">
        <v>0.94961238702138262</v>
      </c>
    </row>
    <row r="396" spans="1:20" x14ac:dyDescent="0.25">
      <c r="A396" t="s">
        <v>18</v>
      </c>
      <c r="B396">
        <v>5</v>
      </c>
      <c r="C396">
        <v>4</v>
      </c>
      <c r="D396">
        <v>0</v>
      </c>
      <c r="E396" t="s">
        <v>64</v>
      </c>
      <c r="F396">
        <v>37390</v>
      </c>
      <c r="G396">
        <v>44456937.838709675</v>
      </c>
      <c r="H396">
        <v>0.93435596458373527</v>
      </c>
      <c r="I396">
        <v>0.94225129709000677</v>
      </c>
      <c r="J396">
        <v>9184377</v>
      </c>
      <c r="K396">
        <v>65190</v>
      </c>
      <c r="L396">
        <v>2</v>
      </c>
      <c r="M396">
        <v>172</v>
      </c>
      <c r="N396">
        <v>0.93909316489961647</v>
      </c>
      <c r="O396">
        <v>9467610.2580645159</v>
      </c>
      <c r="P396">
        <v>65915</v>
      </c>
      <c r="Q396">
        <v>2</v>
      </c>
      <c r="R396">
        <v>173</v>
      </c>
      <c r="S396">
        <v>11.564233385661957</v>
      </c>
      <c r="T396">
        <v>0.94922478596369431</v>
      </c>
    </row>
    <row r="397" spans="1:20" x14ac:dyDescent="0.25">
      <c r="A397" t="s">
        <v>18</v>
      </c>
      <c r="B397">
        <v>5</v>
      </c>
      <c r="C397">
        <v>4</v>
      </c>
      <c r="D397">
        <v>0</v>
      </c>
      <c r="E397" t="s">
        <v>87</v>
      </c>
      <c r="F397">
        <v>37770</v>
      </c>
      <c r="G397">
        <v>44074478.904761903</v>
      </c>
      <c r="H397">
        <v>0.94905094589505878</v>
      </c>
      <c r="I397">
        <v>0.94005994005994009</v>
      </c>
      <c r="J397">
        <v>9416506.2857142854</v>
      </c>
      <c r="K397">
        <v>65915</v>
      </c>
      <c r="L397">
        <v>2</v>
      </c>
      <c r="M397">
        <v>173</v>
      </c>
      <c r="N397">
        <v>0.94005994005994009</v>
      </c>
      <c r="O397">
        <v>8958391.8571428563</v>
      </c>
      <c r="P397">
        <v>66644</v>
      </c>
      <c r="Q397">
        <v>2</v>
      </c>
      <c r="R397">
        <v>174</v>
      </c>
      <c r="S397">
        <v>11.564774951076322</v>
      </c>
      <c r="T397">
        <v>0.95232556760311127</v>
      </c>
    </row>
    <row r="398" spans="1:20" x14ac:dyDescent="0.25">
      <c r="A398" t="s">
        <v>18</v>
      </c>
      <c r="B398">
        <v>5</v>
      </c>
      <c r="C398">
        <v>4</v>
      </c>
      <c r="D398">
        <v>0</v>
      </c>
      <c r="E398" t="s">
        <v>65</v>
      </c>
      <c r="F398">
        <v>38256</v>
      </c>
      <c r="G398">
        <v>44663860.363636367</v>
      </c>
      <c r="H398">
        <v>0.92434837601401587</v>
      </c>
      <c r="I398">
        <v>0.94087730451366813</v>
      </c>
      <c r="J398">
        <v>9196198.5454545449</v>
      </c>
      <c r="K398">
        <v>66644</v>
      </c>
      <c r="L398">
        <v>2</v>
      </c>
      <c r="M398">
        <v>174</v>
      </c>
      <c r="N398">
        <v>0.94087730451366813</v>
      </c>
      <c r="O398">
        <v>8361456.3636363633</v>
      </c>
      <c r="P398">
        <v>67377</v>
      </c>
      <c r="Q398">
        <v>2</v>
      </c>
      <c r="R398">
        <v>175</v>
      </c>
      <c r="S398">
        <v>11.56539864512767</v>
      </c>
      <c r="T398">
        <v>0.9406976640224457</v>
      </c>
    </row>
    <row r="399" spans="1:20" x14ac:dyDescent="0.25">
      <c r="A399" t="s">
        <v>18</v>
      </c>
      <c r="B399">
        <v>5</v>
      </c>
      <c r="C399">
        <v>4</v>
      </c>
      <c r="D399">
        <v>0</v>
      </c>
      <c r="E399" t="s">
        <v>73</v>
      </c>
      <c r="F399">
        <v>38590</v>
      </c>
      <c r="G399">
        <v>47312222.545454547</v>
      </c>
      <c r="H399">
        <v>0.96376350792971521</v>
      </c>
      <c r="I399">
        <v>0.94087730451366813</v>
      </c>
      <c r="J399">
        <v>9821581.7272727266</v>
      </c>
      <c r="K399">
        <v>67377</v>
      </c>
      <c r="L399">
        <v>2</v>
      </c>
      <c r="M399">
        <v>175</v>
      </c>
      <c r="N399">
        <v>0.93897012078830266</v>
      </c>
      <c r="O399">
        <v>8452554.2727272734</v>
      </c>
      <c r="P399">
        <v>68114</v>
      </c>
      <c r="Q399">
        <v>2</v>
      </c>
      <c r="R399">
        <v>176</v>
      </c>
      <c r="S399">
        <v>11.566931182515937</v>
      </c>
      <c r="T399">
        <v>0.95930230617523193</v>
      </c>
    </row>
    <row r="400" spans="1:20" x14ac:dyDescent="0.25">
      <c r="A400" t="s">
        <v>18</v>
      </c>
      <c r="B400">
        <v>5</v>
      </c>
      <c r="C400">
        <v>4</v>
      </c>
      <c r="D400">
        <v>0</v>
      </c>
      <c r="E400" t="s">
        <v>74</v>
      </c>
      <c r="F400">
        <v>39504</v>
      </c>
      <c r="G400">
        <v>41658753.380952381</v>
      </c>
      <c r="H400">
        <v>0.95104894751594182</v>
      </c>
      <c r="I400">
        <v>0.93406593406593408</v>
      </c>
      <c r="J400">
        <v>9046331.9523809515</v>
      </c>
      <c r="K400">
        <v>68855</v>
      </c>
      <c r="L400">
        <v>2</v>
      </c>
      <c r="M400">
        <v>177</v>
      </c>
      <c r="N400">
        <v>0.93972693972693977</v>
      </c>
      <c r="O400">
        <v>10044716.095238095</v>
      </c>
      <c r="P400">
        <v>69600</v>
      </c>
      <c r="Q400">
        <v>2</v>
      </c>
      <c r="R400">
        <v>178</v>
      </c>
      <c r="S400">
        <v>11.56434872859367</v>
      </c>
      <c r="T400">
        <v>0.94534882605075832</v>
      </c>
    </row>
    <row r="401" spans="1:20" x14ac:dyDescent="0.25">
      <c r="A401" t="s">
        <v>18</v>
      </c>
      <c r="B401">
        <v>5</v>
      </c>
      <c r="C401">
        <v>4</v>
      </c>
      <c r="D401">
        <v>0</v>
      </c>
      <c r="E401" t="s">
        <v>75</v>
      </c>
      <c r="F401">
        <v>40418</v>
      </c>
      <c r="G401">
        <v>41351928.190476194</v>
      </c>
      <c r="H401">
        <v>0.96003995622907368</v>
      </c>
      <c r="I401">
        <v>0.93373293373293376</v>
      </c>
      <c r="J401">
        <v>8973053.3809523806</v>
      </c>
      <c r="K401">
        <v>70349</v>
      </c>
      <c r="L401">
        <v>2</v>
      </c>
      <c r="M401">
        <v>179</v>
      </c>
      <c r="N401">
        <v>0.94039294039294041</v>
      </c>
      <c r="O401">
        <v>9901095.5714285709</v>
      </c>
      <c r="P401">
        <v>71102</v>
      </c>
      <c r="Q401">
        <v>2</v>
      </c>
      <c r="R401">
        <v>180</v>
      </c>
      <c r="S401">
        <v>11.560615862336654</v>
      </c>
      <c r="T401">
        <v>0.95058137774467466</v>
      </c>
    </row>
    <row r="402" spans="1:20" x14ac:dyDescent="0.25">
      <c r="A402" t="s">
        <v>18</v>
      </c>
      <c r="B402">
        <v>5</v>
      </c>
      <c r="C402">
        <v>4</v>
      </c>
      <c r="D402">
        <v>0</v>
      </c>
      <c r="E402" t="s">
        <v>91</v>
      </c>
      <c r="F402">
        <v>41618</v>
      </c>
      <c r="G402">
        <v>48309523.809523806</v>
      </c>
      <c r="H402">
        <v>0.94971694265093121</v>
      </c>
      <c r="I402">
        <v>0.93473193473193472</v>
      </c>
      <c r="J402">
        <v>8970439.4285714291</v>
      </c>
      <c r="K402">
        <v>72620</v>
      </c>
      <c r="L402">
        <v>2</v>
      </c>
      <c r="M402">
        <v>182</v>
      </c>
      <c r="N402">
        <v>0.93672993672993676</v>
      </c>
      <c r="O402">
        <v>10203884.571428571</v>
      </c>
      <c r="P402">
        <v>73385</v>
      </c>
      <c r="Q402">
        <v>2</v>
      </c>
      <c r="R402">
        <v>183</v>
      </c>
      <c r="S402">
        <v>11.562709677419354</v>
      </c>
      <c r="T402">
        <v>0.94999998509883876</v>
      </c>
    </row>
    <row r="403" spans="1:20" x14ac:dyDescent="0.25">
      <c r="A403" t="s">
        <v>18</v>
      </c>
      <c r="B403">
        <v>5</v>
      </c>
      <c r="C403">
        <v>4</v>
      </c>
      <c r="D403">
        <v>0</v>
      </c>
      <c r="E403" t="s">
        <v>92</v>
      </c>
      <c r="F403">
        <v>42580</v>
      </c>
      <c r="G403">
        <v>47610966.454545453</v>
      </c>
      <c r="H403">
        <v>0.95867767659100622</v>
      </c>
      <c r="I403">
        <v>0.93769866497139231</v>
      </c>
      <c r="J403">
        <v>10001769.727272727</v>
      </c>
      <c r="K403">
        <v>74154</v>
      </c>
      <c r="L403">
        <v>2</v>
      </c>
      <c r="M403">
        <v>184</v>
      </c>
      <c r="N403">
        <v>0.93642720915448185</v>
      </c>
      <c r="O403">
        <v>10362676.727272727</v>
      </c>
      <c r="P403">
        <v>74927</v>
      </c>
      <c r="Q403">
        <v>2</v>
      </c>
      <c r="R403">
        <v>185</v>
      </c>
      <c r="S403">
        <v>11.562685220976679</v>
      </c>
      <c r="T403">
        <v>0.94999997615814213</v>
      </c>
    </row>
    <row r="404" spans="1:20" x14ac:dyDescent="0.25">
      <c r="A404" t="s">
        <v>18</v>
      </c>
      <c r="B404">
        <v>5</v>
      </c>
      <c r="C404">
        <v>4</v>
      </c>
      <c r="D404">
        <v>0</v>
      </c>
      <c r="E404" t="s">
        <v>105</v>
      </c>
      <c r="F404">
        <v>8472</v>
      </c>
      <c r="G404">
        <v>46182531.272727273</v>
      </c>
      <c r="H404">
        <v>0.93388429013165564</v>
      </c>
      <c r="I404">
        <v>0.93833439287984743</v>
      </c>
      <c r="J404">
        <v>6846570.8181818184</v>
      </c>
      <c r="K404">
        <v>14555</v>
      </c>
      <c r="L404">
        <v>2</v>
      </c>
      <c r="M404">
        <v>77</v>
      </c>
      <c r="N404">
        <v>0.94087730451366813</v>
      </c>
      <c r="O404">
        <v>9730861.8181818184</v>
      </c>
      <c r="P404">
        <v>14900</v>
      </c>
      <c r="Q404">
        <v>2</v>
      </c>
      <c r="R404">
        <v>78</v>
      </c>
      <c r="S404">
        <v>11.561888831703552</v>
      </c>
      <c r="T404">
        <v>0.9441860437393188</v>
      </c>
    </row>
    <row r="405" spans="1:20" x14ac:dyDescent="0.25">
      <c r="A405" t="s">
        <v>18</v>
      </c>
      <c r="B405">
        <v>5</v>
      </c>
      <c r="C405">
        <v>4</v>
      </c>
      <c r="D405">
        <v>0</v>
      </c>
      <c r="E405" t="s">
        <v>19</v>
      </c>
      <c r="F405">
        <v>9242</v>
      </c>
      <c r="G405">
        <v>14072705.5625</v>
      </c>
      <c r="H405">
        <v>0.96328671276569366</v>
      </c>
      <c r="I405">
        <v>0.93356643356643354</v>
      </c>
      <c r="J405">
        <v>2143439.3125</v>
      </c>
      <c r="K405">
        <v>15959</v>
      </c>
      <c r="L405">
        <v>2</v>
      </c>
      <c r="M405">
        <v>81</v>
      </c>
      <c r="N405">
        <v>0.92963286713286708</v>
      </c>
      <c r="O405">
        <v>1897093.3125</v>
      </c>
      <c r="P405">
        <v>16320</v>
      </c>
      <c r="Q405">
        <v>2</v>
      </c>
      <c r="R405">
        <v>82</v>
      </c>
      <c r="S405">
        <v>11.556240369799692</v>
      </c>
      <c r="T405">
        <v>0.95271317958831792</v>
      </c>
    </row>
    <row r="406" spans="1:20" x14ac:dyDescent="0.25">
      <c r="A406" t="s">
        <v>18</v>
      </c>
      <c r="B406">
        <v>5</v>
      </c>
      <c r="C406">
        <v>4</v>
      </c>
      <c r="D406">
        <v>0</v>
      </c>
      <c r="E406" t="s">
        <v>20</v>
      </c>
      <c r="F406">
        <v>10012</v>
      </c>
      <c r="G406">
        <v>16685102</v>
      </c>
      <c r="H406">
        <v>0.94930069893598557</v>
      </c>
      <c r="I406">
        <v>0.93225524475524479</v>
      </c>
      <c r="J406">
        <v>3097071.875</v>
      </c>
      <c r="K406">
        <v>17427</v>
      </c>
      <c r="L406">
        <v>2</v>
      </c>
      <c r="M406">
        <v>85</v>
      </c>
      <c r="N406">
        <v>0.93706293706293708</v>
      </c>
      <c r="O406">
        <v>2642647.125</v>
      </c>
      <c r="P406">
        <v>17804</v>
      </c>
      <c r="Q406">
        <v>2</v>
      </c>
      <c r="R406">
        <v>86</v>
      </c>
      <c r="S406">
        <v>11.55407483341876</v>
      </c>
      <c r="T406">
        <v>0.95581394831339517</v>
      </c>
    </row>
    <row r="407" spans="1:20" x14ac:dyDescent="0.25">
      <c r="A407" t="s">
        <v>18</v>
      </c>
      <c r="B407">
        <v>5</v>
      </c>
      <c r="C407">
        <v>4</v>
      </c>
      <c r="D407">
        <v>0</v>
      </c>
      <c r="E407" t="s">
        <v>21</v>
      </c>
      <c r="F407">
        <v>10782</v>
      </c>
      <c r="G407">
        <v>17690345.125</v>
      </c>
      <c r="H407">
        <v>0.94667832180857658</v>
      </c>
      <c r="I407">
        <v>0.92788461538461542</v>
      </c>
      <c r="J407">
        <v>8798457.125</v>
      </c>
      <c r="K407">
        <v>18570</v>
      </c>
      <c r="L407">
        <v>2</v>
      </c>
      <c r="M407">
        <v>88</v>
      </c>
      <c r="N407">
        <v>0.92395104895104896</v>
      </c>
      <c r="O407">
        <v>8231456.25</v>
      </c>
      <c r="P407">
        <v>18959</v>
      </c>
      <c r="Q407">
        <v>2</v>
      </c>
      <c r="R407">
        <v>89</v>
      </c>
      <c r="S407">
        <v>11.551662404092072</v>
      </c>
      <c r="T407">
        <v>0.95658913453420003</v>
      </c>
    </row>
    <row r="408" spans="1:20" x14ac:dyDescent="0.25">
      <c r="A408" t="s">
        <v>18</v>
      </c>
      <c r="B408">
        <v>5</v>
      </c>
      <c r="C408">
        <v>4</v>
      </c>
      <c r="D408">
        <v>0</v>
      </c>
      <c r="E408" t="s">
        <v>22</v>
      </c>
      <c r="F408">
        <v>11552</v>
      </c>
      <c r="G408">
        <v>15644684.75</v>
      </c>
      <c r="H408">
        <v>0.96634615957736969</v>
      </c>
      <c r="I408">
        <v>0.9274475524475525</v>
      </c>
      <c r="J408">
        <v>9113865.0625</v>
      </c>
      <c r="K408">
        <v>20150</v>
      </c>
      <c r="L408">
        <v>2</v>
      </c>
      <c r="M408">
        <v>92</v>
      </c>
      <c r="N408">
        <v>0.92176573426573427</v>
      </c>
      <c r="O408">
        <v>8955596.25</v>
      </c>
      <c r="P408">
        <v>20555</v>
      </c>
      <c r="Q408">
        <v>2</v>
      </c>
      <c r="R408">
        <v>93</v>
      </c>
      <c r="S408">
        <v>11.546324655436447</v>
      </c>
      <c r="T408">
        <v>0.95968990325927739</v>
      </c>
    </row>
    <row r="409" spans="1:20" x14ac:dyDescent="0.25">
      <c r="A409" t="s">
        <v>18</v>
      </c>
      <c r="B409">
        <v>5</v>
      </c>
      <c r="C409">
        <v>4</v>
      </c>
      <c r="D409">
        <v>0</v>
      </c>
      <c r="E409" t="s">
        <v>39</v>
      </c>
      <c r="F409">
        <v>12322</v>
      </c>
      <c r="G409">
        <v>17301515.25</v>
      </c>
      <c r="H409">
        <v>0.96066433936357498</v>
      </c>
      <c r="I409">
        <v>0.92832167832167833</v>
      </c>
      <c r="J409">
        <v>8416599.625</v>
      </c>
      <c r="K409">
        <v>21377</v>
      </c>
      <c r="L409">
        <v>2</v>
      </c>
      <c r="M409">
        <v>95</v>
      </c>
      <c r="N409">
        <v>0.92875874125874125</v>
      </c>
      <c r="O409">
        <v>8870267.6875</v>
      </c>
      <c r="P409">
        <v>21794</v>
      </c>
      <c r="Q409">
        <v>2</v>
      </c>
      <c r="R409">
        <v>96</v>
      </c>
      <c r="S409">
        <v>11.542664289353031</v>
      </c>
      <c r="T409">
        <v>0.9519379734992981</v>
      </c>
    </row>
    <row r="410" spans="1:20" x14ac:dyDescent="0.25">
      <c r="A410" t="s">
        <v>18</v>
      </c>
      <c r="B410">
        <v>5</v>
      </c>
      <c r="C410">
        <v>4</v>
      </c>
      <c r="D410">
        <v>0</v>
      </c>
      <c r="E410" t="s">
        <v>55</v>
      </c>
      <c r="F410">
        <v>13092</v>
      </c>
      <c r="G410">
        <v>15982514.375</v>
      </c>
      <c r="H410">
        <v>0.95979021117091179</v>
      </c>
      <c r="I410">
        <v>0.93531468531468531</v>
      </c>
      <c r="J410">
        <v>8683819.1875</v>
      </c>
      <c r="K410">
        <v>22640</v>
      </c>
      <c r="L410">
        <v>2</v>
      </c>
      <c r="M410">
        <v>98</v>
      </c>
      <c r="N410">
        <v>0.92701048951048948</v>
      </c>
      <c r="O410">
        <v>5441142.9375</v>
      </c>
      <c r="P410">
        <v>23069</v>
      </c>
      <c r="Q410">
        <v>2</v>
      </c>
      <c r="R410">
        <v>99</v>
      </c>
      <c r="S410">
        <v>11.535968479918658</v>
      </c>
      <c r="T410">
        <v>0.95736433267593379</v>
      </c>
    </row>
    <row r="411" spans="1:20" x14ac:dyDescent="0.25">
      <c r="A411" t="s">
        <v>18</v>
      </c>
      <c r="B411">
        <v>5</v>
      </c>
      <c r="C411">
        <v>5</v>
      </c>
      <c r="D411">
        <v>0</v>
      </c>
      <c r="E411" t="s">
        <v>39</v>
      </c>
      <c r="F411">
        <v>13346</v>
      </c>
      <c r="G411">
        <v>18602242.625</v>
      </c>
      <c r="H411">
        <v>0.93487761914730072</v>
      </c>
      <c r="I411">
        <v>0.93531468531468531</v>
      </c>
      <c r="J411">
        <v>8704558.625</v>
      </c>
      <c r="K411">
        <v>24380</v>
      </c>
      <c r="L411">
        <v>2</v>
      </c>
      <c r="M411">
        <v>102</v>
      </c>
      <c r="N411">
        <v>0.92526223776223782</v>
      </c>
      <c r="O411">
        <v>9473248.5625</v>
      </c>
      <c r="P411">
        <v>24825</v>
      </c>
      <c r="Q411">
        <v>2</v>
      </c>
      <c r="R411">
        <v>103</v>
      </c>
      <c r="S411">
        <v>11.53209030948757</v>
      </c>
      <c r="T411">
        <v>0.95736433267593379</v>
      </c>
    </row>
    <row r="412" spans="1:20" x14ac:dyDescent="0.25">
      <c r="A412" t="s">
        <v>18</v>
      </c>
      <c r="B412">
        <v>5</v>
      </c>
      <c r="C412">
        <v>5</v>
      </c>
      <c r="D412">
        <v>0</v>
      </c>
      <c r="E412" t="s">
        <v>55</v>
      </c>
      <c r="F412">
        <v>14180</v>
      </c>
      <c r="G412">
        <v>18257661.545454547</v>
      </c>
      <c r="H412">
        <v>0.94278448278253724</v>
      </c>
      <c r="I412">
        <v>0.93706293706293708</v>
      </c>
      <c r="J412">
        <v>8275610.8181818184</v>
      </c>
      <c r="K412">
        <v>25727</v>
      </c>
      <c r="L412">
        <v>2</v>
      </c>
      <c r="M412">
        <v>105</v>
      </c>
      <c r="N412">
        <v>0.94659885568976476</v>
      </c>
      <c r="O412">
        <v>9064542.6363636367</v>
      </c>
      <c r="P412">
        <v>26184</v>
      </c>
      <c r="Q412">
        <v>2</v>
      </c>
      <c r="R412">
        <v>106</v>
      </c>
      <c r="S412">
        <v>11.529449018366055</v>
      </c>
      <c r="T412">
        <v>0.95581393241882329</v>
      </c>
    </row>
    <row r="413" spans="1:20" x14ac:dyDescent="0.25">
      <c r="A413" t="s">
        <v>18</v>
      </c>
      <c r="B413">
        <v>5</v>
      </c>
      <c r="C413">
        <v>5</v>
      </c>
      <c r="D413">
        <v>0</v>
      </c>
      <c r="E413" t="s">
        <v>66</v>
      </c>
      <c r="F413">
        <v>15014</v>
      </c>
      <c r="G413">
        <v>17896383.181818184</v>
      </c>
      <c r="H413">
        <v>0.9701207767833363</v>
      </c>
      <c r="I413">
        <v>0.93452002542911639</v>
      </c>
      <c r="J413">
        <v>8317120.0909090908</v>
      </c>
      <c r="K413">
        <v>27579</v>
      </c>
      <c r="L413">
        <v>2</v>
      </c>
      <c r="M413">
        <v>109</v>
      </c>
      <c r="N413">
        <v>0.93642720915448185</v>
      </c>
      <c r="O413">
        <v>7822315</v>
      </c>
      <c r="P413">
        <v>28052</v>
      </c>
      <c r="Q413">
        <v>2</v>
      </c>
      <c r="R413">
        <v>110</v>
      </c>
      <c r="S413">
        <v>11.525929673665571</v>
      </c>
      <c r="T413">
        <v>0.96860463619232173</v>
      </c>
    </row>
    <row r="414" spans="1:20" x14ac:dyDescent="0.25">
      <c r="A414" t="s">
        <v>18</v>
      </c>
      <c r="B414">
        <v>5</v>
      </c>
      <c r="C414">
        <v>5</v>
      </c>
      <c r="D414">
        <v>0</v>
      </c>
      <c r="E414" t="s">
        <v>76</v>
      </c>
      <c r="F414">
        <v>15848</v>
      </c>
      <c r="G414">
        <v>19074478.636363637</v>
      </c>
      <c r="H414">
        <v>0.97457088123668323</v>
      </c>
      <c r="I414">
        <v>0.93642720915448185</v>
      </c>
      <c r="J414">
        <v>8671306.6363636367</v>
      </c>
      <c r="K414">
        <v>29010</v>
      </c>
      <c r="L414">
        <v>2</v>
      </c>
      <c r="M414">
        <v>112</v>
      </c>
      <c r="N414">
        <v>0.93452002542911639</v>
      </c>
      <c r="O414">
        <v>8717715.1818181816</v>
      </c>
      <c r="P414">
        <v>29495</v>
      </c>
      <c r="Q414">
        <v>2</v>
      </c>
      <c r="R414">
        <v>113</v>
      </c>
      <c r="S414">
        <v>11.52343059239611</v>
      </c>
      <c r="T414">
        <v>0.96976742744445799</v>
      </c>
    </row>
    <row r="415" spans="1:20" x14ac:dyDescent="0.25">
      <c r="A415" t="s">
        <v>18</v>
      </c>
      <c r="B415">
        <v>5</v>
      </c>
      <c r="C415">
        <v>5</v>
      </c>
      <c r="D415">
        <v>0</v>
      </c>
      <c r="E415" t="s">
        <v>93</v>
      </c>
      <c r="F415">
        <v>16682</v>
      </c>
      <c r="G415">
        <v>21229308.818181816</v>
      </c>
      <c r="H415">
        <v>0.97329943288456311</v>
      </c>
      <c r="I415">
        <v>0.93833439287984743</v>
      </c>
      <c r="J415">
        <v>6840737.3636363633</v>
      </c>
      <c r="K415">
        <v>30477</v>
      </c>
      <c r="L415">
        <v>2</v>
      </c>
      <c r="M415">
        <v>115</v>
      </c>
      <c r="N415">
        <v>0.93897012078830266</v>
      </c>
      <c r="O415">
        <v>8485820.6363636367</v>
      </c>
      <c r="P415">
        <v>30974</v>
      </c>
      <c r="Q415">
        <v>2</v>
      </c>
      <c r="R415">
        <v>116</v>
      </c>
      <c r="S415">
        <v>11.520686175580222</v>
      </c>
      <c r="T415">
        <v>0.97209301590919495</v>
      </c>
    </row>
    <row r="416" spans="1:20" x14ac:dyDescent="0.25">
      <c r="A416" t="s">
        <v>18</v>
      </c>
      <c r="B416">
        <v>5</v>
      </c>
      <c r="C416">
        <v>5</v>
      </c>
      <c r="D416">
        <v>0</v>
      </c>
      <c r="E416" t="s">
        <v>94</v>
      </c>
      <c r="F416">
        <v>17516</v>
      </c>
      <c r="G416">
        <v>18125015</v>
      </c>
      <c r="H416">
        <v>0.95422758839347144</v>
      </c>
      <c r="I416">
        <v>0.93960584869675778</v>
      </c>
      <c r="J416">
        <v>7841614.6363636367</v>
      </c>
      <c r="K416">
        <v>31980</v>
      </c>
      <c r="L416">
        <v>2</v>
      </c>
      <c r="M416">
        <v>118</v>
      </c>
      <c r="N416">
        <v>0.93706293706293708</v>
      </c>
      <c r="O416">
        <v>8739751.6363636367</v>
      </c>
      <c r="P416">
        <v>32489</v>
      </c>
      <c r="Q416">
        <v>2</v>
      </c>
      <c r="R416">
        <v>119</v>
      </c>
      <c r="S416">
        <v>11.51568207582819</v>
      </c>
      <c r="T416">
        <v>0.95930230617523193</v>
      </c>
    </row>
    <row r="417" spans="1:20" x14ac:dyDescent="0.25">
      <c r="A417" t="s">
        <v>18</v>
      </c>
      <c r="B417">
        <v>5</v>
      </c>
      <c r="C417">
        <v>5</v>
      </c>
      <c r="D417">
        <v>0</v>
      </c>
      <c r="E417" t="s">
        <v>95</v>
      </c>
      <c r="F417">
        <v>18350</v>
      </c>
      <c r="G417">
        <v>23664199.727272727</v>
      </c>
      <c r="H417">
        <v>0.95104894854805688</v>
      </c>
      <c r="I417">
        <v>0.93960584869675778</v>
      </c>
      <c r="J417">
        <v>8600216.8181818184</v>
      </c>
      <c r="K417">
        <v>33519</v>
      </c>
      <c r="L417">
        <v>2</v>
      </c>
      <c r="M417">
        <v>121</v>
      </c>
      <c r="N417">
        <v>0.93070565797838534</v>
      </c>
      <c r="O417">
        <v>7244452.7272727275</v>
      </c>
      <c r="P417">
        <v>34040</v>
      </c>
      <c r="Q417">
        <v>2</v>
      </c>
      <c r="R417">
        <v>122</v>
      </c>
      <c r="S417">
        <v>11.513962264150944</v>
      </c>
      <c r="T417">
        <v>0.96279068589210515</v>
      </c>
    </row>
    <row r="418" spans="1:20" x14ac:dyDescent="0.25">
      <c r="A418" t="s">
        <v>18</v>
      </c>
      <c r="B418">
        <v>5</v>
      </c>
      <c r="C418">
        <v>5</v>
      </c>
      <c r="D418">
        <v>0</v>
      </c>
      <c r="E418" t="s">
        <v>96</v>
      </c>
      <c r="F418">
        <v>19184</v>
      </c>
      <c r="G418">
        <v>25638788.363636363</v>
      </c>
      <c r="H418">
        <v>0.97393514893271704</v>
      </c>
      <c r="I418">
        <v>0.93706293706293708</v>
      </c>
      <c r="J418">
        <v>8182300.5454545459</v>
      </c>
      <c r="K418">
        <v>35094</v>
      </c>
      <c r="L418">
        <v>2</v>
      </c>
      <c r="M418">
        <v>124</v>
      </c>
      <c r="N418">
        <v>0.94087730451366813</v>
      </c>
      <c r="O418">
        <v>8833711.7272727266</v>
      </c>
      <c r="P418">
        <v>35627</v>
      </c>
      <c r="Q418">
        <v>2</v>
      </c>
      <c r="R418">
        <v>125</v>
      </c>
      <c r="S418">
        <v>11.512875266926265</v>
      </c>
      <c r="T418">
        <v>0.96976743340492244</v>
      </c>
    </row>
    <row r="419" spans="1:20" x14ac:dyDescent="0.25">
      <c r="A419" t="s">
        <v>18</v>
      </c>
      <c r="B419">
        <v>5</v>
      </c>
      <c r="C419">
        <v>5</v>
      </c>
      <c r="D419">
        <v>0</v>
      </c>
      <c r="E419" t="s">
        <v>97</v>
      </c>
      <c r="F419">
        <v>20018</v>
      </c>
      <c r="G419">
        <v>29303477.545454547</v>
      </c>
      <c r="H419">
        <v>0.95677049593491992</v>
      </c>
      <c r="I419">
        <v>0.94214876033057848</v>
      </c>
      <c r="J419">
        <v>8772635.6363636367</v>
      </c>
      <c r="K419">
        <v>36705</v>
      </c>
      <c r="L419">
        <v>2</v>
      </c>
      <c r="M419">
        <v>127</v>
      </c>
      <c r="N419">
        <v>0.93769866497139231</v>
      </c>
      <c r="O419">
        <v>8745678.6363636367</v>
      </c>
      <c r="P419">
        <v>37250</v>
      </c>
      <c r="Q419">
        <v>2</v>
      </c>
      <c r="R419">
        <v>128</v>
      </c>
      <c r="S419">
        <v>11.51254390366282</v>
      </c>
      <c r="T419">
        <v>0.96395347118377683</v>
      </c>
    </row>
    <row r="420" spans="1:20" x14ac:dyDescent="0.25">
      <c r="A420" t="s">
        <v>18</v>
      </c>
      <c r="B420">
        <v>5</v>
      </c>
      <c r="C420">
        <v>5</v>
      </c>
      <c r="D420">
        <v>0</v>
      </c>
      <c r="E420" t="s">
        <v>98</v>
      </c>
      <c r="F420">
        <v>20852</v>
      </c>
      <c r="G420">
        <v>24838518</v>
      </c>
      <c r="H420">
        <v>0.95931341431357642</v>
      </c>
      <c r="I420">
        <v>0.94659885568976476</v>
      </c>
      <c r="J420">
        <v>9079769.4545454551</v>
      </c>
      <c r="K420">
        <v>38352</v>
      </c>
      <c r="L420">
        <v>2</v>
      </c>
      <c r="M420">
        <v>130</v>
      </c>
      <c r="N420">
        <v>0.94087730451366813</v>
      </c>
      <c r="O420">
        <v>8340828.3636363633</v>
      </c>
      <c r="P420">
        <v>38909</v>
      </c>
      <c r="Q420">
        <v>2</v>
      </c>
      <c r="R420">
        <v>131</v>
      </c>
      <c r="S420">
        <v>11.510710259301014</v>
      </c>
      <c r="T420">
        <v>0.96976742744445799</v>
      </c>
    </row>
    <row r="421" spans="1:20" x14ac:dyDescent="0.25">
      <c r="A421" t="s">
        <v>18</v>
      </c>
      <c r="B421">
        <v>5</v>
      </c>
      <c r="C421">
        <v>5</v>
      </c>
      <c r="D421">
        <v>0</v>
      </c>
      <c r="E421" t="s">
        <v>99</v>
      </c>
      <c r="F421">
        <v>21686</v>
      </c>
      <c r="G421">
        <v>23369197.272727273</v>
      </c>
      <c r="H421">
        <v>0.95677050677212805</v>
      </c>
      <c r="I421">
        <v>0.94278448823903371</v>
      </c>
      <c r="J421">
        <v>8068678.6363636367</v>
      </c>
      <c r="K421">
        <v>39470</v>
      </c>
      <c r="L421">
        <v>2</v>
      </c>
      <c r="M421">
        <v>132</v>
      </c>
      <c r="N421">
        <v>0.94977749523204069</v>
      </c>
      <c r="O421">
        <v>9010307.1818181816</v>
      </c>
      <c r="P421">
        <v>40035</v>
      </c>
      <c r="Q421">
        <v>2</v>
      </c>
      <c r="R421">
        <v>133</v>
      </c>
      <c r="S421">
        <v>11.506755066299725</v>
      </c>
      <c r="T421">
        <v>0.96511626243591309</v>
      </c>
    </row>
    <row r="422" spans="1:20" x14ac:dyDescent="0.25">
      <c r="A422" t="s">
        <v>18</v>
      </c>
      <c r="B422">
        <v>5</v>
      </c>
      <c r="C422">
        <v>5</v>
      </c>
      <c r="D422">
        <v>0</v>
      </c>
      <c r="E422" t="s">
        <v>100</v>
      </c>
      <c r="F422">
        <v>22520</v>
      </c>
      <c r="G422">
        <v>28885139.545454547</v>
      </c>
      <c r="H422">
        <v>0.96884932843121618</v>
      </c>
      <c r="I422">
        <v>0.93897012078830266</v>
      </c>
      <c r="J422">
        <v>9283616.6363636367</v>
      </c>
      <c r="K422">
        <v>41177</v>
      </c>
      <c r="L422">
        <v>2</v>
      </c>
      <c r="M422">
        <v>135</v>
      </c>
      <c r="N422">
        <v>0.93833439287984743</v>
      </c>
      <c r="O422">
        <v>8804226</v>
      </c>
      <c r="P422">
        <v>41754</v>
      </c>
      <c r="Q422">
        <v>2</v>
      </c>
      <c r="R422">
        <v>136</v>
      </c>
      <c r="S422">
        <v>11.505683947532791</v>
      </c>
      <c r="T422">
        <v>0.97558138370513914</v>
      </c>
    </row>
    <row r="423" spans="1:20" x14ac:dyDescent="0.25">
      <c r="A423" t="s">
        <v>18</v>
      </c>
      <c r="B423">
        <v>5</v>
      </c>
      <c r="C423">
        <v>5</v>
      </c>
      <c r="D423">
        <v>0</v>
      </c>
      <c r="E423" t="s">
        <v>101</v>
      </c>
      <c r="F423">
        <v>23354</v>
      </c>
      <c r="G423">
        <v>28808221.363636363</v>
      </c>
      <c r="H423">
        <v>0.9701207767833363</v>
      </c>
      <c r="I423">
        <v>0.93833439287984743</v>
      </c>
      <c r="J423">
        <v>9277361.3636363633</v>
      </c>
      <c r="K423">
        <v>42920</v>
      </c>
      <c r="L423">
        <v>2</v>
      </c>
      <c r="M423">
        <v>138</v>
      </c>
      <c r="N423">
        <v>0.94596312778130964</v>
      </c>
      <c r="O423">
        <v>9271158.2727272734</v>
      </c>
      <c r="P423">
        <v>43509</v>
      </c>
      <c r="Q423">
        <v>2</v>
      </c>
      <c r="R423">
        <v>139</v>
      </c>
      <c r="S423">
        <v>11.504116766467066</v>
      </c>
      <c r="T423">
        <v>0.95697672367095943</v>
      </c>
    </row>
    <row r="424" spans="1:20" x14ac:dyDescent="0.25">
      <c r="A424" t="s">
        <v>18</v>
      </c>
      <c r="B424">
        <v>5</v>
      </c>
      <c r="C424">
        <v>5</v>
      </c>
      <c r="D424">
        <v>0</v>
      </c>
      <c r="E424" t="s">
        <v>102</v>
      </c>
      <c r="F424">
        <v>24188</v>
      </c>
      <c r="G424">
        <v>30935668</v>
      </c>
      <c r="H424">
        <v>0.96439922397786926</v>
      </c>
      <c r="I424">
        <v>0.94214876033057848</v>
      </c>
      <c r="J424">
        <v>8837170.3636363633</v>
      </c>
      <c r="K424">
        <v>44102</v>
      </c>
      <c r="L424">
        <v>2</v>
      </c>
      <c r="M424">
        <v>140</v>
      </c>
      <c r="N424">
        <v>0.94151303242212336</v>
      </c>
      <c r="O424">
        <v>10022465.090909092</v>
      </c>
      <c r="P424">
        <v>44699</v>
      </c>
      <c r="Q424">
        <v>2</v>
      </c>
      <c r="R424">
        <v>141</v>
      </c>
      <c r="S424">
        <v>11.503052198828952</v>
      </c>
      <c r="T424">
        <v>0.96279067993164058</v>
      </c>
    </row>
    <row r="425" spans="1:20" x14ac:dyDescent="0.25">
      <c r="A425" t="s">
        <v>18</v>
      </c>
      <c r="B425">
        <v>5</v>
      </c>
      <c r="C425">
        <v>5</v>
      </c>
      <c r="D425">
        <v>0</v>
      </c>
      <c r="E425" t="s">
        <v>23</v>
      </c>
      <c r="F425">
        <v>24242</v>
      </c>
      <c r="G425">
        <v>31570204.545454547</v>
      </c>
      <c r="H425">
        <v>0.9567704905163158</v>
      </c>
      <c r="I425">
        <v>0.94342021614748883</v>
      </c>
      <c r="J425">
        <v>8571605.1818181816</v>
      </c>
      <c r="K425">
        <v>44699</v>
      </c>
      <c r="L425">
        <v>2</v>
      </c>
      <c r="M425">
        <v>141</v>
      </c>
      <c r="N425">
        <v>0.94024157660521301</v>
      </c>
      <c r="O425">
        <v>9411290.7272727266</v>
      </c>
      <c r="P425">
        <v>45300</v>
      </c>
      <c r="Q425">
        <v>2</v>
      </c>
      <c r="R425">
        <v>142</v>
      </c>
      <c r="S425">
        <v>11.50012440905698</v>
      </c>
      <c r="T425">
        <v>0.97209300994873049</v>
      </c>
    </row>
    <row r="426" spans="1:20" x14ac:dyDescent="0.25">
      <c r="A426" t="s">
        <v>18</v>
      </c>
      <c r="B426">
        <v>5</v>
      </c>
      <c r="C426">
        <v>5</v>
      </c>
      <c r="D426">
        <v>0</v>
      </c>
      <c r="E426" t="s">
        <v>103</v>
      </c>
      <c r="F426">
        <v>25022</v>
      </c>
      <c r="G426">
        <v>35901977.090909094</v>
      </c>
      <c r="H426">
        <v>0.93642719767310401</v>
      </c>
      <c r="I426">
        <v>0.94214876033057848</v>
      </c>
      <c r="J426">
        <v>8444742.3636363633</v>
      </c>
      <c r="K426">
        <v>45905</v>
      </c>
      <c r="L426">
        <v>2</v>
      </c>
      <c r="M426">
        <v>143</v>
      </c>
      <c r="N426">
        <v>0.93642720915448185</v>
      </c>
      <c r="O426">
        <v>9491356.3636363633</v>
      </c>
      <c r="P426">
        <v>46514</v>
      </c>
      <c r="Q426">
        <v>2</v>
      </c>
      <c r="R426">
        <v>144</v>
      </c>
      <c r="S426">
        <v>11.500186358553858</v>
      </c>
      <c r="T426">
        <v>0.9558139443397522</v>
      </c>
    </row>
    <row r="427" spans="1:20" x14ac:dyDescent="0.25">
      <c r="A427" t="s">
        <v>18</v>
      </c>
      <c r="B427">
        <v>5</v>
      </c>
      <c r="C427">
        <v>5</v>
      </c>
      <c r="D427">
        <v>0</v>
      </c>
      <c r="E427" t="s">
        <v>104</v>
      </c>
      <c r="F427">
        <v>25856</v>
      </c>
      <c r="G427">
        <v>31566158.047619049</v>
      </c>
      <c r="H427">
        <v>0.93306693292799447</v>
      </c>
      <c r="I427">
        <v>0.93772893772893773</v>
      </c>
      <c r="J427">
        <v>8999673.333333334</v>
      </c>
      <c r="K427">
        <v>47127</v>
      </c>
      <c r="L427">
        <v>2</v>
      </c>
      <c r="M427">
        <v>145</v>
      </c>
      <c r="N427">
        <v>0.93972693972693977</v>
      </c>
      <c r="O427">
        <v>9394553.6190476194</v>
      </c>
      <c r="P427">
        <v>47744</v>
      </c>
      <c r="Q427">
        <v>2</v>
      </c>
      <c r="R427">
        <v>146</v>
      </c>
      <c r="S427">
        <v>11.496034696406443</v>
      </c>
      <c r="T427">
        <v>0.95232557952404018</v>
      </c>
    </row>
    <row r="428" spans="1:20" x14ac:dyDescent="0.25">
      <c r="A428" t="s">
        <v>18</v>
      </c>
      <c r="B428">
        <v>5</v>
      </c>
      <c r="C428">
        <v>5</v>
      </c>
      <c r="D428">
        <v>0</v>
      </c>
      <c r="E428" t="s">
        <v>25</v>
      </c>
      <c r="F428">
        <v>25910</v>
      </c>
      <c r="G428">
        <v>36296663.571428575</v>
      </c>
      <c r="H428">
        <v>0.9167499059722537</v>
      </c>
      <c r="I428">
        <v>0.94072594072594073</v>
      </c>
      <c r="J428">
        <v>9141610.6190476194</v>
      </c>
      <c r="K428">
        <v>47744</v>
      </c>
      <c r="L428">
        <v>2</v>
      </c>
      <c r="M428">
        <v>146</v>
      </c>
      <c r="N428">
        <v>0.94272394272394278</v>
      </c>
      <c r="O428">
        <v>10113897.523809524</v>
      </c>
      <c r="P428">
        <v>48365</v>
      </c>
      <c r="Q428">
        <v>2</v>
      </c>
      <c r="R428">
        <v>147</v>
      </c>
      <c r="S428">
        <v>11.494376467680139</v>
      </c>
      <c r="T428">
        <v>0.93720929622650151</v>
      </c>
    </row>
    <row r="429" spans="1:20" x14ac:dyDescent="0.25">
      <c r="A429" t="s">
        <v>18</v>
      </c>
      <c r="B429">
        <v>5</v>
      </c>
      <c r="C429">
        <v>5</v>
      </c>
      <c r="D429">
        <v>0</v>
      </c>
      <c r="E429" t="s">
        <v>26</v>
      </c>
      <c r="F429">
        <v>26744</v>
      </c>
      <c r="G429">
        <v>38795240.727272727</v>
      </c>
      <c r="H429">
        <v>0.9198982878164812</v>
      </c>
      <c r="I429">
        <v>0.9351557533375715</v>
      </c>
      <c r="J429">
        <v>10632861.272727273</v>
      </c>
      <c r="K429">
        <v>48990</v>
      </c>
      <c r="L429">
        <v>2</v>
      </c>
      <c r="M429">
        <v>148</v>
      </c>
      <c r="N429">
        <v>0.93833439287984743</v>
      </c>
      <c r="O429">
        <v>9316499.3636363633</v>
      </c>
      <c r="P429">
        <v>49619</v>
      </c>
      <c r="Q429">
        <v>2</v>
      </c>
      <c r="R429">
        <v>149</v>
      </c>
      <c r="S429">
        <v>11.495433226363861</v>
      </c>
      <c r="T429">
        <v>0.94651162028312685</v>
      </c>
    </row>
    <row r="430" spans="1:20" x14ac:dyDescent="0.25">
      <c r="A430" t="s">
        <v>18</v>
      </c>
      <c r="B430">
        <v>5</v>
      </c>
      <c r="C430">
        <v>5</v>
      </c>
      <c r="D430">
        <v>0</v>
      </c>
      <c r="E430" t="s">
        <v>27</v>
      </c>
      <c r="F430">
        <v>27578</v>
      </c>
      <c r="G430">
        <v>40642667.904761903</v>
      </c>
      <c r="H430">
        <v>0.91375290779840379</v>
      </c>
      <c r="I430">
        <v>0.93772893772893773</v>
      </c>
      <c r="J430">
        <v>8431688.4761904757</v>
      </c>
      <c r="K430">
        <v>50252</v>
      </c>
      <c r="L430">
        <v>2</v>
      </c>
      <c r="M430">
        <v>150</v>
      </c>
      <c r="N430">
        <v>0.9357309357309358</v>
      </c>
      <c r="O430">
        <v>9124420.6190476194</v>
      </c>
      <c r="P430">
        <v>50889</v>
      </c>
      <c r="Q430">
        <v>2</v>
      </c>
      <c r="R430">
        <v>151</v>
      </c>
      <c r="S430">
        <v>11.496491444047766</v>
      </c>
      <c r="T430">
        <v>0.94941859543323515</v>
      </c>
    </row>
    <row r="431" spans="1:20" x14ac:dyDescent="0.25">
      <c r="A431" t="s">
        <v>18</v>
      </c>
      <c r="B431">
        <v>5</v>
      </c>
      <c r="C431">
        <v>5</v>
      </c>
      <c r="D431">
        <v>0</v>
      </c>
      <c r="E431" t="s">
        <v>28</v>
      </c>
      <c r="F431">
        <v>28412</v>
      </c>
      <c r="G431">
        <v>42489315.935483873</v>
      </c>
      <c r="H431">
        <v>0.9296187623854606</v>
      </c>
      <c r="I431">
        <v>0.94089781186555377</v>
      </c>
      <c r="J431">
        <v>8643124.3870967738</v>
      </c>
      <c r="K431">
        <v>52175</v>
      </c>
      <c r="L431">
        <v>2</v>
      </c>
      <c r="M431">
        <v>153</v>
      </c>
      <c r="N431">
        <v>0.94270245883149106</v>
      </c>
      <c r="O431">
        <v>9233847.3225806449</v>
      </c>
      <c r="P431">
        <v>52824</v>
      </c>
      <c r="Q431">
        <v>2</v>
      </c>
      <c r="R431">
        <v>154</v>
      </c>
      <c r="S431">
        <v>11.498528329654157</v>
      </c>
      <c r="T431">
        <v>0.94999998609224956</v>
      </c>
    </row>
    <row r="432" spans="1:20" x14ac:dyDescent="0.25">
      <c r="A432" t="s">
        <v>18</v>
      </c>
      <c r="B432">
        <v>5</v>
      </c>
      <c r="C432">
        <v>5</v>
      </c>
      <c r="D432">
        <v>0</v>
      </c>
      <c r="E432" t="s">
        <v>67</v>
      </c>
      <c r="F432">
        <v>28928</v>
      </c>
      <c r="G432">
        <v>39354186.645161293</v>
      </c>
      <c r="H432">
        <v>0.909316485927951</v>
      </c>
      <c r="I432">
        <v>0.94180013534852247</v>
      </c>
      <c r="J432">
        <v>9064973.7419354841</v>
      </c>
      <c r="K432">
        <v>52824</v>
      </c>
      <c r="L432">
        <v>2</v>
      </c>
      <c r="M432">
        <v>154</v>
      </c>
      <c r="N432">
        <v>0.93570945183848409</v>
      </c>
      <c r="O432">
        <v>9026411.3548387103</v>
      </c>
      <c r="P432">
        <v>53477</v>
      </c>
      <c r="Q432">
        <v>2</v>
      </c>
      <c r="R432">
        <v>155</v>
      </c>
      <c r="S432">
        <v>11.496518020769701</v>
      </c>
      <c r="T432">
        <v>0.93255813320477798</v>
      </c>
    </row>
    <row r="433" spans="1:20" x14ac:dyDescent="0.25">
      <c r="A433" t="s">
        <v>18</v>
      </c>
      <c r="B433">
        <v>5</v>
      </c>
      <c r="C433">
        <v>5</v>
      </c>
      <c r="D433">
        <v>0</v>
      </c>
      <c r="E433" t="s">
        <v>29</v>
      </c>
      <c r="F433">
        <v>29246</v>
      </c>
      <c r="G433">
        <v>39028462.272727273</v>
      </c>
      <c r="H433">
        <v>0.92498410289937805</v>
      </c>
      <c r="I433">
        <v>0.93324856961220592</v>
      </c>
      <c r="J433">
        <v>9488516.6363636367</v>
      </c>
      <c r="K433">
        <v>53477</v>
      </c>
      <c r="L433">
        <v>2</v>
      </c>
      <c r="M433">
        <v>155</v>
      </c>
      <c r="N433">
        <v>0.93579148124602674</v>
      </c>
      <c r="O433">
        <v>9078260.3636363633</v>
      </c>
      <c r="P433">
        <v>54134</v>
      </c>
      <c r="Q433">
        <v>2</v>
      </c>
      <c r="R433">
        <v>156</v>
      </c>
      <c r="S433">
        <v>11.496095656417765</v>
      </c>
      <c r="T433">
        <v>0.95232557058334355</v>
      </c>
    </row>
    <row r="434" spans="1:20" x14ac:dyDescent="0.25">
      <c r="A434" t="s">
        <v>18</v>
      </c>
      <c r="B434">
        <v>5</v>
      </c>
      <c r="C434">
        <v>5</v>
      </c>
      <c r="D434">
        <v>0</v>
      </c>
      <c r="E434" t="s">
        <v>68</v>
      </c>
      <c r="F434">
        <v>29918</v>
      </c>
      <c r="G434">
        <v>43048829.580645159</v>
      </c>
      <c r="H434">
        <v>0.90345138503659161</v>
      </c>
      <c r="I434">
        <v>0.94337920144371756</v>
      </c>
      <c r="J434">
        <v>9259388.6774193551</v>
      </c>
      <c r="K434">
        <v>54795</v>
      </c>
      <c r="L434">
        <v>2</v>
      </c>
      <c r="M434">
        <v>157</v>
      </c>
      <c r="N434">
        <v>0.94134897360703818</v>
      </c>
      <c r="O434">
        <v>10018244.258064516</v>
      </c>
      <c r="P434">
        <v>55460</v>
      </c>
      <c r="Q434">
        <v>2</v>
      </c>
      <c r="R434">
        <v>158</v>
      </c>
      <c r="S434">
        <v>11.496414245776103</v>
      </c>
      <c r="T434">
        <v>0.92596899072329208</v>
      </c>
    </row>
    <row r="435" spans="1:20" x14ac:dyDescent="0.25">
      <c r="A435" t="s">
        <v>18</v>
      </c>
      <c r="B435">
        <v>5</v>
      </c>
      <c r="C435">
        <v>5</v>
      </c>
      <c r="D435">
        <v>0</v>
      </c>
      <c r="E435" t="s">
        <v>30</v>
      </c>
      <c r="F435">
        <v>30080</v>
      </c>
      <c r="G435">
        <v>35031494.090909094</v>
      </c>
      <c r="H435">
        <v>0.91036236828023742</v>
      </c>
      <c r="I435">
        <v>0.93197711379529558</v>
      </c>
      <c r="J435">
        <v>9335977.9090909082</v>
      </c>
      <c r="K435">
        <v>55460</v>
      </c>
      <c r="L435">
        <v>2</v>
      </c>
      <c r="M435">
        <v>158</v>
      </c>
      <c r="N435">
        <v>0.93197711379529558</v>
      </c>
      <c r="O435">
        <v>10004427</v>
      </c>
      <c r="P435">
        <v>56129</v>
      </c>
      <c r="Q435">
        <v>2</v>
      </c>
      <c r="R435">
        <v>159</v>
      </c>
      <c r="S435">
        <v>11.493445010924981</v>
      </c>
      <c r="T435">
        <v>0.92906976342201231</v>
      </c>
    </row>
    <row r="436" spans="1:20" x14ac:dyDescent="0.25">
      <c r="A436" t="s">
        <v>18</v>
      </c>
      <c r="B436">
        <v>5</v>
      </c>
      <c r="C436">
        <v>5</v>
      </c>
      <c r="D436">
        <v>0</v>
      </c>
      <c r="E436" t="s">
        <v>77</v>
      </c>
      <c r="F436">
        <v>30490</v>
      </c>
      <c r="G436">
        <v>47240209.612903222</v>
      </c>
      <c r="H436">
        <v>0.90345138695932203</v>
      </c>
      <c r="I436">
        <v>0.93458154748477329</v>
      </c>
      <c r="J436">
        <v>9334314.3870967738</v>
      </c>
      <c r="K436">
        <v>56129</v>
      </c>
      <c r="L436">
        <v>2</v>
      </c>
      <c r="M436">
        <v>159</v>
      </c>
      <c r="N436">
        <v>0.93819084141664788</v>
      </c>
      <c r="O436">
        <v>9961368.5483870972</v>
      </c>
      <c r="P436">
        <v>56802</v>
      </c>
      <c r="Q436">
        <v>2</v>
      </c>
      <c r="R436">
        <v>160</v>
      </c>
      <c r="S436">
        <v>11.494376587253598</v>
      </c>
      <c r="T436">
        <v>0.93449612259864812</v>
      </c>
    </row>
    <row r="437" spans="1:20" x14ac:dyDescent="0.25">
      <c r="A437" t="s">
        <v>18</v>
      </c>
      <c r="B437">
        <v>5</v>
      </c>
      <c r="C437">
        <v>5</v>
      </c>
      <c r="D437">
        <v>0</v>
      </c>
      <c r="E437" t="s">
        <v>31</v>
      </c>
      <c r="F437">
        <v>30914</v>
      </c>
      <c r="G437">
        <v>45505997</v>
      </c>
      <c r="H437">
        <v>0.88874761624769727</v>
      </c>
      <c r="I437">
        <v>0.91417673235855046</v>
      </c>
      <c r="J437">
        <v>8596839.6363636367</v>
      </c>
      <c r="K437">
        <v>56802</v>
      </c>
      <c r="L437">
        <v>2</v>
      </c>
      <c r="M437">
        <v>160</v>
      </c>
      <c r="N437">
        <v>0.91290527654164011</v>
      </c>
      <c r="O437">
        <v>9565309.1818181816</v>
      </c>
      <c r="P437">
        <v>57479</v>
      </c>
      <c r="Q437">
        <v>2</v>
      </c>
      <c r="R437">
        <v>161</v>
      </c>
      <c r="S437">
        <v>11.494565217391305</v>
      </c>
      <c r="T437">
        <v>0.92441860437393186</v>
      </c>
    </row>
    <row r="438" spans="1:20" x14ac:dyDescent="0.25">
      <c r="A438" t="s">
        <v>18</v>
      </c>
      <c r="B438">
        <v>5</v>
      </c>
      <c r="C438">
        <v>5</v>
      </c>
      <c r="D438">
        <v>0</v>
      </c>
      <c r="E438" t="s">
        <v>78</v>
      </c>
      <c r="F438">
        <v>31532</v>
      </c>
      <c r="G438">
        <v>39714914.024390243</v>
      </c>
      <c r="H438">
        <v>0.92341804213640166</v>
      </c>
      <c r="I438">
        <v>0.9358690090397408</v>
      </c>
      <c r="J438">
        <v>9181187.0731707308</v>
      </c>
      <c r="K438">
        <v>57479</v>
      </c>
      <c r="L438">
        <v>2</v>
      </c>
      <c r="M438">
        <v>161</v>
      </c>
      <c r="N438">
        <v>0.93450451987037353</v>
      </c>
      <c r="O438">
        <v>9171610.5121951215</v>
      </c>
      <c r="P438">
        <v>58160</v>
      </c>
      <c r="Q438">
        <v>2</v>
      </c>
      <c r="R438">
        <v>162</v>
      </c>
      <c r="S438">
        <v>11.488643191924048</v>
      </c>
      <c r="T438">
        <v>0.94273255169391634</v>
      </c>
    </row>
    <row r="439" spans="1:20" x14ac:dyDescent="0.25">
      <c r="A439" t="s">
        <v>18</v>
      </c>
      <c r="B439">
        <v>5</v>
      </c>
      <c r="C439">
        <v>5</v>
      </c>
      <c r="D439">
        <v>0</v>
      </c>
      <c r="E439" t="s">
        <v>32</v>
      </c>
      <c r="F439">
        <v>31748</v>
      </c>
      <c r="G439">
        <v>40252805.363636367</v>
      </c>
      <c r="H439">
        <v>0.89574062824249268</v>
      </c>
      <c r="I439">
        <v>0.91290527654164011</v>
      </c>
      <c r="J439">
        <v>9962836.6363636367</v>
      </c>
      <c r="K439">
        <v>58160</v>
      </c>
      <c r="L439">
        <v>2</v>
      </c>
      <c r="M439">
        <v>162</v>
      </c>
      <c r="N439">
        <v>0.90972663699936429</v>
      </c>
      <c r="O439">
        <v>10458262.545454545</v>
      </c>
      <c r="P439">
        <v>58845</v>
      </c>
      <c r="Q439">
        <v>2</v>
      </c>
      <c r="R439">
        <v>163</v>
      </c>
      <c r="S439">
        <v>11.486437830052809</v>
      </c>
      <c r="T439">
        <v>0.9441860437393188</v>
      </c>
    </row>
    <row r="440" spans="1:20" x14ac:dyDescent="0.25">
      <c r="A440" t="s">
        <v>18</v>
      </c>
      <c r="B440">
        <v>5</v>
      </c>
      <c r="C440">
        <v>5</v>
      </c>
      <c r="D440">
        <v>0</v>
      </c>
      <c r="E440" t="s">
        <v>46</v>
      </c>
      <c r="F440">
        <v>32006</v>
      </c>
      <c r="G440">
        <v>47237084.047619045</v>
      </c>
      <c r="H440">
        <v>0.92207791975566322</v>
      </c>
      <c r="I440">
        <v>0.93073593073593075</v>
      </c>
      <c r="J440">
        <v>10060684.80952381</v>
      </c>
      <c r="K440">
        <v>58845</v>
      </c>
      <c r="L440">
        <v>2</v>
      </c>
      <c r="M440">
        <v>163</v>
      </c>
      <c r="N440">
        <v>0.93173493173493172</v>
      </c>
      <c r="O440">
        <v>8937033.9047619049</v>
      </c>
      <c r="P440">
        <v>59534</v>
      </c>
      <c r="Q440">
        <v>2</v>
      </c>
      <c r="R440">
        <v>164</v>
      </c>
      <c r="S440">
        <v>11.487369807254879</v>
      </c>
      <c r="T440">
        <v>0.94999999105930333</v>
      </c>
    </row>
    <row r="441" spans="1:20" x14ac:dyDescent="0.25">
      <c r="A441" t="s">
        <v>18</v>
      </c>
      <c r="B441">
        <v>5</v>
      </c>
      <c r="C441">
        <v>5</v>
      </c>
      <c r="D441">
        <v>0</v>
      </c>
      <c r="E441" t="s">
        <v>33</v>
      </c>
      <c r="F441">
        <v>32582</v>
      </c>
      <c r="G441">
        <v>47925710.523809522</v>
      </c>
      <c r="H441">
        <v>0.92174491428193595</v>
      </c>
      <c r="I441">
        <v>0.93539793539793537</v>
      </c>
      <c r="J441">
        <v>10012742.571428571</v>
      </c>
      <c r="K441">
        <v>59534</v>
      </c>
      <c r="L441">
        <v>2</v>
      </c>
      <c r="M441">
        <v>164</v>
      </c>
      <c r="N441">
        <v>0.93906093906093913</v>
      </c>
      <c r="O441">
        <v>9233538.0476190485</v>
      </c>
      <c r="P441">
        <v>60227</v>
      </c>
      <c r="Q441">
        <v>2</v>
      </c>
      <c r="R441">
        <v>165</v>
      </c>
      <c r="S441">
        <v>11.487700023883448</v>
      </c>
      <c r="T441">
        <v>0.9331395238637924</v>
      </c>
    </row>
    <row r="442" spans="1:20" x14ac:dyDescent="0.25">
      <c r="A442" t="s">
        <v>18</v>
      </c>
      <c r="B442">
        <v>5</v>
      </c>
      <c r="C442">
        <v>5</v>
      </c>
      <c r="D442">
        <v>0</v>
      </c>
      <c r="E442" t="s">
        <v>47</v>
      </c>
      <c r="F442">
        <v>32892</v>
      </c>
      <c r="G442">
        <v>48959671.428571425</v>
      </c>
      <c r="H442">
        <v>0.8887778889565241</v>
      </c>
      <c r="I442">
        <v>0.92640692640692635</v>
      </c>
      <c r="J442">
        <v>9611443</v>
      </c>
      <c r="K442">
        <v>60227</v>
      </c>
      <c r="L442">
        <v>2</v>
      </c>
      <c r="M442">
        <v>165</v>
      </c>
      <c r="N442">
        <v>0.9257409257409257</v>
      </c>
      <c r="O442">
        <v>9039880.0476190485</v>
      </c>
      <c r="P442">
        <v>60924</v>
      </c>
      <c r="Q442">
        <v>2</v>
      </c>
      <c r="R442">
        <v>166</v>
      </c>
      <c r="S442">
        <v>11.488624181060155</v>
      </c>
      <c r="T442">
        <v>0.93372092843055721</v>
      </c>
    </row>
    <row r="443" spans="1:20" x14ac:dyDescent="0.25">
      <c r="A443" t="s">
        <v>18</v>
      </c>
      <c r="B443">
        <v>5</v>
      </c>
      <c r="C443">
        <v>5</v>
      </c>
      <c r="D443">
        <v>0</v>
      </c>
      <c r="E443" t="s">
        <v>34</v>
      </c>
      <c r="F443">
        <v>33416</v>
      </c>
      <c r="G443">
        <v>52726972.193548389</v>
      </c>
      <c r="H443">
        <v>0.87299796842759658</v>
      </c>
      <c r="I443">
        <v>0.92939318745770361</v>
      </c>
      <c r="J443">
        <v>9588195.5806451607</v>
      </c>
      <c r="K443">
        <v>60924</v>
      </c>
      <c r="L443">
        <v>2</v>
      </c>
      <c r="M443">
        <v>166</v>
      </c>
      <c r="N443">
        <v>0.93074667268215661</v>
      </c>
      <c r="O443">
        <v>9611159.6451612897</v>
      </c>
      <c r="P443">
        <v>61625</v>
      </c>
      <c r="Q443">
        <v>2</v>
      </c>
      <c r="R443">
        <v>167</v>
      </c>
      <c r="S443">
        <v>11.490980299074295</v>
      </c>
      <c r="T443">
        <v>0.93643410603205368</v>
      </c>
    </row>
    <row r="444" spans="1:20" x14ac:dyDescent="0.25">
      <c r="A444" t="s">
        <v>18</v>
      </c>
      <c r="B444">
        <v>5</v>
      </c>
      <c r="C444">
        <v>5</v>
      </c>
      <c r="D444">
        <v>0</v>
      </c>
      <c r="E444" t="s">
        <v>48</v>
      </c>
      <c r="F444">
        <v>33778</v>
      </c>
      <c r="G444">
        <v>42824577.81818182</v>
      </c>
      <c r="H444">
        <v>0.9218054684725675</v>
      </c>
      <c r="I444">
        <v>0.93642720915448185</v>
      </c>
      <c r="J444">
        <v>9264249.2727272734</v>
      </c>
      <c r="K444">
        <v>61625</v>
      </c>
      <c r="L444">
        <v>2</v>
      </c>
      <c r="M444">
        <v>167</v>
      </c>
      <c r="N444">
        <v>0.93897012078830255</v>
      </c>
      <c r="O444">
        <v>10682254.909090908</v>
      </c>
      <c r="P444">
        <v>62330</v>
      </c>
      <c r="Q444">
        <v>2</v>
      </c>
      <c r="R444">
        <v>168</v>
      </c>
      <c r="S444">
        <v>11.489036387341471</v>
      </c>
      <c r="T444">
        <v>0.93953487277030945</v>
      </c>
    </row>
    <row r="445" spans="1:20" x14ac:dyDescent="0.25">
      <c r="A445" t="s">
        <v>18</v>
      </c>
      <c r="B445">
        <v>5</v>
      </c>
      <c r="C445">
        <v>5</v>
      </c>
      <c r="D445">
        <v>0</v>
      </c>
      <c r="E445" t="s">
        <v>59</v>
      </c>
      <c r="F445">
        <v>33932</v>
      </c>
      <c r="G445">
        <v>50435969.285714284</v>
      </c>
      <c r="H445">
        <v>0.90442890212649396</v>
      </c>
      <c r="I445">
        <v>0.92673992673992678</v>
      </c>
      <c r="J445">
        <v>10076430.952380951</v>
      </c>
      <c r="K445">
        <v>62330</v>
      </c>
      <c r="L445">
        <v>2</v>
      </c>
      <c r="M445">
        <v>168</v>
      </c>
      <c r="N445">
        <v>0.92840492840492839</v>
      </c>
      <c r="O445">
        <v>9617536.5238095243</v>
      </c>
      <c r="P445">
        <v>63039</v>
      </c>
      <c r="Q445">
        <v>2</v>
      </c>
      <c r="R445">
        <v>169</v>
      </c>
      <c r="S445">
        <v>11.489713880349964</v>
      </c>
      <c r="T445">
        <v>0.93313953578472142</v>
      </c>
    </row>
    <row r="446" spans="1:20" x14ac:dyDescent="0.25">
      <c r="A446" t="s">
        <v>18</v>
      </c>
      <c r="B446">
        <v>5</v>
      </c>
      <c r="C446">
        <v>5</v>
      </c>
      <c r="D446">
        <v>0</v>
      </c>
      <c r="E446" t="s">
        <v>35</v>
      </c>
      <c r="F446">
        <v>34250</v>
      </c>
      <c r="G446">
        <v>46186894.714285716</v>
      </c>
      <c r="H446">
        <v>0.88011988287880305</v>
      </c>
      <c r="I446">
        <v>0.92440892440892442</v>
      </c>
      <c r="J446">
        <v>9403716.0476190485</v>
      </c>
      <c r="K446">
        <v>63039</v>
      </c>
      <c r="L446">
        <v>2</v>
      </c>
      <c r="M446">
        <v>169</v>
      </c>
      <c r="N446">
        <v>0.92141192141192141</v>
      </c>
      <c r="O446">
        <v>11052553.476190476</v>
      </c>
      <c r="P446">
        <v>63752</v>
      </c>
      <c r="Q446">
        <v>2</v>
      </c>
      <c r="R446">
        <v>170</v>
      </c>
      <c r="S446">
        <v>11.487793371859889</v>
      </c>
      <c r="T446">
        <v>0.94767441153526311</v>
      </c>
    </row>
    <row r="447" spans="1:20" x14ac:dyDescent="0.25">
      <c r="A447" t="s">
        <v>18</v>
      </c>
      <c r="B447">
        <v>5</v>
      </c>
      <c r="C447">
        <v>5</v>
      </c>
      <c r="D447">
        <v>0</v>
      </c>
      <c r="E447" t="s">
        <v>49</v>
      </c>
      <c r="F447">
        <v>34664</v>
      </c>
      <c r="G447">
        <v>59484405.454545453</v>
      </c>
      <c r="H447">
        <v>0.93642720309170813</v>
      </c>
      <c r="I447">
        <v>0.93833439287984743</v>
      </c>
      <c r="J447">
        <v>9514468.5454545449</v>
      </c>
      <c r="K447">
        <v>63752</v>
      </c>
      <c r="L447">
        <v>2</v>
      </c>
      <c r="M447">
        <v>170</v>
      </c>
      <c r="N447">
        <v>0.93769866497139231</v>
      </c>
      <c r="O447">
        <v>9812959.4545454551</v>
      </c>
      <c r="P447">
        <v>64469</v>
      </c>
      <c r="Q447">
        <v>2</v>
      </c>
      <c r="R447">
        <v>171</v>
      </c>
      <c r="S447">
        <v>11.490223792697291</v>
      </c>
      <c r="T447">
        <v>0.94302325248718266</v>
      </c>
    </row>
    <row r="448" spans="1:20" x14ac:dyDescent="0.25">
      <c r="A448" t="s">
        <v>18</v>
      </c>
      <c r="B448">
        <v>5</v>
      </c>
      <c r="C448">
        <v>5</v>
      </c>
      <c r="D448">
        <v>0</v>
      </c>
      <c r="E448" t="s">
        <v>36</v>
      </c>
      <c r="F448">
        <v>35084</v>
      </c>
      <c r="G448">
        <v>49860540.292682923</v>
      </c>
      <c r="H448">
        <v>0.88725907773506352</v>
      </c>
      <c r="I448">
        <v>0.92802319631587926</v>
      </c>
      <c r="J448">
        <v>9602047.9512195121</v>
      </c>
      <c r="K448">
        <v>64469</v>
      </c>
      <c r="L448">
        <v>2</v>
      </c>
      <c r="M448">
        <v>171</v>
      </c>
      <c r="N448">
        <v>0.926658707146512</v>
      </c>
      <c r="O448">
        <v>9809380.0731707308</v>
      </c>
      <c r="P448">
        <v>65190</v>
      </c>
      <c r="Q448">
        <v>2</v>
      </c>
      <c r="R448">
        <v>172</v>
      </c>
      <c r="S448">
        <v>11.490798265150627</v>
      </c>
      <c r="T448">
        <v>0.93924417644739155</v>
      </c>
    </row>
    <row r="449" spans="1:20" x14ac:dyDescent="0.25">
      <c r="A449" t="s">
        <v>18</v>
      </c>
      <c r="B449">
        <v>5</v>
      </c>
      <c r="C449">
        <v>5</v>
      </c>
      <c r="D449">
        <v>0</v>
      </c>
      <c r="E449" t="s">
        <v>50</v>
      </c>
      <c r="F449">
        <v>35550</v>
      </c>
      <c r="G449">
        <v>46952473.363636367</v>
      </c>
      <c r="H449">
        <v>0.90654800154946069</v>
      </c>
      <c r="I449">
        <v>0.93706293706293708</v>
      </c>
      <c r="J449">
        <v>10110256.909090908</v>
      </c>
      <c r="K449">
        <v>65190</v>
      </c>
      <c r="L449">
        <v>2</v>
      </c>
      <c r="M449">
        <v>172</v>
      </c>
      <c r="N449">
        <v>0.94469167196439929</v>
      </c>
      <c r="O449">
        <v>10158532.909090908</v>
      </c>
      <c r="P449">
        <v>65915</v>
      </c>
      <c r="Q449">
        <v>2</v>
      </c>
      <c r="R449">
        <v>173</v>
      </c>
      <c r="S449">
        <v>11.490283306017327</v>
      </c>
      <c r="T449">
        <v>0.94302324056625364</v>
      </c>
    </row>
    <row r="450" spans="1:20" x14ac:dyDescent="0.25">
      <c r="A450" t="s">
        <v>18</v>
      </c>
      <c r="B450">
        <v>5</v>
      </c>
      <c r="C450">
        <v>5</v>
      </c>
      <c r="D450">
        <v>0</v>
      </c>
      <c r="E450" t="s">
        <v>37</v>
      </c>
      <c r="F450">
        <v>35918</v>
      </c>
      <c r="G450">
        <v>47779477.761904761</v>
      </c>
      <c r="H450">
        <v>0.91275391124543692</v>
      </c>
      <c r="I450">
        <v>0.92407592407592409</v>
      </c>
      <c r="J450">
        <v>8976808.666666666</v>
      </c>
      <c r="K450">
        <v>65915</v>
      </c>
      <c r="L450">
        <v>2</v>
      </c>
      <c r="M450">
        <v>173</v>
      </c>
      <c r="N450">
        <v>0.92507492507492506</v>
      </c>
      <c r="O450">
        <v>9747401.0476190485</v>
      </c>
      <c r="P450">
        <v>66644</v>
      </c>
      <c r="Q450">
        <v>2</v>
      </c>
      <c r="R450">
        <v>174</v>
      </c>
      <c r="S450">
        <v>11.489548055587996</v>
      </c>
      <c r="T450">
        <v>0.94941859245300297</v>
      </c>
    </row>
    <row r="451" spans="1:20" x14ac:dyDescent="0.25">
      <c r="A451" t="s">
        <v>18</v>
      </c>
      <c r="B451">
        <v>5</v>
      </c>
      <c r="C451">
        <v>5</v>
      </c>
      <c r="D451">
        <v>0</v>
      </c>
      <c r="E451" t="s">
        <v>51</v>
      </c>
      <c r="F451">
        <v>36436</v>
      </c>
      <c r="G451">
        <v>49520686.129032262</v>
      </c>
      <c r="H451">
        <v>0.92262576280101649</v>
      </c>
      <c r="I451">
        <v>0.92939318745770361</v>
      </c>
      <c r="J451">
        <v>9709116.6451612897</v>
      </c>
      <c r="K451">
        <v>66644</v>
      </c>
      <c r="L451">
        <v>2</v>
      </c>
      <c r="M451">
        <v>174</v>
      </c>
      <c r="N451">
        <v>0.9298443491991879</v>
      </c>
      <c r="O451">
        <v>9944344.4193548393</v>
      </c>
      <c r="P451">
        <v>67377</v>
      </c>
      <c r="Q451">
        <v>2</v>
      </c>
      <c r="R451">
        <v>175</v>
      </c>
      <c r="S451">
        <v>11.490225738887595</v>
      </c>
      <c r="T451">
        <v>0.95155037442843116</v>
      </c>
    </row>
    <row r="452" spans="1:20" x14ac:dyDescent="0.25">
      <c r="A452" t="s">
        <v>18</v>
      </c>
      <c r="B452">
        <v>5</v>
      </c>
      <c r="C452">
        <v>5</v>
      </c>
      <c r="D452">
        <v>0</v>
      </c>
      <c r="E452" t="s">
        <v>38</v>
      </c>
      <c r="F452">
        <v>36752</v>
      </c>
      <c r="G452">
        <v>51506321</v>
      </c>
      <c r="H452">
        <v>0.91544818878173828</v>
      </c>
      <c r="I452">
        <v>0.93642720915448185</v>
      </c>
      <c r="J452">
        <v>8899593.2727272734</v>
      </c>
      <c r="K452">
        <v>67377</v>
      </c>
      <c r="L452">
        <v>2</v>
      </c>
      <c r="M452">
        <v>175</v>
      </c>
      <c r="N452">
        <v>0.93579148124602674</v>
      </c>
      <c r="O452">
        <v>10751651.454545455</v>
      </c>
      <c r="P452">
        <v>68114</v>
      </c>
      <c r="Q452">
        <v>2</v>
      </c>
      <c r="R452">
        <v>176</v>
      </c>
      <c r="S452">
        <v>11.491109819872168</v>
      </c>
      <c r="T452">
        <v>0.94418603777885435</v>
      </c>
    </row>
    <row r="453" spans="1:20" x14ac:dyDescent="0.25">
      <c r="A453" t="s">
        <v>18</v>
      </c>
      <c r="B453">
        <v>5</v>
      </c>
      <c r="C453">
        <v>5</v>
      </c>
      <c r="D453">
        <v>0</v>
      </c>
      <c r="E453" t="s">
        <v>52</v>
      </c>
      <c r="F453">
        <v>37322</v>
      </c>
      <c r="G453">
        <v>54175225.560975611</v>
      </c>
      <c r="H453">
        <v>0.9017567779959702</v>
      </c>
      <c r="I453">
        <v>0.92546477912331571</v>
      </c>
      <c r="J453">
        <v>9990690.975609757</v>
      </c>
      <c r="K453">
        <v>68114</v>
      </c>
      <c r="L453">
        <v>2</v>
      </c>
      <c r="M453">
        <v>176</v>
      </c>
      <c r="N453">
        <v>0.92290636193075215</v>
      </c>
      <c r="O453">
        <v>9574623.2926829271</v>
      </c>
      <c r="P453">
        <v>68855</v>
      </c>
      <c r="Q453">
        <v>2</v>
      </c>
      <c r="R453">
        <v>177</v>
      </c>
      <c r="S453">
        <v>11.493291695581773</v>
      </c>
      <c r="T453">
        <v>0.93691859394311905</v>
      </c>
    </row>
    <row r="454" spans="1:20" x14ac:dyDescent="0.25">
      <c r="A454" t="s">
        <v>18</v>
      </c>
      <c r="B454">
        <v>5</v>
      </c>
      <c r="C454">
        <v>5</v>
      </c>
      <c r="D454">
        <v>0</v>
      </c>
      <c r="E454" t="s">
        <v>61</v>
      </c>
      <c r="F454">
        <v>37684</v>
      </c>
      <c r="G454">
        <v>44472156.090909094</v>
      </c>
      <c r="H454">
        <v>0.93261284177953552</v>
      </c>
      <c r="I454">
        <v>0.93769866497139231</v>
      </c>
      <c r="J454">
        <v>9874226.7272727266</v>
      </c>
      <c r="K454">
        <v>68855</v>
      </c>
      <c r="L454">
        <v>2</v>
      </c>
      <c r="M454">
        <v>177</v>
      </c>
      <c r="N454">
        <v>0.94469167196439918</v>
      </c>
      <c r="O454">
        <v>9463268.6363636367</v>
      </c>
      <c r="P454">
        <v>69600</v>
      </c>
      <c r="Q454">
        <v>2</v>
      </c>
      <c r="R454">
        <v>178</v>
      </c>
      <c r="S454">
        <v>11.491509760887144</v>
      </c>
      <c r="T454">
        <v>0.9546511590480804</v>
      </c>
    </row>
    <row r="455" spans="1:20" x14ac:dyDescent="0.25">
      <c r="A455" t="s">
        <v>18</v>
      </c>
      <c r="B455">
        <v>5</v>
      </c>
      <c r="C455">
        <v>5</v>
      </c>
      <c r="D455">
        <v>0</v>
      </c>
      <c r="E455" t="s">
        <v>70</v>
      </c>
      <c r="F455">
        <v>37838</v>
      </c>
      <c r="G455">
        <v>48642933.909090906</v>
      </c>
      <c r="H455">
        <v>0.92561982978474011</v>
      </c>
      <c r="I455">
        <v>0.93261284170375081</v>
      </c>
      <c r="J455">
        <v>9676543.4545454551</v>
      </c>
      <c r="K455">
        <v>69600</v>
      </c>
      <c r="L455">
        <v>2</v>
      </c>
      <c r="M455">
        <v>178</v>
      </c>
      <c r="N455">
        <v>0.93197711379529558</v>
      </c>
      <c r="O455">
        <v>10010288.090909092</v>
      </c>
      <c r="P455">
        <v>70349</v>
      </c>
      <c r="Q455">
        <v>2</v>
      </c>
      <c r="R455">
        <v>179</v>
      </c>
      <c r="S455">
        <v>11.490655283802491</v>
      </c>
      <c r="T455">
        <v>0.93255814313888552</v>
      </c>
    </row>
    <row r="456" spans="1:20" x14ac:dyDescent="0.25">
      <c r="A456" t="s">
        <v>18</v>
      </c>
      <c r="B456">
        <v>5</v>
      </c>
      <c r="C456">
        <v>5</v>
      </c>
      <c r="D456">
        <v>0</v>
      </c>
      <c r="E456" t="s">
        <v>53</v>
      </c>
      <c r="F456">
        <v>38208</v>
      </c>
      <c r="G456">
        <v>52124484.904761903</v>
      </c>
      <c r="H456">
        <v>0.88711289280936834</v>
      </c>
      <c r="I456">
        <v>0.91175491175491175</v>
      </c>
      <c r="J456">
        <v>9636649.1428571437</v>
      </c>
      <c r="K456">
        <v>70349</v>
      </c>
      <c r="L456">
        <v>2</v>
      </c>
      <c r="M456">
        <v>179</v>
      </c>
      <c r="N456">
        <v>0.91408591408591411</v>
      </c>
      <c r="O456">
        <v>9831417.4761904757</v>
      </c>
      <c r="P456">
        <v>71102</v>
      </c>
      <c r="Q456">
        <v>2</v>
      </c>
      <c r="R456">
        <v>180</v>
      </c>
      <c r="S456">
        <v>11.491541028887099</v>
      </c>
      <c r="T456">
        <v>0.94302325546741483</v>
      </c>
    </row>
    <row r="457" spans="1:20" x14ac:dyDescent="0.25">
      <c r="A457" t="s">
        <v>18</v>
      </c>
      <c r="B457">
        <v>5</v>
      </c>
      <c r="C457">
        <v>5</v>
      </c>
      <c r="D457">
        <v>0</v>
      </c>
      <c r="E457" t="s">
        <v>62</v>
      </c>
      <c r="F457">
        <v>38622</v>
      </c>
      <c r="G457">
        <v>54169778.727272727</v>
      </c>
      <c r="H457">
        <v>0.83026065609671851</v>
      </c>
      <c r="I457">
        <v>0.9351557533375715</v>
      </c>
      <c r="J457">
        <v>9732512.7272727266</v>
      </c>
      <c r="K457">
        <v>71102</v>
      </c>
      <c r="L457">
        <v>2</v>
      </c>
      <c r="M457">
        <v>180</v>
      </c>
      <c r="N457">
        <v>0.93706293706293708</v>
      </c>
      <c r="O457">
        <v>9719884.0909090918</v>
      </c>
      <c r="P457">
        <v>71859</v>
      </c>
      <c r="Q457">
        <v>2</v>
      </c>
      <c r="R457">
        <v>181</v>
      </c>
      <c r="S457">
        <v>11.490919540229886</v>
      </c>
      <c r="T457">
        <v>0.93023255467414856</v>
      </c>
    </row>
    <row r="458" spans="1:20" x14ac:dyDescent="0.25">
      <c r="A458" t="s">
        <v>18</v>
      </c>
      <c r="B458">
        <v>5</v>
      </c>
      <c r="C458">
        <v>5</v>
      </c>
      <c r="D458">
        <v>0</v>
      </c>
      <c r="E458" t="s">
        <v>54</v>
      </c>
      <c r="F458">
        <v>39094</v>
      </c>
      <c r="G458">
        <v>52047630.064516127</v>
      </c>
      <c r="H458">
        <v>0.8775095901181621</v>
      </c>
      <c r="I458">
        <v>0.91833972479133774</v>
      </c>
      <c r="J458">
        <v>10676079.612903226</v>
      </c>
      <c r="K458">
        <v>71859</v>
      </c>
      <c r="L458">
        <v>2</v>
      </c>
      <c r="M458">
        <v>181</v>
      </c>
      <c r="N458">
        <v>0.91991879088653283</v>
      </c>
      <c r="O458">
        <v>9628942.5483870972</v>
      </c>
      <c r="P458">
        <v>72620</v>
      </c>
      <c r="Q458">
        <v>2</v>
      </c>
      <c r="R458">
        <v>182</v>
      </c>
      <c r="S458">
        <v>11.489978238460658</v>
      </c>
      <c r="T458">
        <v>0.93565891186396277</v>
      </c>
    </row>
    <row r="459" spans="1:20" x14ac:dyDescent="0.25">
      <c r="A459" t="s">
        <v>18</v>
      </c>
      <c r="B459">
        <v>5</v>
      </c>
      <c r="C459">
        <v>5</v>
      </c>
      <c r="D459">
        <v>0</v>
      </c>
      <c r="E459" t="s">
        <v>63</v>
      </c>
      <c r="F459">
        <v>39560</v>
      </c>
      <c r="G459">
        <v>54969626.18181818</v>
      </c>
      <c r="H459">
        <v>0.9376986676996405</v>
      </c>
      <c r="I459">
        <v>0.93452002542911639</v>
      </c>
      <c r="J459">
        <v>9725186.2727272734</v>
      </c>
      <c r="K459">
        <v>72620</v>
      </c>
      <c r="L459">
        <v>2</v>
      </c>
      <c r="M459">
        <v>182</v>
      </c>
      <c r="N459">
        <v>0.93197711379529569</v>
      </c>
      <c r="O459">
        <v>11412121.090909092</v>
      </c>
      <c r="P459">
        <v>73385</v>
      </c>
      <c r="Q459">
        <v>2</v>
      </c>
      <c r="R459">
        <v>183</v>
      </c>
      <c r="S459">
        <v>11.489476092427362</v>
      </c>
      <c r="T459">
        <v>0.93720929026603694</v>
      </c>
    </row>
    <row r="460" spans="1:20" x14ac:dyDescent="0.25">
      <c r="A460" t="s">
        <v>18</v>
      </c>
      <c r="B460">
        <v>5</v>
      </c>
      <c r="C460">
        <v>5</v>
      </c>
      <c r="D460">
        <v>0</v>
      </c>
      <c r="E460" t="s">
        <v>71</v>
      </c>
      <c r="F460">
        <v>39818</v>
      </c>
      <c r="G460">
        <v>46384522.909090906</v>
      </c>
      <c r="H460">
        <v>0.85123967582529236</v>
      </c>
      <c r="I460">
        <v>0.9351557533375715</v>
      </c>
      <c r="J460">
        <v>10471802.818181818</v>
      </c>
      <c r="K460">
        <v>73385</v>
      </c>
      <c r="L460">
        <v>2</v>
      </c>
      <c r="M460">
        <v>183</v>
      </c>
      <c r="N460">
        <v>0.9351557533375715</v>
      </c>
      <c r="O460">
        <v>11442843.181818182</v>
      </c>
      <c r="P460">
        <v>74154</v>
      </c>
      <c r="Q460">
        <v>2</v>
      </c>
      <c r="R460">
        <v>184</v>
      </c>
      <c r="S460">
        <v>11.486804524163144</v>
      </c>
      <c r="T460">
        <v>0.9406976640224457</v>
      </c>
    </row>
    <row r="461" spans="1:20" x14ac:dyDescent="0.25">
      <c r="A461" t="s">
        <v>18</v>
      </c>
      <c r="B461">
        <v>5</v>
      </c>
      <c r="C461">
        <v>5</v>
      </c>
      <c r="D461">
        <v>0</v>
      </c>
      <c r="E461" t="s">
        <v>64</v>
      </c>
      <c r="F461">
        <v>40498</v>
      </c>
      <c r="G461">
        <v>51716095.619047619</v>
      </c>
      <c r="H461">
        <v>0.87745588450204759</v>
      </c>
      <c r="I461">
        <v>0.91242091242091239</v>
      </c>
      <c r="J461">
        <v>10209359.285714285</v>
      </c>
      <c r="K461">
        <v>74154</v>
      </c>
      <c r="L461">
        <v>2</v>
      </c>
      <c r="M461">
        <v>184</v>
      </c>
      <c r="N461">
        <v>0.91042291042291035</v>
      </c>
      <c r="O461">
        <v>11239929.095238095</v>
      </c>
      <c r="P461">
        <v>74927</v>
      </c>
      <c r="Q461">
        <v>2</v>
      </c>
      <c r="R461">
        <v>185</v>
      </c>
      <c r="S461">
        <v>11.48415773877365</v>
      </c>
      <c r="T461">
        <v>0.93604650795459743</v>
      </c>
    </row>
    <row r="462" spans="1:20" x14ac:dyDescent="0.25">
      <c r="A462" t="s">
        <v>18</v>
      </c>
      <c r="B462">
        <v>5</v>
      </c>
      <c r="C462">
        <v>5</v>
      </c>
      <c r="D462">
        <v>0</v>
      </c>
      <c r="E462" t="s">
        <v>72</v>
      </c>
      <c r="F462">
        <v>40808</v>
      </c>
      <c r="G462">
        <v>58071067.909090906</v>
      </c>
      <c r="H462">
        <v>0.88175462050871412</v>
      </c>
      <c r="I462">
        <v>0.93070565797838523</v>
      </c>
      <c r="J462">
        <v>8841434.8181818184</v>
      </c>
      <c r="K462">
        <v>74927</v>
      </c>
      <c r="L462">
        <v>2</v>
      </c>
      <c r="M462">
        <v>185</v>
      </c>
      <c r="N462">
        <v>0.93134138588684046</v>
      </c>
      <c r="O462">
        <v>11163964.181818182</v>
      </c>
      <c r="P462">
        <v>75704</v>
      </c>
      <c r="Q462">
        <v>2</v>
      </c>
      <c r="R462">
        <v>186</v>
      </c>
      <c r="S462">
        <v>11.484689812179852</v>
      </c>
      <c r="T462">
        <v>0.92674419283866882</v>
      </c>
    </row>
    <row r="463" spans="1:20" x14ac:dyDescent="0.25">
      <c r="A463" t="s">
        <v>18</v>
      </c>
      <c r="B463">
        <v>5</v>
      </c>
      <c r="C463">
        <v>5</v>
      </c>
      <c r="D463">
        <v>0</v>
      </c>
      <c r="E463" t="s">
        <v>65</v>
      </c>
      <c r="F463">
        <v>41436</v>
      </c>
      <c r="G463">
        <v>54572605.380952381</v>
      </c>
      <c r="H463">
        <v>0.89643688996632898</v>
      </c>
      <c r="I463">
        <v>0.91075591075591067</v>
      </c>
      <c r="J463">
        <v>11257258.761904761</v>
      </c>
      <c r="K463">
        <v>75704</v>
      </c>
      <c r="L463">
        <v>2</v>
      </c>
      <c r="M463">
        <v>186</v>
      </c>
      <c r="N463">
        <v>0.91075591075591078</v>
      </c>
      <c r="O463">
        <v>11246264.571428571</v>
      </c>
      <c r="P463">
        <v>76485</v>
      </c>
      <c r="Q463">
        <v>2</v>
      </c>
      <c r="R463">
        <v>187</v>
      </c>
      <c r="S463">
        <v>11.483306836248012</v>
      </c>
      <c r="T463">
        <v>0.94709301888942721</v>
      </c>
    </row>
    <row r="464" spans="1:20" x14ac:dyDescent="0.25">
      <c r="A464" t="s">
        <v>18</v>
      </c>
      <c r="B464">
        <v>5</v>
      </c>
      <c r="C464">
        <v>5</v>
      </c>
      <c r="D464">
        <v>0</v>
      </c>
      <c r="E464" t="s">
        <v>73</v>
      </c>
      <c r="F464">
        <v>41798</v>
      </c>
      <c r="G464">
        <v>61357984.272727273</v>
      </c>
      <c r="H464">
        <v>0.90336935086683789</v>
      </c>
      <c r="I464">
        <v>0.93134138588684046</v>
      </c>
      <c r="J464">
        <v>10020263.727272727</v>
      </c>
      <c r="K464">
        <v>76485</v>
      </c>
      <c r="L464">
        <v>2</v>
      </c>
      <c r="M464">
        <v>187</v>
      </c>
      <c r="N464">
        <v>0.93452002542911639</v>
      </c>
      <c r="O464">
        <v>11413999.090909092</v>
      </c>
      <c r="P464">
        <v>77270</v>
      </c>
      <c r="Q464">
        <v>2</v>
      </c>
      <c r="R464">
        <v>188</v>
      </c>
      <c r="S464">
        <v>11.483384371101282</v>
      </c>
      <c r="T464">
        <v>0.92674419283866882</v>
      </c>
    </row>
    <row r="465" spans="1:20" x14ac:dyDescent="0.25">
      <c r="A465" t="s">
        <v>18</v>
      </c>
      <c r="B465">
        <v>5</v>
      </c>
      <c r="C465">
        <v>5</v>
      </c>
      <c r="D465">
        <v>0</v>
      </c>
      <c r="E465" t="s">
        <v>88</v>
      </c>
      <c r="F465">
        <v>41952</v>
      </c>
      <c r="G465">
        <v>60771097.272727273</v>
      </c>
      <c r="H465">
        <v>0.91989827156066895</v>
      </c>
      <c r="I465">
        <v>0.91290527654164011</v>
      </c>
      <c r="J465">
        <v>12571799.363636363</v>
      </c>
      <c r="K465">
        <v>77270</v>
      </c>
      <c r="L465">
        <v>2</v>
      </c>
      <c r="M465">
        <v>188</v>
      </c>
      <c r="N465">
        <v>0.91354100445009534</v>
      </c>
      <c r="O465">
        <v>12045458.272727273</v>
      </c>
      <c r="P465">
        <v>78059</v>
      </c>
      <c r="Q465">
        <v>2</v>
      </c>
      <c r="R465">
        <v>189</v>
      </c>
      <c r="S465">
        <v>11.483688264612596</v>
      </c>
      <c r="T465">
        <v>0.95348836183547969</v>
      </c>
    </row>
    <row r="466" spans="1:20" x14ac:dyDescent="0.25">
      <c r="A466" t="s">
        <v>18</v>
      </c>
      <c r="B466">
        <v>5</v>
      </c>
      <c r="C466">
        <v>5</v>
      </c>
      <c r="D466">
        <v>0</v>
      </c>
      <c r="E466" t="s">
        <v>74</v>
      </c>
      <c r="F466">
        <v>42788</v>
      </c>
      <c r="G466">
        <v>63174417.18181818</v>
      </c>
      <c r="H466">
        <v>0.90464082089337439</v>
      </c>
      <c r="I466">
        <v>0.91163382072472976</v>
      </c>
      <c r="J466">
        <v>12227922.636363637</v>
      </c>
      <c r="K466">
        <v>78852</v>
      </c>
      <c r="L466">
        <v>2</v>
      </c>
      <c r="M466">
        <v>190</v>
      </c>
      <c r="N466">
        <v>0.91226954863318499</v>
      </c>
      <c r="O466">
        <v>12956708.818181818</v>
      </c>
      <c r="P466">
        <v>79649</v>
      </c>
      <c r="Q466">
        <v>2</v>
      </c>
      <c r="R466">
        <v>191</v>
      </c>
      <c r="S466">
        <v>11.484896481502432</v>
      </c>
      <c r="T466">
        <v>0.9441860437393188</v>
      </c>
    </row>
    <row r="467" spans="1:20" x14ac:dyDescent="0.25">
      <c r="A467" t="s">
        <v>18</v>
      </c>
      <c r="B467">
        <v>5</v>
      </c>
      <c r="C467">
        <v>5</v>
      </c>
      <c r="D467">
        <v>0</v>
      </c>
      <c r="E467" t="s">
        <v>75</v>
      </c>
      <c r="F467">
        <v>43778</v>
      </c>
      <c r="G467">
        <v>57066713.761904761</v>
      </c>
      <c r="H467">
        <v>0.88278388125555851</v>
      </c>
      <c r="I467">
        <v>0.91008991008991003</v>
      </c>
      <c r="J467">
        <v>13043275.904761905</v>
      </c>
      <c r="K467">
        <v>80450</v>
      </c>
      <c r="L467">
        <v>2</v>
      </c>
      <c r="M467">
        <v>192</v>
      </c>
      <c r="N467">
        <v>0.914085914085914</v>
      </c>
      <c r="O467">
        <v>12663919.380952381</v>
      </c>
      <c r="P467">
        <v>81255</v>
      </c>
      <c r="Q467">
        <v>2</v>
      </c>
      <c r="R467">
        <v>193</v>
      </c>
      <c r="S467">
        <v>11.483069977426636</v>
      </c>
      <c r="T467">
        <v>0.95465115010738377</v>
      </c>
    </row>
    <row r="468" spans="1:20" x14ac:dyDescent="0.25">
      <c r="A468" t="s">
        <v>18</v>
      </c>
      <c r="B468">
        <v>5</v>
      </c>
      <c r="C468">
        <v>5</v>
      </c>
      <c r="D468">
        <v>0</v>
      </c>
      <c r="E468" t="s">
        <v>91</v>
      </c>
      <c r="F468">
        <v>45078</v>
      </c>
      <c r="G468">
        <v>70601748.571428567</v>
      </c>
      <c r="H468">
        <v>0.89810190030506676</v>
      </c>
      <c r="I468">
        <v>0.91375291375291379</v>
      </c>
      <c r="J468">
        <v>12934483.333333334</v>
      </c>
      <c r="K468">
        <v>82877</v>
      </c>
      <c r="L468">
        <v>2</v>
      </c>
      <c r="M468">
        <v>195</v>
      </c>
      <c r="N468">
        <v>0.91208791208791207</v>
      </c>
      <c r="O468">
        <v>12772931.904761905</v>
      </c>
      <c r="P468">
        <v>83694</v>
      </c>
      <c r="Q468">
        <v>2</v>
      </c>
      <c r="R468">
        <v>196</v>
      </c>
      <c r="S468">
        <v>11.486882107870736</v>
      </c>
      <c r="T468">
        <v>0.94127906262874605</v>
      </c>
    </row>
    <row r="469" spans="1:20" x14ac:dyDescent="0.25">
      <c r="A469" t="s">
        <v>18</v>
      </c>
      <c r="B469">
        <v>5</v>
      </c>
      <c r="C469">
        <v>5</v>
      </c>
      <c r="D469">
        <v>0</v>
      </c>
      <c r="E469" t="s">
        <v>92</v>
      </c>
      <c r="F469">
        <v>46120</v>
      </c>
      <c r="G469">
        <v>75336356</v>
      </c>
      <c r="H469">
        <v>0.86141131140969018</v>
      </c>
      <c r="I469">
        <v>0.91417673235855057</v>
      </c>
      <c r="J469">
        <v>13700872.545454545</v>
      </c>
      <c r="K469">
        <v>84515</v>
      </c>
      <c r="L469">
        <v>2</v>
      </c>
      <c r="M469">
        <v>197</v>
      </c>
      <c r="N469">
        <v>0.91290527654164011</v>
      </c>
      <c r="O469">
        <v>14448774.727272727</v>
      </c>
      <c r="P469">
        <v>85340</v>
      </c>
      <c r="Q469">
        <v>2</v>
      </c>
      <c r="R469">
        <v>198</v>
      </c>
      <c r="S469">
        <v>11.488753936122357</v>
      </c>
      <c r="T469">
        <v>0.94767441153526311</v>
      </c>
    </row>
    <row r="470" spans="1:20" x14ac:dyDescent="0.25">
      <c r="A470" t="s">
        <v>18</v>
      </c>
      <c r="B470">
        <v>5</v>
      </c>
      <c r="C470">
        <v>5</v>
      </c>
      <c r="D470">
        <v>0</v>
      </c>
      <c r="E470" t="s">
        <v>105</v>
      </c>
      <c r="F470">
        <v>9176</v>
      </c>
      <c r="G470">
        <v>53292717</v>
      </c>
      <c r="H470">
        <v>0.91671964255246252</v>
      </c>
      <c r="I470">
        <v>0.91735537190082639</v>
      </c>
      <c r="J470">
        <v>13657735.272727273</v>
      </c>
      <c r="K470">
        <v>16685</v>
      </c>
      <c r="L470">
        <v>2</v>
      </c>
      <c r="M470">
        <v>83</v>
      </c>
      <c r="N470">
        <v>0.91099809281627464</v>
      </c>
      <c r="O470">
        <v>14237728.454545455</v>
      </c>
      <c r="P470">
        <v>17054</v>
      </c>
      <c r="Q470">
        <v>2</v>
      </c>
      <c r="R470">
        <v>84</v>
      </c>
      <c r="S470">
        <v>11.487700775019656</v>
      </c>
      <c r="T470">
        <v>0.94302324056625364</v>
      </c>
    </row>
    <row r="471" spans="1:20" x14ac:dyDescent="0.25">
      <c r="A471" t="s">
        <v>18</v>
      </c>
      <c r="B471">
        <v>5</v>
      </c>
      <c r="C471">
        <v>5</v>
      </c>
      <c r="D471">
        <v>0</v>
      </c>
      <c r="E471" t="s">
        <v>19</v>
      </c>
      <c r="F471">
        <v>10010</v>
      </c>
      <c r="G471">
        <v>13030805.272727273</v>
      </c>
      <c r="H471">
        <v>0.95422758297486743</v>
      </c>
      <c r="I471">
        <v>0.94596312778130964</v>
      </c>
      <c r="J471">
        <v>4633100.4545454541</v>
      </c>
      <c r="K471">
        <v>18185</v>
      </c>
      <c r="L471">
        <v>2</v>
      </c>
      <c r="M471">
        <v>87</v>
      </c>
      <c r="N471">
        <v>0.93070565797838523</v>
      </c>
      <c r="O471">
        <v>4513993.4545454541</v>
      </c>
      <c r="P471">
        <v>18570</v>
      </c>
      <c r="Q471">
        <v>2</v>
      </c>
      <c r="R471">
        <v>88</v>
      </c>
      <c r="S471">
        <v>11.484406551492034</v>
      </c>
      <c r="T471">
        <v>0.96395347118377683</v>
      </c>
    </row>
    <row r="472" spans="1:20" x14ac:dyDescent="0.25">
      <c r="A472" t="s">
        <v>18</v>
      </c>
      <c r="B472">
        <v>5</v>
      </c>
      <c r="C472">
        <v>5</v>
      </c>
      <c r="D472">
        <v>0</v>
      </c>
      <c r="E472" t="s">
        <v>20</v>
      </c>
      <c r="F472">
        <v>10844</v>
      </c>
      <c r="G472">
        <v>13866328</v>
      </c>
      <c r="H472">
        <v>0.96058486266569654</v>
      </c>
      <c r="I472">
        <v>0.9351557533375715</v>
      </c>
      <c r="J472">
        <v>8541102.4545454551</v>
      </c>
      <c r="K472">
        <v>19749</v>
      </c>
      <c r="L472">
        <v>2</v>
      </c>
      <c r="M472">
        <v>91</v>
      </c>
      <c r="N472">
        <v>0.93960584869675778</v>
      </c>
      <c r="O472">
        <v>7593572.5454545459</v>
      </c>
      <c r="P472">
        <v>20150</v>
      </c>
      <c r="Q472">
        <v>2</v>
      </c>
      <c r="R472">
        <v>92</v>
      </c>
      <c r="S472">
        <v>11.481456582633053</v>
      </c>
      <c r="T472">
        <v>0.95813951492309568</v>
      </c>
    </row>
    <row r="473" spans="1:20" x14ac:dyDescent="0.25">
      <c r="A473" t="s">
        <v>18</v>
      </c>
      <c r="B473">
        <v>5</v>
      </c>
      <c r="C473">
        <v>5</v>
      </c>
      <c r="D473">
        <v>0</v>
      </c>
      <c r="E473" t="s">
        <v>21</v>
      </c>
      <c r="F473">
        <v>11678</v>
      </c>
      <c r="G473">
        <v>18094422.272727273</v>
      </c>
      <c r="H473">
        <v>0.94532739032398572</v>
      </c>
      <c r="I473">
        <v>0.94214876033057848</v>
      </c>
      <c r="J473">
        <v>8719050.7272727266</v>
      </c>
      <c r="K473">
        <v>21377</v>
      </c>
      <c r="L473">
        <v>2</v>
      </c>
      <c r="M473">
        <v>95</v>
      </c>
      <c r="N473">
        <v>0.93070565797838523</v>
      </c>
      <c r="O473">
        <v>7670629.5454545459</v>
      </c>
      <c r="P473">
        <v>21794</v>
      </c>
      <c r="Q473">
        <v>2</v>
      </c>
      <c r="R473">
        <v>96</v>
      </c>
      <c r="S473">
        <v>11.480752014324082</v>
      </c>
      <c r="T473">
        <v>0.96279067993164058</v>
      </c>
    </row>
    <row r="474" spans="1:20" x14ac:dyDescent="0.25">
      <c r="A474" t="s">
        <v>18</v>
      </c>
      <c r="B474">
        <v>5</v>
      </c>
      <c r="C474">
        <v>5</v>
      </c>
      <c r="D474">
        <v>0</v>
      </c>
      <c r="E474" t="s">
        <v>22</v>
      </c>
      <c r="F474">
        <v>12512</v>
      </c>
      <c r="G474">
        <v>16471511.454545455</v>
      </c>
      <c r="H474">
        <v>0.95677050135352393</v>
      </c>
      <c r="I474">
        <v>0.93324856961220604</v>
      </c>
      <c r="J474">
        <v>8190464.5454545459</v>
      </c>
      <c r="K474">
        <v>23069</v>
      </c>
      <c r="L474">
        <v>2</v>
      </c>
      <c r="M474">
        <v>99</v>
      </c>
      <c r="N474">
        <v>0.93769866497139231</v>
      </c>
      <c r="O474">
        <v>7805752.5454545459</v>
      </c>
      <c r="P474">
        <v>23502</v>
      </c>
      <c r="Q474">
        <v>2</v>
      </c>
      <c r="R474">
        <v>100</v>
      </c>
      <c r="S474">
        <v>11.47870794679781</v>
      </c>
      <c r="T474">
        <v>0.96279067993164058</v>
      </c>
    </row>
    <row r="475" spans="1:20" x14ac:dyDescent="0.25">
      <c r="A475" t="s">
        <v>18</v>
      </c>
      <c r="B475">
        <v>9</v>
      </c>
      <c r="C475">
        <v>2</v>
      </c>
      <c r="D475">
        <v>0</v>
      </c>
      <c r="E475" t="s">
        <v>93</v>
      </c>
      <c r="F475">
        <v>17962</v>
      </c>
      <c r="G475">
        <v>17206239.454545453</v>
      </c>
      <c r="H475">
        <v>0.94914176247336646</v>
      </c>
      <c r="I475">
        <v>0.94151303242212336</v>
      </c>
      <c r="J475">
        <v>8495323.7272727266</v>
      </c>
      <c r="K475">
        <v>23939</v>
      </c>
      <c r="L475">
        <v>2</v>
      </c>
      <c r="M475">
        <v>101</v>
      </c>
      <c r="N475">
        <v>0.94087730451366813</v>
      </c>
      <c r="O475">
        <v>8580176.0909090918</v>
      </c>
      <c r="P475">
        <v>24380</v>
      </c>
      <c r="Q475">
        <v>2</v>
      </c>
      <c r="R475">
        <v>102</v>
      </c>
      <c r="S475">
        <v>11.476557267247154</v>
      </c>
      <c r="T475">
        <v>0.95581393837928774</v>
      </c>
    </row>
    <row r="476" spans="1:20" x14ac:dyDescent="0.25">
      <c r="A476" t="s">
        <v>18</v>
      </c>
      <c r="B476">
        <v>9</v>
      </c>
      <c r="C476">
        <v>2</v>
      </c>
      <c r="D476">
        <v>0</v>
      </c>
      <c r="E476" t="s">
        <v>94</v>
      </c>
      <c r="F476">
        <v>18860</v>
      </c>
      <c r="G476">
        <v>16525804.454545455</v>
      </c>
      <c r="H476">
        <v>0.9281627427447926</v>
      </c>
      <c r="I476">
        <v>0.90781945327399871</v>
      </c>
      <c r="J476">
        <v>8335114.6363636367</v>
      </c>
      <c r="K476">
        <v>25274</v>
      </c>
      <c r="L476">
        <v>2</v>
      </c>
      <c r="M476">
        <v>104</v>
      </c>
      <c r="N476">
        <v>0.90654799745708836</v>
      </c>
      <c r="O476">
        <v>7843667</v>
      </c>
      <c r="P476">
        <v>25727</v>
      </c>
      <c r="Q476">
        <v>2</v>
      </c>
      <c r="R476">
        <v>105</v>
      </c>
      <c r="S476">
        <v>11.475526814583565</v>
      </c>
      <c r="T476">
        <v>0.97093021869659424</v>
      </c>
    </row>
    <row r="477" spans="1:20" x14ac:dyDescent="0.25">
      <c r="A477" t="s">
        <v>18</v>
      </c>
      <c r="B477">
        <v>9</v>
      </c>
      <c r="C477">
        <v>2</v>
      </c>
      <c r="D477">
        <v>0</v>
      </c>
      <c r="E477" t="s">
        <v>95</v>
      </c>
      <c r="F477">
        <v>19758</v>
      </c>
      <c r="G477">
        <v>15519803.545454545</v>
      </c>
      <c r="H477">
        <v>0.93134137717160315</v>
      </c>
      <c r="I477">
        <v>0.90591226954863313</v>
      </c>
      <c r="J477">
        <v>6126893.6363636367</v>
      </c>
      <c r="K477">
        <v>26645</v>
      </c>
      <c r="L477">
        <v>2</v>
      </c>
      <c r="M477">
        <v>107</v>
      </c>
      <c r="N477">
        <v>0.90909090909090906</v>
      </c>
      <c r="O477">
        <v>9930507.6363636367</v>
      </c>
      <c r="P477">
        <v>27110</v>
      </c>
      <c r="Q477">
        <v>2</v>
      </c>
      <c r="R477">
        <v>108</v>
      </c>
      <c r="S477">
        <v>11.472605790645879</v>
      </c>
      <c r="T477">
        <v>0.96511626243591309</v>
      </c>
    </row>
    <row r="478" spans="1:20" x14ac:dyDescent="0.25">
      <c r="A478" t="s">
        <v>18</v>
      </c>
      <c r="B478">
        <v>9</v>
      </c>
      <c r="C478">
        <v>2</v>
      </c>
      <c r="D478">
        <v>0</v>
      </c>
      <c r="E478" t="s">
        <v>96</v>
      </c>
      <c r="F478">
        <v>20656</v>
      </c>
      <c r="G478">
        <v>19873136.454545453</v>
      </c>
      <c r="H478">
        <v>0.93579147620634595</v>
      </c>
      <c r="I478">
        <v>0.91226954863318499</v>
      </c>
      <c r="J478">
        <v>8301893.2727272725</v>
      </c>
      <c r="K478">
        <v>27579</v>
      </c>
      <c r="L478">
        <v>2</v>
      </c>
      <c r="M478">
        <v>109</v>
      </c>
      <c r="N478">
        <v>0.91481246026700569</v>
      </c>
      <c r="O478">
        <v>9235031.0909090918</v>
      </c>
      <c r="P478">
        <v>28052</v>
      </c>
      <c r="Q478">
        <v>2</v>
      </c>
      <c r="R478">
        <v>110</v>
      </c>
      <c r="S478">
        <v>11.473251028806585</v>
      </c>
      <c r="T478">
        <v>0.97209300994873049</v>
      </c>
    </row>
    <row r="479" spans="1:20" x14ac:dyDescent="0.25">
      <c r="A479" t="s">
        <v>18</v>
      </c>
      <c r="B479">
        <v>9</v>
      </c>
      <c r="C479">
        <v>2</v>
      </c>
      <c r="D479">
        <v>0</v>
      </c>
      <c r="E479" t="s">
        <v>97</v>
      </c>
      <c r="F479">
        <v>21554</v>
      </c>
      <c r="G479">
        <v>23036506.545454547</v>
      </c>
      <c r="H479">
        <v>0.92943419651551684</v>
      </c>
      <c r="I479">
        <v>0.90909090909090906</v>
      </c>
      <c r="J479">
        <v>8961654.3636363633</v>
      </c>
      <c r="K479">
        <v>29010</v>
      </c>
      <c r="L479">
        <v>2</v>
      </c>
      <c r="M479">
        <v>112</v>
      </c>
      <c r="N479">
        <v>0.91417673235855057</v>
      </c>
      <c r="O479">
        <v>9213883</v>
      </c>
      <c r="P479">
        <v>29495</v>
      </c>
      <c r="Q479">
        <v>2</v>
      </c>
      <c r="R479">
        <v>113</v>
      </c>
      <c r="S479">
        <v>11.474561208620306</v>
      </c>
      <c r="T479">
        <v>0.94883719682693479</v>
      </c>
    </row>
    <row r="480" spans="1:20" x14ac:dyDescent="0.25">
      <c r="A480" t="s">
        <v>18</v>
      </c>
      <c r="B480">
        <v>9</v>
      </c>
      <c r="C480">
        <v>2</v>
      </c>
      <c r="D480">
        <v>0</v>
      </c>
      <c r="E480" t="s">
        <v>98</v>
      </c>
      <c r="F480">
        <v>22452</v>
      </c>
      <c r="G480">
        <v>18601311.363636363</v>
      </c>
      <c r="H480">
        <v>0.93006992340087891</v>
      </c>
      <c r="I480">
        <v>0.90718372536554348</v>
      </c>
      <c r="J480">
        <v>8704267.1818181816</v>
      </c>
      <c r="K480">
        <v>29984</v>
      </c>
      <c r="L480">
        <v>2</v>
      </c>
      <c r="M480">
        <v>114</v>
      </c>
      <c r="N480">
        <v>0.91417673235855057</v>
      </c>
      <c r="O480">
        <v>8771752.0909090918</v>
      </c>
      <c r="P480">
        <v>30477</v>
      </c>
      <c r="Q480">
        <v>2</v>
      </c>
      <c r="R480">
        <v>115</v>
      </c>
      <c r="S480">
        <v>11.473649173416177</v>
      </c>
      <c r="T480">
        <v>0.95465114116668703</v>
      </c>
    </row>
    <row r="481" spans="1:20" x14ac:dyDescent="0.25">
      <c r="A481" t="s">
        <v>18</v>
      </c>
      <c r="B481">
        <v>9</v>
      </c>
      <c r="C481">
        <v>2</v>
      </c>
      <c r="D481">
        <v>0</v>
      </c>
      <c r="E481" t="s">
        <v>99</v>
      </c>
      <c r="F481">
        <v>23350</v>
      </c>
      <c r="G481">
        <v>24412231</v>
      </c>
      <c r="H481">
        <v>0.93134137717160315</v>
      </c>
      <c r="I481">
        <v>0.91417673235855057</v>
      </c>
      <c r="J481">
        <v>8906296.6363636367</v>
      </c>
      <c r="K481">
        <v>31475</v>
      </c>
      <c r="L481">
        <v>2</v>
      </c>
      <c r="M481">
        <v>117</v>
      </c>
      <c r="N481">
        <v>0.91481246026700569</v>
      </c>
      <c r="O481">
        <v>9596940.9090909082</v>
      </c>
      <c r="P481">
        <v>31980</v>
      </c>
      <c r="Q481">
        <v>2</v>
      </c>
      <c r="R481">
        <v>118</v>
      </c>
      <c r="S481">
        <v>11.475620567375886</v>
      </c>
      <c r="T481">
        <v>0.95348834991455078</v>
      </c>
    </row>
    <row r="482" spans="1:20" x14ac:dyDescent="0.25">
      <c r="A482" t="s">
        <v>18</v>
      </c>
      <c r="B482">
        <v>9</v>
      </c>
      <c r="C482">
        <v>2</v>
      </c>
      <c r="D482">
        <v>0</v>
      </c>
      <c r="E482" t="s">
        <v>100</v>
      </c>
      <c r="F482">
        <v>24248</v>
      </c>
      <c r="G482">
        <v>15762770.454545455</v>
      </c>
      <c r="H482">
        <v>0.9262555620887063</v>
      </c>
      <c r="I482">
        <v>0.90845518118245383</v>
      </c>
      <c r="J482">
        <v>8877931.8181818184</v>
      </c>
      <c r="K482">
        <v>32489</v>
      </c>
      <c r="L482">
        <v>2</v>
      </c>
      <c r="M482">
        <v>119</v>
      </c>
      <c r="N482">
        <v>0.91671964399237127</v>
      </c>
      <c r="O482">
        <v>9108402.5454545449</v>
      </c>
      <c r="P482">
        <v>33002</v>
      </c>
      <c r="Q482">
        <v>2</v>
      </c>
      <c r="R482">
        <v>120</v>
      </c>
      <c r="S482">
        <v>11.471499723298285</v>
      </c>
      <c r="T482">
        <v>0.96511626243591309</v>
      </c>
    </row>
    <row r="483" spans="1:20" x14ac:dyDescent="0.25">
      <c r="A483" t="s">
        <v>18</v>
      </c>
      <c r="B483">
        <v>9</v>
      </c>
      <c r="C483">
        <v>2</v>
      </c>
      <c r="D483">
        <v>0</v>
      </c>
      <c r="E483" t="s">
        <v>101</v>
      </c>
      <c r="F483">
        <v>25146</v>
      </c>
      <c r="G483">
        <v>19263077.181818184</v>
      </c>
      <c r="H483">
        <v>0.93134137717160315</v>
      </c>
      <c r="I483">
        <v>0.91608391608391604</v>
      </c>
      <c r="J483">
        <v>8386600.6363636367</v>
      </c>
      <c r="K483">
        <v>34040</v>
      </c>
      <c r="L483">
        <v>2</v>
      </c>
      <c r="M483">
        <v>122</v>
      </c>
      <c r="N483">
        <v>0.91163382072472976</v>
      </c>
      <c r="O483">
        <v>8818819.6363636367</v>
      </c>
      <c r="P483">
        <v>34565</v>
      </c>
      <c r="Q483">
        <v>2</v>
      </c>
      <c r="R483">
        <v>123</v>
      </c>
      <c r="S483">
        <v>11.469157638735352</v>
      </c>
      <c r="T483">
        <v>0.97674417495727539</v>
      </c>
    </row>
    <row r="484" spans="1:20" x14ac:dyDescent="0.25">
      <c r="A484" t="s">
        <v>18</v>
      </c>
      <c r="B484">
        <v>9</v>
      </c>
      <c r="C484">
        <v>2</v>
      </c>
      <c r="D484">
        <v>0</v>
      </c>
      <c r="E484" t="s">
        <v>102</v>
      </c>
      <c r="F484">
        <v>26044</v>
      </c>
      <c r="G484">
        <v>25115492.727272727</v>
      </c>
      <c r="H484">
        <v>0.92371265454725782</v>
      </c>
      <c r="I484">
        <v>0.91735537190082639</v>
      </c>
      <c r="J484">
        <v>9985199.4545454551</v>
      </c>
      <c r="K484">
        <v>35094</v>
      </c>
      <c r="L484">
        <v>2</v>
      </c>
      <c r="M484">
        <v>124</v>
      </c>
      <c r="N484">
        <v>0.90527654164017801</v>
      </c>
      <c r="O484">
        <v>7022496.5454545459</v>
      </c>
      <c r="P484">
        <v>35627</v>
      </c>
      <c r="Q484">
        <v>2</v>
      </c>
      <c r="R484">
        <v>125</v>
      </c>
      <c r="S484">
        <v>11.470133598321739</v>
      </c>
      <c r="T484">
        <v>0.93139534592628481</v>
      </c>
    </row>
    <row r="485" spans="1:20" x14ac:dyDescent="0.25">
      <c r="A485" t="s">
        <v>18</v>
      </c>
      <c r="B485">
        <v>9</v>
      </c>
      <c r="C485">
        <v>2</v>
      </c>
      <c r="D485">
        <v>0</v>
      </c>
      <c r="E485" t="s">
        <v>103</v>
      </c>
      <c r="F485">
        <v>26942</v>
      </c>
      <c r="G485">
        <v>27645950.476190478</v>
      </c>
      <c r="H485">
        <v>0.91641692036674138</v>
      </c>
      <c r="I485">
        <v>0.91341991341991335</v>
      </c>
      <c r="J485">
        <v>9010586.0952380951</v>
      </c>
      <c r="K485">
        <v>36164</v>
      </c>
      <c r="L485">
        <v>2</v>
      </c>
      <c r="M485">
        <v>126</v>
      </c>
      <c r="N485">
        <v>0.91475191475191475</v>
      </c>
      <c r="O485">
        <v>8223925.5238095243</v>
      </c>
      <c r="P485">
        <v>36705</v>
      </c>
      <c r="Q485">
        <v>2</v>
      </c>
      <c r="R485">
        <v>127</v>
      </c>
      <c r="S485">
        <v>11.472571050892267</v>
      </c>
      <c r="T485">
        <v>0.93197674155235288</v>
      </c>
    </row>
    <row r="486" spans="1:20" x14ac:dyDescent="0.25">
      <c r="A486" t="s">
        <v>18</v>
      </c>
      <c r="B486">
        <v>9</v>
      </c>
      <c r="C486">
        <v>2</v>
      </c>
      <c r="D486">
        <v>0</v>
      </c>
      <c r="E486" t="s">
        <v>104</v>
      </c>
      <c r="F486">
        <v>27840</v>
      </c>
      <c r="G486">
        <v>26314049.095238097</v>
      </c>
      <c r="H486">
        <v>0.92607391448248</v>
      </c>
      <c r="I486">
        <v>0.91308691308691303</v>
      </c>
      <c r="J486">
        <v>8634714.7619047612</v>
      </c>
      <c r="K486">
        <v>37250</v>
      </c>
      <c r="L486">
        <v>2</v>
      </c>
      <c r="M486">
        <v>128</v>
      </c>
      <c r="N486">
        <v>0.91208791208791207</v>
      </c>
      <c r="O486">
        <v>8729114.8095238097</v>
      </c>
      <c r="P486">
        <v>37799</v>
      </c>
      <c r="Q486">
        <v>2</v>
      </c>
      <c r="R486">
        <v>129</v>
      </c>
      <c r="S486">
        <v>11.47301901307836</v>
      </c>
      <c r="T486">
        <v>0.93779069781303404</v>
      </c>
    </row>
    <row r="487" spans="1:20" x14ac:dyDescent="0.25">
      <c r="A487" t="s">
        <v>18</v>
      </c>
      <c r="B487">
        <v>9</v>
      </c>
      <c r="C487">
        <v>2</v>
      </c>
      <c r="D487">
        <v>0</v>
      </c>
      <c r="E487" t="s">
        <v>25</v>
      </c>
      <c r="F487">
        <v>27898</v>
      </c>
      <c r="G487">
        <v>23635586.666666668</v>
      </c>
      <c r="H487">
        <v>0.92907092117127921</v>
      </c>
      <c r="I487">
        <v>0.91042291042291035</v>
      </c>
      <c r="J487">
        <v>9041732.0952380951</v>
      </c>
      <c r="K487">
        <v>37799</v>
      </c>
      <c r="L487">
        <v>2</v>
      </c>
      <c r="M487">
        <v>129</v>
      </c>
      <c r="N487">
        <v>0.91475191475191475</v>
      </c>
      <c r="O487">
        <v>9278124.5238095243</v>
      </c>
      <c r="P487">
        <v>38352</v>
      </c>
      <c r="Q487">
        <v>2</v>
      </c>
      <c r="R487">
        <v>130</v>
      </c>
      <c r="S487">
        <v>11.469627192982456</v>
      </c>
      <c r="T487">
        <v>0.94418604075908663</v>
      </c>
    </row>
    <row r="488" spans="1:20" x14ac:dyDescent="0.25">
      <c r="A488" t="s">
        <v>18</v>
      </c>
      <c r="B488">
        <v>9</v>
      </c>
      <c r="C488">
        <v>2</v>
      </c>
      <c r="D488">
        <v>0</v>
      </c>
      <c r="E488" t="s">
        <v>26</v>
      </c>
      <c r="F488">
        <v>28796</v>
      </c>
      <c r="G488">
        <v>22731502</v>
      </c>
      <c r="H488">
        <v>0.91354101354425599</v>
      </c>
      <c r="I488">
        <v>0.90909090909090906</v>
      </c>
      <c r="J488">
        <v>8340501.0909090908</v>
      </c>
      <c r="K488">
        <v>38909</v>
      </c>
      <c r="L488">
        <v>2</v>
      </c>
      <c r="M488">
        <v>131</v>
      </c>
      <c r="N488">
        <v>0.91226954863318499</v>
      </c>
      <c r="O488">
        <v>7964842.9090909092</v>
      </c>
      <c r="P488">
        <v>39470</v>
      </c>
      <c r="Q488">
        <v>2</v>
      </c>
      <c r="R488">
        <v>132</v>
      </c>
      <c r="S488">
        <v>11.466980615485708</v>
      </c>
      <c r="T488">
        <v>0.91395350098609929</v>
      </c>
    </row>
    <row r="489" spans="1:20" x14ac:dyDescent="0.25">
      <c r="A489" t="s">
        <v>18</v>
      </c>
      <c r="B489">
        <v>9</v>
      </c>
      <c r="C489">
        <v>2</v>
      </c>
      <c r="D489">
        <v>0</v>
      </c>
      <c r="E489" t="s">
        <v>56</v>
      </c>
      <c r="F489">
        <v>29466</v>
      </c>
      <c r="G489">
        <v>24316935.666666668</v>
      </c>
      <c r="H489">
        <v>0.92007991529646371</v>
      </c>
      <c r="I489">
        <v>0.91475191475191475</v>
      </c>
      <c r="J489">
        <v>9067196.9047619049</v>
      </c>
      <c r="K489">
        <v>39470</v>
      </c>
      <c r="L489">
        <v>2</v>
      </c>
      <c r="M489">
        <v>132</v>
      </c>
      <c r="N489">
        <v>0.91441891441891443</v>
      </c>
      <c r="O489">
        <v>9008318.666666666</v>
      </c>
      <c r="P489">
        <v>40035</v>
      </c>
      <c r="Q489">
        <v>2</v>
      </c>
      <c r="R489">
        <v>133</v>
      </c>
      <c r="S489">
        <v>11.46284965034965</v>
      </c>
      <c r="T489">
        <v>0.94127906560897823</v>
      </c>
    </row>
    <row r="490" spans="1:20" x14ac:dyDescent="0.25">
      <c r="A490" t="s">
        <v>18</v>
      </c>
      <c r="B490">
        <v>9</v>
      </c>
      <c r="C490">
        <v>2</v>
      </c>
      <c r="D490">
        <v>0</v>
      </c>
      <c r="E490" t="s">
        <v>27</v>
      </c>
      <c r="F490">
        <v>29694</v>
      </c>
      <c r="G490">
        <v>25863394.90909091</v>
      </c>
      <c r="H490">
        <v>0.92752701585943054</v>
      </c>
      <c r="I490">
        <v>0.91226954863318499</v>
      </c>
      <c r="J490">
        <v>9483565.7272727266</v>
      </c>
      <c r="K490">
        <v>40035</v>
      </c>
      <c r="L490">
        <v>2</v>
      </c>
      <c r="M490">
        <v>133</v>
      </c>
      <c r="N490">
        <v>0.91354100445009534</v>
      </c>
      <c r="O490">
        <v>9721706.6363636367</v>
      </c>
      <c r="P490">
        <v>40604</v>
      </c>
      <c r="Q490">
        <v>2</v>
      </c>
      <c r="R490">
        <v>134</v>
      </c>
      <c r="S490">
        <v>11.461202662883336</v>
      </c>
      <c r="T490">
        <v>0.9453488290309906</v>
      </c>
    </row>
    <row r="491" spans="1:20" x14ac:dyDescent="0.25">
      <c r="A491" t="s">
        <v>18</v>
      </c>
      <c r="B491">
        <v>9</v>
      </c>
      <c r="C491">
        <v>2</v>
      </c>
      <c r="D491">
        <v>0</v>
      </c>
      <c r="E491" t="s">
        <v>28</v>
      </c>
      <c r="F491">
        <v>30592</v>
      </c>
      <c r="G491">
        <v>23286755.047619049</v>
      </c>
      <c r="H491">
        <v>0.92174492563520161</v>
      </c>
      <c r="I491">
        <v>0.9110889110889111</v>
      </c>
      <c r="J491">
        <v>8386570.5238095243</v>
      </c>
      <c r="K491">
        <v>41177</v>
      </c>
      <c r="L491">
        <v>2</v>
      </c>
      <c r="M491">
        <v>135</v>
      </c>
      <c r="N491">
        <v>0.91375291375291368</v>
      </c>
      <c r="O491">
        <v>8590357.4761904757</v>
      </c>
      <c r="P491">
        <v>41754</v>
      </c>
      <c r="Q491">
        <v>2</v>
      </c>
      <c r="R491">
        <v>136</v>
      </c>
      <c r="S491">
        <v>11.455574912891986</v>
      </c>
      <c r="T491">
        <v>0.93372093737125395</v>
      </c>
    </row>
    <row r="492" spans="1:20" x14ac:dyDescent="0.25">
      <c r="A492" t="s">
        <v>18</v>
      </c>
      <c r="B492">
        <v>9</v>
      </c>
      <c r="C492">
        <v>2</v>
      </c>
      <c r="D492">
        <v>0</v>
      </c>
      <c r="E492" t="s">
        <v>67</v>
      </c>
      <c r="F492">
        <v>31148</v>
      </c>
      <c r="G492">
        <v>25534975.516129032</v>
      </c>
      <c r="H492">
        <v>0.91946762992489728</v>
      </c>
      <c r="I492">
        <v>0.90976765170313556</v>
      </c>
      <c r="J492">
        <v>8656579.3225806449</v>
      </c>
      <c r="K492">
        <v>41754</v>
      </c>
      <c r="L492">
        <v>2</v>
      </c>
      <c r="M492">
        <v>136</v>
      </c>
      <c r="N492">
        <v>0.90976765170313556</v>
      </c>
      <c r="O492">
        <v>9469666.064516129</v>
      </c>
      <c r="P492">
        <v>42335</v>
      </c>
      <c r="Q492">
        <v>2</v>
      </c>
      <c r="R492">
        <v>137</v>
      </c>
      <c r="S492">
        <v>11.449484536082474</v>
      </c>
      <c r="T492">
        <v>0.93372093439102177</v>
      </c>
    </row>
    <row r="493" spans="1:20" x14ac:dyDescent="0.25">
      <c r="A493" t="s">
        <v>18</v>
      </c>
      <c r="B493">
        <v>9</v>
      </c>
      <c r="C493">
        <v>2</v>
      </c>
      <c r="D493">
        <v>0</v>
      </c>
      <c r="E493" t="s">
        <v>29</v>
      </c>
      <c r="F493">
        <v>31490</v>
      </c>
      <c r="G493">
        <v>27751360.545454547</v>
      </c>
      <c r="H493">
        <v>0.91926256634972314</v>
      </c>
      <c r="I493">
        <v>0.90527654164017801</v>
      </c>
      <c r="J493">
        <v>9494823</v>
      </c>
      <c r="K493">
        <v>42335</v>
      </c>
      <c r="L493">
        <v>2</v>
      </c>
      <c r="M493">
        <v>137</v>
      </c>
      <c r="N493">
        <v>0.90909090909090906</v>
      </c>
      <c r="O493">
        <v>9621472.4545454551</v>
      </c>
      <c r="P493">
        <v>42920</v>
      </c>
      <c r="Q493">
        <v>2</v>
      </c>
      <c r="R493">
        <v>138</v>
      </c>
      <c r="S493">
        <v>11.448081508779536</v>
      </c>
      <c r="T493">
        <v>0.93604651689529417</v>
      </c>
    </row>
    <row r="494" spans="1:20" x14ac:dyDescent="0.25">
      <c r="A494" t="s">
        <v>18</v>
      </c>
      <c r="B494">
        <v>9</v>
      </c>
      <c r="C494">
        <v>2</v>
      </c>
      <c r="D494">
        <v>0</v>
      </c>
      <c r="E494" t="s">
        <v>30</v>
      </c>
      <c r="F494">
        <v>32388</v>
      </c>
      <c r="G494">
        <v>27295942.548387095</v>
      </c>
      <c r="H494">
        <v>0.9196932085098759</v>
      </c>
      <c r="I494">
        <v>0.90796300473719826</v>
      </c>
      <c r="J494">
        <v>8663578.8064516131</v>
      </c>
      <c r="K494">
        <v>43509</v>
      </c>
      <c r="L494">
        <v>2</v>
      </c>
      <c r="M494">
        <v>139</v>
      </c>
      <c r="N494">
        <v>0.90548161515903447</v>
      </c>
      <c r="O494">
        <v>9701398.3548387103</v>
      </c>
      <c r="P494">
        <v>44102</v>
      </c>
      <c r="Q494">
        <v>2</v>
      </c>
      <c r="R494">
        <v>140</v>
      </c>
      <c r="S494">
        <v>11.443448201361132</v>
      </c>
      <c r="T494">
        <v>0.92751938700675962</v>
      </c>
    </row>
    <row r="495" spans="1:20" x14ac:dyDescent="0.25">
      <c r="A495" t="s">
        <v>18</v>
      </c>
      <c r="B495">
        <v>9</v>
      </c>
      <c r="C495">
        <v>2</v>
      </c>
      <c r="D495">
        <v>0</v>
      </c>
      <c r="E495" t="s">
        <v>44</v>
      </c>
      <c r="F495">
        <v>32554</v>
      </c>
      <c r="G495">
        <v>28399240.774193548</v>
      </c>
      <c r="H495">
        <v>0.92307692958462628</v>
      </c>
      <c r="I495">
        <v>0.91179787953981506</v>
      </c>
      <c r="J495">
        <v>8845292.0967741944</v>
      </c>
      <c r="K495">
        <v>44102</v>
      </c>
      <c r="L495">
        <v>2</v>
      </c>
      <c r="M495">
        <v>140</v>
      </c>
      <c r="N495">
        <v>0.91021881344461986</v>
      </c>
      <c r="O495">
        <v>9498770.0322580654</v>
      </c>
      <c r="P495">
        <v>44699</v>
      </c>
      <c r="Q495">
        <v>2</v>
      </c>
      <c r="R495">
        <v>141</v>
      </c>
      <c r="S495">
        <v>11.439707149009475</v>
      </c>
      <c r="T495">
        <v>0.91937986413637796</v>
      </c>
    </row>
    <row r="496" spans="1:20" x14ac:dyDescent="0.25">
      <c r="A496" t="s">
        <v>18</v>
      </c>
      <c r="B496">
        <v>9</v>
      </c>
      <c r="C496">
        <v>2</v>
      </c>
      <c r="D496">
        <v>0</v>
      </c>
      <c r="E496" t="s">
        <v>31</v>
      </c>
      <c r="F496">
        <v>33286</v>
      </c>
      <c r="G496">
        <v>29919859.428571429</v>
      </c>
      <c r="H496">
        <v>0.90775890861238751</v>
      </c>
      <c r="I496">
        <v>0.91042291042291046</v>
      </c>
      <c r="J496">
        <v>9028291.333333334</v>
      </c>
      <c r="K496">
        <v>44699</v>
      </c>
      <c r="L496">
        <v>2</v>
      </c>
      <c r="M496">
        <v>141</v>
      </c>
      <c r="N496">
        <v>0.9097569097569097</v>
      </c>
      <c r="O496">
        <v>8653019.8571428563</v>
      </c>
      <c r="P496">
        <v>45300</v>
      </c>
      <c r="Q496">
        <v>2</v>
      </c>
      <c r="R496">
        <v>142</v>
      </c>
      <c r="S496">
        <v>11.437855838435922</v>
      </c>
      <c r="T496">
        <v>0.92267443239688873</v>
      </c>
    </row>
    <row r="497" spans="1:20" x14ac:dyDescent="0.25">
      <c r="A497" t="s">
        <v>18</v>
      </c>
      <c r="B497">
        <v>9</v>
      </c>
      <c r="C497">
        <v>2</v>
      </c>
      <c r="D497">
        <v>0</v>
      </c>
      <c r="E497" t="s">
        <v>45</v>
      </c>
      <c r="F497">
        <v>33508</v>
      </c>
      <c r="G497">
        <v>27343411.857142858</v>
      </c>
      <c r="H497">
        <v>0.92307692482357928</v>
      </c>
      <c r="I497">
        <v>0.91075591075591078</v>
      </c>
      <c r="J497">
        <v>9213533.8095238097</v>
      </c>
      <c r="K497">
        <v>45300</v>
      </c>
      <c r="L497">
        <v>2</v>
      </c>
      <c r="M497">
        <v>142</v>
      </c>
      <c r="N497">
        <v>0.91208791208791207</v>
      </c>
      <c r="O497">
        <v>8923730.666666666</v>
      </c>
      <c r="P497">
        <v>45905</v>
      </c>
      <c r="Q497">
        <v>2</v>
      </c>
      <c r="R497">
        <v>143</v>
      </c>
      <c r="S497">
        <v>11.434083601286174</v>
      </c>
      <c r="T497">
        <v>0.9302325636148453</v>
      </c>
    </row>
    <row r="498" spans="1:20" x14ac:dyDescent="0.25">
      <c r="A498" t="s">
        <v>18</v>
      </c>
      <c r="B498">
        <v>9</v>
      </c>
      <c r="C498">
        <v>2</v>
      </c>
      <c r="D498">
        <v>0</v>
      </c>
      <c r="E498" t="s">
        <v>32</v>
      </c>
      <c r="F498">
        <v>34184</v>
      </c>
      <c r="G498">
        <v>28573936.714285713</v>
      </c>
      <c r="H498">
        <v>0.92274392502648495</v>
      </c>
      <c r="I498">
        <v>0.90609390609390605</v>
      </c>
      <c r="J498">
        <v>9409557.7619047612</v>
      </c>
      <c r="K498">
        <v>45905</v>
      </c>
      <c r="L498">
        <v>2</v>
      </c>
      <c r="M498">
        <v>143</v>
      </c>
      <c r="N498">
        <v>0.91042291042291046</v>
      </c>
      <c r="O498">
        <v>9628040.0952380951</v>
      </c>
      <c r="P498">
        <v>46514</v>
      </c>
      <c r="Q498">
        <v>2</v>
      </c>
      <c r="R498">
        <v>144</v>
      </c>
      <c r="S498">
        <v>11.430649128435462</v>
      </c>
      <c r="T498">
        <v>0.94186045229434967</v>
      </c>
    </row>
    <row r="499" spans="1:20" x14ac:dyDescent="0.25">
      <c r="A499" t="s">
        <v>18</v>
      </c>
      <c r="B499">
        <v>9</v>
      </c>
      <c r="C499">
        <v>2</v>
      </c>
      <c r="D499">
        <v>0</v>
      </c>
      <c r="E499" t="s">
        <v>46</v>
      </c>
      <c r="F499">
        <v>34462</v>
      </c>
      <c r="G499">
        <v>27179128.571428571</v>
      </c>
      <c r="H499">
        <v>0.92640692563284011</v>
      </c>
      <c r="I499">
        <v>0.9067599067599067</v>
      </c>
      <c r="J499">
        <v>8504317.333333334</v>
      </c>
      <c r="K499">
        <v>46514</v>
      </c>
      <c r="L499">
        <v>2</v>
      </c>
      <c r="M499">
        <v>144</v>
      </c>
      <c r="N499">
        <v>0.9080919080919081</v>
      </c>
      <c r="O499">
        <v>9113439.2380952388</v>
      </c>
      <c r="P499">
        <v>47127</v>
      </c>
      <c r="Q499">
        <v>2</v>
      </c>
      <c r="R499">
        <v>145</v>
      </c>
      <c r="S499">
        <v>11.426269739650021</v>
      </c>
      <c r="T499">
        <v>0.93081396222114565</v>
      </c>
    </row>
    <row r="500" spans="1:20" x14ac:dyDescent="0.25">
      <c r="A500" t="s">
        <v>18</v>
      </c>
      <c r="B500">
        <v>9</v>
      </c>
      <c r="C500">
        <v>2</v>
      </c>
      <c r="D500">
        <v>0</v>
      </c>
      <c r="E500" t="s">
        <v>33</v>
      </c>
      <c r="F500">
        <v>35082</v>
      </c>
      <c r="G500">
        <v>27723515.580645163</v>
      </c>
      <c r="H500">
        <v>0.92555831709215719</v>
      </c>
      <c r="I500">
        <v>0.91427926911797874</v>
      </c>
      <c r="J500">
        <v>9045400.8064516131</v>
      </c>
      <c r="K500">
        <v>47127</v>
      </c>
      <c r="L500">
        <v>2</v>
      </c>
      <c r="M500">
        <v>145</v>
      </c>
      <c r="N500">
        <v>0.91179787953981495</v>
      </c>
      <c r="O500">
        <v>9143516.3870967738</v>
      </c>
      <c r="P500">
        <v>47744</v>
      </c>
      <c r="Q500">
        <v>2</v>
      </c>
      <c r="R500">
        <v>146</v>
      </c>
      <c r="S500">
        <v>11.419972349250239</v>
      </c>
      <c r="T500">
        <v>0.93837208946545914</v>
      </c>
    </row>
    <row r="501" spans="1:20" x14ac:dyDescent="0.25">
      <c r="A501" t="s">
        <v>18</v>
      </c>
      <c r="B501">
        <v>9</v>
      </c>
      <c r="C501">
        <v>2</v>
      </c>
      <c r="D501">
        <v>0</v>
      </c>
      <c r="E501" t="s">
        <v>47</v>
      </c>
      <c r="F501">
        <v>35416</v>
      </c>
      <c r="G501">
        <v>28792280.761904761</v>
      </c>
      <c r="H501">
        <v>0.92840492441540667</v>
      </c>
      <c r="I501">
        <v>0.91408591408591411</v>
      </c>
      <c r="J501">
        <v>8835149.333333334</v>
      </c>
      <c r="K501">
        <v>47744</v>
      </c>
      <c r="L501">
        <v>2</v>
      </c>
      <c r="M501">
        <v>146</v>
      </c>
      <c r="N501">
        <v>0.91142191142191142</v>
      </c>
      <c r="O501">
        <v>9526167.9047619049</v>
      </c>
      <c r="P501">
        <v>48365</v>
      </c>
      <c r="Q501">
        <v>2</v>
      </c>
      <c r="R501">
        <v>147</v>
      </c>
      <c r="S501">
        <v>11.415959252971138</v>
      </c>
      <c r="T501">
        <v>0.92674418985843654</v>
      </c>
    </row>
    <row r="502" spans="1:20" x14ac:dyDescent="0.25">
      <c r="A502" t="s">
        <v>18</v>
      </c>
      <c r="B502">
        <v>9</v>
      </c>
      <c r="C502">
        <v>2</v>
      </c>
      <c r="D502">
        <v>0</v>
      </c>
      <c r="E502" t="s">
        <v>34</v>
      </c>
      <c r="F502">
        <v>35980</v>
      </c>
      <c r="G502">
        <v>25528523.451612905</v>
      </c>
      <c r="H502">
        <v>0.92646063720026328</v>
      </c>
      <c r="I502">
        <v>0.91405368824723665</v>
      </c>
      <c r="J502">
        <v>9257765.0322580654</v>
      </c>
      <c r="K502">
        <v>48365</v>
      </c>
      <c r="L502">
        <v>2</v>
      </c>
      <c r="M502">
        <v>147</v>
      </c>
      <c r="N502">
        <v>0.91788856304985333</v>
      </c>
      <c r="O502">
        <v>9397091.2903225813</v>
      </c>
      <c r="P502">
        <v>48990</v>
      </c>
      <c r="Q502">
        <v>2</v>
      </c>
      <c r="R502">
        <v>148</v>
      </c>
      <c r="S502">
        <v>11.406663141195136</v>
      </c>
      <c r="T502">
        <v>0.93875969052314756</v>
      </c>
    </row>
    <row r="503" spans="1:20" x14ac:dyDescent="0.25">
      <c r="A503" t="s">
        <v>18</v>
      </c>
      <c r="B503">
        <v>9</v>
      </c>
      <c r="C503">
        <v>2</v>
      </c>
      <c r="D503">
        <v>0</v>
      </c>
      <c r="E503" t="s">
        <v>48</v>
      </c>
      <c r="F503">
        <v>36370</v>
      </c>
      <c r="G503">
        <v>30595824.09090909</v>
      </c>
      <c r="H503">
        <v>0.91989828239787708</v>
      </c>
      <c r="I503">
        <v>0.90972663699936429</v>
      </c>
      <c r="J503">
        <v>10248741.909090908</v>
      </c>
      <c r="K503">
        <v>48990</v>
      </c>
      <c r="L503">
        <v>2</v>
      </c>
      <c r="M503">
        <v>148</v>
      </c>
      <c r="N503">
        <v>0.91544818817546092</v>
      </c>
      <c r="O503">
        <v>8978313.7272727266</v>
      </c>
      <c r="P503">
        <v>49619</v>
      </c>
      <c r="Q503">
        <v>2</v>
      </c>
      <c r="R503">
        <v>149</v>
      </c>
      <c r="S503">
        <v>11.404922881893091</v>
      </c>
      <c r="T503">
        <v>0.91744186282157902</v>
      </c>
    </row>
    <row r="504" spans="1:20" x14ac:dyDescent="0.25">
      <c r="A504" t="s">
        <v>18</v>
      </c>
      <c r="B504">
        <v>9</v>
      </c>
      <c r="C504">
        <v>2</v>
      </c>
      <c r="D504">
        <v>0</v>
      </c>
      <c r="E504" t="s">
        <v>35</v>
      </c>
      <c r="F504">
        <v>36878</v>
      </c>
      <c r="G504">
        <v>27669745.536585364</v>
      </c>
      <c r="H504">
        <v>0.92034794935366004</v>
      </c>
      <c r="I504">
        <v>0.91335493774518162</v>
      </c>
      <c r="J504">
        <v>9075440.7317073178</v>
      </c>
      <c r="K504">
        <v>49619</v>
      </c>
      <c r="L504">
        <v>2</v>
      </c>
      <c r="M504">
        <v>149</v>
      </c>
      <c r="N504">
        <v>0.91284325430666891</v>
      </c>
      <c r="O504">
        <v>9738386.7560975607</v>
      </c>
      <c r="P504">
        <v>50252</v>
      </c>
      <c r="Q504">
        <v>2</v>
      </c>
      <c r="R504">
        <v>150</v>
      </c>
      <c r="S504">
        <v>11.39497212580204</v>
      </c>
      <c r="T504">
        <v>0.92558141052722931</v>
      </c>
    </row>
    <row r="505" spans="1:20" x14ac:dyDescent="0.25">
      <c r="A505" t="s">
        <v>18</v>
      </c>
      <c r="B505">
        <v>9</v>
      </c>
      <c r="C505">
        <v>2</v>
      </c>
      <c r="D505">
        <v>0</v>
      </c>
      <c r="E505" t="s">
        <v>49</v>
      </c>
      <c r="F505">
        <v>37324</v>
      </c>
      <c r="G505">
        <v>26947191.181818184</v>
      </c>
      <c r="H505">
        <v>0.93261284719813953</v>
      </c>
      <c r="I505">
        <v>0.91481246026700569</v>
      </c>
      <c r="J505">
        <v>8644791.4545454551</v>
      </c>
      <c r="K505">
        <v>50252</v>
      </c>
      <c r="L505">
        <v>2</v>
      </c>
      <c r="M505">
        <v>150</v>
      </c>
      <c r="N505">
        <v>0.91354100445009534</v>
      </c>
      <c r="O505">
        <v>9334484.7272727266</v>
      </c>
      <c r="P505">
        <v>50889</v>
      </c>
      <c r="Q505">
        <v>2</v>
      </c>
      <c r="R505">
        <v>151</v>
      </c>
      <c r="S505">
        <v>11.391573860054633</v>
      </c>
      <c r="T505">
        <v>0.92093023657798767</v>
      </c>
    </row>
    <row r="506" spans="1:20" x14ac:dyDescent="0.25">
      <c r="A506" t="s">
        <v>18</v>
      </c>
      <c r="B506">
        <v>9</v>
      </c>
      <c r="C506">
        <v>2</v>
      </c>
      <c r="D506">
        <v>0</v>
      </c>
      <c r="E506" t="s">
        <v>36</v>
      </c>
      <c r="F506">
        <v>37776</v>
      </c>
      <c r="G506">
        <v>28774945.523809522</v>
      </c>
      <c r="H506">
        <v>0.92640692563284011</v>
      </c>
      <c r="I506">
        <v>0.9097569097569097</v>
      </c>
      <c r="J506">
        <v>9137703.0476190485</v>
      </c>
      <c r="K506">
        <v>50889</v>
      </c>
      <c r="L506">
        <v>2</v>
      </c>
      <c r="M506">
        <v>151</v>
      </c>
      <c r="N506">
        <v>0.9110889110889111</v>
      </c>
      <c r="O506">
        <v>9811986.8571428563</v>
      </c>
      <c r="P506">
        <v>51530</v>
      </c>
      <c r="Q506">
        <v>2</v>
      </c>
      <c r="R506">
        <v>152</v>
      </c>
      <c r="S506">
        <v>11.386623335779431</v>
      </c>
      <c r="T506">
        <v>0.93837209343910222</v>
      </c>
    </row>
    <row r="507" spans="1:20" x14ac:dyDescent="0.25">
      <c r="A507" t="s">
        <v>18</v>
      </c>
      <c r="B507">
        <v>9</v>
      </c>
      <c r="C507">
        <v>2</v>
      </c>
      <c r="D507">
        <v>0</v>
      </c>
      <c r="E507" t="s">
        <v>50</v>
      </c>
      <c r="F507">
        <v>38278</v>
      </c>
      <c r="G507">
        <v>28956785.290322579</v>
      </c>
      <c r="H507">
        <v>0.91721182100234488</v>
      </c>
      <c r="I507">
        <v>0.90796300473719826</v>
      </c>
      <c r="J507">
        <v>8430034.3870967738</v>
      </c>
      <c r="K507">
        <v>51530</v>
      </c>
      <c r="L507">
        <v>2</v>
      </c>
      <c r="M507">
        <v>152</v>
      </c>
      <c r="N507">
        <v>0.91021881344461986</v>
      </c>
      <c r="O507">
        <v>10073606.419354839</v>
      </c>
      <c r="P507">
        <v>52175</v>
      </c>
      <c r="Q507">
        <v>2</v>
      </c>
      <c r="R507">
        <v>153</v>
      </c>
      <c r="S507">
        <v>11.379310344827585</v>
      </c>
      <c r="T507">
        <v>0.92325581709543869</v>
      </c>
    </row>
    <row r="508" spans="1:20" x14ac:dyDescent="0.25">
      <c r="A508" t="s">
        <v>18</v>
      </c>
      <c r="B508">
        <v>9</v>
      </c>
      <c r="C508">
        <v>2</v>
      </c>
      <c r="D508">
        <v>0</v>
      </c>
      <c r="E508" t="s">
        <v>37</v>
      </c>
      <c r="F508">
        <v>38674</v>
      </c>
      <c r="G508">
        <v>31346833.571428571</v>
      </c>
      <c r="H508">
        <v>0.92007991529646371</v>
      </c>
      <c r="I508">
        <v>0.90842490842490842</v>
      </c>
      <c r="J508">
        <v>8272504</v>
      </c>
      <c r="K508">
        <v>52175</v>
      </c>
      <c r="L508">
        <v>2</v>
      </c>
      <c r="M508">
        <v>153</v>
      </c>
      <c r="N508">
        <v>0.91508491508491507</v>
      </c>
      <c r="O508">
        <v>9905052.0952380951</v>
      </c>
      <c r="P508">
        <v>52824</v>
      </c>
      <c r="Q508">
        <v>2</v>
      </c>
      <c r="R508">
        <v>154</v>
      </c>
      <c r="S508">
        <v>11.375768950057346</v>
      </c>
      <c r="T508">
        <v>0.93313954770565033</v>
      </c>
    </row>
    <row r="509" spans="1:20" x14ac:dyDescent="0.25">
      <c r="A509" t="s">
        <v>18</v>
      </c>
      <c r="B509">
        <v>9</v>
      </c>
      <c r="C509">
        <v>2</v>
      </c>
      <c r="D509">
        <v>0</v>
      </c>
      <c r="E509" t="s">
        <v>51</v>
      </c>
      <c r="F509">
        <v>39232</v>
      </c>
      <c r="G509">
        <v>32054334.193548389</v>
      </c>
      <c r="H509">
        <v>0.92059553438617336</v>
      </c>
      <c r="I509">
        <v>0.91202346041055715</v>
      </c>
      <c r="J509">
        <v>9555368.8387096766</v>
      </c>
      <c r="K509">
        <v>52824</v>
      </c>
      <c r="L509">
        <v>2</v>
      </c>
      <c r="M509">
        <v>154</v>
      </c>
      <c r="N509">
        <v>0.91495601173020524</v>
      </c>
      <c r="O509">
        <v>9363953.9677419346</v>
      </c>
      <c r="P509">
        <v>53477</v>
      </c>
      <c r="Q509">
        <v>2</v>
      </c>
      <c r="R509">
        <v>155</v>
      </c>
      <c r="S509">
        <v>11.371128663479526</v>
      </c>
      <c r="T509">
        <v>0.92635660568873091</v>
      </c>
    </row>
    <row r="510" spans="1:20" x14ac:dyDescent="0.25">
      <c r="A510" t="s">
        <v>18</v>
      </c>
      <c r="B510">
        <v>9</v>
      </c>
      <c r="C510">
        <v>2</v>
      </c>
      <c r="D510">
        <v>0</v>
      </c>
      <c r="E510" t="s">
        <v>38</v>
      </c>
      <c r="F510">
        <v>39572</v>
      </c>
      <c r="G510">
        <v>25472570.727272727</v>
      </c>
      <c r="H510">
        <v>0.93006992340087891</v>
      </c>
      <c r="I510">
        <v>0.91354100445009534</v>
      </c>
      <c r="J510">
        <v>8826528.0909090918</v>
      </c>
      <c r="K510">
        <v>53477</v>
      </c>
      <c r="L510">
        <v>2</v>
      </c>
      <c r="M510">
        <v>155</v>
      </c>
      <c r="N510">
        <v>0.90654799745708836</v>
      </c>
      <c r="O510">
        <v>10491157.909090908</v>
      </c>
      <c r="P510">
        <v>54134</v>
      </c>
      <c r="Q510">
        <v>2</v>
      </c>
      <c r="R510">
        <v>156</v>
      </c>
      <c r="S510">
        <v>11.366760095505034</v>
      </c>
      <c r="T510">
        <v>0.93023256659507747</v>
      </c>
    </row>
    <row r="511" spans="1:20" x14ac:dyDescent="0.25">
      <c r="A511" t="s">
        <v>18</v>
      </c>
      <c r="B511">
        <v>9</v>
      </c>
      <c r="C511">
        <v>2</v>
      </c>
      <c r="D511">
        <v>0</v>
      </c>
      <c r="E511" t="s">
        <v>52</v>
      </c>
      <c r="F511">
        <v>40186</v>
      </c>
      <c r="G511">
        <v>29770033.170731708</v>
      </c>
      <c r="H511">
        <v>0.92427084213349875</v>
      </c>
      <c r="I511">
        <v>0.91557223264540333</v>
      </c>
      <c r="J511">
        <v>9546898.0487804879</v>
      </c>
      <c r="K511">
        <v>54134</v>
      </c>
      <c r="L511">
        <v>2</v>
      </c>
      <c r="M511">
        <v>156</v>
      </c>
      <c r="N511">
        <v>0.91028483711410535</v>
      </c>
      <c r="O511">
        <v>9226653.9024390243</v>
      </c>
      <c r="P511">
        <v>54795</v>
      </c>
      <c r="Q511">
        <v>2</v>
      </c>
      <c r="R511">
        <v>157</v>
      </c>
      <c r="S511">
        <v>11.356936117428157</v>
      </c>
      <c r="T511">
        <v>0.93837208747863765</v>
      </c>
    </row>
    <row r="512" spans="1:20" x14ac:dyDescent="0.25">
      <c r="A512" t="s">
        <v>18</v>
      </c>
      <c r="B512">
        <v>9</v>
      </c>
      <c r="C512">
        <v>2</v>
      </c>
      <c r="D512">
        <v>0</v>
      </c>
      <c r="E512" t="s">
        <v>61</v>
      </c>
      <c r="F512">
        <v>40576</v>
      </c>
      <c r="G512">
        <v>32815608.454545453</v>
      </c>
      <c r="H512">
        <v>0.91608390482989221</v>
      </c>
      <c r="I512">
        <v>0.91544818817546092</v>
      </c>
      <c r="J512">
        <v>8277025.4545454541</v>
      </c>
      <c r="K512">
        <v>54795</v>
      </c>
      <c r="L512">
        <v>2</v>
      </c>
      <c r="M512">
        <v>157</v>
      </c>
      <c r="N512">
        <v>0.91290527654164011</v>
      </c>
      <c r="O512">
        <v>9552433.2727272734</v>
      </c>
      <c r="P512">
        <v>55460</v>
      </c>
      <c r="Q512">
        <v>2</v>
      </c>
      <c r="R512">
        <v>158</v>
      </c>
      <c r="S512">
        <v>11.355188435725349</v>
      </c>
      <c r="T512">
        <v>0.92790699005126953</v>
      </c>
    </row>
    <row r="513" spans="1:20" x14ac:dyDescent="0.25">
      <c r="A513" t="s">
        <v>18</v>
      </c>
      <c r="B513">
        <v>9</v>
      </c>
      <c r="C513">
        <v>2</v>
      </c>
      <c r="D513">
        <v>0</v>
      </c>
      <c r="E513" t="s">
        <v>53</v>
      </c>
      <c r="F513">
        <v>41140</v>
      </c>
      <c r="G513">
        <v>31053673.322580647</v>
      </c>
      <c r="H513">
        <v>0.91788857213912467</v>
      </c>
      <c r="I513">
        <v>0.91473043085946315</v>
      </c>
      <c r="J513">
        <v>9175730.6451612897</v>
      </c>
      <c r="K513">
        <v>55460</v>
      </c>
      <c r="L513">
        <v>2</v>
      </c>
      <c r="M513">
        <v>158</v>
      </c>
      <c r="N513">
        <v>0.91089555605684636</v>
      </c>
      <c r="O513">
        <v>10426322.322580645</v>
      </c>
      <c r="P513">
        <v>56129</v>
      </c>
      <c r="Q513">
        <v>2</v>
      </c>
      <c r="R513">
        <v>159</v>
      </c>
      <c r="S513">
        <v>11.348600247015233</v>
      </c>
      <c r="T513">
        <v>0.92248062888781235</v>
      </c>
    </row>
    <row r="514" spans="1:20" x14ac:dyDescent="0.25">
      <c r="A514" t="s">
        <v>18</v>
      </c>
      <c r="B514">
        <v>9</v>
      </c>
      <c r="C514">
        <v>2</v>
      </c>
      <c r="D514">
        <v>0</v>
      </c>
      <c r="E514" t="s">
        <v>62</v>
      </c>
      <c r="F514">
        <v>41586</v>
      </c>
      <c r="G514">
        <v>30487164.90909091</v>
      </c>
      <c r="H514">
        <v>0.92244119535792957</v>
      </c>
      <c r="I514">
        <v>0.90972663699936429</v>
      </c>
      <c r="J514">
        <v>8849978.5454545449</v>
      </c>
      <c r="K514">
        <v>56129</v>
      </c>
      <c r="L514">
        <v>2</v>
      </c>
      <c r="M514">
        <v>159</v>
      </c>
      <c r="N514">
        <v>0.90909090909090906</v>
      </c>
      <c r="O514">
        <v>10046131.363636363</v>
      </c>
      <c r="P514">
        <v>56802</v>
      </c>
      <c r="Q514">
        <v>2</v>
      </c>
      <c r="R514">
        <v>160</v>
      </c>
      <c r="S514">
        <v>11.345635858949317</v>
      </c>
      <c r="T514">
        <v>0.94302325248718266</v>
      </c>
    </row>
    <row r="515" spans="1:20" x14ac:dyDescent="0.25">
      <c r="A515" t="s">
        <v>18</v>
      </c>
      <c r="B515">
        <v>9</v>
      </c>
      <c r="C515">
        <v>2</v>
      </c>
      <c r="D515">
        <v>0</v>
      </c>
      <c r="E515" t="s">
        <v>54</v>
      </c>
      <c r="F515">
        <v>42094</v>
      </c>
      <c r="G515">
        <v>32235927.838709679</v>
      </c>
      <c r="H515">
        <v>0.92916760521550334</v>
      </c>
      <c r="I515">
        <v>0.91134671779833065</v>
      </c>
      <c r="J515">
        <v>8955083.4193548393</v>
      </c>
      <c r="K515">
        <v>56802</v>
      </c>
      <c r="L515">
        <v>2</v>
      </c>
      <c r="M515">
        <v>160</v>
      </c>
      <c r="N515">
        <v>0.91179787953981495</v>
      </c>
      <c r="O515">
        <v>10317015.903225806</v>
      </c>
      <c r="P515">
        <v>57479</v>
      </c>
      <c r="Q515">
        <v>2</v>
      </c>
      <c r="R515">
        <v>161</v>
      </c>
      <c r="S515">
        <v>11.339516294322607</v>
      </c>
      <c r="T515">
        <v>0.93837208946545914</v>
      </c>
    </row>
    <row r="516" spans="1:20" x14ac:dyDescent="0.25">
      <c r="A516" t="s">
        <v>18</v>
      </c>
      <c r="B516">
        <v>9</v>
      </c>
      <c r="C516">
        <v>2</v>
      </c>
      <c r="D516">
        <v>0</v>
      </c>
      <c r="E516" t="s">
        <v>63</v>
      </c>
      <c r="F516">
        <v>42596</v>
      </c>
      <c r="G516">
        <v>28783332.545454547</v>
      </c>
      <c r="H516">
        <v>0.9230769114060835</v>
      </c>
      <c r="I516">
        <v>0.91354100445009534</v>
      </c>
      <c r="J516">
        <v>8309110.2727272725</v>
      </c>
      <c r="K516">
        <v>57479</v>
      </c>
      <c r="L516">
        <v>2</v>
      </c>
      <c r="M516">
        <v>161</v>
      </c>
      <c r="N516">
        <v>0.90972663699936429</v>
      </c>
      <c r="O516">
        <v>9534889.9090909082</v>
      </c>
      <c r="P516">
        <v>58160</v>
      </c>
      <c r="Q516">
        <v>2</v>
      </c>
      <c r="R516">
        <v>162</v>
      </c>
      <c r="S516">
        <v>11.336063056607637</v>
      </c>
      <c r="T516">
        <v>0.93720930814743042</v>
      </c>
    </row>
    <row r="517" spans="1:20" x14ac:dyDescent="0.25">
      <c r="A517" t="s">
        <v>18</v>
      </c>
      <c r="B517">
        <v>9</v>
      </c>
      <c r="C517">
        <v>2</v>
      </c>
      <c r="D517">
        <v>0</v>
      </c>
      <c r="E517" t="s">
        <v>86</v>
      </c>
      <c r="F517">
        <v>42928</v>
      </c>
      <c r="G517">
        <v>36166165.238095239</v>
      </c>
      <c r="H517">
        <v>0.92873793556576678</v>
      </c>
      <c r="I517">
        <v>0.90842490842490842</v>
      </c>
      <c r="J517">
        <v>9741008.333333334</v>
      </c>
      <c r="K517">
        <v>58160</v>
      </c>
      <c r="L517">
        <v>2</v>
      </c>
      <c r="M517">
        <v>162</v>
      </c>
      <c r="N517">
        <v>0.91308691308691303</v>
      </c>
      <c r="O517">
        <v>9722687.7619047612</v>
      </c>
      <c r="P517">
        <v>58845</v>
      </c>
      <c r="Q517">
        <v>2</v>
      </c>
      <c r="R517">
        <v>163</v>
      </c>
      <c r="S517">
        <v>11.334218590398367</v>
      </c>
      <c r="T517">
        <v>0.93604650795459743</v>
      </c>
    </row>
    <row r="518" spans="1:20" x14ac:dyDescent="0.25">
      <c r="A518" t="s">
        <v>18</v>
      </c>
      <c r="B518">
        <v>9</v>
      </c>
      <c r="C518">
        <v>2</v>
      </c>
      <c r="D518">
        <v>0</v>
      </c>
      <c r="E518" t="s">
        <v>64</v>
      </c>
      <c r="F518">
        <v>43606</v>
      </c>
      <c r="G518">
        <v>29525440.454545453</v>
      </c>
      <c r="H518">
        <v>0.9167196371338584</v>
      </c>
      <c r="I518">
        <v>0.91163382072472976</v>
      </c>
      <c r="J518">
        <v>10129340.545454545</v>
      </c>
      <c r="K518">
        <v>58845</v>
      </c>
      <c r="L518">
        <v>2</v>
      </c>
      <c r="M518">
        <v>163</v>
      </c>
      <c r="N518">
        <v>0.90845518118245394</v>
      </c>
      <c r="O518">
        <v>7603035.9090909092</v>
      </c>
      <c r="P518">
        <v>59534</v>
      </c>
      <c r="Q518">
        <v>2</v>
      </c>
      <c r="R518">
        <v>164</v>
      </c>
      <c r="S518">
        <v>11.330986634016938</v>
      </c>
      <c r="T518">
        <v>0.92441862225532534</v>
      </c>
    </row>
    <row r="519" spans="1:20" x14ac:dyDescent="0.25">
      <c r="A519" t="s">
        <v>18</v>
      </c>
      <c r="B519">
        <v>9</v>
      </c>
      <c r="C519">
        <v>2</v>
      </c>
      <c r="D519">
        <v>0</v>
      </c>
      <c r="E519" t="s">
        <v>72</v>
      </c>
      <c r="F519">
        <v>43940</v>
      </c>
      <c r="G519">
        <v>34141048</v>
      </c>
      <c r="H519">
        <v>0.92053400928323914</v>
      </c>
      <c r="I519">
        <v>0.91163382072472976</v>
      </c>
      <c r="J519">
        <v>8963585.3636363633</v>
      </c>
      <c r="K519">
        <v>59534</v>
      </c>
      <c r="L519">
        <v>2</v>
      </c>
      <c r="M519">
        <v>164</v>
      </c>
      <c r="N519">
        <v>0.90909090909090906</v>
      </c>
      <c r="O519">
        <v>9776185.1818181816</v>
      </c>
      <c r="P519">
        <v>60227</v>
      </c>
      <c r="Q519">
        <v>2</v>
      </c>
      <c r="R519">
        <v>165</v>
      </c>
      <c r="S519">
        <v>11.328883000407664</v>
      </c>
      <c r="T519">
        <v>0.93255814909934998</v>
      </c>
    </row>
    <row r="520" spans="1:20" x14ac:dyDescent="0.25">
      <c r="A520" t="s">
        <v>18</v>
      </c>
      <c r="B520">
        <v>9</v>
      </c>
      <c r="C520">
        <v>2</v>
      </c>
      <c r="D520">
        <v>0</v>
      </c>
      <c r="E520" t="s">
        <v>65</v>
      </c>
      <c r="F520">
        <v>44616</v>
      </c>
      <c r="G520">
        <v>36563678.523809522</v>
      </c>
      <c r="H520">
        <v>0.92141192299979069</v>
      </c>
      <c r="I520">
        <v>0.91042291042291035</v>
      </c>
      <c r="J520">
        <v>9158772.4761904757</v>
      </c>
      <c r="K520">
        <v>60227</v>
      </c>
      <c r="L520">
        <v>2</v>
      </c>
      <c r="M520">
        <v>165</v>
      </c>
      <c r="N520">
        <v>0.91242091242091239</v>
      </c>
      <c r="O520">
        <v>9762018.1904761903</v>
      </c>
      <c r="P520">
        <v>60924</v>
      </c>
      <c r="Q520">
        <v>2</v>
      </c>
      <c r="R520">
        <v>166</v>
      </c>
      <c r="S520">
        <v>11.326451744126919</v>
      </c>
      <c r="T520">
        <v>0.93546511232852936</v>
      </c>
    </row>
    <row r="521" spans="1:20" x14ac:dyDescent="0.25">
      <c r="A521" t="s">
        <v>18</v>
      </c>
      <c r="B521">
        <v>9</v>
      </c>
      <c r="C521">
        <v>2</v>
      </c>
      <c r="D521">
        <v>0</v>
      </c>
      <c r="E521" t="s">
        <v>73</v>
      </c>
      <c r="F521">
        <v>45006</v>
      </c>
      <c r="G521">
        <v>32027647.181818184</v>
      </c>
      <c r="H521">
        <v>0.92561983520334412</v>
      </c>
      <c r="I521">
        <v>0.91036236490781941</v>
      </c>
      <c r="J521">
        <v>9392228.8181818184</v>
      </c>
      <c r="K521">
        <v>60924</v>
      </c>
      <c r="L521">
        <v>2</v>
      </c>
      <c r="M521">
        <v>166</v>
      </c>
      <c r="N521">
        <v>0.91290527654164011</v>
      </c>
      <c r="O521">
        <v>10326519.363636363</v>
      </c>
      <c r="P521">
        <v>61625</v>
      </c>
      <c r="Q521">
        <v>2</v>
      </c>
      <c r="R521">
        <v>167</v>
      </c>
      <c r="S521">
        <v>11.323547338480292</v>
      </c>
      <c r="T521">
        <v>0.94302323460578918</v>
      </c>
    </row>
    <row r="522" spans="1:20" x14ac:dyDescent="0.25">
      <c r="A522" t="s">
        <v>18</v>
      </c>
      <c r="B522">
        <v>9</v>
      </c>
      <c r="C522">
        <v>2</v>
      </c>
      <c r="D522">
        <v>0</v>
      </c>
      <c r="E522" t="s">
        <v>74</v>
      </c>
      <c r="F522">
        <v>46072</v>
      </c>
      <c r="G522">
        <v>34401918.333333336</v>
      </c>
      <c r="H522">
        <v>0.9180819193522135</v>
      </c>
      <c r="I522">
        <v>0.91142191142191142</v>
      </c>
      <c r="J522">
        <v>9961031.1904761903</v>
      </c>
      <c r="K522">
        <v>62330</v>
      </c>
      <c r="L522">
        <v>2</v>
      </c>
      <c r="M522">
        <v>168</v>
      </c>
      <c r="N522">
        <v>0.91408591408591411</v>
      </c>
      <c r="O522">
        <v>10251448.904761905</v>
      </c>
      <c r="P522">
        <v>63039</v>
      </c>
      <c r="Q522">
        <v>2</v>
      </c>
      <c r="R522">
        <v>169</v>
      </c>
      <c r="S522">
        <v>11.319513431322859</v>
      </c>
      <c r="T522">
        <v>0.92441861927509306</v>
      </c>
    </row>
    <row r="523" spans="1:20" x14ac:dyDescent="0.25">
      <c r="A523" t="s">
        <v>18</v>
      </c>
      <c r="B523">
        <v>9</v>
      </c>
      <c r="C523">
        <v>2</v>
      </c>
      <c r="D523">
        <v>0</v>
      </c>
      <c r="E523" t="s">
        <v>75</v>
      </c>
      <c r="F523">
        <v>47138</v>
      </c>
      <c r="G523">
        <v>29411963.952380951</v>
      </c>
      <c r="H523">
        <v>0.93772893292563297</v>
      </c>
      <c r="I523">
        <v>0.91275391275391271</v>
      </c>
      <c r="J523">
        <v>8889691.9523809515</v>
      </c>
      <c r="K523">
        <v>63752</v>
      </c>
      <c r="L523">
        <v>2</v>
      </c>
      <c r="M523">
        <v>170</v>
      </c>
      <c r="N523">
        <v>0.90409590409590412</v>
      </c>
      <c r="O523">
        <v>10723012.428571429</v>
      </c>
      <c r="P523">
        <v>64469</v>
      </c>
      <c r="Q523">
        <v>2</v>
      </c>
      <c r="R523">
        <v>171</v>
      </c>
      <c r="S523">
        <v>11.312057454986849</v>
      </c>
      <c r="T523">
        <v>0.94418604969978337</v>
      </c>
    </row>
    <row r="524" spans="1:20" x14ac:dyDescent="0.25">
      <c r="A524" t="s">
        <v>18</v>
      </c>
      <c r="B524">
        <v>9</v>
      </c>
      <c r="C524">
        <v>2</v>
      </c>
      <c r="D524">
        <v>0</v>
      </c>
      <c r="E524" t="s">
        <v>91</v>
      </c>
      <c r="F524">
        <v>48538</v>
      </c>
      <c r="G524">
        <v>35447799.571428575</v>
      </c>
      <c r="H524">
        <v>0.92740593637738911</v>
      </c>
      <c r="I524">
        <v>0.91142191142191142</v>
      </c>
      <c r="J524">
        <v>9560288.9523809515</v>
      </c>
      <c r="K524">
        <v>65190</v>
      </c>
      <c r="L524">
        <v>2</v>
      </c>
      <c r="M524">
        <v>172</v>
      </c>
      <c r="N524">
        <v>0.91508491508491507</v>
      </c>
      <c r="O524">
        <v>10319472.952380951</v>
      </c>
      <c r="P524">
        <v>65915</v>
      </c>
      <c r="Q524">
        <v>2</v>
      </c>
      <c r="R524">
        <v>173</v>
      </c>
      <c r="S524">
        <v>11.308065004542243</v>
      </c>
      <c r="T524">
        <v>0.93139535188674927</v>
      </c>
    </row>
    <row r="525" spans="1:20" x14ac:dyDescent="0.25">
      <c r="A525" t="s">
        <v>18</v>
      </c>
      <c r="B525">
        <v>9</v>
      </c>
      <c r="C525">
        <v>2</v>
      </c>
      <c r="D525">
        <v>0</v>
      </c>
      <c r="E525" t="s">
        <v>92</v>
      </c>
      <c r="F525">
        <v>49660</v>
      </c>
      <c r="G525">
        <v>50752060.272727273</v>
      </c>
      <c r="H525">
        <v>0.93706293539567431</v>
      </c>
      <c r="I525">
        <v>0.91099809281627464</v>
      </c>
      <c r="J525">
        <v>9461864.8181818184</v>
      </c>
      <c r="K525">
        <v>66644</v>
      </c>
      <c r="L525">
        <v>2</v>
      </c>
      <c r="M525">
        <v>174</v>
      </c>
      <c r="N525">
        <v>0.91036236490781941</v>
      </c>
      <c r="O525">
        <v>11506814.545454545</v>
      </c>
      <c r="P525">
        <v>67377</v>
      </c>
      <c r="Q525">
        <v>2</v>
      </c>
      <c r="R525">
        <v>175</v>
      </c>
      <c r="S525">
        <v>11.309941520467836</v>
      </c>
      <c r="T525">
        <v>0.95348835587501524</v>
      </c>
    </row>
    <row r="526" spans="1:20" x14ac:dyDescent="0.25">
      <c r="A526" t="s">
        <v>18</v>
      </c>
      <c r="B526">
        <v>9</v>
      </c>
      <c r="C526">
        <v>2</v>
      </c>
      <c r="D526">
        <v>0</v>
      </c>
      <c r="E526" t="s">
        <v>105</v>
      </c>
      <c r="F526">
        <v>9880</v>
      </c>
      <c r="G526">
        <v>35515880.090909094</v>
      </c>
      <c r="H526">
        <v>0.93642720851031214</v>
      </c>
      <c r="I526">
        <v>0.90718372536554348</v>
      </c>
      <c r="J526">
        <v>8528485.1818181816</v>
      </c>
      <c r="K526">
        <v>13215</v>
      </c>
      <c r="L526">
        <v>2</v>
      </c>
      <c r="M526">
        <v>73</v>
      </c>
      <c r="N526">
        <v>0.91099809281627464</v>
      </c>
      <c r="O526">
        <v>10313381.727272727</v>
      </c>
      <c r="P526">
        <v>13544</v>
      </c>
      <c r="Q526">
        <v>2</v>
      </c>
      <c r="R526">
        <v>74</v>
      </c>
      <c r="S526">
        <v>11.307885990532784</v>
      </c>
      <c r="T526">
        <v>0.94651162028312685</v>
      </c>
    </row>
    <row r="527" spans="1:20" x14ac:dyDescent="0.25">
      <c r="A527" t="s">
        <v>18</v>
      </c>
      <c r="B527">
        <v>9</v>
      </c>
      <c r="C527">
        <v>2</v>
      </c>
      <c r="D527">
        <v>0</v>
      </c>
      <c r="E527" t="s">
        <v>19</v>
      </c>
      <c r="F527">
        <v>10778</v>
      </c>
      <c r="G527">
        <v>10735984.272727273</v>
      </c>
      <c r="H527">
        <v>0.92307692766189575</v>
      </c>
      <c r="I527">
        <v>0.91099809281627464</v>
      </c>
      <c r="J527">
        <v>4313999.6363636367</v>
      </c>
      <c r="K527">
        <v>14555</v>
      </c>
      <c r="L527">
        <v>2</v>
      </c>
      <c r="M527">
        <v>77</v>
      </c>
      <c r="N527">
        <v>0.90781945327399871</v>
      </c>
      <c r="O527">
        <v>3807720.2727272729</v>
      </c>
      <c r="P527">
        <v>14900</v>
      </c>
      <c r="Q527">
        <v>2</v>
      </c>
      <c r="R527">
        <v>78</v>
      </c>
      <c r="S527">
        <v>11.306338028169014</v>
      </c>
      <c r="T527">
        <v>0.97093021869659424</v>
      </c>
    </row>
    <row r="528" spans="1:20" x14ac:dyDescent="0.25">
      <c r="A528" t="s">
        <v>18</v>
      </c>
      <c r="B528">
        <v>9</v>
      </c>
      <c r="C528">
        <v>2</v>
      </c>
      <c r="D528">
        <v>0</v>
      </c>
      <c r="E528" t="s">
        <v>20</v>
      </c>
      <c r="F528">
        <v>11676</v>
      </c>
      <c r="G528">
        <v>9231679.1818181816</v>
      </c>
      <c r="H528">
        <v>0.93515573848377576</v>
      </c>
      <c r="I528">
        <v>0.91290527654164022</v>
      </c>
      <c r="J528">
        <v>3669613.3636363638</v>
      </c>
      <c r="K528">
        <v>15602</v>
      </c>
      <c r="L528">
        <v>2</v>
      </c>
      <c r="M528">
        <v>80</v>
      </c>
      <c r="N528">
        <v>0.91163382072472987</v>
      </c>
      <c r="O528">
        <v>3086415.1818181816</v>
      </c>
      <c r="P528">
        <v>15959</v>
      </c>
      <c r="Q528">
        <v>2</v>
      </c>
      <c r="R528">
        <v>81</v>
      </c>
      <c r="S528">
        <v>11.302683147422369</v>
      </c>
      <c r="T528">
        <v>0.97209300994873049</v>
      </c>
    </row>
    <row r="529" spans="1:20" x14ac:dyDescent="0.25">
      <c r="A529" t="s">
        <v>18</v>
      </c>
      <c r="B529">
        <v>9</v>
      </c>
      <c r="C529">
        <v>2</v>
      </c>
      <c r="D529">
        <v>0</v>
      </c>
      <c r="E529" t="s">
        <v>21</v>
      </c>
      <c r="F529">
        <v>12574</v>
      </c>
      <c r="G529">
        <v>11874582.181818182</v>
      </c>
      <c r="H529">
        <v>0.92180546305396338</v>
      </c>
      <c r="I529">
        <v>0.91163382072472976</v>
      </c>
      <c r="J529">
        <v>3723482.8181818184</v>
      </c>
      <c r="K529">
        <v>16685</v>
      </c>
      <c r="L529">
        <v>2</v>
      </c>
      <c r="M529">
        <v>83</v>
      </c>
      <c r="N529">
        <v>0.90845518118245394</v>
      </c>
      <c r="O529">
        <v>3156320</v>
      </c>
      <c r="P529">
        <v>17054</v>
      </c>
      <c r="Q529">
        <v>2</v>
      </c>
      <c r="R529">
        <v>84</v>
      </c>
      <c r="S529">
        <v>11.301144348524392</v>
      </c>
      <c r="T529">
        <v>0.93720929622650151</v>
      </c>
    </row>
    <row r="530" spans="1:20" x14ac:dyDescent="0.25">
      <c r="A530" t="s">
        <v>18</v>
      </c>
      <c r="B530">
        <v>9</v>
      </c>
      <c r="C530">
        <v>2</v>
      </c>
      <c r="D530">
        <v>0</v>
      </c>
      <c r="E530" t="s">
        <v>22</v>
      </c>
      <c r="F530">
        <v>13472</v>
      </c>
      <c r="G530">
        <v>11364514.272727273</v>
      </c>
      <c r="H530">
        <v>0.93579146536913782</v>
      </c>
      <c r="I530">
        <v>0.91290527654164011</v>
      </c>
      <c r="J530">
        <v>4494692.8181818184</v>
      </c>
      <c r="K530">
        <v>18185</v>
      </c>
      <c r="L530">
        <v>2</v>
      </c>
      <c r="M530">
        <v>87</v>
      </c>
      <c r="N530">
        <v>0.90845518118245394</v>
      </c>
      <c r="O530">
        <v>4625098.4545454541</v>
      </c>
      <c r="P530">
        <v>18570</v>
      </c>
      <c r="Q530">
        <v>2</v>
      </c>
      <c r="R530">
        <v>88</v>
      </c>
      <c r="S530">
        <v>11.29900731976336</v>
      </c>
      <c r="T530">
        <v>0.96976742744445799</v>
      </c>
    </row>
    <row r="531" spans="1:20" x14ac:dyDescent="0.25">
      <c r="A531" t="s">
        <v>18</v>
      </c>
      <c r="B531">
        <v>9</v>
      </c>
      <c r="C531">
        <v>2</v>
      </c>
      <c r="D531">
        <v>0</v>
      </c>
      <c r="E531" t="s">
        <v>39</v>
      </c>
      <c r="F531">
        <v>14370</v>
      </c>
      <c r="G531">
        <v>11249976.181818182</v>
      </c>
      <c r="H531">
        <v>0.92752701044082642</v>
      </c>
      <c r="I531">
        <v>0.90781945327399871</v>
      </c>
      <c r="J531">
        <v>8938481.9090909082</v>
      </c>
      <c r="K531">
        <v>19352</v>
      </c>
      <c r="L531">
        <v>2</v>
      </c>
      <c r="M531">
        <v>90</v>
      </c>
      <c r="N531">
        <v>0.91099809281627464</v>
      </c>
      <c r="O531">
        <v>8104166.9090909092</v>
      </c>
      <c r="P531">
        <v>19749</v>
      </c>
      <c r="Q531">
        <v>2</v>
      </c>
      <c r="R531">
        <v>91</v>
      </c>
      <c r="S531">
        <v>11.296173878205128</v>
      </c>
      <c r="T531">
        <v>0.97558138370513914</v>
      </c>
    </row>
    <row r="532" spans="1:20" x14ac:dyDescent="0.25">
      <c r="A532" t="s">
        <v>18</v>
      </c>
      <c r="B532">
        <v>9</v>
      </c>
      <c r="C532">
        <v>2</v>
      </c>
      <c r="D532">
        <v>0</v>
      </c>
      <c r="E532" t="s">
        <v>55</v>
      </c>
      <c r="F532">
        <v>15268</v>
      </c>
      <c r="G532">
        <v>18478237.272727273</v>
      </c>
      <c r="H532">
        <v>0.93579146536913782</v>
      </c>
      <c r="I532">
        <v>0.91481246026700569</v>
      </c>
      <c r="J532">
        <v>8825368.5454545449</v>
      </c>
      <c r="K532">
        <v>20555</v>
      </c>
      <c r="L532">
        <v>2</v>
      </c>
      <c r="M532">
        <v>93</v>
      </c>
      <c r="N532">
        <v>0.91481246026700569</v>
      </c>
      <c r="O532">
        <v>8102013.4545454541</v>
      </c>
      <c r="P532">
        <v>20964</v>
      </c>
      <c r="Q532">
        <v>2</v>
      </c>
      <c r="R532">
        <v>94</v>
      </c>
      <c r="S532">
        <v>11.299049524762381</v>
      </c>
      <c r="T532">
        <v>0.95348834991455078</v>
      </c>
    </row>
    <row r="533" spans="1:20" x14ac:dyDescent="0.25">
      <c r="A533" t="s">
        <v>18</v>
      </c>
      <c r="B533">
        <v>9</v>
      </c>
      <c r="C533">
        <v>2</v>
      </c>
      <c r="D533">
        <v>0</v>
      </c>
      <c r="E533" t="s">
        <v>66</v>
      </c>
      <c r="F533">
        <v>16166</v>
      </c>
      <c r="G533">
        <v>13758508.818181818</v>
      </c>
      <c r="H533">
        <v>0.93261283094232728</v>
      </c>
      <c r="I533">
        <v>0.91290527654164022</v>
      </c>
      <c r="J533">
        <v>6864532</v>
      </c>
      <c r="K533">
        <v>21794</v>
      </c>
      <c r="L533">
        <v>2</v>
      </c>
      <c r="M533">
        <v>96</v>
      </c>
      <c r="N533">
        <v>0.91544818817546092</v>
      </c>
      <c r="O533">
        <v>9399323</v>
      </c>
      <c r="P533">
        <v>22215</v>
      </c>
      <c r="Q533">
        <v>2</v>
      </c>
      <c r="R533">
        <v>97</v>
      </c>
      <c r="S533">
        <v>11.297321607035778</v>
      </c>
      <c r="T533">
        <v>0.93953488469123836</v>
      </c>
    </row>
    <row r="534" spans="1:20" x14ac:dyDescent="0.25">
      <c r="A534" t="s">
        <v>18</v>
      </c>
      <c r="B534">
        <v>9</v>
      </c>
      <c r="C534">
        <v>2</v>
      </c>
      <c r="D534">
        <v>0</v>
      </c>
      <c r="E534" t="s">
        <v>76</v>
      </c>
      <c r="F534">
        <v>17064</v>
      </c>
      <c r="G534">
        <v>23476588.181818184</v>
      </c>
      <c r="H534">
        <v>0.9262555620887063</v>
      </c>
      <c r="I534">
        <v>0.91354100445009534</v>
      </c>
      <c r="J534">
        <v>8933040.3636363633</v>
      </c>
      <c r="K534">
        <v>23069</v>
      </c>
      <c r="L534">
        <v>2</v>
      </c>
      <c r="M534">
        <v>99</v>
      </c>
      <c r="N534">
        <v>0.91290527654164022</v>
      </c>
      <c r="O534">
        <v>8485100.9090909082</v>
      </c>
      <c r="P534">
        <v>23502</v>
      </c>
      <c r="Q534">
        <v>2</v>
      </c>
      <c r="R534">
        <v>100</v>
      </c>
      <c r="S534">
        <v>11.302585604472396</v>
      </c>
      <c r="T534">
        <v>0.96976742744445799</v>
      </c>
    </row>
    <row r="535" spans="1:20" x14ac:dyDescent="0.25">
      <c r="A535" t="s">
        <v>18</v>
      </c>
      <c r="B535">
        <v>9</v>
      </c>
      <c r="C535">
        <v>3</v>
      </c>
      <c r="D535">
        <v>0</v>
      </c>
      <c r="E535" t="s">
        <v>55</v>
      </c>
      <c r="F535">
        <v>16356</v>
      </c>
      <c r="G535">
        <v>17132039.636363637</v>
      </c>
      <c r="H535">
        <v>0.92498410289937805</v>
      </c>
      <c r="I535">
        <v>0.91099809281627464</v>
      </c>
      <c r="J535">
        <v>8245970.9090909092</v>
      </c>
      <c r="K535">
        <v>23939</v>
      </c>
      <c r="L535">
        <v>2</v>
      </c>
      <c r="M535">
        <v>101</v>
      </c>
      <c r="N535">
        <v>0.91544818817546092</v>
      </c>
      <c r="O535">
        <v>8704683.5454545449</v>
      </c>
      <c r="P535">
        <v>24380</v>
      </c>
      <c r="Q535">
        <v>2</v>
      </c>
      <c r="R535">
        <v>102</v>
      </c>
      <c r="S535">
        <v>11.302353410450738</v>
      </c>
      <c r="T535">
        <v>0.95348834991455078</v>
      </c>
    </row>
    <row r="536" spans="1:20" x14ac:dyDescent="0.25">
      <c r="A536" t="s">
        <v>18</v>
      </c>
      <c r="B536">
        <v>9</v>
      </c>
      <c r="C536">
        <v>3</v>
      </c>
      <c r="D536">
        <v>0</v>
      </c>
      <c r="E536" t="s">
        <v>66</v>
      </c>
      <c r="F536">
        <v>17318</v>
      </c>
      <c r="G536">
        <v>25744701.818181816</v>
      </c>
      <c r="H536">
        <v>0.93070565028624097</v>
      </c>
      <c r="I536">
        <v>0.9198982835346472</v>
      </c>
      <c r="J536">
        <v>8554154.6363636367</v>
      </c>
      <c r="K536">
        <v>25274</v>
      </c>
      <c r="L536">
        <v>2</v>
      </c>
      <c r="M536">
        <v>104</v>
      </c>
      <c r="N536">
        <v>0.91036236490781941</v>
      </c>
      <c r="O536">
        <v>8636979.5454545449</v>
      </c>
      <c r="P536">
        <v>25727</v>
      </c>
      <c r="Q536">
        <v>2</v>
      </c>
      <c r="R536">
        <v>105</v>
      </c>
      <c r="S536">
        <v>11.306006574359996</v>
      </c>
      <c r="T536">
        <v>0.95930230617523193</v>
      </c>
    </row>
    <row r="537" spans="1:20" x14ac:dyDescent="0.25">
      <c r="A537" t="s">
        <v>18</v>
      </c>
      <c r="B537">
        <v>9</v>
      </c>
      <c r="C537">
        <v>3</v>
      </c>
      <c r="D537">
        <v>0</v>
      </c>
      <c r="E537" t="s">
        <v>76</v>
      </c>
      <c r="F537">
        <v>18280</v>
      </c>
      <c r="G537">
        <v>23518182.181818184</v>
      </c>
      <c r="H537">
        <v>0.93324856324629346</v>
      </c>
      <c r="I537">
        <v>0.91226954863318499</v>
      </c>
      <c r="J537">
        <v>9005236.0909090918</v>
      </c>
      <c r="K537">
        <v>26645</v>
      </c>
      <c r="L537">
        <v>2</v>
      </c>
      <c r="M537">
        <v>107</v>
      </c>
      <c r="N537">
        <v>0.90400508582326766</v>
      </c>
      <c r="O537">
        <v>5308673.1818181816</v>
      </c>
      <c r="P537">
        <v>27110</v>
      </c>
      <c r="Q537">
        <v>2</v>
      </c>
      <c r="R537">
        <v>108</v>
      </c>
      <c r="S537">
        <v>11.307761194029851</v>
      </c>
      <c r="T537">
        <v>0.96627905368804934</v>
      </c>
    </row>
    <row r="538" spans="1:20" x14ac:dyDescent="0.25">
      <c r="A538" t="s">
        <v>18</v>
      </c>
      <c r="B538">
        <v>9</v>
      </c>
      <c r="C538">
        <v>3</v>
      </c>
      <c r="D538">
        <v>0</v>
      </c>
      <c r="E538" t="s">
        <v>93</v>
      </c>
      <c r="F538">
        <v>19242</v>
      </c>
      <c r="G538">
        <v>26602198.636363637</v>
      </c>
      <c r="H538">
        <v>0.93070565570484509</v>
      </c>
      <c r="I538">
        <v>0.90781945327399871</v>
      </c>
      <c r="J538">
        <v>8005456.7272727275</v>
      </c>
      <c r="K538">
        <v>28052</v>
      </c>
      <c r="L538">
        <v>2</v>
      </c>
      <c r="M538">
        <v>110</v>
      </c>
      <c r="N538">
        <v>0.91290527654164011</v>
      </c>
      <c r="O538">
        <v>9407999.8181818184</v>
      </c>
      <c r="P538">
        <v>28529</v>
      </c>
      <c r="Q538">
        <v>2</v>
      </c>
      <c r="R538">
        <v>111</v>
      </c>
      <c r="S538">
        <v>11.310605307623497</v>
      </c>
      <c r="T538">
        <v>0.95232557058334355</v>
      </c>
    </row>
    <row r="539" spans="1:20" x14ac:dyDescent="0.25">
      <c r="A539" t="s">
        <v>18</v>
      </c>
      <c r="B539">
        <v>9</v>
      </c>
      <c r="C539">
        <v>3</v>
      </c>
      <c r="D539">
        <v>0</v>
      </c>
      <c r="E539" t="s">
        <v>94</v>
      </c>
      <c r="F539">
        <v>20204</v>
      </c>
      <c r="G539">
        <v>23120669.181818184</v>
      </c>
      <c r="H539">
        <v>0.93006992340087891</v>
      </c>
      <c r="I539">
        <v>0.91099809281627464</v>
      </c>
      <c r="J539">
        <v>7780771.5454545459</v>
      </c>
      <c r="K539">
        <v>29495</v>
      </c>
      <c r="L539">
        <v>2</v>
      </c>
      <c r="M539">
        <v>113</v>
      </c>
      <c r="N539">
        <v>0.91036236490781941</v>
      </c>
      <c r="O539">
        <v>7576359.5454545459</v>
      </c>
      <c r="P539">
        <v>29984</v>
      </c>
      <c r="Q539">
        <v>2</v>
      </c>
      <c r="R539">
        <v>114</v>
      </c>
      <c r="S539">
        <v>11.311060365369341</v>
      </c>
      <c r="T539">
        <v>0.96046509742736819</v>
      </c>
    </row>
    <row r="540" spans="1:20" x14ac:dyDescent="0.25">
      <c r="A540" t="s">
        <v>18</v>
      </c>
      <c r="B540">
        <v>9</v>
      </c>
      <c r="C540">
        <v>3</v>
      </c>
      <c r="D540">
        <v>0</v>
      </c>
      <c r="E540" t="s">
        <v>95</v>
      </c>
      <c r="F540">
        <v>21166</v>
      </c>
      <c r="G540">
        <v>23178734.727272727</v>
      </c>
      <c r="H540">
        <v>0.92116974700580945</v>
      </c>
      <c r="I540">
        <v>0.91290527654164011</v>
      </c>
      <c r="J540">
        <v>7947382.4545454541</v>
      </c>
      <c r="K540">
        <v>30974</v>
      </c>
      <c r="L540">
        <v>2</v>
      </c>
      <c r="M540">
        <v>116</v>
      </c>
      <c r="N540">
        <v>0.91417673235855057</v>
      </c>
      <c r="O540">
        <v>9550859.3636363633</v>
      </c>
      <c r="P540">
        <v>31475</v>
      </c>
      <c r="Q540">
        <v>2</v>
      </c>
      <c r="R540">
        <v>117</v>
      </c>
      <c r="S540">
        <v>11.310820192403055</v>
      </c>
      <c r="T540">
        <v>0.95465114712715149</v>
      </c>
    </row>
    <row r="541" spans="1:20" x14ac:dyDescent="0.25">
      <c r="A541" t="s">
        <v>18</v>
      </c>
      <c r="B541">
        <v>9</v>
      </c>
      <c r="C541">
        <v>3</v>
      </c>
      <c r="D541">
        <v>0</v>
      </c>
      <c r="E541" t="s">
        <v>96</v>
      </c>
      <c r="F541">
        <v>22128</v>
      </c>
      <c r="G541">
        <v>18405339.09090909</v>
      </c>
      <c r="H541">
        <v>0.92816274816339661</v>
      </c>
      <c r="I541">
        <v>0.91099809281627464</v>
      </c>
      <c r="J541">
        <v>7478772.5454545459</v>
      </c>
      <c r="K541">
        <v>31980</v>
      </c>
      <c r="L541">
        <v>2</v>
      </c>
      <c r="M541">
        <v>118</v>
      </c>
      <c r="N541">
        <v>0.91354100445009534</v>
      </c>
      <c r="O541">
        <v>9025101.0909090918</v>
      </c>
      <c r="P541">
        <v>32489</v>
      </c>
      <c r="Q541">
        <v>2</v>
      </c>
      <c r="R541">
        <v>119</v>
      </c>
      <c r="S541">
        <v>11.308004755300178</v>
      </c>
      <c r="T541">
        <v>0.96395347118377683</v>
      </c>
    </row>
    <row r="542" spans="1:20" x14ac:dyDescent="0.25">
      <c r="A542" t="s">
        <v>18</v>
      </c>
      <c r="B542">
        <v>9</v>
      </c>
      <c r="C542">
        <v>3</v>
      </c>
      <c r="D542">
        <v>0</v>
      </c>
      <c r="E542" t="s">
        <v>97</v>
      </c>
      <c r="F542">
        <v>23090</v>
      </c>
      <c r="G542">
        <v>36394985.545454547</v>
      </c>
      <c r="H542">
        <v>0.92752702127803455</v>
      </c>
      <c r="I542">
        <v>0.91290527654164011</v>
      </c>
      <c r="J542">
        <v>9432469.9090909082</v>
      </c>
      <c r="K542">
        <v>33519</v>
      </c>
      <c r="L542">
        <v>2</v>
      </c>
      <c r="M542">
        <v>121</v>
      </c>
      <c r="N542">
        <v>0.91226954863318499</v>
      </c>
      <c r="O542">
        <v>8484211.8181818184</v>
      </c>
      <c r="P542">
        <v>34040</v>
      </c>
      <c r="Q542">
        <v>2</v>
      </c>
      <c r="R542">
        <v>122</v>
      </c>
      <c r="S542">
        <v>11.314002968827314</v>
      </c>
      <c r="T542">
        <v>0.95697672963142399</v>
      </c>
    </row>
    <row r="543" spans="1:20" x14ac:dyDescent="0.25">
      <c r="A543" t="s">
        <v>18</v>
      </c>
      <c r="B543">
        <v>9</v>
      </c>
      <c r="C543">
        <v>3</v>
      </c>
      <c r="D543">
        <v>0</v>
      </c>
      <c r="E543" t="s">
        <v>98</v>
      </c>
      <c r="F543">
        <v>24052</v>
      </c>
      <c r="G543">
        <v>35740269.909090906</v>
      </c>
      <c r="H543">
        <v>0.93261283094232728</v>
      </c>
      <c r="I543">
        <v>0.90845518118245383</v>
      </c>
      <c r="J543">
        <v>8718589.3636363633</v>
      </c>
      <c r="K543">
        <v>35094</v>
      </c>
      <c r="L543">
        <v>2</v>
      </c>
      <c r="M543">
        <v>124</v>
      </c>
      <c r="N543">
        <v>0.90972663699936429</v>
      </c>
      <c r="O543">
        <v>9350049.3636363633</v>
      </c>
      <c r="P543">
        <v>35627</v>
      </c>
      <c r="Q543">
        <v>2</v>
      </c>
      <c r="R543">
        <v>125</v>
      </c>
      <c r="S543">
        <v>11.319197311190194</v>
      </c>
      <c r="T543">
        <v>0.96046509742736819</v>
      </c>
    </row>
    <row r="544" spans="1:20" x14ac:dyDescent="0.25">
      <c r="A544" t="s">
        <v>18</v>
      </c>
      <c r="B544">
        <v>9</v>
      </c>
      <c r="C544">
        <v>3</v>
      </c>
      <c r="D544">
        <v>0</v>
      </c>
      <c r="E544" t="s">
        <v>99</v>
      </c>
      <c r="F544">
        <v>25014</v>
      </c>
      <c r="G544">
        <v>31321336.818181816</v>
      </c>
      <c r="H544">
        <v>0.93388428471305152</v>
      </c>
      <c r="I544">
        <v>0.91290527654164011</v>
      </c>
      <c r="J544">
        <v>8358001</v>
      </c>
      <c r="K544">
        <v>36164</v>
      </c>
      <c r="L544">
        <v>2</v>
      </c>
      <c r="M544">
        <v>126</v>
      </c>
      <c r="N544">
        <v>0.91671964399237127</v>
      </c>
      <c r="O544">
        <v>9777202.6363636367</v>
      </c>
      <c r="P544">
        <v>36705</v>
      </c>
      <c r="Q544">
        <v>2</v>
      </c>
      <c r="R544">
        <v>127</v>
      </c>
      <c r="S544">
        <v>11.32141799150785</v>
      </c>
      <c r="T544">
        <v>0.95813952088356014</v>
      </c>
    </row>
    <row r="545" spans="1:20" x14ac:dyDescent="0.25">
      <c r="A545" t="s">
        <v>18</v>
      </c>
      <c r="B545">
        <v>9</v>
      </c>
      <c r="C545">
        <v>3</v>
      </c>
      <c r="D545">
        <v>0</v>
      </c>
      <c r="E545" t="s">
        <v>100</v>
      </c>
      <c r="F545">
        <v>25976</v>
      </c>
      <c r="G545">
        <v>28213235.09090909</v>
      </c>
      <c r="H545">
        <v>0.93579146536913782</v>
      </c>
      <c r="I545">
        <v>0.91290527654164011</v>
      </c>
      <c r="J545">
        <v>9714359.6363636367</v>
      </c>
      <c r="K545">
        <v>37799</v>
      </c>
      <c r="L545">
        <v>2</v>
      </c>
      <c r="M545">
        <v>129</v>
      </c>
      <c r="N545">
        <v>0.91608391608391604</v>
      </c>
      <c r="O545">
        <v>10063015.454545455</v>
      </c>
      <c r="P545">
        <v>38352</v>
      </c>
      <c r="Q545">
        <v>2</v>
      </c>
      <c r="R545">
        <v>130</v>
      </c>
      <c r="S545">
        <v>11.32195699348984</v>
      </c>
      <c r="T545">
        <v>0.96046509742736819</v>
      </c>
    </row>
    <row r="546" spans="1:20" x14ac:dyDescent="0.25">
      <c r="A546" t="s">
        <v>18</v>
      </c>
      <c r="B546">
        <v>9</v>
      </c>
      <c r="C546">
        <v>3</v>
      </c>
      <c r="D546">
        <v>0</v>
      </c>
      <c r="E546" t="s">
        <v>101</v>
      </c>
      <c r="F546">
        <v>26938</v>
      </c>
      <c r="G546">
        <v>21131878.454545453</v>
      </c>
      <c r="H546">
        <v>0.9364271922545</v>
      </c>
      <c r="I546">
        <v>0.91481246026700569</v>
      </c>
      <c r="J546">
        <v>10620886.636363637</v>
      </c>
      <c r="K546">
        <v>39470</v>
      </c>
      <c r="L546">
        <v>2</v>
      </c>
      <c r="M546">
        <v>132</v>
      </c>
      <c r="N546">
        <v>0.91290527654164011</v>
      </c>
      <c r="O546">
        <v>9167445.7272727266</v>
      </c>
      <c r="P546">
        <v>40035</v>
      </c>
      <c r="Q546">
        <v>2</v>
      </c>
      <c r="R546">
        <v>133</v>
      </c>
      <c r="S546">
        <v>11.31875061582422</v>
      </c>
      <c r="T546">
        <v>0.96511626243591309</v>
      </c>
    </row>
    <row r="547" spans="1:20" x14ac:dyDescent="0.25">
      <c r="A547" t="s">
        <v>18</v>
      </c>
      <c r="B547">
        <v>9</v>
      </c>
      <c r="C547">
        <v>3</v>
      </c>
      <c r="D547">
        <v>0</v>
      </c>
      <c r="E547" t="s">
        <v>102</v>
      </c>
      <c r="F547">
        <v>27900</v>
      </c>
      <c r="G547">
        <v>32398142.454545453</v>
      </c>
      <c r="H547">
        <v>0.92752701585943054</v>
      </c>
      <c r="I547">
        <v>0.91417673235855057</v>
      </c>
      <c r="J547">
        <v>9153467.7272727266</v>
      </c>
      <c r="K547">
        <v>40604</v>
      </c>
      <c r="L547">
        <v>2</v>
      </c>
      <c r="M547">
        <v>134</v>
      </c>
      <c r="N547">
        <v>0.90781945327399871</v>
      </c>
      <c r="O547">
        <v>9533248.1818181816</v>
      </c>
      <c r="P547">
        <v>41177</v>
      </c>
      <c r="Q547">
        <v>2</v>
      </c>
      <c r="R547">
        <v>135</v>
      </c>
      <c r="S547">
        <v>11.320570866141733</v>
      </c>
      <c r="T547">
        <v>0.95813951492309568</v>
      </c>
    </row>
    <row r="548" spans="1:20" x14ac:dyDescent="0.25">
      <c r="A548" t="s">
        <v>18</v>
      </c>
      <c r="B548">
        <v>9</v>
      </c>
      <c r="C548">
        <v>3</v>
      </c>
      <c r="D548">
        <v>0</v>
      </c>
      <c r="E548" t="s">
        <v>103</v>
      </c>
      <c r="F548">
        <v>28862</v>
      </c>
      <c r="G548">
        <v>38032301.190476194</v>
      </c>
      <c r="H548">
        <v>0.92773891914458506</v>
      </c>
      <c r="I548">
        <v>0.90742590742590745</v>
      </c>
      <c r="J548">
        <v>9444546.666666666</v>
      </c>
      <c r="K548">
        <v>41754</v>
      </c>
      <c r="L548">
        <v>2</v>
      </c>
      <c r="M548">
        <v>136</v>
      </c>
      <c r="N548">
        <v>0.91242091242091239</v>
      </c>
      <c r="O548">
        <v>9213249.9523809515</v>
      </c>
      <c r="P548">
        <v>42335</v>
      </c>
      <c r="Q548">
        <v>2</v>
      </c>
      <c r="R548">
        <v>137</v>
      </c>
      <c r="S548">
        <v>11.326294077202633</v>
      </c>
      <c r="T548">
        <v>0.94825580716133118</v>
      </c>
    </row>
    <row r="549" spans="1:20" x14ac:dyDescent="0.25">
      <c r="A549" t="s">
        <v>18</v>
      </c>
      <c r="B549">
        <v>9</v>
      </c>
      <c r="C549">
        <v>3</v>
      </c>
      <c r="D549">
        <v>0</v>
      </c>
      <c r="E549" t="s">
        <v>24</v>
      </c>
      <c r="F549">
        <v>28924</v>
      </c>
      <c r="G549">
        <v>26208549.727272727</v>
      </c>
      <c r="H549">
        <v>0.93261283094232728</v>
      </c>
      <c r="I549">
        <v>0.92053401144310232</v>
      </c>
      <c r="J549">
        <v>9895909.3636363633</v>
      </c>
      <c r="K549">
        <v>42335</v>
      </c>
      <c r="L549">
        <v>2</v>
      </c>
      <c r="M549">
        <v>137</v>
      </c>
      <c r="N549">
        <v>0.91862682771773685</v>
      </c>
      <c r="O549">
        <v>9511006.2727272734</v>
      </c>
      <c r="P549">
        <v>42920</v>
      </c>
      <c r="Q549">
        <v>2</v>
      </c>
      <c r="R549">
        <v>138</v>
      </c>
      <c r="S549">
        <v>11.324666405023548</v>
      </c>
      <c r="T549">
        <v>0.95930231213569639</v>
      </c>
    </row>
    <row r="550" spans="1:20" x14ac:dyDescent="0.25">
      <c r="A550" t="s">
        <v>18</v>
      </c>
      <c r="B550">
        <v>9</v>
      </c>
      <c r="C550">
        <v>3</v>
      </c>
      <c r="D550">
        <v>0</v>
      </c>
      <c r="E550" t="s">
        <v>104</v>
      </c>
      <c r="F550">
        <v>29824</v>
      </c>
      <c r="G550">
        <v>32560315.90909091</v>
      </c>
      <c r="H550">
        <v>0.91671964255246252</v>
      </c>
      <c r="I550">
        <v>0.91036236490781941</v>
      </c>
      <c r="J550">
        <v>9101795.3636363633</v>
      </c>
      <c r="K550">
        <v>43509</v>
      </c>
      <c r="L550">
        <v>2</v>
      </c>
      <c r="M550">
        <v>139</v>
      </c>
      <c r="N550">
        <v>0.90972663699936429</v>
      </c>
      <c r="O550">
        <v>10049816.818181818</v>
      </c>
      <c r="P550">
        <v>44102</v>
      </c>
      <c r="Q550">
        <v>2</v>
      </c>
      <c r="R550">
        <v>140</v>
      </c>
      <c r="S550">
        <v>11.324610408703322</v>
      </c>
      <c r="T550">
        <v>0.94999998211860659</v>
      </c>
    </row>
    <row r="551" spans="1:20" x14ac:dyDescent="0.25">
      <c r="A551" t="s">
        <v>18</v>
      </c>
      <c r="B551">
        <v>9</v>
      </c>
      <c r="C551">
        <v>3</v>
      </c>
      <c r="D551">
        <v>0</v>
      </c>
      <c r="E551" t="s">
        <v>26</v>
      </c>
      <c r="F551">
        <v>30848</v>
      </c>
      <c r="G551">
        <v>28144199.615384616</v>
      </c>
      <c r="H551">
        <v>0.92495964811398435</v>
      </c>
      <c r="I551">
        <v>0.9225389994620764</v>
      </c>
      <c r="J551">
        <v>9098599.5</v>
      </c>
      <c r="K551">
        <v>44699</v>
      </c>
      <c r="L551">
        <v>2</v>
      </c>
      <c r="M551">
        <v>141</v>
      </c>
      <c r="N551">
        <v>0.91877353415814955</v>
      </c>
      <c r="O551">
        <v>9042647.4230769239</v>
      </c>
      <c r="P551">
        <v>45300</v>
      </c>
      <c r="Q551">
        <v>2</v>
      </c>
      <c r="R551">
        <v>142</v>
      </c>
      <c r="S551">
        <v>11.320656955714146</v>
      </c>
      <c r="T551">
        <v>0.95395347595214841</v>
      </c>
    </row>
    <row r="552" spans="1:20" x14ac:dyDescent="0.25">
      <c r="A552" t="s">
        <v>18</v>
      </c>
      <c r="B552">
        <v>9</v>
      </c>
      <c r="C552">
        <v>3</v>
      </c>
      <c r="D552">
        <v>0</v>
      </c>
      <c r="E552" t="s">
        <v>56</v>
      </c>
      <c r="F552">
        <v>31566</v>
      </c>
      <c r="G552">
        <v>26987106.625</v>
      </c>
      <c r="H552">
        <v>0.92526223510503769</v>
      </c>
      <c r="I552">
        <v>0.93225524475524468</v>
      </c>
      <c r="J552">
        <v>8314206.6875</v>
      </c>
      <c r="K552">
        <v>45905</v>
      </c>
      <c r="L552">
        <v>2</v>
      </c>
      <c r="M552">
        <v>143</v>
      </c>
      <c r="N552">
        <v>0.93181818181818177</v>
      </c>
      <c r="O552">
        <v>10032915.6875</v>
      </c>
      <c r="P552">
        <v>46514</v>
      </c>
      <c r="Q552">
        <v>2</v>
      </c>
      <c r="R552">
        <v>144</v>
      </c>
      <c r="S552">
        <v>11.316837481698389</v>
      </c>
      <c r="T552">
        <v>0.94806199471155805</v>
      </c>
    </row>
    <row r="553" spans="1:20" x14ac:dyDescent="0.25">
      <c r="A553" t="s">
        <v>18</v>
      </c>
      <c r="B553">
        <v>9</v>
      </c>
      <c r="C553">
        <v>3</v>
      </c>
      <c r="D553">
        <v>0</v>
      </c>
      <c r="E553" t="s">
        <v>27</v>
      </c>
      <c r="F553">
        <v>31810</v>
      </c>
      <c r="G553">
        <v>34233685</v>
      </c>
      <c r="H553">
        <v>0.94522144397099817</v>
      </c>
      <c r="I553">
        <v>0.96037296037296038</v>
      </c>
      <c r="J553">
        <v>8709448.333333334</v>
      </c>
      <c r="K553">
        <v>46514</v>
      </c>
      <c r="L553">
        <v>2</v>
      </c>
      <c r="M553">
        <v>144</v>
      </c>
      <c r="N553">
        <v>0.9592074592074592</v>
      </c>
      <c r="O553">
        <v>10021598.833333334</v>
      </c>
      <c r="P553">
        <v>47127</v>
      </c>
      <c r="Q553">
        <v>2</v>
      </c>
      <c r="R553">
        <v>145</v>
      </c>
      <c r="S553">
        <v>11.31694468832309</v>
      </c>
      <c r="T553">
        <v>0.97209300994873049</v>
      </c>
    </row>
    <row r="554" spans="1:20" x14ac:dyDescent="0.25">
      <c r="A554" t="s">
        <v>18</v>
      </c>
      <c r="B554">
        <v>9</v>
      </c>
      <c r="C554">
        <v>3</v>
      </c>
      <c r="D554">
        <v>0</v>
      </c>
      <c r="E554" t="s">
        <v>28</v>
      </c>
      <c r="F554">
        <v>32772</v>
      </c>
      <c r="G554">
        <v>34242818</v>
      </c>
      <c r="H554">
        <v>0.92963286489248276</v>
      </c>
      <c r="I554">
        <v>0.93050699300699302</v>
      </c>
      <c r="J554">
        <v>8839169.4375</v>
      </c>
      <c r="K554">
        <v>47744</v>
      </c>
      <c r="L554">
        <v>2</v>
      </c>
      <c r="M554">
        <v>146</v>
      </c>
      <c r="N554">
        <v>0.93050699300699291</v>
      </c>
      <c r="O554">
        <v>9638862.125</v>
      </c>
      <c r="P554">
        <v>48365</v>
      </c>
      <c r="Q554">
        <v>2</v>
      </c>
      <c r="R554">
        <v>147</v>
      </c>
      <c r="S554">
        <v>11.316450764585566</v>
      </c>
      <c r="T554">
        <v>0.95116277535756433</v>
      </c>
    </row>
    <row r="555" spans="1:20" x14ac:dyDescent="0.25">
      <c r="A555" t="s">
        <v>18</v>
      </c>
      <c r="B555">
        <v>9</v>
      </c>
      <c r="C555">
        <v>3</v>
      </c>
      <c r="D555">
        <v>0</v>
      </c>
      <c r="E555" t="s">
        <v>67</v>
      </c>
      <c r="F555">
        <v>33368</v>
      </c>
      <c r="G555">
        <v>30523199.714285713</v>
      </c>
      <c r="H555">
        <v>0.93606393961679368</v>
      </c>
      <c r="I555">
        <v>0.94239094239094234</v>
      </c>
      <c r="J555">
        <v>8759123.9523809515</v>
      </c>
      <c r="K555">
        <v>48365</v>
      </c>
      <c r="L555">
        <v>2</v>
      </c>
      <c r="M555">
        <v>147</v>
      </c>
      <c r="N555">
        <v>0.93839493839493837</v>
      </c>
      <c r="O555">
        <v>8729395.7142857146</v>
      </c>
      <c r="P555">
        <v>48990</v>
      </c>
      <c r="Q555">
        <v>2</v>
      </c>
      <c r="R555">
        <v>148</v>
      </c>
      <c r="S555">
        <v>11.313277604976673</v>
      </c>
      <c r="T555">
        <v>0.95988370478153229</v>
      </c>
    </row>
    <row r="556" spans="1:20" x14ac:dyDescent="0.25">
      <c r="A556" t="s">
        <v>18</v>
      </c>
      <c r="B556">
        <v>9</v>
      </c>
      <c r="C556">
        <v>3</v>
      </c>
      <c r="D556">
        <v>0</v>
      </c>
      <c r="E556" t="s">
        <v>29</v>
      </c>
      <c r="F556">
        <v>33734</v>
      </c>
      <c r="G556">
        <v>32480116.666666668</v>
      </c>
      <c r="H556">
        <v>0.94755246241887414</v>
      </c>
      <c r="I556">
        <v>0.95104895104895104</v>
      </c>
      <c r="J556">
        <v>9096676</v>
      </c>
      <c r="K556">
        <v>48990</v>
      </c>
      <c r="L556">
        <v>2</v>
      </c>
      <c r="M556">
        <v>148</v>
      </c>
      <c r="N556">
        <v>0.96153846153846145</v>
      </c>
      <c r="O556">
        <v>9191988.666666666</v>
      </c>
      <c r="P556">
        <v>49619</v>
      </c>
      <c r="Q556">
        <v>2</v>
      </c>
      <c r="R556">
        <v>149</v>
      </c>
      <c r="S556">
        <v>11.312706430930639</v>
      </c>
      <c r="T556">
        <v>0.9790697574615479</v>
      </c>
    </row>
    <row r="557" spans="1:20" x14ac:dyDescent="0.25">
      <c r="A557" t="s">
        <v>18</v>
      </c>
      <c r="B557">
        <v>9</v>
      </c>
      <c r="C557">
        <v>3</v>
      </c>
      <c r="D557">
        <v>0</v>
      </c>
      <c r="E557" t="s">
        <v>30</v>
      </c>
      <c r="F557">
        <v>34696</v>
      </c>
      <c r="G557">
        <v>41158444.952380955</v>
      </c>
      <c r="H557">
        <v>0.93006992623919538</v>
      </c>
      <c r="I557">
        <v>0.94605394605394599</v>
      </c>
      <c r="J557">
        <v>8850956.1428571437</v>
      </c>
      <c r="K557">
        <v>50252</v>
      </c>
      <c r="L557">
        <v>2</v>
      </c>
      <c r="M557">
        <v>150</v>
      </c>
      <c r="N557">
        <v>0.95004995004995008</v>
      </c>
      <c r="O557">
        <v>9643837.4761904757</v>
      </c>
      <c r="P557">
        <v>50889</v>
      </c>
      <c r="Q557">
        <v>2</v>
      </c>
      <c r="R557">
        <v>151</v>
      </c>
      <c r="S557">
        <v>11.315365971885603</v>
      </c>
      <c r="T557">
        <v>0.95116278231143947</v>
      </c>
    </row>
    <row r="558" spans="1:20" x14ac:dyDescent="0.25">
      <c r="A558" t="s">
        <v>18</v>
      </c>
      <c r="B558">
        <v>9</v>
      </c>
      <c r="C558">
        <v>3</v>
      </c>
      <c r="D558">
        <v>0</v>
      </c>
      <c r="E558" t="s">
        <v>44</v>
      </c>
      <c r="F558">
        <v>34874</v>
      </c>
      <c r="G558">
        <v>37674729.9375</v>
      </c>
      <c r="H558">
        <v>0.93487760797142982</v>
      </c>
      <c r="I558">
        <v>0.9475524475524475</v>
      </c>
      <c r="J558">
        <v>9300482.75</v>
      </c>
      <c r="K558">
        <v>50889</v>
      </c>
      <c r="L558">
        <v>2</v>
      </c>
      <c r="M558">
        <v>151</v>
      </c>
      <c r="N558">
        <v>0.9475524475524475</v>
      </c>
      <c r="O558">
        <v>9587785.125</v>
      </c>
      <c r="P558">
        <v>51530</v>
      </c>
      <c r="Q558">
        <v>2</v>
      </c>
      <c r="R558">
        <v>152</v>
      </c>
      <c r="S558">
        <v>11.315651921401606</v>
      </c>
      <c r="T558">
        <v>0.9542635560035706</v>
      </c>
    </row>
    <row r="559" spans="1:20" x14ac:dyDescent="0.25">
      <c r="A559" t="s">
        <v>18</v>
      </c>
      <c r="B559">
        <v>9</v>
      </c>
      <c r="C559">
        <v>3</v>
      </c>
      <c r="D559">
        <v>0</v>
      </c>
      <c r="E559" t="s">
        <v>77</v>
      </c>
      <c r="F559">
        <v>35170</v>
      </c>
      <c r="G559">
        <v>40650083.81818182</v>
      </c>
      <c r="H559">
        <v>0.93388429555025965</v>
      </c>
      <c r="I559">
        <v>0.97393515575333756</v>
      </c>
      <c r="J559">
        <v>9585891</v>
      </c>
      <c r="K559">
        <v>51530</v>
      </c>
      <c r="L559">
        <v>2</v>
      </c>
      <c r="M559">
        <v>152</v>
      </c>
      <c r="N559">
        <v>0.96948506039415128</v>
      </c>
      <c r="O559">
        <v>8945056.7272727266</v>
      </c>
      <c r="P559">
        <v>52175</v>
      </c>
      <c r="Q559">
        <v>2</v>
      </c>
      <c r="R559">
        <v>153</v>
      </c>
      <c r="S559">
        <v>11.316766582865984</v>
      </c>
      <c r="T559">
        <v>0.9441860437393188</v>
      </c>
    </row>
    <row r="560" spans="1:20" x14ac:dyDescent="0.25">
      <c r="A560" t="s">
        <v>18</v>
      </c>
      <c r="B560">
        <v>9</v>
      </c>
      <c r="C560">
        <v>3</v>
      </c>
      <c r="D560">
        <v>0</v>
      </c>
      <c r="E560" t="s">
        <v>31</v>
      </c>
      <c r="F560">
        <v>35658</v>
      </c>
      <c r="G560">
        <v>46518590.833333336</v>
      </c>
      <c r="H560">
        <v>0.95221445957819617</v>
      </c>
      <c r="I560">
        <v>0.97086247086247079</v>
      </c>
      <c r="J560">
        <v>8505095.166666666</v>
      </c>
      <c r="K560">
        <v>52175</v>
      </c>
      <c r="L560">
        <v>2</v>
      </c>
      <c r="M560">
        <v>153</v>
      </c>
      <c r="N560">
        <v>0.96620046620046618</v>
      </c>
      <c r="O560">
        <v>11013414.5</v>
      </c>
      <c r="P560">
        <v>52824</v>
      </c>
      <c r="Q560">
        <v>2</v>
      </c>
      <c r="R560">
        <v>154</v>
      </c>
      <c r="S560">
        <v>11.318612292230382</v>
      </c>
      <c r="T560">
        <v>0.95348836183547969</v>
      </c>
    </row>
    <row r="561" spans="1:20" x14ac:dyDescent="0.25">
      <c r="A561" t="s">
        <v>18</v>
      </c>
      <c r="B561">
        <v>9</v>
      </c>
      <c r="C561">
        <v>3</v>
      </c>
      <c r="D561">
        <v>0</v>
      </c>
      <c r="E561" t="s">
        <v>78</v>
      </c>
      <c r="F561">
        <v>36372</v>
      </c>
      <c r="G561">
        <v>39682326.461538464</v>
      </c>
      <c r="H561">
        <v>0.94082840360127962</v>
      </c>
      <c r="I561">
        <v>0.95615922538999454</v>
      </c>
      <c r="J561">
        <v>9590309.346153846</v>
      </c>
      <c r="K561">
        <v>52824</v>
      </c>
      <c r="L561">
        <v>2</v>
      </c>
      <c r="M561">
        <v>154</v>
      </c>
      <c r="N561">
        <v>0.95857988165680474</v>
      </c>
      <c r="O561">
        <v>10135456.884615384</v>
      </c>
      <c r="P561">
        <v>53477</v>
      </c>
      <c r="Q561">
        <v>2</v>
      </c>
      <c r="R561">
        <v>155</v>
      </c>
      <c r="S561">
        <v>11.319645267013689</v>
      </c>
      <c r="T561">
        <v>0.95069766759872432</v>
      </c>
    </row>
    <row r="562" spans="1:20" x14ac:dyDescent="0.25">
      <c r="A562" t="s">
        <v>18</v>
      </c>
      <c r="B562">
        <v>9</v>
      </c>
      <c r="C562">
        <v>3</v>
      </c>
      <c r="D562">
        <v>0</v>
      </c>
      <c r="E562" t="s">
        <v>32</v>
      </c>
      <c r="F562">
        <v>36620</v>
      </c>
      <c r="G562">
        <v>40277483.666666664</v>
      </c>
      <c r="H562">
        <v>0.95337994893391931</v>
      </c>
      <c r="I562">
        <v>0.97202797202797198</v>
      </c>
      <c r="J562">
        <v>8634324.666666666</v>
      </c>
      <c r="K562">
        <v>53477</v>
      </c>
      <c r="L562">
        <v>2</v>
      </c>
      <c r="M562">
        <v>155</v>
      </c>
      <c r="N562">
        <v>0.96736596736596736</v>
      </c>
      <c r="O562">
        <v>9586909.5</v>
      </c>
      <c r="P562">
        <v>54134</v>
      </c>
      <c r="Q562">
        <v>2</v>
      </c>
      <c r="R562">
        <v>156</v>
      </c>
      <c r="S562">
        <v>11.320231213872832</v>
      </c>
      <c r="T562">
        <v>0.97209300994873049</v>
      </c>
    </row>
    <row r="563" spans="1:20" x14ac:dyDescent="0.25">
      <c r="A563" t="s">
        <v>18</v>
      </c>
      <c r="B563">
        <v>9</v>
      </c>
      <c r="C563">
        <v>3</v>
      </c>
      <c r="D563">
        <v>0</v>
      </c>
      <c r="E563" t="s">
        <v>58</v>
      </c>
      <c r="F563">
        <v>36976</v>
      </c>
      <c r="G563">
        <v>37146244</v>
      </c>
      <c r="H563">
        <v>0.93772894144058228</v>
      </c>
      <c r="I563">
        <v>0.95537795537795533</v>
      </c>
      <c r="J563">
        <v>8889813.9047619049</v>
      </c>
      <c r="K563">
        <v>54134</v>
      </c>
      <c r="L563">
        <v>2</v>
      </c>
      <c r="M563">
        <v>156</v>
      </c>
      <c r="N563">
        <v>0.95138195138195136</v>
      </c>
      <c r="O563">
        <v>9705804.2380952388</v>
      </c>
      <c r="P563">
        <v>54795</v>
      </c>
      <c r="Q563">
        <v>2</v>
      </c>
      <c r="R563">
        <v>157</v>
      </c>
      <c r="S563">
        <v>11.319584655321604</v>
      </c>
      <c r="T563">
        <v>0.95406975746154787</v>
      </c>
    </row>
    <row r="564" spans="1:20" x14ac:dyDescent="0.25">
      <c r="A564" t="s">
        <v>18</v>
      </c>
      <c r="B564">
        <v>9</v>
      </c>
      <c r="C564">
        <v>3</v>
      </c>
      <c r="D564">
        <v>0</v>
      </c>
      <c r="E564" t="s">
        <v>33</v>
      </c>
      <c r="F564">
        <v>37582</v>
      </c>
      <c r="G564">
        <v>31420869.333333332</v>
      </c>
      <c r="H564">
        <v>0.94988345106442773</v>
      </c>
      <c r="I564">
        <v>0.96969696969696961</v>
      </c>
      <c r="J564">
        <v>9197910.833333334</v>
      </c>
      <c r="K564">
        <v>54795</v>
      </c>
      <c r="L564">
        <v>2</v>
      </c>
      <c r="M564">
        <v>157</v>
      </c>
      <c r="N564">
        <v>0.96736596736596736</v>
      </c>
      <c r="O564">
        <v>8801587.666666666</v>
      </c>
      <c r="P564">
        <v>55460</v>
      </c>
      <c r="Q564">
        <v>2</v>
      </c>
      <c r="R564">
        <v>158</v>
      </c>
      <c r="S564">
        <v>11.318439511867012</v>
      </c>
      <c r="T564">
        <v>0.96511626243591309</v>
      </c>
    </row>
    <row r="565" spans="1:20" x14ac:dyDescent="0.25">
      <c r="A565" t="s">
        <v>18</v>
      </c>
      <c r="B565">
        <v>9</v>
      </c>
      <c r="C565">
        <v>3</v>
      </c>
      <c r="D565">
        <v>0</v>
      </c>
      <c r="E565" t="s">
        <v>47</v>
      </c>
      <c r="F565">
        <v>37940</v>
      </c>
      <c r="G565">
        <v>47675505.6875</v>
      </c>
      <c r="H565">
        <v>0.92788462340831757</v>
      </c>
      <c r="I565">
        <v>0.94930069930069927</v>
      </c>
      <c r="J565">
        <v>8718582.5</v>
      </c>
      <c r="K565">
        <v>55460</v>
      </c>
      <c r="L565">
        <v>2</v>
      </c>
      <c r="M565">
        <v>158</v>
      </c>
      <c r="N565">
        <v>0.94886363636363635</v>
      </c>
      <c r="O565">
        <v>9253079</v>
      </c>
      <c r="P565">
        <v>56129</v>
      </c>
      <c r="Q565">
        <v>2</v>
      </c>
      <c r="R565">
        <v>159</v>
      </c>
      <c r="S565">
        <v>11.322172119351434</v>
      </c>
      <c r="T565">
        <v>0.956589138507843</v>
      </c>
    </row>
    <row r="566" spans="1:20" x14ac:dyDescent="0.25">
      <c r="A566" t="s">
        <v>18</v>
      </c>
      <c r="B566">
        <v>9</v>
      </c>
      <c r="C566">
        <v>3</v>
      </c>
      <c r="D566">
        <v>0</v>
      </c>
      <c r="E566" t="s">
        <v>34</v>
      </c>
      <c r="F566">
        <v>38544</v>
      </c>
      <c r="G566">
        <v>38954945.875</v>
      </c>
      <c r="H566">
        <v>0.94667831063270569</v>
      </c>
      <c r="I566">
        <v>0.97377622377622375</v>
      </c>
      <c r="J566">
        <v>10163944</v>
      </c>
      <c r="K566">
        <v>56129</v>
      </c>
      <c r="L566">
        <v>2</v>
      </c>
      <c r="M566">
        <v>159</v>
      </c>
      <c r="N566">
        <v>0.96984265734265729</v>
      </c>
      <c r="O566">
        <v>9240344.625</v>
      </c>
      <c r="P566">
        <v>56802</v>
      </c>
      <c r="Q566">
        <v>2</v>
      </c>
      <c r="R566">
        <v>160</v>
      </c>
      <c r="S566">
        <v>11.322061500143692</v>
      </c>
      <c r="T566">
        <v>0.96899223725001016</v>
      </c>
    </row>
    <row r="567" spans="1:20" x14ac:dyDescent="0.25">
      <c r="A567" t="s">
        <v>18</v>
      </c>
      <c r="B567">
        <v>9</v>
      </c>
      <c r="C567">
        <v>3</v>
      </c>
      <c r="D567">
        <v>0</v>
      </c>
      <c r="E567" t="s">
        <v>48</v>
      </c>
      <c r="F567">
        <v>38962</v>
      </c>
      <c r="G567">
        <v>53002716.18181818</v>
      </c>
      <c r="H567">
        <v>0.94151302901181311</v>
      </c>
      <c r="I567">
        <v>0.94214876033057848</v>
      </c>
      <c r="J567">
        <v>9559413.9090909082</v>
      </c>
      <c r="K567">
        <v>56802</v>
      </c>
      <c r="L567">
        <v>2</v>
      </c>
      <c r="M567">
        <v>160</v>
      </c>
      <c r="N567">
        <v>0.94214876033057848</v>
      </c>
      <c r="O567">
        <v>9665495</v>
      </c>
      <c r="P567">
        <v>57479</v>
      </c>
      <c r="Q567">
        <v>2</v>
      </c>
      <c r="R567">
        <v>161</v>
      </c>
      <c r="S567">
        <v>11.325550239234449</v>
      </c>
      <c r="T567">
        <v>0.95581393837928774</v>
      </c>
    </row>
    <row r="568" spans="1:20" x14ac:dyDescent="0.25">
      <c r="A568" t="s">
        <v>18</v>
      </c>
      <c r="B568">
        <v>9</v>
      </c>
      <c r="C568">
        <v>3</v>
      </c>
      <c r="D568">
        <v>0</v>
      </c>
      <c r="E568" t="s">
        <v>35</v>
      </c>
      <c r="F568">
        <v>39506</v>
      </c>
      <c r="G568">
        <v>37030176.619047619</v>
      </c>
      <c r="H568">
        <v>0.94938394569215323</v>
      </c>
      <c r="I568">
        <v>0.97169497169497165</v>
      </c>
      <c r="J568">
        <v>9212100.8571428563</v>
      </c>
      <c r="K568">
        <v>57479</v>
      </c>
      <c r="L568">
        <v>2</v>
      </c>
      <c r="M568">
        <v>161</v>
      </c>
      <c r="N568">
        <v>0.96303696303696296</v>
      </c>
      <c r="O568">
        <v>8579170.8571428563</v>
      </c>
      <c r="P568">
        <v>58160</v>
      </c>
      <c r="Q568">
        <v>2</v>
      </c>
      <c r="R568">
        <v>162</v>
      </c>
      <c r="S568">
        <v>11.323846815012892</v>
      </c>
      <c r="T568">
        <v>0.94999999105930333</v>
      </c>
    </row>
    <row r="569" spans="1:20" x14ac:dyDescent="0.25">
      <c r="A569" t="s">
        <v>18</v>
      </c>
      <c r="B569">
        <v>9</v>
      </c>
      <c r="C569">
        <v>3</v>
      </c>
      <c r="D569">
        <v>0</v>
      </c>
      <c r="E569" t="s">
        <v>49</v>
      </c>
      <c r="F569">
        <v>39984</v>
      </c>
      <c r="G569">
        <v>59931371.636363633</v>
      </c>
      <c r="H569">
        <v>0.91926256093111902</v>
      </c>
      <c r="I569">
        <v>0.94342021614748883</v>
      </c>
      <c r="J569">
        <v>9222585.8181818184</v>
      </c>
      <c r="K569">
        <v>58160</v>
      </c>
      <c r="L569">
        <v>2</v>
      </c>
      <c r="M569">
        <v>162</v>
      </c>
      <c r="N569">
        <v>0.93706293706293708</v>
      </c>
      <c r="O569">
        <v>9859842.5454545449</v>
      </c>
      <c r="P569">
        <v>58845</v>
      </c>
      <c r="Q569">
        <v>2</v>
      </c>
      <c r="R569">
        <v>163</v>
      </c>
      <c r="S569">
        <v>11.328849456210646</v>
      </c>
      <c r="T569">
        <v>0.95697672963142399</v>
      </c>
    </row>
    <row r="570" spans="1:20" x14ac:dyDescent="0.25">
      <c r="A570" t="s">
        <v>18</v>
      </c>
      <c r="B570">
        <v>9</v>
      </c>
      <c r="C570">
        <v>3</v>
      </c>
      <c r="D570">
        <v>0</v>
      </c>
      <c r="E570" t="s">
        <v>36</v>
      </c>
      <c r="F570">
        <v>40468</v>
      </c>
      <c r="G570">
        <v>41119832.909090906</v>
      </c>
      <c r="H570">
        <v>0.95104894854805688</v>
      </c>
      <c r="I570">
        <v>0.96884933248569605</v>
      </c>
      <c r="J570">
        <v>8993459.7272727266</v>
      </c>
      <c r="K570">
        <v>58845</v>
      </c>
      <c r="L570">
        <v>2</v>
      </c>
      <c r="M570">
        <v>163</v>
      </c>
      <c r="N570">
        <v>0.96439923712650977</v>
      </c>
      <c r="O570">
        <v>10403488.727272727</v>
      </c>
      <c r="P570">
        <v>59534</v>
      </c>
      <c r="Q570">
        <v>2</v>
      </c>
      <c r="R570">
        <v>164</v>
      </c>
      <c r="S570">
        <v>11.328695320689985</v>
      </c>
      <c r="T570">
        <v>0.96627905368804934</v>
      </c>
    </row>
    <row r="571" spans="1:20" x14ac:dyDescent="0.25">
      <c r="A571" t="s">
        <v>18</v>
      </c>
      <c r="B571">
        <v>9</v>
      </c>
      <c r="C571">
        <v>3</v>
      </c>
      <c r="D571">
        <v>0</v>
      </c>
      <c r="E571" t="s">
        <v>50</v>
      </c>
      <c r="F571">
        <v>41006</v>
      </c>
      <c r="G571">
        <v>37996670.619047619</v>
      </c>
      <c r="H571">
        <v>0.94205794164112633</v>
      </c>
      <c r="I571">
        <v>0.95371295371295373</v>
      </c>
      <c r="J571">
        <v>9465626.4761904757</v>
      </c>
      <c r="K571">
        <v>59534</v>
      </c>
      <c r="L571">
        <v>2</v>
      </c>
      <c r="M571">
        <v>164</v>
      </c>
      <c r="N571">
        <v>0.95337995337995329</v>
      </c>
      <c r="O571">
        <v>10525312.523809524</v>
      </c>
      <c r="P571">
        <v>60227</v>
      </c>
      <c r="Q571">
        <v>2</v>
      </c>
      <c r="R571">
        <v>165</v>
      </c>
      <c r="S571">
        <v>11.326517024919156</v>
      </c>
      <c r="T571">
        <v>0.95755812525749207</v>
      </c>
    </row>
    <row r="572" spans="1:20" x14ac:dyDescent="0.25">
      <c r="A572" t="s">
        <v>18</v>
      </c>
      <c r="B572">
        <v>9</v>
      </c>
      <c r="C572">
        <v>3</v>
      </c>
      <c r="D572">
        <v>0</v>
      </c>
      <c r="E572" t="s">
        <v>37</v>
      </c>
      <c r="F572">
        <v>41430</v>
      </c>
      <c r="G572">
        <v>36123425.166666664</v>
      </c>
      <c r="H572">
        <v>0.93822841842969262</v>
      </c>
      <c r="I572">
        <v>0.97086247086247079</v>
      </c>
      <c r="J572">
        <v>8198413.666666667</v>
      </c>
      <c r="K572">
        <v>60227</v>
      </c>
      <c r="L572">
        <v>2</v>
      </c>
      <c r="M572">
        <v>165</v>
      </c>
      <c r="N572">
        <v>0.96969696969696961</v>
      </c>
      <c r="O572">
        <v>10432661.166666666</v>
      </c>
      <c r="P572">
        <v>60924</v>
      </c>
      <c r="Q572">
        <v>2</v>
      </c>
      <c r="R572">
        <v>166</v>
      </c>
      <c r="S572">
        <v>11.325190114068441</v>
      </c>
      <c r="T572">
        <v>0.96046509742736819</v>
      </c>
    </row>
    <row r="573" spans="1:20" x14ac:dyDescent="0.25">
      <c r="A573" t="s">
        <v>18</v>
      </c>
      <c r="B573">
        <v>9</v>
      </c>
      <c r="C573">
        <v>3</v>
      </c>
      <c r="D573">
        <v>0</v>
      </c>
      <c r="E573" t="s">
        <v>51</v>
      </c>
      <c r="F573">
        <v>42028</v>
      </c>
      <c r="G573">
        <v>41514502.192307696</v>
      </c>
      <c r="H573">
        <v>0.94271113322331357</v>
      </c>
      <c r="I573">
        <v>0.96180742334588487</v>
      </c>
      <c r="J573">
        <v>10733180.73076923</v>
      </c>
      <c r="K573">
        <v>60924</v>
      </c>
      <c r="L573">
        <v>2</v>
      </c>
      <c r="M573">
        <v>166</v>
      </c>
      <c r="N573">
        <v>0.95293168370091441</v>
      </c>
      <c r="O573">
        <v>9933958.615384616</v>
      </c>
      <c r="P573">
        <v>61625</v>
      </c>
      <c r="Q573">
        <v>2</v>
      </c>
      <c r="R573">
        <v>167</v>
      </c>
      <c r="S573">
        <v>11.32467286174853</v>
      </c>
      <c r="T573">
        <v>0.95720928192138677</v>
      </c>
    </row>
    <row r="574" spans="1:20" x14ac:dyDescent="0.25">
      <c r="A574" t="s">
        <v>18</v>
      </c>
      <c r="B574">
        <v>9</v>
      </c>
      <c r="C574">
        <v>3</v>
      </c>
      <c r="D574">
        <v>0</v>
      </c>
      <c r="E574" t="s">
        <v>38</v>
      </c>
      <c r="F574">
        <v>42392</v>
      </c>
      <c r="G574">
        <v>44297832.666666664</v>
      </c>
      <c r="H574">
        <v>0.95221444964408875</v>
      </c>
      <c r="I574">
        <v>0.96736596736596736</v>
      </c>
      <c r="J574">
        <v>10474047.833333334</v>
      </c>
      <c r="K574">
        <v>61625</v>
      </c>
      <c r="L574">
        <v>2</v>
      </c>
      <c r="M574">
        <v>167</v>
      </c>
      <c r="N574">
        <v>0.96037296037296038</v>
      </c>
      <c r="O574">
        <v>11890823.5</v>
      </c>
      <c r="P574">
        <v>62330</v>
      </c>
      <c r="Q574">
        <v>2</v>
      </c>
      <c r="R574">
        <v>168</v>
      </c>
      <c r="S574">
        <v>11.324393479909022</v>
      </c>
      <c r="T574">
        <v>0.9790697574615479</v>
      </c>
    </row>
    <row r="575" spans="1:20" x14ac:dyDescent="0.25">
      <c r="A575" t="s">
        <v>18</v>
      </c>
      <c r="B575">
        <v>9</v>
      </c>
      <c r="C575">
        <v>3</v>
      </c>
      <c r="D575">
        <v>0</v>
      </c>
      <c r="E575" t="s">
        <v>52</v>
      </c>
      <c r="F575">
        <v>43050</v>
      </c>
      <c r="G575">
        <v>39772168</v>
      </c>
      <c r="H575">
        <v>0.93986013889312747</v>
      </c>
      <c r="I575">
        <v>0.95916083916083916</v>
      </c>
      <c r="J575">
        <v>10741034.48</v>
      </c>
      <c r="K575">
        <v>63039</v>
      </c>
      <c r="L575">
        <v>2</v>
      </c>
      <c r="M575">
        <v>169</v>
      </c>
      <c r="N575">
        <v>0.95720279720279722</v>
      </c>
      <c r="O575">
        <v>9689155.3599999994</v>
      </c>
      <c r="P575">
        <v>63752</v>
      </c>
      <c r="Q575">
        <v>2</v>
      </c>
      <c r="R575">
        <v>170</v>
      </c>
      <c r="S575">
        <v>11.32173584192115</v>
      </c>
      <c r="T575">
        <v>0.96027130385239923</v>
      </c>
    </row>
    <row r="576" spans="1:20" x14ac:dyDescent="0.25">
      <c r="A576" t="s">
        <v>18</v>
      </c>
      <c r="B576">
        <v>9</v>
      </c>
      <c r="C576">
        <v>3</v>
      </c>
      <c r="D576">
        <v>0</v>
      </c>
      <c r="E576" t="s">
        <v>70</v>
      </c>
      <c r="F576">
        <v>43646</v>
      </c>
      <c r="G576">
        <v>46156327.272727273</v>
      </c>
      <c r="H576">
        <v>0.94977748935872863</v>
      </c>
      <c r="I576">
        <v>0.96694214876033058</v>
      </c>
      <c r="J576">
        <v>8738016.1818181816</v>
      </c>
      <c r="K576">
        <v>63752</v>
      </c>
      <c r="L576">
        <v>2</v>
      </c>
      <c r="M576">
        <v>170</v>
      </c>
      <c r="N576">
        <v>0.9701207883026064</v>
      </c>
      <c r="O576">
        <v>10863710.727272727</v>
      </c>
      <c r="P576">
        <v>64469</v>
      </c>
      <c r="Q576">
        <v>2</v>
      </c>
      <c r="R576">
        <v>171</v>
      </c>
      <c r="S576">
        <v>11.321968265961466</v>
      </c>
      <c r="T576">
        <v>0.9790697574615479</v>
      </c>
    </row>
    <row r="577" spans="1:20" x14ac:dyDescent="0.25">
      <c r="A577" t="s">
        <v>18</v>
      </c>
      <c r="B577">
        <v>9</v>
      </c>
      <c r="C577">
        <v>3</v>
      </c>
      <c r="D577">
        <v>0</v>
      </c>
      <c r="E577" t="s">
        <v>53</v>
      </c>
      <c r="F577">
        <v>44072</v>
      </c>
      <c r="G577">
        <v>41990370.545454547</v>
      </c>
      <c r="H577">
        <v>0.95804194970564405</v>
      </c>
      <c r="I577">
        <v>0.96185632549268907</v>
      </c>
      <c r="J577">
        <v>9236135</v>
      </c>
      <c r="K577">
        <v>64469</v>
      </c>
      <c r="L577">
        <v>2</v>
      </c>
      <c r="M577">
        <v>171</v>
      </c>
      <c r="N577">
        <v>0.96439923712650977</v>
      </c>
      <c r="O577">
        <v>11242636.727272727</v>
      </c>
      <c r="P577">
        <v>65190</v>
      </c>
      <c r="Q577">
        <v>2</v>
      </c>
      <c r="R577">
        <v>172</v>
      </c>
      <c r="S577">
        <v>11.321351070855741</v>
      </c>
      <c r="T577">
        <v>0.9581395268440247</v>
      </c>
    </row>
    <row r="578" spans="1:20" x14ac:dyDescent="0.25">
      <c r="A578" t="s">
        <v>18</v>
      </c>
      <c r="B578">
        <v>9</v>
      </c>
      <c r="C578">
        <v>3</v>
      </c>
      <c r="D578">
        <v>0</v>
      </c>
      <c r="E578" t="s">
        <v>62</v>
      </c>
      <c r="F578">
        <v>44550</v>
      </c>
      <c r="G578">
        <v>53475884.666666664</v>
      </c>
      <c r="H578">
        <v>0.93939394752184546</v>
      </c>
      <c r="I578">
        <v>0.96736596736596736</v>
      </c>
      <c r="J578">
        <v>10263439</v>
      </c>
      <c r="K578">
        <v>65190</v>
      </c>
      <c r="L578">
        <v>2</v>
      </c>
      <c r="M578">
        <v>172</v>
      </c>
      <c r="N578">
        <v>0.965034965034965</v>
      </c>
      <c r="O578">
        <v>10395202.333333334</v>
      </c>
      <c r="P578">
        <v>65915</v>
      </c>
      <c r="Q578">
        <v>2</v>
      </c>
      <c r="R578">
        <v>173</v>
      </c>
      <c r="S578">
        <v>11.322395096652523</v>
      </c>
      <c r="T578">
        <v>0.97209300994873049</v>
      </c>
    </row>
    <row r="579" spans="1:20" x14ac:dyDescent="0.25">
      <c r="A579" t="s">
        <v>18</v>
      </c>
      <c r="B579">
        <v>9</v>
      </c>
      <c r="C579">
        <v>3</v>
      </c>
      <c r="D579">
        <v>0</v>
      </c>
      <c r="E579" t="s">
        <v>54</v>
      </c>
      <c r="F579">
        <v>45094</v>
      </c>
      <c r="G579">
        <v>46803943.5625</v>
      </c>
      <c r="H579">
        <v>0.94274475425481796</v>
      </c>
      <c r="I579">
        <v>0.96984265734265729</v>
      </c>
      <c r="J579">
        <v>11258756.375</v>
      </c>
      <c r="K579">
        <v>65915</v>
      </c>
      <c r="L579">
        <v>2</v>
      </c>
      <c r="M579">
        <v>173</v>
      </c>
      <c r="N579">
        <v>0.96896853146853146</v>
      </c>
      <c r="O579">
        <v>11202565</v>
      </c>
      <c r="P579">
        <v>66644</v>
      </c>
      <c r="Q579">
        <v>2</v>
      </c>
      <c r="R579">
        <v>174</v>
      </c>
      <c r="S579">
        <v>11.32322756802561</v>
      </c>
      <c r="T579">
        <v>0.96201548576354978</v>
      </c>
    </row>
    <row r="580" spans="1:20" x14ac:dyDescent="0.25">
      <c r="A580" t="s">
        <v>18</v>
      </c>
      <c r="B580">
        <v>9</v>
      </c>
      <c r="C580">
        <v>3</v>
      </c>
      <c r="D580">
        <v>0</v>
      </c>
      <c r="E580" t="s">
        <v>63</v>
      </c>
      <c r="F580">
        <v>45632</v>
      </c>
      <c r="G580">
        <v>46943559.666666664</v>
      </c>
      <c r="H580">
        <v>0.92890442411104834</v>
      </c>
      <c r="I580">
        <v>0.97086247086247079</v>
      </c>
      <c r="J580">
        <v>11267566.833333334</v>
      </c>
      <c r="K580">
        <v>66644</v>
      </c>
      <c r="L580">
        <v>2</v>
      </c>
      <c r="M580">
        <v>174</v>
      </c>
      <c r="N580">
        <v>0.96736596736596736</v>
      </c>
      <c r="O580">
        <v>9015451</v>
      </c>
      <c r="P580">
        <v>67377</v>
      </c>
      <c r="Q580">
        <v>2</v>
      </c>
      <c r="R580">
        <v>175</v>
      </c>
      <c r="S580">
        <v>11.323233273736708</v>
      </c>
      <c r="T580">
        <v>0.95581393241882329</v>
      </c>
    </row>
    <row r="581" spans="1:20" x14ac:dyDescent="0.25">
      <c r="A581" t="s">
        <v>18</v>
      </c>
      <c r="B581">
        <v>9</v>
      </c>
      <c r="C581">
        <v>3</v>
      </c>
      <c r="D581">
        <v>0</v>
      </c>
      <c r="E581" t="s">
        <v>86</v>
      </c>
      <c r="F581">
        <v>45988</v>
      </c>
      <c r="G581">
        <v>43896744.272727273</v>
      </c>
      <c r="H581">
        <v>0.95422759381207556</v>
      </c>
      <c r="I581">
        <v>0.96185632549268907</v>
      </c>
      <c r="J581">
        <v>11307725</v>
      </c>
      <c r="K581">
        <v>67377</v>
      </c>
      <c r="L581">
        <v>2</v>
      </c>
      <c r="M581">
        <v>175</v>
      </c>
      <c r="N581">
        <v>0.97202797202797198</v>
      </c>
      <c r="O581">
        <v>11166412.272727273</v>
      </c>
      <c r="P581">
        <v>68114</v>
      </c>
      <c r="Q581">
        <v>2</v>
      </c>
      <c r="R581">
        <v>176</v>
      </c>
      <c r="S581">
        <v>11.322993043805226</v>
      </c>
      <c r="T581">
        <v>0.95930230617523193</v>
      </c>
    </row>
    <row r="582" spans="1:20" x14ac:dyDescent="0.25">
      <c r="A582" t="s">
        <v>18</v>
      </c>
      <c r="B582">
        <v>9</v>
      </c>
      <c r="C582">
        <v>3</v>
      </c>
      <c r="D582">
        <v>0</v>
      </c>
      <c r="E582" t="s">
        <v>64</v>
      </c>
      <c r="F582">
        <v>46714</v>
      </c>
      <c r="G582">
        <v>41074541.833333336</v>
      </c>
      <c r="H582">
        <v>0.93822842836380005</v>
      </c>
      <c r="I582">
        <v>0.97086247086247079</v>
      </c>
      <c r="J582">
        <v>11461503.333333334</v>
      </c>
      <c r="K582">
        <v>68114</v>
      </c>
      <c r="L582">
        <v>2</v>
      </c>
      <c r="M582">
        <v>176</v>
      </c>
      <c r="N582">
        <v>0.97086247086247091</v>
      </c>
      <c r="O582">
        <v>10841992</v>
      </c>
      <c r="P582">
        <v>68855</v>
      </c>
      <c r="Q582">
        <v>2</v>
      </c>
      <c r="R582">
        <v>177</v>
      </c>
      <c r="S582">
        <v>11.322341225103344</v>
      </c>
      <c r="T582">
        <v>0.96976742744445799</v>
      </c>
    </row>
    <row r="583" spans="1:20" x14ac:dyDescent="0.25">
      <c r="A583" t="s">
        <v>18</v>
      </c>
      <c r="B583">
        <v>9</v>
      </c>
      <c r="C583">
        <v>3</v>
      </c>
      <c r="D583">
        <v>0</v>
      </c>
      <c r="E583" t="s">
        <v>72</v>
      </c>
      <c r="F583">
        <v>47072</v>
      </c>
      <c r="G583">
        <v>43653211.666666664</v>
      </c>
      <c r="H583">
        <v>0.94988345106442773</v>
      </c>
      <c r="I583">
        <v>0.97086247086247079</v>
      </c>
      <c r="J583">
        <v>9603805.666666666</v>
      </c>
      <c r="K583">
        <v>68855</v>
      </c>
      <c r="L583">
        <v>2</v>
      </c>
      <c r="M583">
        <v>177</v>
      </c>
      <c r="N583">
        <v>0.96853146853146854</v>
      </c>
      <c r="O583">
        <v>11781517.833333334</v>
      </c>
      <c r="P583">
        <v>69600</v>
      </c>
      <c r="Q583">
        <v>2</v>
      </c>
      <c r="R583">
        <v>178</v>
      </c>
      <c r="S583">
        <v>11.321877934272301</v>
      </c>
      <c r="T583">
        <v>0.97674417495727539</v>
      </c>
    </row>
    <row r="584" spans="1:20" x14ac:dyDescent="0.25">
      <c r="A584" t="s">
        <v>18</v>
      </c>
      <c r="B584">
        <v>9</v>
      </c>
      <c r="C584">
        <v>3</v>
      </c>
      <c r="D584">
        <v>0</v>
      </c>
      <c r="E584" t="s">
        <v>65</v>
      </c>
      <c r="F584">
        <v>47796</v>
      </c>
      <c r="G584">
        <v>44945802.727272727</v>
      </c>
      <c r="H584">
        <v>0.94914176789197058</v>
      </c>
      <c r="I584">
        <v>0.96694214876033058</v>
      </c>
      <c r="J584">
        <v>12186467.545454545</v>
      </c>
      <c r="K584">
        <v>69600</v>
      </c>
      <c r="L584">
        <v>2</v>
      </c>
      <c r="M584">
        <v>178</v>
      </c>
      <c r="N584">
        <v>0.96821360457724093</v>
      </c>
      <c r="O584">
        <v>11564255.818181818</v>
      </c>
      <c r="P584">
        <v>70349</v>
      </c>
      <c r="Q584">
        <v>2</v>
      </c>
      <c r="R584">
        <v>179</v>
      </c>
      <c r="S584">
        <v>11.321264421724042</v>
      </c>
      <c r="T584">
        <v>0.97558138370513914</v>
      </c>
    </row>
    <row r="585" spans="1:20" x14ac:dyDescent="0.25">
      <c r="A585" t="s">
        <v>18</v>
      </c>
      <c r="B585">
        <v>9</v>
      </c>
      <c r="C585">
        <v>3</v>
      </c>
      <c r="D585">
        <v>0</v>
      </c>
      <c r="E585" t="s">
        <v>73</v>
      </c>
      <c r="F585">
        <v>48214</v>
      </c>
      <c r="G585">
        <v>51594908.666666664</v>
      </c>
      <c r="H585">
        <v>0.95221445957819617</v>
      </c>
      <c r="I585">
        <v>0.96969696969696972</v>
      </c>
      <c r="J585">
        <v>10666386.333333334</v>
      </c>
      <c r="K585">
        <v>70349</v>
      </c>
      <c r="L585">
        <v>2</v>
      </c>
      <c r="M585">
        <v>179</v>
      </c>
      <c r="N585">
        <v>0.96853146853146854</v>
      </c>
      <c r="O585">
        <v>11310953.166666666</v>
      </c>
      <c r="P585">
        <v>71102</v>
      </c>
      <c r="Q585">
        <v>2</v>
      </c>
      <c r="R585">
        <v>180</v>
      </c>
      <c r="S585">
        <v>11.3217399456267</v>
      </c>
      <c r="T585">
        <v>0.96046509742736819</v>
      </c>
    </row>
    <row r="586" spans="1:20" x14ac:dyDescent="0.25">
      <c r="A586" t="s">
        <v>18</v>
      </c>
      <c r="B586">
        <v>9</v>
      </c>
      <c r="C586">
        <v>3</v>
      </c>
      <c r="D586">
        <v>0</v>
      </c>
      <c r="E586" t="s">
        <v>74</v>
      </c>
      <c r="F586">
        <v>49356</v>
      </c>
      <c r="G586">
        <v>44813057.636363633</v>
      </c>
      <c r="H586">
        <v>0.94977749477733264</v>
      </c>
      <c r="I586">
        <v>0.96439923712650977</v>
      </c>
      <c r="J586">
        <v>9764041.4545454551</v>
      </c>
      <c r="K586">
        <v>71859</v>
      </c>
      <c r="L586">
        <v>2</v>
      </c>
      <c r="M586">
        <v>181</v>
      </c>
      <c r="N586">
        <v>0.96694214876033058</v>
      </c>
      <c r="O586">
        <v>12001541.090909092</v>
      </c>
      <c r="P586">
        <v>72620</v>
      </c>
      <c r="Q586">
        <v>2</v>
      </c>
      <c r="R586">
        <v>182</v>
      </c>
      <c r="S586">
        <v>11.32094025098333</v>
      </c>
      <c r="T586">
        <v>0.9558139443397522</v>
      </c>
    </row>
    <row r="587" spans="1:20" x14ac:dyDescent="0.25">
      <c r="A587" t="s">
        <v>18</v>
      </c>
      <c r="B587">
        <v>9</v>
      </c>
      <c r="C587">
        <v>3</v>
      </c>
      <c r="D587">
        <v>0</v>
      </c>
      <c r="E587" t="s">
        <v>89</v>
      </c>
      <c r="F587">
        <v>49594</v>
      </c>
      <c r="G587">
        <v>49736308.333333336</v>
      </c>
      <c r="H587">
        <v>0.95104895035425818</v>
      </c>
      <c r="I587">
        <v>0.96620046620046618</v>
      </c>
      <c r="J587">
        <v>11930381.333333334</v>
      </c>
      <c r="K587">
        <v>72620</v>
      </c>
      <c r="L587">
        <v>2</v>
      </c>
      <c r="M587">
        <v>182</v>
      </c>
      <c r="N587">
        <v>0.97202797202797198</v>
      </c>
      <c r="O587">
        <v>12483538.166666666</v>
      </c>
      <c r="P587">
        <v>73385</v>
      </c>
      <c r="Q587">
        <v>2</v>
      </c>
      <c r="R587">
        <v>183</v>
      </c>
      <c r="S587">
        <v>11.321134406589293</v>
      </c>
      <c r="T587">
        <v>0.97674417495727539</v>
      </c>
    </row>
    <row r="588" spans="1:20" x14ac:dyDescent="0.25">
      <c r="A588" t="s">
        <v>18</v>
      </c>
      <c r="B588">
        <v>9</v>
      </c>
      <c r="C588">
        <v>3</v>
      </c>
      <c r="D588">
        <v>0</v>
      </c>
      <c r="E588" t="s">
        <v>75</v>
      </c>
      <c r="F588">
        <v>50498</v>
      </c>
      <c r="G588">
        <v>48595121.5</v>
      </c>
      <c r="H588">
        <v>0.94871794184048974</v>
      </c>
      <c r="I588">
        <v>0.96969696969696972</v>
      </c>
      <c r="J588">
        <v>11049781.333333334</v>
      </c>
      <c r="K588">
        <v>73385</v>
      </c>
      <c r="L588">
        <v>2</v>
      </c>
      <c r="M588">
        <v>183</v>
      </c>
      <c r="N588">
        <v>0.96853146853146854</v>
      </c>
      <c r="O588">
        <v>13720944.5</v>
      </c>
      <c r="P588">
        <v>74154</v>
      </c>
      <c r="Q588">
        <v>2</v>
      </c>
      <c r="R588">
        <v>184</v>
      </c>
      <c r="S588">
        <v>11.321047708138448</v>
      </c>
      <c r="T588">
        <v>0.96279067993164058</v>
      </c>
    </row>
    <row r="589" spans="1:20" x14ac:dyDescent="0.25">
      <c r="A589" t="s">
        <v>18</v>
      </c>
      <c r="B589">
        <v>9</v>
      </c>
      <c r="C589">
        <v>3</v>
      </c>
      <c r="D589">
        <v>0</v>
      </c>
      <c r="E589" t="s">
        <v>90</v>
      </c>
      <c r="F589">
        <v>50796</v>
      </c>
      <c r="G589">
        <v>45922256.166666664</v>
      </c>
      <c r="H589">
        <v>0.95454544822374976</v>
      </c>
      <c r="I589">
        <v>0.96969696969696961</v>
      </c>
      <c r="J589">
        <v>12984949.166666666</v>
      </c>
      <c r="K589">
        <v>74154</v>
      </c>
      <c r="L589">
        <v>2</v>
      </c>
      <c r="M589">
        <v>184</v>
      </c>
      <c r="N589">
        <v>0.96969696969696961</v>
      </c>
      <c r="O589">
        <v>13041674.333333334</v>
      </c>
      <c r="P589">
        <v>74927</v>
      </c>
      <c r="Q589">
        <v>2</v>
      </c>
      <c r="R589">
        <v>185</v>
      </c>
      <c r="S589">
        <v>11.320587135377711</v>
      </c>
      <c r="T589">
        <v>0.95348834991455078</v>
      </c>
    </row>
    <row r="590" spans="1:20" x14ac:dyDescent="0.25">
      <c r="A590" t="s">
        <v>18</v>
      </c>
      <c r="B590">
        <v>9</v>
      </c>
      <c r="C590">
        <v>3</v>
      </c>
      <c r="D590">
        <v>0</v>
      </c>
      <c r="E590" t="s">
        <v>91</v>
      </c>
      <c r="F590">
        <v>51998</v>
      </c>
      <c r="G590">
        <v>56368205</v>
      </c>
      <c r="H590">
        <v>0.9545454581578573</v>
      </c>
      <c r="I590">
        <v>0.97086247086247079</v>
      </c>
      <c r="J590">
        <v>13287408</v>
      </c>
      <c r="K590">
        <v>75704</v>
      </c>
      <c r="L590">
        <v>2</v>
      </c>
      <c r="M590">
        <v>186</v>
      </c>
      <c r="N590">
        <v>0.96620046620046618</v>
      </c>
      <c r="O590">
        <v>13753819.333333334</v>
      </c>
      <c r="P590">
        <v>76485</v>
      </c>
      <c r="Q590">
        <v>2</v>
      </c>
      <c r="R590">
        <v>187</v>
      </c>
      <c r="S590">
        <v>11.321435245748459</v>
      </c>
      <c r="T590">
        <v>0.95813951492309568</v>
      </c>
    </row>
    <row r="591" spans="1:20" x14ac:dyDescent="0.25">
      <c r="A591" t="s">
        <v>18</v>
      </c>
      <c r="B591">
        <v>9</v>
      </c>
      <c r="C591">
        <v>3</v>
      </c>
      <c r="D591">
        <v>0</v>
      </c>
      <c r="E591" t="s">
        <v>92</v>
      </c>
      <c r="F591">
        <v>53200</v>
      </c>
      <c r="G591">
        <v>43913858.166666664</v>
      </c>
      <c r="H591">
        <v>0.95571095744768775</v>
      </c>
      <c r="I591">
        <v>0.96736596736596736</v>
      </c>
      <c r="J591">
        <v>14204188.833333334</v>
      </c>
      <c r="K591">
        <v>77270</v>
      </c>
      <c r="L591">
        <v>2</v>
      </c>
      <c r="M591">
        <v>188</v>
      </c>
      <c r="N591">
        <v>0.96620046620046618</v>
      </c>
      <c r="O591">
        <v>15089056.5</v>
      </c>
      <c r="P591">
        <v>78059</v>
      </c>
      <c r="Q591">
        <v>2</v>
      </c>
      <c r="R591">
        <v>189</v>
      </c>
      <c r="S591">
        <v>11.320508031378409</v>
      </c>
      <c r="T591">
        <v>0.96046509742736819</v>
      </c>
    </row>
    <row r="592" spans="1:20" x14ac:dyDescent="0.25">
      <c r="A592" t="s">
        <v>18</v>
      </c>
      <c r="B592">
        <v>9</v>
      </c>
      <c r="C592">
        <v>3</v>
      </c>
      <c r="D592">
        <v>0</v>
      </c>
      <c r="E592" t="s">
        <v>105</v>
      </c>
      <c r="F592">
        <v>10584</v>
      </c>
      <c r="G592">
        <v>55011905</v>
      </c>
      <c r="H592">
        <v>0.93939394752184546</v>
      </c>
      <c r="I592">
        <v>0.95454545454545447</v>
      </c>
      <c r="J592">
        <v>11535199.166666666</v>
      </c>
      <c r="K592">
        <v>15249</v>
      </c>
      <c r="L592">
        <v>2</v>
      </c>
      <c r="M592">
        <v>79</v>
      </c>
      <c r="N592">
        <v>0.96153846153846145</v>
      </c>
      <c r="O592">
        <v>13869800.5</v>
      </c>
      <c r="P592">
        <v>15602</v>
      </c>
      <c r="Q592">
        <v>2</v>
      </c>
      <c r="R592">
        <v>80</v>
      </c>
      <c r="S592">
        <v>11.321728579428784</v>
      </c>
      <c r="T592">
        <v>0.96279067993164058</v>
      </c>
    </row>
    <row r="593" spans="1:20" x14ac:dyDescent="0.25">
      <c r="A593" t="s">
        <v>18</v>
      </c>
      <c r="B593">
        <v>9</v>
      </c>
      <c r="C593">
        <v>3</v>
      </c>
      <c r="D593">
        <v>0</v>
      </c>
      <c r="E593" t="s">
        <v>19</v>
      </c>
      <c r="F593">
        <v>11546</v>
      </c>
      <c r="G593">
        <v>15221745.454545455</v>
      </c>
      <c r="H593">
        <v>0.90527654777873645</v>
      </c>
      <c r="I593">
        <v>0.91481246026700569</v>
      </c>
      <c r="J593">
        <v>4058796.9090909092</v>
      </c>
      <c r="K593">
        <v>16685</v>
      </c>
      <c r="L593">
        <v>2</v>
      </c>
      <c r="M593">
        <v>83</v>
      </c>
      <c r="N593">
        <v>0.91417673235855057</v>
      </c>
      <c r="O593">
        <v>4467484.7272727275</v>
      </c>
      <c r="P593">
        <v>17054</v>
      </c>
      <c r="Q593">
        <v>2</v>
      </c>
      <c r="R593">
        <v>84</v>
      </c>
      <c r="S593">
        <v>11.321398601398601</v>
      </c>
      <c r="T593">
        <v>0.94883720278739925</v>
      </c>
    </row>
    <row r="594" spans="1:20" x14ac:dyDescent="0.25">
      <c r="A594" t="s">
        <v>18</v>
      </c>
      <c r="B594">
        <v>9</v>
      </c>
      <c r="C594">
        <v>3</v>
      </c>
      <c r="D594">
        <v>0</v>
      </c>
      <c r="E594" t="s">
        <v>20</v>
      </c>
      <c r="F594">
        <v>12508</v>
      </c>
      <c r="G594">
        <v>11841469.727272727</v>
      </c>
      <c r="H594">
        <v>0.92116974158720533</v>
      </c>
      <c r="I594">
        <v>0.91481246026700569</v>
      </c>
      <c r="J594">
        <v>4604871.6363636367</v>
      </c>
      <c r="K594">
        <v>18185</v>
      </c>
      <c r="L594">
        <v>2</v>
      </c>
      <c r="M594">
        <v>87</v>
      </c>
      <c r="N594">
        <v>0.92371265098537825</v>
      </c>
      <c r="O594">
        <v>4036509.6363636362</v>
      </c>
      <c r="P594">
        <v>18570</v>
      </c>
      <c r="Q594">
        <v>2</v>
      </c>
      <c r="R594">
        <v>88</v>
      </c>
      <c r="S594">
        <v>11.318181818181818</v>
      </c>
      <c r="T594">
        <v>0.96279067993164058</v>
      </c>
    </row>
    <row r="595" spans="1:20" x14ac:dyDescent="0.25">
      <c r="A595" t="s">
        <v>18</v>
      </c>
      <c r="B595">
        <v>9</v>
      </c>
      <c r="C595">
        <v>3</v>
      </c>
      <c r="D595">
        <v>0</v>
      </c>
      <c r="E595" t="s">
        <v>21</v>
      </c>
      <c r="F595">
        <v>13470</v>
      </c>
      <c r="G595">
        <v>15438475.454545455</v>
      </c>
      <c r="H595">
        <v>0.90909090367230505</v>
      </c>
      <c r="I595">
        <v>0.91226954863318499</v>
      </c>
      <c r="J595">
        <v>8461628.0909090918</v>
      </c>
      <c r="K595">
        <v>19352</v>
      </c>
      <c r="L595">
        <v>2</v>
      </c>
      <c r="M595">
        <v>90</v>
      </c>
      <c r="N595">
        <v>0.91354100445009534</v>
      </c>
      <c r="O595">
        <v>7176582.9090909092</v>
      </c>
      <c r="P595">
        <v>19749</v>
      </c>
      <c r="Q595">
        <v>2</v>
      </c>
      <c r="R595">
        <v>91</v>
      </c>
      <c r="S595">
        <v>11.317018702893831</v>
      </c>
      <c r="T595">
        <v>0.94999998211860659</v>
      </c>
    </row>
    <row r="596" spans="1:20" x14ac:dyDescent="0.25">
      <c r="A596" t="s">
        <v>18</v>
      </c>
      <c r="B596">
        <v>9</v>
      </c>
      <c r="C596">
        <v>3</v>
      </c>
      <c r="D596">
        <v>0</v>
      </c>
      <c r="E596" t="s">
        <v>22</v>
      </c>
      <c r="F596">
        <v>14432</v>
      </c>
      <c r="G596">
        <v>14044957.090909092</v>
      </c>
      <c r="H596">
        <v>0.9326128363609314</v>
      </c>
      <c r="I596">
        <v>0.91671964399237127</v>
      </c>
      <c r="J596">
        <v>8467066.0909090918</v>
      </c>
      <c r="K596">
        <v>20964</v>
      </c>
      <c r="L596">
        <v>2</v>
      </c>
      <c r="M596">
        <v>94</v>
      </c>
      <c r="N596">
        <v>0.91417673235855057</v>
      </c>
      <c r="O596">
        <v>8973383.8181818184</v>
      </c>
      <c r="P596">
        <v>21377</v>
      </c>
      <c r="Q596">
        <v>2</v>
      </c>
      <c r="R596">
        <v>95</v>
      </c>
      <c r="S596">
        <v>11.314556609035137</v>
      </c>
      <c r="T596">
        <v>0.95697672367095943</v>
      </c>
    </row>
    <row r="597" spans="1:20" x14ac:dyDescent="0.25">
      <c r="A597" t="s">
        <v>18</v>
      </c>
      <c r="B597">
        <v>9</v>
      </c>
      <c r="C597">
        <v>3</v>
      </c>
      <c r="D597">
        <v>0</v>
      </c>
      <c r="E597" t="s">
        <v>39</v>
      </c>
      <c r="F597">
        <v>15394</v>
      </c>
      <c r="G597">
        <v>19645738.272727273</v>
      </c>
      <c r="H597">
        <v>0.92752701585943054</v>
      </c>
      <c r="I597">
        <v>0.91036236490781941</v>
      </c>
      <c r="J597">
        <v>8621144.1818181816</v>
      </c>
      <c r="K597">
        <v>22215</v>
      </c>
      <c r="L597">
        <v>2</v>
      </c>
      <c r="M597">
        <v>97</v>
      </c>
      <c r="N597">
        <v>0.91226954863318499</v>
      </c>
      <c r="O597">
        <v>9386441.6363636367</v>
      </c>
      <c r="P597">
        <v>22640</v>
      </c>
      <c r="Q597">
        <v>2</v>
      </c>
      <c r="R597">
        <v>98</v>
      </c>
      <c r="S597">
        <v>11.315349614634599</v>
      </c>
      <c r="T597">
        <v>0.95813951492309568</v>
      </c>
    </row>
    <row r="598" spans="1:20" x14ac:dyDescent="0.25">
      <c r="A598" t="s">
        <v>18</v>
      </c>
      <c r="B598">
        <v>9</v>
      </c>
      <c r="C598">
        <v>4</v>
      </c>
      <c r="D598">
        <v>0</v>
      </c>
      <c r="E598" t="s">
        <v>22</v>
      </c>
      <c r="F598">
        <v>15392</v>
      </c>
      <c r="G598">
        <v>28035826.818181816</v>
      </c>
      <c r="H598">
        <v>0.93324856324629346</v>
      </c>
      <c r="I598">
        <v>0.91608391608391604</v>
      </c>
      <c r="J598">
        <v>8633927.7272727266</v>
      </c>
      <c r="K598">
        <v>23939</v>
      </c>
      <c r="L598">
        <v>2</v>
      </c>
      <c r="M598">
        <v>101</v>
      </c>
      <c r="N598">
        <v>0.91926255562619197</v>
      </c>
      <c r="O598">
        <v>8567092.2727272734</v>
      </c>
      <c r="P598">
        <v>24380</v>
      </c>
      <c r="Q598">
        <v>2</v>
      </c>
      <c r="R598">
        <v>102</v>
      </c>
      <c r="S598">
        <v>11.320686456400741</v>
      </c>
      <c r="T598">
        <v>0.95232557058334355</v>
      </c>
    </row>
    <row r="599" spans="1:20" x14ac:dyDescent="0.25">
      <c r="A599" t="s">
        <v>18</v>
      </c>
      <c r="B599">
        <v>9</v>
      </c>
      <c r="C599">
        <v>4</v>
      </c>
      <c r="D599">
        <v>0</v>
      </c>
      <c r="E599" t="s">
        <v>39</v>
      </c>
      <c r="F599">
        <v>16418</v>
      </c>
      <c r="G599">
        <v>15243640.833333334</v>
      </c>
      <c r="H599">
        <v>0.96270396312077844</v>
      </c>
      <c r="I599">
        <v>0.965034965034965</v>
      </c>
      <c r="J599">
        <v>9285303</v>
      </c>
      <c r="K599">
        <v>25274</v>
      </c>
      <c r="L599">
        <v>2</v>
      </c>
      <c r="M599">
        <v>104</v>
      </c>
      <c r="N599">
        <v>0.97202797202797198</v>
      </c>
      <c r="O599">
        <v>8615508.166666666</v>
      </c>
      <c r="P599">
        <v>25727</v>
      </c>
      <c r="Q599">
        <v>2</v>
      </c>
      <c r="R599">
        <v>105</v>
      </c>
      <c r="S599">
        <v>11.319024661598368</v>
      </c>
      <c r="T599">
        <v>0.96511626243591309</v>
      </c>
    </row>
    <row r="600" spans="1:20" x14ac:dyDescent="0.25">
      <c r="A600" t="s">
        <v>18</v>
      </c>
      <c r="B600">
        <v>9</v>
      </c>
      <c r="C600">
        <v>4</v>
      </c>
      <c r="D600">
        <v>0</v>
      </c>
      <c r="E600" t="s">
        <v>55</v>
      </c>
      <c r="F600">
        <v>17444</v>
      </c>
      <c r="G600">
        <v>25215000.5</v>
      </c>
      <c r="H600">
        <v>0.9627039531866709</v>
      </c>
      <c r="I600">
        <v>0.96969696969696961</v>
      </c>
      <c r="J600">
        <v>8910070.5</v>
      </c>
      <c r="K600">
        <v>27110</v>
      </c>
      <c r="L600">
        <v>2</v>
      </c>
      <c r="M600">
        <v>108</v>
      </c>
      <c r="N600">
        <v>0.97086247086247079</v>
      </c>
      <c r="O600">
        <v>8950954.5</v>
      </c>
      <c r="P600">
        <v>27579</v>
      </c>
      <c r="Q600">
        <v>2</v>
      </c>
      <c r="R600">
        <v>109</v>
      </c>
      <c r="S600">
        <v>11.31986656782802</v>
      </c>
      <c r="T600">
        <v>0.965116274356842</v>
      </c>
    </row>
    <row r="601" spans="1:20" x14ac:dyDescent="0.25">
      <c r="A601" t="s">
        <v>18</v>
      </c>
      <c r="B601">
        <v>9</v>
      </c>
      <c r="C601">
        <v>4</v>
      </c>
      <c r="D601">
        <v>0</v>
      </c>
      <c r="E601" t="s">
        <v>66</v>
      </c>
      <c r="F601">
        <v>18470</v>
      </c>
      <c r="G601">
        <v>27756225</v>
      </c>
      <c r="H601">
        <v>0.95687644680341088</v>
      </c>
      <c r="I601">
        <v>0.96736596736596736</v>
      </c>
      <c r="J601">
        <v>9426211</v>
      </c>
      <c r="K601">
        <v>28529</v>
      </c>
      <c r="L601">
        <v>2</v>
      </c>
      <c r="M601">
        <v>111</v>
      </c>
      <c r="N601">
        <v>0.96969696969696961</v>
      </c>
      <c r="O601">
        <v>8585732.833333334</v>
      </c>
      <c r="P601">
        <v>29010</v>
      </c>
      <c r="Q601">
        <v>2</v>
      </c>
      <c r="R601">
        <v>112</v>
      </c>
      <c r="S601">
        <v>11.320985367660677</v>
      </c>
      <c r="T601">
        <v>0.96279067993164058</v>
      </c>
    </row>
    <row r="602" spans="1:20" x14ac:dyDescent="0.25">
      <c r="A602" t="s">
        <v>18</v>
      </c>
      <c r="B602">
        <v>9</v>
      </c>
      <c r="C602">
        <v>4</v>
      </c>
      <c r="D602">
        <v>0</v>
      </c>
      <c r="E602" t="s">
        <v>76</v>
      </c>
      <c r="F602">
        <v>19496</v>
      </c>
      <c r="G602">
        <v>23109645.166666668</v>
      </c>
      <c r="H602">
        <v>0.95104895035425818</v>
      </c>
      <c r="I602">
        <v>0.96853146853146854</v>
      </c>
      <c r="J602">
        <v>8304652.333333333</v>
      </c>
      <c r="K602">
        <v>29984</v>
      </c>
      <c r="L602">
        <v>2</v>
      </c>
      <c r="M602">
        <v>114</v>
      </c>
      <c r="N602">
        <v>0.97319347319347316</v>
      </c>
      <c r="O602">
        <v>9878990.666666666</v>
      </c>
      <c r="P602">
        <v>30477</v>
      </c>
      <c r="Q602">
        <v>2</v>
      </c>
      <c r="R602">
        <v>115</v>
      </c>
      <c r="S602">
        <v>11.320807108478341</v>
      </c>
      <c r="T602">
        <v>0.96744184494018559</v>
      </c>
    </row>
    <row r="603" spans="1:20" x14ac:dyDescent="0.25">
      <c r="A603" t="s">
        <v>18</v>
      </c>
      <c r="B603">
        <v>9</v>
      </c>
      <c r="C603">
        <v>4</v>
      </c>
      <c r="D603">
        <v>0</v>
      </c>
      <c r="E603" t="s">
        <v>93</v>
      </c>
      <c r="F603">
        <v>20522</v>
      </c>
      <c r="G603">
        <v>26188756.666666668</v>
      </c>
      <c r="H603">
        <v>0.95804195602734887</v>
      </c>
      <c r="I603">
        <v>0.965034965034965</v>
      </c>
      <c r="J603">
        <v>9486055.333333334</v>
      </c>
      <c r="K603">
        <v>31980</v>
      </c>
      <c r="L603">
        <v>2</v>
      </c>
      <c r="M603">
        <v>118</v>
      </c>
      <c r="N603">
        <v>0.96853146853146854</v>
      </c>
      <c r="O603">
        <v>10007163.5</v>
      </c>
      <c r="P603">
        <v>32489</v>
      </c>
      <c r="Q603">
        <v>2</v>
      </c>
      <c r="R603">
        <v>119</v>
      </c>
      <c r="S603">
        <v>11.3209065679926</v>
      </c>
      <c r="T603">
        <v>0.96511626243591309</v>
      </c>
    </row>
    <row r="604" spans="1:20" x14ac:dyDescent="0.25">
      <c r="A604" t="s">
        <v>18</v>
      </c>
      <c r="B604">
        <v>9</v>
      </c>
      <c r="C604">
        <v>4</v>
      </c>
      <c r="D604">
        <v>0</v>
      </c>
      <c r="E604" t="s">
        <v>94</v>
      </c>
      <c r="F604">
        <v>21548</v>
      </c>
      <c r="G604">
        <v>29212681.666666668</v>
      </c>
      <c r="H604">
        <v>0.95454544822374976</v>
      </c>
      <c r="I604">
        <v>0.97086247086247079</v>
      </c>
      <c r="J604">
        <v>9006616.5</v>
      </c>
      <c r="K604">
        <v>33519</v>
      </c>
      <c r="L604">
        <v>2</v>
      </c>
      <c r="M604">
        <v>121</v>
      </c>
      <c r="N604">
        <v>0.97086247086247079</v>
      </c>
      <c r="O604">
        <v>10018041.833333334</v>
      </c>
      <c r="P604">
        <v>34040</v>
      </c>
      <c r="Q604">
        <v>2</v>
      </c>
      <c r="R604">
        <v>122</v>
      </c>
      <c r="S604">
        <v>11.321930473372781</v>
      </c>
      <c r="T604">
        <v>0.96511626243591309</v>
      </c>
    </row>
    <row r="605" spans="1:20" x14ac:dyDescent="0.25">
      <c r="A605" t="s">
        <v>18</v>
      </c>
      <c r="B605">
        <v>9</v>
      </c>
      <c r="C605">
        <v>4</v>
      </c>
      <c r="D605">
        <v>0</v>
      </c>
      <c r="E605" t="s">
        <v>95</v>
      </c>
      <c r="F605">
        <v>22574</v>
      </c>
      <c r="G605">
        <v>19277819.833333332</v>
      </c>
      <c r="H605">
        <v>0.97552446524302161</v>
      </c>
      <c r="I605">
        <v>0.97202797202797198</v>
      </c>
      <c r="J605">
        <v>9448572.166666666</v>
      </c>
      <c r="K605">
        <v>35094</v>
      </c>
      <c r="L605">
        <v>2</v>
      </c>
      <c r="M605">
        <v>124</v>
      </c>
      <c r="N605">
        <v>0.96969696969696972</v>
      </c>
      <c r="O605">
        <v>10089595.833333334</v>
      </c>
      <c r="P605">
        <v>35627</v>
      </c>
      <c r="Q605">
        <v>2</v>
      </c>
      <c r="R605">
        <v>125</v>
      </c>
      <c r="S605">
        <v>11.320181112548513</v>
      </c>
      <c r="T605">
        <v>0.95348834991455078</v>
      </c>
    </row>
    <row r="606" spans="1:20" x14ac:dyDescent="0.25">
      <c r="A606" t="s">
        <v>18</v>
      </c>
      <c r="B606">
        <v>9</v>
      </c>
      <c r="C606">
        <v>4</v>
      </c>
      <c r="D606">
        <v>0</v>
      </c>
      <c r="E606" t="s">
        <v>96</v>
      </c>
      <c r="F606">
        <v>23600</v>
      </c>
      <c r="G606">
        <v>22230388.5</v>
      </c>
      <c r="H606">
        <v>0.95337995886802673</v>
      </c>
      <c r="I606">
        <v>0.96853146853146854</v>
      </c>
      <c r="J606">
        <v>8739078.833333334</v>
      </c>
      <c r="K606">
        <v>36705</v>
      </c>
      <c r="L606">
        <v>2</v>
      </c>
      <c r="M606">
        <v>127</v>
      </c>
      <c r="N606">
        <v>0.9766899766899767</v>
      </c>
      <c r="O606">
        <v>9138631.833333334</v>
      </c>
      <c r="P606">
        <v>37250</v>
      </c>
      <c r="Q606">
        <v>2</v>
      </c>
      <c r="R606">
        <v>128</v>
      </c>
      <c r="S606">
        <v>11.319080162541558</v>
      </c>
      <c r="T606">
        <v>0.95581393241882329</v>
      </c>
    </row>
    <row r="607" spans="1:20" x14ac:dyDescent="0.25">
      <c r="A607" t="s">
        <v>18</v>
      </c>
      <c r="B607">
        <v>9</v>
      </c>
      <c r="C607">
        <v>4</v>
      </c>
      <c r="D607">
        <v>0</v>
      </c>
      <c r="E607" t="s">
        <v>97</v>
      </c>
      <c r="F607">
        <v>24626</v>
      </c>
      <c r="G607">
        <v>28951645.5</v>
      </c>
      <c r="H607">
        <v>0.95571095744768775</v>
      </c>
      <c r="I607">
        <v>0.965034965034965</v>
      </c>
      <c r="J607">
        <v>8490604.333333334</v>
      </c>
      <c r="K607">
        <v>38352</v>
      </c>
      <c r="L607">
        <v>2</v>
      </c>
      <c r="M607">
        <v>130</v>
      </c>
      <c r="N607">
        <v>0.965034965034965</v>
      </c>
      <c r="O607">
        <v>9782418.166666666</v>
      </c>
      <c r="P607">
        <v>38909</v>
      </c>
      <c r="Q607">
        <v>2</v>
      </c>
      <c r="R607">
        <v>131</v>
      </c>
      <c r="S607">
        <v>11.319272660143991</v>
      </c>
      <c r="T607">
        <v>0.95581393241882329</v>
      </c>
    </row>
    <row r="608" spans="1:20" x14ac:dyDescent="0.25">
      <c r="A608" t="s">
        <v>18</v>
      </c>
      <c r="B608">
        <v>9</v>
      </c>
      <c r="C608">
        <v>4</v>
      </c>
      <c r="D608">
        <v>0</v>
      </c>
      <c r="E608" t="s">
        <v>98</v>
      </c>
      <c r="F608">
        <v>25652</v>
      </c>
      <c r="G608">
        <v>33538366.666666668</v>
      </c>
      <c r="H608">
        <v>0.97086246808369958</v>
      </c>
      <c r="I608">
        <v>0.97086247086247091</v>
      </c>
      <c r="J608">
        <v>7808344.5</v>
      </c>
      <c r="K608">
        <v>40035</v>
      </c>
      <c r="L608">
        <v>2</v>
      </c>
      <c r="M608">
        <v>133</v>
      </c>
      <c r="N608">
        <v>0.965034965034965</v>
      </c>
      <c r="O608">
        <v>9807277</v>
      </c>
      <c r="P608">
        <v>40604</v>
      </c>
      <c r="Q608">
        <v>2</v>
      </c>
      <c r="R608">
        <v>134</v>
      </c>
      <c r="S608">
        <v>11.32029520295203</v>
      </c>
      <c r="T608">
        <v>0.96279067993164058</v>
      </c>
    </row>
    <row r="609" spans="1:20" x14ac:dyDescent="0.25">
      <c r="A609" t="s">
        <v>18</v>
      </c>
      <c r="B609">
        <v>9</v>
      </c>
      <c r="C609">
        <v>4</v>
      </c>
      <c r="D609">
        <v>0</v>
      </c>
      <c r="E609" t="s">
        <v>99</v>
      </c>
      <c r="F609">
        <v>26678</v>
      </c>
      <c r="G609">
        <v>33303851.333333332</v>
      </c>
      <c r="H609">
        <v>0.94988345106442773</v>
      </c>
      <c r="I609">
        <v>0.97202797202797198</v>
      </c>
      <c r="J609">
        <v>8214073.666666667</v>
      </c>
      <c r="K609">
        <v>41177</v>
      </c>
      <c r="L609">
        <v>2</v>
      </c>
      <c r="M609">
        <v>135</v>
      </c>
      <c r="N609">
        <v>0.97202797202797198</v>
      </c>
      <c r="O609">
        <v>9106107.833333334</v>
      </c>
      <c r="P609">
        <v>41754</v>
      </c>
      <c r="Q609">
        <v>2</v>
      </c>
      <c r="R609">
        <v>136</v>
      </c>
      <c r="S609">
        <v>11.320763415083903</v>
      </c>
      <c r="T609">
        <v>0.95581393241882329</v>
      </c>
    </row>
    <row r="610" spans="1:20" x14ac:dyDescent="0.25">
      <c r="A610" t="s">
        <v>18</v>
      </c>
      <c r="B610">
        <v>9</v>
      </c>
      <c r="C610">
        <v>4</v>
      </c>
      <c r="D610">
        <v>0</v>
      </c>
      <c r="E610" t="s">
        <v>100</v>
      </c>
      <c r="F610">
        <v>27704</v>
      </c>
      <c r="G610">
        <v>28960461</v>
      </c>
      <c r="H610">
        <v>0.96153845389684045</v>
      </c>
      <c r="I610">
        <v>0.96736596736596736</v>
      </c>
      <c r="J610">
        <v>8991931</v>
      </c>
      <c r="K610">
        <v>42920</v>
      </c>
      <c r="L610">
        <v>2</v>
      </c>
      <c r="M610">
        <v>138</v>
      </c>
      <c r="N610">
        <v>0.965034965034965</v>
      </c>
      <c r="O610">
        <v>7092381.5</v>
      </c>
      <c r="P610">
        <v>43509</v>
      </c>
      <c r="Q610">
        <v>2</v>
      </c>
      <c r="R610">
        <v>139</v>
      </c>
      <c r="S610">
        <v>11.32030962034648</v>
      </c>
      <c r="T610">
        <v>0.96744184494018559</v>
      </c>
    </row>
    <row r="611" spans="1:20" x14ac:dyDescent="0.25">
      <c r="A611" t="s">
        <v>18</v>
      </c>
      <c r="B611">
        <v>9</v>
      </c>
      <c r="C611">
        <v>4</v>
      </c>
      <c r="D611">
        <v>0</v>
      </c>
      <c r="E611" t="s">
        <v>101</v>
      </c>
      <c r="F611">
        <v>28730</v>
      </c>
      <c r="G611">
        <v>25204604.333333332</v>
      </c>
      <c r="H611">
        <v>0.96503495176633203</v>
      </c>
      <c r="I611">
        <v>0.96736596736596736</v>
      </c>
      <c r="J611">
        <v>7348735.333333333</v>
      </c>
      <c r="K611">
        <v>44699</v>
      </c>
      <c r="L611">
        <v>2</v>
      </c>
      <c r="M611">
        <v>141</v>
      </c>
      <c r="N611">
        <v>0.965034965034965</v>
      </c>
      <c r="O611">
        <v>10491182.666666666</v>
      </c>
      <c r="P611">
        <v>45300</v>
      </c>
      <c r="Q611">
        <v>2</v>
      </c>
      <c r="R611">
        <v>142</v>
      </c>
      <c r="S611">
        <v>11.318843249217167</v>
      </c>
      <c r="T611">
        <v>0.96511626243591309</v>
      </c>
    </row>
    <row r="612" spans="1:20" x14ac:dyDescent="0.25">
      <c r="A612" t="s">
        <v>18</v>
      </c>
      <c r="B612">
        <v>9</v>
      </c>
      <c r="C612">
        <v>4</v>
      </c>
      <c r="D612">
        <v>0</v>
      </c>
      <c r="E612" t="s">
        <v>102</v>
      </c>
      <c r="F612">
        <v>29756</v>
      </c>
      <c r="G612">
        <v>35610378.5</v>
      </c>
      <c r="H612">
        <v>0.95571095744768775</v>
      </c>
      <c r="I612">
        <v>0.96853146853146854</v>
      </c>
      <c r="J612">
        <v>8742813.333333334</v>
      </c>
      <c r="K612">
        <v>45905</v>
      </c>
      <c r="L612">
        <v>2</v>
      </c>
      <c r="M612">
        <v>143</v>
      </c>
      <c r="N612">
        <v>0.96736596736596736</v>
      </c>
      <c r="O612">
        <v>9249033.5</v>
      </c>
      <c r="P612">
        <v>46514</v>
      </c>
      <c r="Q612">
        <v>2</v>
      </c>
      <c r="R612">
        <v>144</v>
      </c>
      <c r="S612">
        <v>11.31931148748159</v>
      </c>
      <c r="T612">
        <v>0.97674417495727539</v>
      </c>
    </row>
    <row r="613" spans="1:20" x14ac:dyDescent="0.25">
      <c r="A613" t="s">
        <v>18</v>
      </c>
      <c r="B613">
        <v>9</v>
      </c>
      <c r="C613">
        <v>4</v>
      </c>
      <c r="D613">
        <v>0</v>
      </c>
      <c r="E613" t="s">
        <v>23</v>
      </c>
      <c r="F613">
        <v>29822</v>
      </c>
      <c r="G613">
        <v>36089168.833333336</v>
      </c>
      <c r="H613">
        <v>0.95571094751358032</v>
      </c>
      <c r="I613">
        <v>0.97319347319347316</v>
      </c>
      <c r="J613">
        <v>8709561.5</v>
      </c>
      <c r="K613">
        <v>46514</v>
      </c>
      <c r="L613">
        <v>2</v>
      </c>
      <c r="M613">
        <v>144</v>
      </c>
      <c r="N613">
        <v>0.96969696969696961</v>
      </c>
      <c r="O613">
        <v>10072542.833333334</v>
      </c>
      <c r="P613">
        <v>47127</v>
      </c>
      <c r="Q613">
        <v>2</v>
      </c>
      <c r="R613">
        <v>145</v>
      </c>
      <c r="S613">
        <v>11.319595216191352</v>
      </c>
      <c r="T613">
        <v>0.9790697574615479</v>
      </c>
    </row>
    <row r="614" spans="1:20" x14ac:dyDescent="0.25">
      <c r="A614" t="s">
        <v>18</v>
      </c>
      <c r="B614">
        <v>9</v>
      </c>
      <c r="C614">
        <v>4</v>
      </c>
      <c r="D614">
        <v>0</v>
      </c>
      <c r="E614" t="s">
        <v>103</v>
      </c>
      <c r="F614">
        <v>30782</v>
      </c>
      <c r="G614">
        <v>39537081.666666664</v>
      </c>
      <c r="H614">
        <v>0.92890444397926331</v>
      </c>
      <c r="I614">
        <v>0.96853146853146854</v>
      </c>
      <c r="J614">
        <v>7910114.166666667</v>
      </c>
      <c r="K614">
        <v>47744</v>
      </c>
      <c r="L614">
        <v>2</v>
      </c>
      <c r="M614">
        <v>146</v>
      </c>
      <c r="N614">
        <v>0.96969696969696972</v>
      </c>
      <c r="O614">
        <v>9372135</v>
      </c>
      <c r="P614">
        <v>48365</v>
      </c>
      <c r="Q614">
        <v>2</v>
      </c>
      <c r="R614">
        <v>147</v>
      </c>
      <c r="S614">
        <v>11.319970577418168</v>
      </c>
      <c r="T614">
        <v>0.94883719682693479</v>
      </c>
    </row>
    <row r="615" spans="1:20" x14ac:dyDescent="0.25">
      <c r="A615" t="s">
        <v>18</v>
      </c>
      <c r="B615">
        <v>9</v>
      </c>
      <c r="C615">
        <v>4</v>
      </c>
      <c r="D615">
        <v>0</v>
      </c>
      <c r="E615" t="s">
        <v>40</v>
      </c>
      <c r="F615">
        <v>31744</v>
      </c>
      <c r="G615">
        <v>30761400.454545453</v>
      </c>
      <c r="H615">
        <v>0.93261284177953552</v>
      </c>
      <c r="I615">
        <v>0.96948506039415128</v>
      </c>
      <c r="J615">
        <v>8189631.6363636367</v>
      </c>
      <c r="K615">
        <v>48990</v>
      </c>
      <c r="L615">
        <v>2</v>
      </c>
      <c r="M615">
        <v>148</v>
      </c>
      <c r="N615">
        <v>0.96058486967577872</v>
      </c>
      <c r="O615">
        <v>8824575.2727272734</v>
      </c>
      <c r="P615">
        <v>49619</v>
      </c>
      <c r="Q615">
        <v>2</v>
      </c>
      <c r="R615">
        <v>149</v>
      </c>
      <c r="S615">
        <v>11.31808579039221</v>
      </c>
      <c r="T615">
        <v>0.96162788867950444</v>
      </c>
    </row>
    <row r="616" spans="1:20" x14ac:dyDescent="0.25">
      <c r="A616" t="s">
        <v>18</v>
      </c>
      <c r="B616">
        <v>9</v>
      </c>
      <c r="C616">
        <v>4</v>
      </c>
      <c r="D616">
        <v>0</v>
      </c>
      <c r="E616" t="s">
        <v>104</v>
      </c>
      <c r="F616">
        <v>31808</v>
      </c>
      <c r="G616">
        <v>32350512.333333332</v>
      </c>
      <c r="H616">
        <v>0.93473192056020105</v>
      </c>
      <c r="I616">
        <v>0.94405594405594406</v>
      </c>
      <c r="J616">
        <v>9919196.833333334</v>
      </c>
      <c r="K616">
        <v>49619</v>
      </c>
      <c r="L616">
        <v>2</v>
      </c>
      <c r="M616">
        <v>149</v>
      </c>
      <c r="N616">
        <v>0.94522144522144524</v>
      </c>
      <c r="O616">
        <v>9526018.5</v>
      </c>
      <c r="P616">
        <v>50252</v>
      </c>
      <c r="Q616">
        <v>2</v>
      </c>
      <c r="R616">
        <v>150</v>
      </c>
      <c r="S616">
        <v>11.317359772330855</v>
      </c>
      <c r="T616">
        <v>0.96511626243591309</v>
      </c>
    </row>
    <row r="617" spans="1:20" x14ac:dyDescent="0.25">
      <c r="A617" t="s">
        <v>18</v>
      </c>
      <c r="B617">
        <v>9</v>
      </c>
      <c r="C617">
        <v>4</v>
      </c>
      <c r="D617">
        <v>0</v>
      </c>
      <c r="E617" t="s">
        <v>26</v>
      </c>
      <c r="F617">
        <v>32900</v>
      </c>
      <c r="G617">
        <v>38275569.909090906</v>
      </c>
      <c r="H617">
        <v>0.94087730212645093</v>
      </c>
      <c r="I617">
        <v>0.96439923712650977</v>
      </c>
      <c r="J617">
        <v>9538176.1818181816</v>
      </c>
      <c r="K617">
        <v>50889</v>
      </c>
      <c r="L617">
        <v>2</v>
      </c>
      <c r="M617">
        <v>151</v>
      </c>
      <c r="N617">
        <v>0.96821360457724093</v>
      </c>
      <c r="O617">
        <v>10122487.090909092</v>
      </c>
      <c r="P617">
        <v>51530</v>
      </c>
      <c r="Q617">
        <v>2</v>
      </c>
      <c r="R617">
        <v>152</v>
      </c>
      <c r="S617">
        <v>11.318323550990462</v>
      </c>
      <c r="T617">
        <v>0.95697672367095943</v>
      </c>
    </row>
    <row r="618" spans="1:20" x14ac:dyDescent="0.25">
      <c r="A618" t="s">
        <v>18</v>
      </c>
      <c r="B618">
        <v>9</v>
      </c>
      <c r="C618">
        <v>4</v>
      </c>
      <c r="D618">
        <v>0</v>
      </c>
      <c r="E618" t="s">
        <v>56</v>
      </c>
      <c r="F618">
        <v>33666</v>
      </c>
      <c r="G618">
        <v>35119525.272727273</v>
      </c>
      <c r="H618">
        <v>0.92943419651551684</v>
      </c>
      <c r="I618">
        <v>0.9599491417673236</v>
      </c>
      <c r="J618">
        <v>9275984</v>
      </c>
      <c r="K618">
        <v>52175</v>
      </c>
      <c r="L618">
        <v>2</v>
      </c>
      <c r="M618">
        <v>153</v>
      </c>
      <c r="N618">
        <v>0.96058486967577872</v>
      </c>
      <c r="O618">
        <v>9572167.0909090918</v>
      </c>
      <c r="P618">
        <v>52824</v>
      </c>
      <c r="Q618">
        <v>2</v>
      </c>
      <c r="R618">
        <v>154</v>
      </c>
      <c r="S618">
        <v>11.317086578103527</v>
      </c>
      <c r="T618">
        <v>0.96046509742736819</v>
      </c>
    </row>
    <row r="619" spans="1:20" x14ac:dyDescent="0.25">
      <c r="A619" t="s">
        <v>18</v>
      </c>
      <c r="B619">
        <v>9</v>
      </c>
      <c r="C619">
        <v>4</v>
      </c>
      <c r="D619">
        <v>0</v>
      </c>
      <c r="E619" t="s">
        <v>27</v>
      </c>
      <c r="F619">
        <v>33926</v>
      </c>
      <c r="G619">
        <v>30511806.166666668</v>
      </c>
      <c r="H619">
        <v>0.92540791630744934</v>
      </c>
      <c r="I619">
        <v>0.94522144522144524</v>
      </c>
      <c r="J619">
        <v>9258821.5</v>
      </c>
      <c r="K619">
        <v>52824</v>
      </c>
      <c r="L619">
        <v>2</v>
      </c>
      <c r="M619">
        <v>154</v>
      </c>
      <c r="N619">
        <v>0.93706293706293708</v>
      </c>
      <c r="O619">
        <v>10184499.333333334</v>
      </c>
      <c r="P619">
        <v>53477</v>
      </c>
      <c r="Q619">
        <v>2</v>
      </c>
      <c r="R619">
        <v>155</v>
      </c>
      <c r="S619">
        <v>11.315630436773189</v>
      </c>
      <c r="T619">
        <v>0.96511626243591309</v>
      </c>
    </row>
    <row r="620" spans="1:20" x14ac:dyDescent="0.25">
      <c r="A620" t="s">
        <v>18</v>
      </c>
      <c r="B620">
        <v>9</v>
      </c>
      <c r="C620">
        <v>4</v>
      </c>
      <c r="D620">
        <v>0</v>
      </c>
      <c r="E620" t="s">
        <v>28</v>
      </c>
      <c r="F620">
        <v>34952</v>
      </c>
      <c r="G620">
        <v>35000235.727272727</v>
      </c>
      <c r="H620">
        <v>0.93324857408350159</v>
      </c>
      <c r="I620">
        <v>0.96058486967577872</v>
      </c>
      <c r="J620">
        <v>9842948</v>
      </c>
      <c r="K620">
        <v>54134</v>
      </c>
      <c r="L620">
        <v>2</v>
      </c>
      <c r="M620">
        <v>156</v>
      </c>
      <c r="N620">
        <v>0.9599491417673236</v>
      </c>
      <c r="O620">
        <v>10141442.818181818</v>
      </c>
      <c r="P620">
        <v>54795</v>
      </c>
      <c r="Q620">
        <v>2</v>
      </c>
      <c r="R620">
        <v>157</v>
      </c>
      <c r="S620">
        <v>11.313849249908525</v>
      </c>
      <c r="T620">
        <v>0.96162790060043335</v>
      </c>
    </row>
    <row r="621" spans="1:20" x14ac:dyDescent="0.25">
      <c r="A621" t="s">
        <v>18</v>
      </c>
      <c r="B621">
        <v>9</v>
      </c>
      <c r="C621">
        <v>4</v>
      </c>
      <c r="D621">
        <v>0</v>
      </c>
      <c r="E621" t="s">
        <v>67</v>
      </c>
      <c r="F621">
        <v>35588</v>
      </c>
      <c r="G621">
        <v>39169136.375</v>
      </c>
      <c r="H621">
        <v>0.9235139787197113</v>
      </c>
      <c r="I621">
        <v>0.96328671328671323</v>
      </c>
      <c r="J621">
        <v>9328945.125</v>
      </c>
      <c r="K621">
        <v>55460</v>
      </c>
      <c r="L621">
        <v>2</v>
      </c>
      <c r="M621">
        <v>158</v>
      </c>
      <c r="N621">
        <v>0.96022727272727271</v>
      </c>
      <c r="O621">
        <v>10434940.125</v>
      </c>
      <c r="P621">
        <v>56129</v>
      </c>
      <c r="Q621">
        <v>2</v>
      </c>
      <c r="R621">
        <v>159</v>
      </c>
      <c r="S621">
        <v>11.313116550968214</v>
      </c>
      <c r="T621">
        <v>0.96124029556910195</v>
      </c>
    </row>
    <row r="622" spans="1:20" x14ac:dyDescent="0.25">
      <c r="A622" t="s">
        <v>18</v>
      </c>
      <c r="B622">
        <v>9</v>
      </c>
      <c r="C622">
        <v>4</v>
      </c>
      <c r="D622">
        <v>0</v>
      </c>
      <c r="E622" t="s">
        <v>29</v>
      </c>
      <c r="F622">
        <v>35978</v>
      </c>
      <c r="G622">
        <v>48171350</v>
      </c>
      <c r="H622">
        <v>0.88344988226890564</v>
      </c>
      <c r="I622">
        <v>0.95571095571095566</v>
      </c>
      <c r="J622">
        <v>10080650.833333334</v>
      </c>
      <c r="K622">
        <v>56129</v>
      </c>
      <c r="L622">
        <v>2</v>
      </c>
      <c r="M622">
        <v>159</v>
      </c>
      <c r="N622">
        <v>0.95454545454545459</v>
      </c>
      <c r="O622">
        <v>10062888</v>
      </c>
      <c r="P622">
        <v>56802</v>
      </c>
      <c r="Q622">
        <v>2</v>
      </c>
      <c r="R622">
        <v>160</v>
      </c>
      <c r="S622">
        <v>11.313949242285924</v>
      </c>
      <c r="T622">
        <v>0.9511627793312073</v>
      </c>
    </row>
    <row r="623" spans="1:20" x14ac:dyDescent="0.25">
      <c r="A623" t="s">
        <v>18</v>
      </c>
      <c r="B623">
        <v>9</v>
      </c>
      <c r="C623">
        <v>4</v>
      </c>
      <c r="D623">
        <v>0</v>
      </c>
      <c r="E623" t="s">
        <v>68</v>
      </c>
      <c r="F623">
        <v>36806</v>
      </c>
      <c r="G623">
        <v>33422569.75</v>
      </c>
      <c r="H623">
        <v>0.93444055691361427</v>
      </c>
      <c r="I623">
        <v>0.95629370629370625</v>
      </c>
      <c r="J623">
        <v>10058727</v>
      </c>
      <c r="K623">
        <v>56802</v>
      </c>
      <c r="L623">
        <v>2</v>
      </c>
      <c r="M623">
        <v>160</v>
      </c>
      <c r="N623">
        <v>0.95629370629370625</v>
      </c>
      <c r="O623">
        <v>10388564.875</v>
      </c>
      <c r="P623">
        <v>57479</v>
      </c>
      <c r="Q623">
        <v>2</v>
      </c>
      <c r="R623">
        <v>161</v>
      </c>
      <c r="S623">
        <v>11.310209662716499</v>
      </c>
      <c r="T623">
        <v>0.95426354805628455</v>
      </c>
    </row>
    <row r="624" spans="1:20" x14ac:dyDescent="0.25">
      <c r="A624" t="s">
        <v>18</v>
      </c>
      <c r="B624">
        <v>9</v>
      </c>
      <c r="C624">
        <v>4</v>
      </c>
      <c r="D624">
        <v>0</v>
      </c>
      <c r="E624" t="s">
        <v>30</v>
      </c>
      <c r="F624">
        <v>37004</v>
      </c>
      <c r="G624">
        <v>32542982.666666668</v>
      </c>
      <c r="H624">
        <v>0.92540791630744934</v>
      </c>
      <c r="I624">
        <v>0.95571095571095566</v>
      </c>
      <c r="J624">
        <v>11461497.166666666</v>
      </c>
      <c r="K624">
        <v>57479</v>
      </c>
      <c r="L624">
        <v>2</v>
      </c>
      <c r="M624">
        <v>161</v>
      </c>
      <c r="N624">
        <v>0.95454545454545459</v>
      </c>
      <c r="O624">
        <v>9574739.166666666</v>
      </c>
      <c r="P624">
        <v>58160</v>
      </c>
      <c r="Q624">
        <v>2</v>
      </c>
      <c r="R624">
        <v>162</v>
      </c>
      <c r="S624">
        <v>11.308673469387756</v>
      </c>
      <c r="T624">
        <v>0.95813951492309568</v>
      </c>
    </row>
    <row r="625" spans="1:20" x14ac:dyDescent="0.25">
      <c r="A625" t="s">
        <v>18</v>
      </c>
      <c r="B625">
        <v>9</v>
      </c>
      <c r="C625">
        <v>4</v>
      </c>
      <c r="D625">
        <v>0</v>
      </c>
      <c r="E625" t="s">
        <v>77</v>
      </c>
      <c r="F625">
        <v>37510</v>
      </c>
      <c r="G625">
        <v>42254434.5625</v>
      </c>
      <c r="H625">
        <v>0.93444056436419487</v>
      </c>
      <c r="I625">
        <v>0.9576048951048951</v>
      </c>
      <c r="J625">
        <v>10277175.5625</v>
      </c>
      <c r="K625">
        <v>58160</v>
      </c>
      <c r="L625">
        <v>2</v>
      </c>
      <c r="M625">
        <v>162</v>
      </c>
      <c r="N625">
        <v>0.96066433566433562</v>
      </c>
      <c r="O625">
        <v>10189048.8125</v>
      </c>
      <c r="P625">
        <v>58845</v>
      </c>
      <c r="Q625">
        <v>2</v>
      </c>
      <c r="R625">
        <v>163</v>
      </c>
      <c r="S625">
        <v>11.308133187772926</v>
      </c>
      <c r="T625">
        <v>0.96201548576354978</v>
      </c>
    </row>
    <row r="626" spans="1:20" x14ac:dyDescent="0.25">
      <c r="A626" t="s">
        <v>18</v>
      </c>
      <c r="B626">
        <v>9</v>
      </c>
      <c r="C626">
        <v>4</v>
      </c>
      <c r="D626">
        <v>0</v>
      </c>
      <c r="E626" t="s">
        <v>31</v>
      </c>
      <c r="F626">
        <v>38030</v>
      </c>
      <c r="G626">
        <v>39885314.333333336</v>
      </c>
      <c r="H626">
        <v>0.87179486950238549</v>
      </c>
      <c r="I626">
        <v>0.95687645687645684</v>
      </c>
      <c r="J626">
        <v>10396100</v>
      </c>
      <c r="K626">
        <v>58845</v>
      </c>
      <c r="L626">
        <v>2</v>
      </c>
      <c r="M626">
        <v>163</v>
      </c>
      <c r="N626">
        <v>0.96153846153846156</v>
      </c>
      <c r="O626">
        <v>10170984.666666666</v>
      </c>
      <c r="P626">
        <v>59534</v>
      </c>
      <c r="Q626">
        <v>2</v>
      </c>
      <c r="R626">
        <v>164</v>
      </c>
      <c r="S626">
        <v>11.307237679578105</v>
      </c>
      <c r="T626">
        <v>0.95116276741027828</v>
      </c>
    </row>
    <row r="627" spans="1:20" x14ac:dyDescent="0.25">
      <c r="A627" t="s">
        <v>18</v>
      </c>
      <c r="B627">
        <v>9</v>
      </c>
      <c r="C627">
        <v>4</v>
      </c>
      <c r="D627">
        <v>0</v>
      </c>
      <c r="E627" t="s">
        <v>45</v>
      </c>
      <c r="F627">
        <v>38284</v>
      </c>
      <c r="G627">
        <v>44498620.454545453</v>
      </c>
      <c r="H627">
        <v>0.91163382205096155</v>
      </c>
      <c r="I627">
        <v>0.95867768595041325</v>
      </c>
      <c r="J627">
        <v>9693486.2727272734</v>
      </c>
      <c r="K627">
        <v>59534</v>
      </c>
      <c r="L627">
        <v>2</v>
      </c>
      <c r="M627">
        <v>164</v>
      </c>
      <c r="N627">
        <v>0.95740623013350279</v>
      </c>
      <c r="O627">
        <v>10152396.727272727</v>
      </c>
      <c r="P627">
        <v>60227</v>
      </c>
      <c r="Q627">
        <v>2</v>
      </c>
      <c r="R627">
        <v>165</v>
      </c>
      <c r="S627">
        <v>11.307294032155509</v>
      </c>
      <c r="T627">
        <v>0.95465114712715149</v>
      </c>
    </row>
    <row r="628" spans="1:20" x14ac:dyDescent="0.25">
      <c r="A628" t="s">
        <v>18</v>
      </c>
      <c r="B628">
        <v>9</v>
      </c>
      <c r="C628">
        <v>4</v>
      </c>
      <c r="D628">
        <v>0</v>
      </c>
      <c r="E628" t="s">
        <v>78</v>
      </c>
      <c r="F628">
        <v>38792</v>
      </c>
      <c r="G628">
        <v>39695823.727272727</v>
      </c>
      <c r="H628">
        <v>0.94405593655326148</v>
      </c>
      <c r="I628">
        <v>0.95168467895740627</v>
      </c>
      <c r="J628">
        <v>10889897.636363637</v>
      </c>
      <c r="K628">
        <v>60227</v>
      </c>
      <c r="L628">
        <v>2</v>
      </c>
      <c r="M628">
        <v>165</v>
      </c>
      <c r="N628">
        <v>0.94977749523204069</v>
      </c>
      <c r="O628">
        <v>10998989</v>
      </c>
      <c r="P628">
        <v>60924</v>
      </c>
      <c r="Q628">
        <v>2</v>
      </c>
      <c r="R628">
        <v>166</v>
      </c>
      <c r="S628">
        <v>11.306079854809438</v>
      </c>
      <c r="T628">
        <v>0.95581393837928774</v>
      </c>
    </row>
    <row r="629" spans="1:20" x14ac:dyDescent="0.25">
      <c r="A629" t="s">
        <v>18</v>
      </c>
      <c r="B629">
        <v>9</v>
      </c>
      <c r="C629">
        <v>4</v>
      </c>
      <c r="D629">
        <v>0</v>
      </c>
      <c r="E629" t="s">
        <v>32</v>
      </c>
      <c r="F629">
        <v>39056</v>
      </c>
      <c r="G629">
        <v>45055815.666666664</v>
      </c>
      <c r="H629">
        <v>0.93006992340087891</v>
      </c>
      <c r="I629">
        <v>0.95454545454545459</v>
      </c>
      <c r="J629">
        <v>10231423</v>
      </c>
      <c r="K629">
        <v>60924</v>
      </c>
      <c r="L629">
        <v>2</v>
      </c>
      <c r="M629">
        <v>166</v>
      </c>
      <c r="N629">
        <v>0.95454545454545459</v>
      </c>
      <c r="O629">
        <v>12761374.333333334</v>
      </c>
      <c r="P629">
        <v>61625</v>
      </c>
      <c r="Q629">
        <v>2</v>
      </c>
      <c r="R629">
        <v>167</v>
      </c>
      <c r="S629">
        <v>11.306003990567749</v>
      </c>
      <c r="T629">
        <v>0.9465116143226624</v>
      </c>
    </row>
    <row r="630" spans="1:20" x14ac:dyDescent="0.25">
      <c r="A630" t="s">
        <v>18</v>
      </c>
      <c r="B630">
        <v>9</v>
      </c>
      <c r="C630">
        <v>4</v>
      </c>
      <c r="D630">
        <v>0</v>
      </c>
      <c r="E630" t="s">
        <v>33</v>
      </c>
      <c r="F630">
        <v>40082</v>
      </c>
      <c r="G630">
        <v>37115377.619047619</v>
      </c>
      <c r="H630">
        <v>0.90109889847891667</v>
      </c>
      <c r="I630">
        <v>0.95970695970695963</v>
      </c>
      <c r="J630">
        <v>10773995.952380951</v>
      </c>
      <c r="K630">
        <v>62330</v>
      </c>
      <c r="L630">
        <v>2</v>
      </c>
      <c r="M630">
        <v>168</v>
      </c>
      <c r="N630">
        <v>0.96636696636696628</v>
      </c>
      <c r="O630">
        <v>12254953.238095239</v>
      </c>
      <c r="P630">
        <v>63039</v>
      </c>
      <c r="Q630">
        <v>2</v>
      </c>
      <c r="R630">
        <v>169</v>
      </c>
      <c r="S630">
        <v>11.301801394043633</v>
      </c>
      <c r="T630">
        <v>0.9598837018013</v>
      </c>
    </row>
    <row r="631" spans="1:20" x14ac:dyDescent="0.25">
      <c r="A631" t="s">
        <v>18</v>
      </c>
      <c r="B631">
        <v>9</v>
      </c>
      <c r="C631">
        <v>4</v>
      </c>
      <c r="D631">
        <v>0</v>
      </c>
      <c r="E631" t="s">
        <v>47</v>
      </c>
      <c r="F631">
        <v>40464</v>
      </c>
      <c r="G631">
        <v>46502892.81818182</v>
      </c>
      <c r="H631">
        <v>0.91799109632318665</v>
      </c>
      <c r="I631">
        <v>0.96122059758423395</v>
      </c>
      <c r="J631">
        <v>11494823.454545455</v>
      </c>
      <c r="K631">
        <v>63039</v>
      </c>
      <c r="L631">
        <v>2</v>
      </c>
      <c r="M631">
        <v>169</v>
      </c>
      <c r="N631">
        <v>0.96058486967577872</v>
      </c>
      <c r="O631">
        <v>11943706.454545455</v>
      </c>
      <c r="P631">
        <v>63752</v>
      </c>
      <c r="Q631">
        <v>2</v>
      </c>
      <c r="R631">
        <v>170</v>
      </c>
      <c r="S631">
        <v>11.301862904684391</v>
      </c>
      <c r="T631">
        <v>0.94767441153526311</v>
      </c>
    </row>
    <row r="632" spans="1:20" x14ac:dyDescent="0.25">
      <c r="A632" t="s">
        <v>18</v>
      </c>
      <c r="B632">
        <v>9</v>
      </c>
      <c r="C632">
        <v>4</v>
      </c>
      <c r="D632">
        <v>0</v>
      </c>
      <c r="E632" t="s">
        <v>34</v>
      </c>
      <c r="F632">
        <v>41108</v>
      </c>
      <c r="G632">
        <v>42646244.1875</v>
      </c>
      <c r="H632">
        <v>0.90384615585207939</v>
      </c>
      <c r="I632">
        <v>0.96022727272727271</v>
      </c>
      <c r="J632">
        <v>10343607.875</v>
      </c>
      <c r="K632">
        <v>63752</v>
      </c>
      <c r="L632">
        <v>2</v>
      </c>
      <c r="M632">
        <v>170</v>
      </c>
      <c r="N632">
        <v>0.95673076923076916</v>
      </c>
      <c r="O632">
        <v>12328308.125</v>
      </c>
      <c r="P632">
        <v>64469</v>
      </c>
      <c r="Q632">
        <v>2</v>
      </c>
      <c r="R632">
        <v>171</v>
      </c>
      <c r="S632">
        <v>11.300072241285894</v>
      </c>
      <c r="T632">
        <v>0.96046509742736819</v>
      </c>
    </row>
    <row r="633" spans="1:20" x14ac:dyDescent="0.25">
      <c r="A633" t="s">
        <v>18</v>
      </c>
      <c r="B633">
        <v>9</v>
      </c>
      <c r="C633">
        <v>4</v>
      </c>
      <c r="D633">
        <v>0</v>
      </c>
      <c r="E633" t="s">
        <v>48</v>
      </c>
      <c r="F633">
        <v>41554</v>
      </c>
      <c r="G633">
        <v>44233576.333333336</v>
      </c>
      <c r="H633">
        <v>0.92307692766189575</v>
      </c>
      <c r="I633">
        <v>0.9592074592074592</v>
      </c>
      <c r="J633">
        <v>10091025.833333334</v>
      </c>
      <c r="K633">
        <v>64469</v>
      </c>
      <c r="L633">
        <v>2</v>
      </c>
      <c r="M633">
        <v>171</v>
      </c>
      <c r="N633">
        <v>0.96386946386946382</v>
      </c>
      <c r="O633">
        <v>11706118.833333334</v>
      </c>
      <c r="P633">
        <v>65190</v>
      </c>
      <c r="Q633">
        <v>2</v>
      </c>
      <c r="R633">
        <v>172</v>
      </c>
      <c r="S633">
        <v>11.299368231046932</v>
      </c>
      <c r="T633">
        <v>0.9511627793312073</v>
      </c>
    </row>
    <row r="634" spans="1:20" x14ac:dyDescent="0.25">
      <c r="A634" t="s">
        <v>18</v>
      </c>
      <c r="B634">
        <v>9</v>
      </c>
      <c r="C634">
        <v>4</v>
      </c>
      <c r="D634">
        <v>0</v>
      </c>
      <c r="E634" t="s">
        <v>35</v>
      </c>
      <c r="F634">
        <v>42134</v>
      </c>
      <c r="G634">
        <v>41327930.571428575</v>
      </c>
      <c r="H634">
        <v>0.93206793069839478</v>
      </c>
      <c r="I634">
        <v>0.95371295371295373</v>
      </c>
      <c r="J634">
        <v>11609381.666666666</v>
      </c>
      <c r="K634">
        <v>65190</v>
      </c>
      <c r="L634">
        <v>2</v>
      </c>
      <c r="M634">
        <v>172</v>
      </c>
      <c r="N634">
        <v>0.949050949050949</v>
      </c>
      <c r="O634">
        <v>12081406.761904761</v>
      </c>
      <c r="P634">
        <v>65915</v>
      </c>
      <c r="Q634">
        <v>2</v>
      </c>
      <c r="R634">
        <v>173</v>
      </c>
      <c r="S634">
        <v>11.296459778398342</v>
      </c>
      <c r="T634">
        <v>0.95639533400535581</v>
      </c>
    </row>
    <row r="635" spans="1:20" x14ac:dyDescent="0.25">
      <c r="A635" t="s">
        <v>18</v>
      </c>
      <c r="B635">
        <v>9</v>
      </c>
      <c r="C635">
        <v>4</v>
      </c>
      <c r="D635">
        <v>0</v>
      </c>
      <c r="E635" t="s">
        <v>49</v>
      </c>
      <c r="F635">
        <v>42644</v>
      </c>
      <c r="G635">
        <v>43376205.666666664</v>
      </c>
      <c r="H635">
        <v>0.92773892482121789</v>
      </c>
      <c r="I635">
        <v>0.96969696969696961</v>
      </c>
      <c r="J635">
        <v>10968743.333333334</v>
      </c>
      <c r="K635">
        <v>65915</v>
      </c>
      <c r="L635">
        <v>2</v>
      </c>
      <c r="M635">
        <v>173</v>
      </c>
      <c r="N635">
        <v>0.96969696969696961</v>
      </c>
      <c r="O635">
        <v>11379800</v>
      </c>
      <c r="P635">
        <v>66644</v>
      </c>
      <c r="Q635">
        <v>2</v>
      </c>
      <c r="R635">
        <v>174</v>
      </c>
      <c r="S635">
        <v>11.295579364364816</v>
      </c>
      <c r="T635">
        <v>0.96976742744445799</v>
      </c>
    </row>
    <row r="636" spans="1:20" x14ac:dyDescent="0.25">
      <c r="A636" t="s">
        <v>18</v>
      </c>
      <c r="B636">
        <v>9</v>
      </c>
      <c r="C636">
        <v>4</v>
      </c>
      <c r="D636">
        <v>0</v>
      </c>
      <c r="E636" t="s">
        <v>60</v>
      </c>
      <c r="F636">
        <v>42898</v>
      </c>
      <c r="G636">
        <v>45904351.090909094</v>
      </c>
      <c r="H636">
        <v>0.92116973616860132</v>
      </c>
      <c r="I636">
        <v>0.94787031150667511</v>
      </c>
      <c r="J636">
        <v>12841164.909090908</v>
      </c>
      <c r="K636">
        <v>66644</v>
      </c>
      <c r="L636">
        <v>2</v>
      </c>
      <c r="M636">
        <v>174</v>
      </c>
      <c r="N636">
        <v>0.94914176732358546</v>
      </c>
      <c r="O636">
        <v>12897234.636363637</v>
      </c>
      <c r="P636">
        <v>67377</v>
      </c>
      <c r="Q636">
        <v>2</v>
      </c>
      <c r="R636">
        <v>175</v>
      </c>
      <c r="S636">
        <v>11.294747256700845</v>
      </c>
      <c r="T636">
        <v>0.96046509742736819</v>
      </c>
    </row>
    <row r="637" spans="1:20" x14ac:dyDescent="0.25">
      <c r="A637" t="s">
        <v>18</v>
      </c>
      <c r="B637">
        <v>9</v>
      </c>
      <c r="C637">
        <v>4</v>
      </c>
      <c r="D637">
        <v>0</v>
      </c>
      <c r="E637" t="s">
        <v>36</v>
      </c>
      <c r="F637">
        <v>43160</v>
      </c>
      <c r="G637">
        <v>40733349.545454547</v>
      </c>
      <c r="H637">
        <v>0.92434837601401587</v>
      </c>
      <c r="I637">
        <v>0.94787031150667511</v>
      </c>
      <c r="J637">
        <v>11992881.818181818</v>
      </c>
      <c r="K637">
        <v>67377</v>
      </c>
      <c r="L637">
        <v>2</v>
      </c>
      <c r="M637">
        <v>175</v>
      </c>
      <c r="N637">
        <v>0.95613477431659244</v>
      </c>
      <c r="O637">
        <v>11295155.090909092</v>
      </c>
      <c r="P637">
        <v>68114</v>
      </c>
      <c r="Q637">
        <v>2</v>
      </c>
      <c r="R637">
        <v>176</v>
      </c>
      <c r="S637">
        <v>11.292928385299668</v>
      </c>
      <c r="T637">
        <v>0.95465114116668703</v>
      </c>
    </row>
    <row r="638" spans="1:20" x14ac:dyDescent="0.25">
      <c r="A638" t="s">
        <v>18</v>
      </c>
      <c r="B638">
        <v>9</v>
      </c>
      <c r="C638">
        <v>4</v>
      </c>
      <c r="D638">
        <v>0</v>
      </c>
      <c r="E638" t="s">
        <v>50</v>
      </c>
      <c r="F638">
        <v>43734</v>
      </c>
      <c r="G638">
        <v>46751674.5</v>
      </c>
      <c r="H638">
        <v>0.93123543262481689</v>
      </c>
      <c r="I638">
        <v>0.97086247086247079</v>
      </c>
      <c r="J638">
        <v>10491094.833333334</v>
      </c>
      <c r="K638">
        <v>68114</v>
      </c>
      <c r="L638">
        <v>2</v>
      </c>
      <c r="M638">
        <v>176</v>
      </c>
      <c r="N638">
        <v>0.96853146853146854</v>
      </c>
      <c r="O638">
        <v>12625432</v>
      </c>
      <c r="P638">
        <v>68855</v>
      </c>
      <c r="Q638">
        <v>2</v>
      </c>
      <c r="R638">
        <v>177</v>
      </c>
      <c r="S638">
        <v>11.292501122586438</v>
      </c>
      <c r="T638">
        <v>0.97209300994873049</v>
      </c>
    </row>
    <row r="639" spans="1:20" x14ac:dyDescent="0.25">
      <c r="A639" t="s">
        <v>18</v>
      </c>
      <c r="B639">
        <v>9</v>
      </c>
      <c r="C639">
        <v>4</v>
      </c>
      <c r="D639">
        <v>0</v>
      </c>
      <c r="E639" t="s">
        <v>37</v>
      </c>
      <c r="F639">
        <v>44186</v>
      </c>
      <c r="G639">
        <v>42310680.6875</v>
      </c>
      <c r="H639">
        <v>0.92701048403978348</v>
      </c>
      <c r="I639">
        <v>0.95716783216783219</v>
      </c>
      <c r="J639">
        <v>11431490.5625</v>
      </c>
      <c r="K639">
        <v>68855</v>
      </c>
      <c r="L639">
        <v>2</v>
      </c>
      <c r="M639">
        <v>177</v>
      </c>
      <c r="N639">
        <v>0.94274475524475521</v>
      </c>
      <c r="O639">
        <v>12743354.9375</v>
      </c>
      <c r="P639">
        <v>69600</v>
      </c>
      <c r="Q639">
        <v>2</v>
      </c>
      <c r="R639">
        <v>178</v>
      </c>
      <c r="S639">
        <v>11.289839476280154</v>
      </c>
      <c r="T639">
        <v>0.95891471703847253</v>
      </c>
    </row>
    <row r="640" spans="1:20" x14ac:dyDescent="0.25">
      <c r="A640" t="s">
        <v>18</v>
      </c>
      <c r="B640">
        <v>9</v>
      </c>
      <c r="C640">
        <v>4</v>
      </c>
      <c r="D640">
        <v>0</v>
      </c>
      <c r="E640" t="s">
        <v>51</v>
      </c>
      <c r="F640">
        <v>44824</v>
      </c>
      <c r="G640">
        <v>47344798.81818182</v>
      </c>
      <c r="H640">
        <v>0.91671964255246252</v>
      </c>
      <c r="I640">
        <v>0.95359186268277174</v>
      </c>
      <c r="J640">
        <v>11684667.818181818</v>
      </c>
      <c r="K640">
        <v>69600</v>
      </c>
      <c r="L640">
        <v>2</v>
      </c>
      <c r="M640">
        <v>178</v>
      </c>
      <c r="N640">
        <v>0.95104895104895104</v>
      </c>
      <c r="O640">
        <v>12125859.818181818</v>
      </c>
      <c r="P640">
        <v>70349</v>
      </c>
      <c r="Q640">
        <v>2</v>
      </c>
      <c r="R640">
        <v>179</v>
      </c>
      <c r="S640">
        <v>11.28874753628382</v>
      </c>
      <c r="T640">
        <v>0.95581393837928774</v>
      </c>
    </row>
    <row r="641" spans="1:20" x14ac:dyDescent="0.25">
      <c r="A641" t="s">
        <v>18</v>
      </c>
      <c r="B641">
        <v>9</v>
      </c>
      <c r="C641">
        <v>4</v>
      </c>
      <c r="D641">
        <v>0</v>
      </c>
      <c r="E641" t="s">
        <v>38</v>
      </c>
      <c r="F641">
        <v>45212</v>
      </c>
      <c r="G641">
        <v>47010424.5</v>
      </c>
      <c r="H641">
        <v>0.94172494610150659</v>
      </c>
      <c r="I641">
        <v>0.95454545454545459</v>
      </c>
      <c r="J641">
        <v>10441459.666666666</v>
      </c>
      <c r="K641">
        <v>70349</v>
      </c>
      <c r="L641">
        <v>2</v>
      </c>
      <c r="M641">
        <v>179</v>
      </c>
      <c r="N641">
        <v>0.95104895104895104</v>
      </c>
      <c r="O641">
        <v>13605394.166666666</v>
      </c>
      <c r="P641">
        <v>71102</v>
      </c>
      <c r="Q641">
        <v>2</v>
      </c>
      <c r="R641">
        <v>180</v>
      </c>
      <c r="S641">
        <v>11.287965616045845</v>
      </c>
      <c r="T641">
        <v>0.96744184494018559</v>
      </c>
    </row>
    <row r="642" spans="1:20" x14ac:dyDescent="0.25">
      <c r="A642" t="s">
        <v>18</v>
      </c>
      <c r="B642">
        <v>9</v>
      </c>
      <c r="C642">
        <v>4</v>
      </c>
      <c r="D642">
        <v>0</v>
      </c>
      <c r="E642" t="s">
        <v>52</v>
      </c>
      <c r="F642">
        <v>45914</v>
      </c>
      <c r="G642">
        <v>46769518.238095239</v>
      </c>
      <c r="H642">
        <v>0.92007992097309654</v>
      </c>
      <c r="I642">
        <v>0.94971694971694975</v>
      </c>
      <c r="J642">
        <v>12682055.857142856</v>
      </c>
      <c r="K642">
        <v>71102</v>
      </c>
      <c r="L642">
        <v>2</v>
      </c>
      <c r="M642">
        <v>180</v>
      </c>
      <c r="N642">
        <v>0.9533799533799534</v>
      </c>
      <c r="O642">
        <v>13634267.952380951</v>
      </c>
      <c r="P642">
        <v>71859</v>
      </c>
      <c r="Q642">
        <v>2</v>
      </c>
      <c r="R642">
        <v>181</v>
      </c>
      <c r="S642">
        <v>11.285369559388686</v>
      </c>
      <c r="T642">
        <v>0.95465114116668703</v>
      </c>
    </row>
    <row r="643" spans="1:20" x14ac:dyDescent="0.25">
      <c r="A643" t="s">
        <v>18</v>
      </c>
      <c r="B643">
        <v>9</v>
      </c>
      <c r="C643">
        <v>4</v>
      </c>
      <c r="D643">
        <v>0</v>
      </c>
      <c r="E643" t="s">
        <v>61</v>
      </c>
      <c r="F643">
        <v>46360</v>
      </c>
      <c r="G643">
        <v>46350819.166666664</v>
      </c>
      <c r="H643">
        <v>0.93356643120447791</v>
      </c>
      <c r="I643">
        <v>0.95104895104895104</v>
      </c>
      <c r="J643">
        <v>12995266.333333334</v>
      </c>
      <c r="K643">
        <v>71859</v>
      </c>
      <c r="L643">
        <v>2</v>
      </c>
      <c r="M643">
        <v>181</v>
      </c>
      <c r="N643">
        <v>0.95454545454545459</v>
      </c>
      <c r="O643">
        <v>14086092</v>
      </c>
      <c r="P643">
        <v>72620</v>
      </c>
      <c r="Q643">
        <v>2</v>
      </c>
      <c r="R643">
        <v>182</v>
      </c>
      <c r="S643">
        <v>11.284502009825815</v>
      </c>
      <c r="T643">
        <v>0.96744184494018559</v>
      </c>
    </row>
    <row r="644" spans="1:20" x14ac:dyDescent="0.25">
      <c r="A644" t="s">
        <v>18</v>
      </c>
      <c r="B644">
        <v>9</v>
      </c>
      <c r="C644">
        <v>4</v>
      </c>
      <c r="D644">
        <v>0</v>
      </c>
      <c r="E644" t="s">
        <v>70</v>
      </c>
      <c r="F644">
        <v>46550</v>
      </c>
      <c r="G644">
        <v>47026751.727272727</v>
      </c>
      <c r="H644">
        <v>0.93960584293712268</v>
      </c>
      <c r="I644">
        <v>0.95740623013350279</v>
      </c>
      <c r="J644">
        <v>14382196.727272727</v>
      </c>
      <c r="K644">
        <v>72620</v>
      </c>
      <c r="L644">
        <v>2</v>
      </c>
      <c r="M644">
        <v>182</v>
      </c>
      <c r="N644">
        <v>0.95549904640813732</v>
      </c>
      <c r="O644">
        <v>14387017.454545455</v>
      </c>
      <c r="P644">
        <v>73385</v>
      </c>
      <c r="Q644">
        <v>2</v>
      </c>
      <c r="R644">
        <v>183</v>
      </c>
      <c r="S644">
        <v>11.283419596644654</v>
      </c>
      <c r="T644">
        <v>0.96395347118377683</v>
      </c>
    </row>
    <row r="645" spans="1:20" x14ac:dyDescent="0.25">
      <c r="A645" t="s">
        <v>18</v>
      </c>
      <c r="B645">
        <v>9</v>
      </c>
      <c r="C645">
        <v>4</v>
      </c>
      <c r="D645">
        <v>0</v>
      </c>
      <c r="E645" t="s">
        <v>53</v>
      </c>
      <c r="F645">
        <v>47004</v>
      </c>
      <c r="G645">
        <v>52733348</v>
      </c>
      <c r="H645">
        <v>0.92424242695172631</v>
      </c>
      <c r="I645">
        <v>0.96270396270396263</v>
      </c>
      <c r="J645">
        <v>15256903</v>
      </c>
      <c r="K645">
        <v>73385</v>
      </c>
      <c r="L645">
        <v>2</v>
      </c>
      <c r="M645">
        <v>183</v>
      </c>
      <c r="N645">
        <v>0.96037296037296038</v>
      </c>
      <c r="O645">
        <v>14859844.5</v>
      </c>
      <c r="P645">
        <v>74154</v>
      </c>
      <c r="Q645">
        <v>2</v>
      </c>
      <c r="R645">
        <v>184</v>
      </c>
      <c r="S645">
        <v>11.283446307527649</v>
      </c>
      <c r="T645">
        <v>0.96511626243591309</v>
      </c>
    </row>
    <row r="646" spans="1:20" x14ac:dyDescent="0.25">
      <c r="A646" t="s">
        <v>18</v>
      </c>
      <c r="B646">
        <v>9</v>
      </c>
      <c r="C646">
        <v>4</v>
      </c>
      <c r="D646">
        <v>0</v>
      </c>
      <c r="E646" t="s">
        <v>62</v>
      </c>
      <c r="F646">
        <v>47514</v>
      </c>
      <c r="G646">
        <v>53662473.666666664</v>
      </c>
      <c r="H646">
        <v>0.93123543262481689</v>
      </c>
      <c r="I646">
        <v>0.95104895104895104</v>
      </c>
      <c r="J646">
        <v>13517040.333333334</v>
      </c>
      <c r="K646">
        <v>74154</v>
      </c>
      <c r="L646">
        <v>2</v>
      </c>
      <c r="M646">
        <v>184</v>
      </c>
      <c r="N646">
        <v>0.94871794871794868</v>
      </c>
      <c r="O646">
        <v>11448110.5</v>
      </c>
      <c r="P646">
        <v>74927</v>
      </c>
      <c r="Q646">
        <v>2</v>
      </c>
      <c r="R646">
        <v>185</v>
      </c>
      <c r="S646">
        <v>11.283294704938491</v>
      </c>
      <c r="T646">
        <v>0.9790697574615479</v>
      </c>
    </row>
    <row r="647" spans="1:20" x14ac:dyDescent="0.25">
      <c r="A647" t="s">
        <v>18</v>
      </c>
      <c r="B647">
        <v>9</v>
      </c>
      <c r="C647">
        <v>4</v>
      </c>
      <c r="D647">
        <v>0</v>
      </c>
      <c r="E647" t="s">
        <v>54</v>
      </c>
      <c r="F647">
        <v>48094</v>
      </c>
      <c r="G647">
        <v>46793320.6875</v>
      </c>
      <c r="H647">
        <v>0.92176572978496552</v>
      </c>
      <c r="I647">
        <v>0.9401223776223776</v>
      </c>
      <c r="J647">
        <v>14427895.25</v>
      </c>
      <c r="K647">
        <v>74927</v>
      </c>
      <c r="L647">
        <v>2</v>
      </c>
      <c r="M647">
        <v>185</v>
      </c>
      <c r="N647">
        <v>0.9375</v>
      </c>
      <c r="O647">
        <v>15038078.8125</v>
      </c>
      <c r="P647">
        <v>75704</v>
      </c>
      <c r="Q647">
        <v>2</v>
      </c>
      <c r="R647">
        <v>186</v>
      </c>
      <c r="S647">
        <v>11.280754851344135</v>
      </c>
      <c r="T647">
        <v>0.96201548576354978</v>
      </c>
    </row>
    <row r="648" spans="1:20" x14ac:dyDescent="0.25">
      <c r="A648" t="s">
        <v>18</v>
      </c>
      <c r="B648">
        <v>9</v>
      </c>
      <c r="C648">
        <v>4</v>
      </c>
      <c r="D648">
        <v>0</v>
      </c>
      <c r="E648" t="s">
        <v>63</v>
      </c>
      <c r="F648">
        <v>48668</v>
      </c>
      <c r="G648">
        <v>48566656.333333336</v>
      </c>
      <c r="H648">
        <v>0.90209789077440894</v>
      </c>
      <c r="I648">
        <v>0.94988344988344986</v>
      </c>
      <c r="J648">
        <v>15534512.333333334</v>
      </c>
      <c r="K648">
        <v>75704</v>
      </c>
      <c r="L648">
        <v>2</v>
      </c>
      <c r="M648">
        <v>186</v>
      </c>
      <c r="N648">
        <v>0.95571095571095566</v>
      </c>
      <c r="O648">
        <v>13839562.833333334</v>
      </c>
      <c r="P648">
        <v>76485</v>
      </c>
      <c r="Q648">
        <v>2</v>
      </c>
      <c r="R648">
        <v>187</v>
      </c>
      <c r="S648">
        <v>11.279982206405695</v>
      </c>
      <c r="T648">
        <v>0.97441859245300289</v>
      </c>
    </row>
    <row r="649" spans="1:20" x14ac:dyDescent="0.25">
      <c r="A649" t="s">
        <v>18</v>
      </c>
      <c r="B649">
        <v>9</v>
      </c>
      <c r="C649">
        <v>4</v>
      </c>
      <c r="D649">
        <v>0</v>
      </c>
      <c r="E649" t="s">
        <v>71</v>
      </c>
      <c r="F649">
        <v>48986</v>
      </c>
      <c r="G649">
        <v>45510737.166666664</v>
      </c>
      <c r="H649">
        <v>0.94522144397099817</v>
      </c>
      <c r="I649">
        <v>0.94871794871794868</v>
      </c>
      <c r="J649">
        <v>13905913.333333334</v>
      </c>
      <c r="K649">
        <v>76485</v>
      </c>
      <c r="L649">
        <v>2</v>
      </c>
      <c r="M649">
        <v>187</v>
      </c>
      <c r="N649">
        <v>0.95104895104895104</v>
      </c>
      <c r="O649">
        <v>15078067</v>
      </c>
      <c r="P649">
        <v>77270</v>
      </c>
      <c r="Q649">
        <v>2</v>
      </c>
      <c r="R649">
        <v>188</v>
      </c>
      <c r="S649">
        <v>11.279032544904855</v>
      </c>
      <c r="T649">
        <v>0.96511626243591309</v>
      </c>
    </row>
    <row r="650" spans="1:20" x14ac:dyDescent="0.25">
      <c r="A650" t="s">
        <v>18</v>
      </c>
      <c r="B650">
        <v>9</v>
      </c>
      <c r="C650">
        <v>4</v>
      </c>
      <c r="D650">
        <v>0</v>
      </c>
      <c r="E650" t="s">
        <v>64</v>
      </c>
      <c r="F650">
        <v>49822</v>
      </c>
      <c r="G650">
        <v>47218315.545454547</v>
      </c>
      <c r="H650">
        <v>0.93960583751851867</v>
      </c>
      <c r="I650">
        <v>0.95168467895740627</v>
      </c>
      <c r="J650">
        <v>14829020.818181818</v>
      </c>
      <c r="K650">
        <v>77270</v>
      </c>
      <c r="L650">
        <v>2</v>
      </c>
      <c r="M650">
        <v>188</v>
      </c>
      <c r="N650">
        <v>0.94787031150667511</v>
      </c>
      <c r="O650">
        <v>14966822.272727273</v>
      </c>
      <c r="P650">
        <v>78059</v>
      </c>
      <c r="Q650">
        <v>2</v>
      </c>
      <c r="R650">
        <v>189</v>
      </c>
      <c r="S650">
        <v>11.277427378520033</v>
      </c>
      <c r="T650">
        <v>0.96279067993164058</v>
      </c>
    </row>
    <row r="651" spans="1:20" x14ac:dyDescent="0.25">
      <c r="A651" t="s">
        <v>18</v>
      </c>
      <c r="B651">
        <v>9</v>
      </c>
      <c r="C651">
        <v>4</v>
      </c>
      <c r="D651">
        <v>0</v>
      </c>
      <c r="E651" t="s">
        <v>72</v>
      </c>
      <c r="F651">
        <v>50204</v>
      </c>
      <c r="G651">
        <v>46415553.666666664</v>
      </c>
      <c r="H651">
        <v>0.93123542269070947</v>
      </c>
      <c r="I651">
        <v>0.95454545454545459</v>
      </c>
      <c r="J651">
        <v>13901359.5</v>
      </c>
      <c r="K651">
        <v>78059</v>
      </c>
      <c r="L651">
        <v>2</v>
      </c>
      <c r="M651">
        <v>189</v>
      </c>
      <c r="N651">
        <v>0.95454545454545459</v>
      </c>
      <c r="O651">
        <v>12642886.166666666</v>
      </c>
      <c r="P651">
        <v>78852</v>
      </c>
      <c r="Q651">
        <v>2</v>
      </c>
      <c r="R651">
        <v>190</v>
      </c>
      <c r="S651">
        <v>11.276302938826245</v>
      </c>
      <c r="T651">
        <v>0.96744184494018559</v>
      </c>
    </row>
    <row r="652" spans="1:20" x14ac:dyDescent="0.25">
      <c r="A652" t="s">
        <v>18</v>
      </c>
      <c r="B652">
        <v>9</v>
      </c>
      <c r="C652">
        <v>4</v>
      </c>
      <c r="D652">
        <v>0</v>
      </c>
      <c r="E652" t="s">
        <v>65</v>
      </c>
      <c r="F652">
        <v>50976</v>
      </c>
      <c r="G652">
        <v>54400266.090909094</v>
      </c>
      <c r="H652">
        <v>0.91926255009391089</v>
      </c>
      <c r="I652">
        <v>0.94977749523204069</v>
      </c>
      <c r="J652">
        <v>15553222</v>
      </c>
      <c r="K652">
        <v>78852</v>
      </c>
      <c r="L652">
        <v>2</v>
      </c>
      <c r="M652">
        <v>190</v>
      </c>
      <c r="N652">
        <v>0.95422759059122697</v>
      </c>
      <c r="O652">
        <v>15909209.454545455</v>
      </c>
      <c r="P652">
        <v>79649</v>
      </c>
      <c r="Q652">
        <v>2</v>
      </c>
      <c r="R652">
        <v>191</v>
      </c>
      <c r="S652">
        <v>11.275767252084442</v>
      </c>
      <c r="T652">
        <v>0.95813951492309568</v>
      </c>
    </row>
    <row r="653" spans="1:20" x14ac:dyDescent="0.25">
      <c r="A653" t="s">
        <v>18</v>
      </c>
      <c r="B653">
        <v>9</v>
      </c>
      <c r="C653">
        <v>4</v>
      </c>
      <c r="D653">
        <v>0</v>
      </c>
      <c r="E653" t="s">
        <v>73</v>
      </c>
      <c r="F653">
        <v>51422</v>
      </c>
      <c r="G653">
        <v>53311151.833333336</v>
      </c>
      <c r="H653">
        <v>0.93589742978413903</v>
      </c>
      <c r="I653">
        <v>0.95221445221445222</v>
      </c>
      <c r="J653">
        <v>15250519.166666666</v>
      </c>
      <c r="K653">
        <v>79649</v>
      </c>
      <c r="L653">
        <v>2</v>
      </c>
      <c r="M653">
        <v>191</v>
      </c>
      <c r="N653">
        <v>0.95104895104895104</v>
      </c>
      <c r="O653">
        <v>15068986.666666666</v>
      </c>
      <c r="P653">
        <v>80450</v>
      </c>
      <c r="Q653">
        <v>2</v>
      </c>
      <c r="R653">
        <v>192</v>
      </c>
      <c r="S653">
        <v>11.275354609929078</v>
      </c>
      <c r="T653">
        <v>0.96976742744445799</v>
      </c>
    </row>
    <row r="654" spans="1:20" x14ac:dyDescent="0.25">
      <c r="A654" t="s">
        <v>18</v>
      </c>
      <c r="B654">
        <v>9</v>
      </c>
      <c r="C654">
        <v>4</v>
      </c>
      <c r="D654">
        <v>0</v>
      </c>
      <c r="E654" t="s">
        <v>88</v>
      </c>
      <c r="F654">
        <v>51612</v>
      </c>
      <c r="G654">
        <v>46710171.833333336</v>
      </c>
      <c r="H654">
        <v>0.93822842836380005</v>
      </c>
      <c r="I654">
        <v>0.95221445221445222</v>
      </c>
      <c r="J654">
        <v>15268476</v>
      </c>
      <c r="K654">
        <v>80450</v>
      </c>
      <c r="L654">
        <v>2</v>
      </c>
      <c r="M654">
        <v>192</v>
      </c>
      <c r="N654">
        <v>0.96037296037296038</v>
      </c>
      <c r="O654">
        <v>15325102.333333334</v>
      </c>
      <c r="P654">
        <v>81255</v>
      </c>
      <c r="Q654">
        <v>2</v>
      </c>
      <c r="R654">
        <v>193</v>
      </c>
      <c r="S654">
        <v>11.274233563707249</v>
      </c>
      <c r="T654">
        <v>0.9511627793312073</v>
      </c>
    </row>
    <row r="655" spans="1:20" x14ac:dyDescent="0.25">
      <c r="A655" t="s">
        <v>18</v>
      </c>
      <c r="B655">
        <v>9</v>
      </c>
      <c r="C655">
        <v>4</v>
      </c>
      <c r="D655">
        <v>0</v>
      </c>
      <c r="E655" t="s">
        <v>74</v>
      </c>
      <c r="F655">
        <v>52640</v>
      </c>
      <c r="G655">
        <v>49304700.833333336</v>
      </c>
      <c r="H655">
        <v>0.92424242695172631</v>
      </c>
      <c r="I655">
        <v>0.95804195804195802</v>
      </c>
      <c r="J655">
        <v>15352505.833333334</v>
      </c>
      <c r="K655">
        <v>82064</v>
      </c>
      <c r="L655">
        <v>2</v>
      </c>
      <c r="M655">
        <v>194</v>
      </c>
      <c r="N655">
        <v>0.96037296037296038</v>
      </c>
      <c r="O655">
        <v>15436803.5</v>
      </c>
      <c r="P655">
        <v>82877</v>
      </c>
      <c r="Q655">
        <v>2</v>
      </c>
      <c r="R655">
        <v>195</v>
      </c>
      <c r="S655">
        <v>11.273290825363089</v>
      </c>
      <c r="T655">
        <v>0.9558139443397522</v>
      </c>
    </row>
    <row r="656" spans="1:20" x14ac:dyDescent="0.25">
      <c r="A656" t="s">
        <v>18</v>
      </c>
      <c r="B656">
        <v>9</v>
      </c>
      <c r="C656">
        <v>4</v>
      </c>
      <c r="D656">
        <v>0</v>
      </c>
      <c r="E656" t="s">
        <v>75</v>
      </c>
      <c r="F656">
        <v>53858</v>
      </c>
      <c r="G656">
        <v>57979904.454545453</v>
      </c>
      <c r="H656">
        <v>0.93452002785422583</v>
      </c>
      <c r="I656">
        <v>0.9599491417673236</v>
      </c>
      <c r="J656">
        <v>16302928.909090908</v>
      </c>
      <c r="K656">
        <v>83694</v>
      </c>
      <c r="L656">
        <v>2</v>
      </c>
      <c r="M656">
        <v>196</v>
      </c>
      <c r="N656">
        <v>0.95677050222504767</v>
      </c>
      <c r="O656">
        <v>17422695.272727273</v>
      </c>
      <c r="P656">
        <v>84515</v>
      </c>
      <c r="Q656">
        <v>2</v>
      </c>
      <c r="R656">
        <v>197</v>
      </c>
      <c r="S656">
        <v>11.27311333274352</v>
      </c>
      <c r="T656">
        <v>0.95348835587501524</v>
      </c>
    </row>
    <row r="657" spans="1:20" x14ac:dyDescent="0.25">
      <c r="A657" t="s">
        <v>18</v>
      </c>
      <c r="B657">
        <v>9</v>
      </c>
      <c r="C657">
        <v>4</v>
      </c>
      <c r="D657">
        <v>0</v>
      </c>
      <c r="E657" t="s">
        <v>90</v>
      </c>
      <c r="F657">
        <v>54176</v>
      </c>
      <c r="G657">
        <v>55399605.666666664</v>
      </c>
      <c r="H657">
        <v>0.93006991346677148</v>
      </c>
      <c r="I657">
        <v>0.9533799533799534</v>
      </c>
      <c r="J657">
        <v>15571581.333333334</v>
      </c>
      <c r="K657">
        <v>84515</v>
      </c>
      <c r="L657">
        <v>2</v>
      </c>
      <c r="M657">
        <v>197</v>
      </c>
      <c r="N657">
        <v>0.95104895104895104</v>
      </c>
      <c r="O657">
        <v>16342793.5</v>
      </c>
      <c r="P657">
        <v>85340</v>
      </c>
      <c r="Q657">
        <v>2</v>
      </c>
      <c r="R657">
        <v>198</v>
      </c>
      <c r="S657">
        <v>11.272614731629675</v>
      </c>
      <c r="T657">
        <v>0.9604651093482971</v>
      </c>
    </row>
    <row r="658" spans="1:20" x14ac:dyDescent="0.25">
      <c r="A658" t="s">
        <v>18</v>
      </c>
      <c r="B658">
        <v>9</v>
      </c>
      <c r="C658">
        <v>4</v>
      </c>
      <c r="D658">
        <v>0</v>
      </c>
      <c r="E658" t="s">
        <v>91</v>
      </c>
      <c r="F658">
        <v>55458</v>
      </c>
      <c r="G658">
        <v>54455878.5</v>
      </c>
      <c r="H658">
        <v>0.91608392198880517</v>
      </c>
      <c r="I658">
        <v>0.94988344988344986</v>
      </c>
      <c r="J658">
        <v>16046609.833333334</v>
      </c>
      <c r="K658">
        <v>86169</v>
      </c>
      <c r="L658">
        <v>2</v>
      </c>
      <c r="M658">
        <v>199</v>
      </c>
      <c r="N658">
        <v>0.95104895104895104</v>
      </c>
      <c r="O658">
        <v>15561710.333333334</v>
      </c>
      <c r="P658">
        <v>87002</v>
      </c>
      <c r="Q658">
        <v>2</v>
      </c>
      <c r="R658">
        <v>200</v>
      </c>
      <c r="S658">
        <v>11.272116659301812</v>
      </c>
      <c r="T658">
        <v>0.9558139443397522</v>
      </c>
    </row>
    <row r="659" spans="1:20" x14ac:dyDescent="0.25">
      <c r="A659" t="s">
        <v>18</v>
      </c>
      <c r="B659">
        <v>9</v>
      </c>
      <c r="C659">
        <v>4</v>
      </c>
      <c r="D659">
        <v>0</v>
      </c>
      <c r="E659" t="s">
        <v>92</v>
      </c>
      <c r="F659">
        <v>56740</v>
      </c>
      <c r="G659">
        <v>65663615.833333336</v>
      </c>
      <c r="H659">
        <v>0.9207459191481272</v>
      </c>
      <c r="I659">
        <v>0.95454545454545459</v>
      </c>
      <c r="J659">
        <v>18245613.5</v>
      </c>
      <c r="K659">
        <v>87839</v>
      </c>
      <c r="L659">
        <v>2</v>
      </c>
      <c r="M659">
        <v>201</v>
      </c>
      <c r="N659">
        <v>0.94871794871794868</v>
      </c>
      <c r="O659">
        <v>17698140</v>
      </c>
      <c r="P659">
        <v>88680</v>
      </c>
      <c r="Q659">
        <v>2</v>
      </c>
      <c r="R659">
        <v>202</v>
      </c>
      <c r="S659">
        <v>11.272679091953007</v>
      </c>
      <c r="T659">
        <v>0.96279067993164058</v>
      </c>
    </row>
    <row r="660" spans="1:20" x14ac:dyDescent="0.25">
      <c r="A660" t="s">
        <v>18</v>
      </c>
      <c r="B660">
        <v>9</v>
      </c>
      <c r="C660">
        <v>4</v>
      </c>
      <c r="D660">
        <v>0</v>
      </c>
      <c r="E660" t="s">
        <v>105</v>
      </c>
      <c r="F660">
        <v>11288</v>
      </c>
      <c r="G660">
        <v>52264832.333333336</v>
      </c>
      <c r="H660">
        <v>0.93123543262481689</v>
      </c>
      <c r="I660">
        <v>0.9533799533799534</v>
      </c>
      <c r="J660">
        <v>15760441.666666666</v>
      </c>
      <c r="K660">
        <v>17427</v>
      </c>
      <c r="L660">
        <v>2</v>
      </c>
      <c r="M660">
        <v>85</v>
      </c>
      <c r="N660">
        <v>0.95804195804195802</v>
      </c>
      <c r="O660">
        <v>15618930.333333334</v>
      </c>
      <c r="P660">
        <v>17804</v>
      </c>
      <c r="Q660">
        <v>2</v>
      </c>
      <c r="R660">
        <v>86</v>
      </c>
      <c r="S660">
        <v>11.272181513198552</v>
      </c>
      <c r="T660">
        <v>0.9511627793312073</v>
      </c>
    </row>
    <row r="661" spans="1:20" x14ac:dyDescent="0.25">
      <c r="A661" t="s">
        <v>18</v>
      </c>
      <c r="B661">
        <v>9</v>
      </c>
      <c r="C661">
        <v>4</v>
      </c>
      <c r="D661">
        <v>0</v>
      </c>
      <c r="E661" t="s">
        <v>19</v>
      </c>
      <c r="F661">
        <v>12314</v>
      </c>
      <c r="G661">
        <v>13455015.166666666</v>
      </c>
      <c r="H661">
        <v>0.95571095744768775</v>
      </c>
      <c r="I661">
        <v>0.96037296037296038</v>
      </c>
      <c r="J661">
        <v>7042032.666666667</v>
      </c>
      <c r="K661">
        <v>18959</v>
      </c>
      <c r="L661">
        <v>2</v>
      </c>
      <c r="M661">
        <v>89</v>
      </c>
      <c r="N661">
        <v>0.97785547785547788</v>
      </c>
      <c r="O661">
        <v>9141459.666666666</v>
      </c>
      <c r="P661">
        <v>19352</v>
      </c>
      <c r="Q661">
        <v>2</v>
      </c>
      <c r="R661">
        <v>90</v>
      </c>
      <c r="S661">
        <v>11.270625606635489</v>
      </c>
      <c r="T661">
        <v>0.96279067993164058</v>
      </c>
    </row>
    <row r="662" spans="1:20" x14ac:dyDescent="0.25">
      <c r="A662" t="s">
        <v>18</v>
      </c>
      <c r="B662">
        <v>9</v>
      </c>
      <c r="C662">
        <v>4</v>
      </c>
      <c r="D662">
        <v>0</v>
      </c>
      <c r="E662" t="s">
        <v>20</v>
      </c>
      <c r="F662">
        <v>13340</v>
      </c>
      <c r="G662">
        <v>20344807.166666668</v>
      </c>
      <c r="H662">
        <v>0.95337994893391931</v>
      </c>
      <c r="I662">
        <v>0.96853146853146854</v>
      </c>
      <c r="J662">
        <v>9525307.666666666</v>
      </c>
      <c r="K662">
        <v>20555</v>
      </c>
      <c r="L662">
        <v>2</v>
      </c>
      <c r="M662">
        <v>93</v>
      </c>
      <c r="N662">
        <v>0.97202797202797198</v>
      </c>
      <c r="O662">
        <v>7483659.833333333</v>
      </c>
      <c r="P662">
        <v>20964</v>
      </c>
      <c r="Q662">
        <v>2</v>
      </c>
      <c r="R662">
        <v>94</v>
      </c>
      <c r="S662">
        <v>11.271276126642562</v>
      </c>
      <c r="T662">
        <v>0.9604651093482971</v>
      </c>
    </row>
    <row r="663" spans="1:20" x14ac:dyDescent="0.25">
      <c r="A663" t="s">
        <v>18</v>
      </c>
      <c r="B663">
        <v>9</v>
      </c>
      <c r="C663">
        <v>4</v>
      </c>
      <c r="D663">
        <v>0</v>
      </c>
      <c r="E663" t="s">
        <v>21</v>
      </c>
      <c r="F663">
        <v>14366</v>
      </c>
      <c r="G663">
        <v>21784376.166666668</v>
      </c>
      <c r="H663">
        <v>0.96270396312077844</v>
      </c>
      <c r="I663">
        <v>0.97086247086247079</v>
      </c>
      <c r="J663">
        <v>7050688</v>
      </c>
      <c r="K663">
        <v>22215</v>
      </c>
      <c r="L663">
        <v>2</v>
      </c>
      <c r="M663">
        <v>97</v>
      </c>
      <c r="N663">
        <v>0.96853146853146854</v>
      </c>
      <c r="O663">
        <v>7302662.833333333</v>
      </c>
      <c r="P663">
        <v>22640</v>
      </c>
      <c r="Q663">
        <v>2</v>
      </c>
      <c r="R663">
        <v>98</v>
      </c>
      <c r="S663">
        <v>11.272102247686206</v>
      </c>
      <c r="T663">
        <v>0.95813951492309568</v>
      </c>
    </row>
    <row r="664" spans="1:20" x14ac:dyDescent="0.25">
      <c r="A664" t="s">
        <v>18</v>
      </c>
      <c r="B664">
        <v>9</v>
      </c>
      <c r="C664">
        <v>5</v>
      </c>
      <c r="D664">
        <v>0</v>
      </c>
      <c r="E664" t="s">
        <v>21</v>
      </c>
      <c r="F664">
        <v>15262</v>
      </c>
      <c r="G664">
        <v>25795552.5</v>
      </c>
      <c r="H664">
        <v>0.9580419659614563</v>
      </c>
      <c r="I664">
        <v>0.96386946386946382</v>
      </c>
      <c r="J664">
        <v>7436926.333333333</v>
      </c>
      <c r="K664">
        <v>24825</v>
      </c>
      <c r="L664">
        <v>2</v>
      </c>
      <c r="M664">
        <v>103</v>
      </c>
      <c r="N664">
        <v>0.96969696969696972</v>
      </c>
      <c r="O664">
        <v>8835107.5</v>
      </c>
      <c r="P664">
        <v>25274</v>
      </c>
      <c r="Q664">
        <v>2</v>
      </c>
      <c r="R664">
        <v>104</v>
      </c>
      <c r="S664">
        <v>11.273632279094352</v>
      </c>
      <c r="T664">
        <v>0.97441859245300289</v>
      </c>
    </row>
    <row r="665" spans="1:20" x14ac:dyDescent="0.25">
      <c r="A665" t="s">
        <v>18</v>
      </c>
      <c r="B665">
        <v>9</v>
      </c>
      <c r="C665">
        <v>5</v>
      </c>
      <c r="D665">
        <v>0</v>
      </c>
      <c r="E665" t="s">
        <v>22</v>
      </c>
      <c r="F665">
        <v>16352</v>
      </c>
      <c r="G665">
        <v>26684651.333333332</v>
      </c>
      <c r="H665">
        <v>0.95337994893391931</v>
      </c>
      <c r="I665">
        <v>0.94405594405594406</v>
      </c>
      <c r="J665">
        <v>8793199.333333334</v>
      </c>
      <c r="K665">
        <v>26645</v>
      </c>
      <c r="L665">
        <v>2</v>
      </c>
      <c r="M665">
        <v>107</v>
      </c>
      <c r="N665">
        <v>0.95454545454545459</v>
      </c>
      <c r="O665">
        <v>10661342</v>
      </c>
      <c r="P665">
        <v>27110</v>
      </c>
      <c r="Q665">
        <v>2</v>
      </c>
      <c r="R665">
        <v>108</v>
      </c>
      <c r="S665">
        <v>11.274280179624901</v>
      </c>
      <c r="T665">
        <v>0.95348834991455078</v>
      </c>
    </row>
    <row r="666" spans="1:20" x14ac:dyDescent="0.25">
      <c r="A666" t="s">
        <v>18</v>
      </c>
      <c r="B666">
        <v>9</v>
      </c>
      <c r="C666">
        <v>5</v>
      </c>
      <c r="D666">
        <v>0</v>
      </c>
      <c r="E666" t="s">
        <v>39</v>
      </c>
      <c r="F666">
        <v>17442</v>
      </c>
      <c r="G666">
        <v>25624641.833333332</v>
      </c>
      <c r="H666">
        <v>0.92773893475532532</v>
      </c>
      <c r="I666">
        <v>0.95104895104895104</v>
      </c>
      <c r="J666">
        <v>9310975.166666666</v>
      </c>
      <c r="K666">
        <v>28529</v>
      </c>
      <c r="L666">
        <v>2</v>
      </c>
      <c r="M666">
        <v>111</v>
      </c>
      <c r="N666">
        <v>0.94988344988344986</v>
      </c>
      <c r="O666">
        <v>8117238.5</v>
      </c>
      <c r="P666">
        <v>29010</v>
      </c>
      <c r="Q666">
        <v>2</v>
      </c>
      <c r="R666">
        <v>112</v>
      </c>
      <c r="S666">
        <v>11.274223356507964</v>
      </c>
      <c r="T666">
        <v>0.95581393241882329</v>
      </c>
    </row>
    <row r="667" spans="1:20" x14ac:dyDescent="0.25">
      <c r="A667" t="s">
        <v>18</v>
      </c>
      <c r="B667">
        <v>9</v>
      </c>
      <c r="C667">
        <v>5</v>
      </c>
      <c r="D667">
        <v>0</v>
      </c>
      <c r="E667" t="s">
        <v>55</v>
      </c>
      <c r="F667">
        <v>18532</v>
      </c>
      <c r="G667">
        <v>24948314</v>
      </c>
      <c r="H667">
        <v>0.93356644113858545</v>
      </c>
      <c r="I667">
        <v>0.94871794871794868</v>
      </c>
      <c r="J667">
        <v>8564132.5</v>
      </c>
      <c r="K667">
        <v>30477</v>
      </c>
      <c r="L667">
        <v>2</v>
      </c>
      <c r="M667">
        <v>115</v>
      </c>
      <c r="N667">
        <v>0.95454545454545459</v>
      </c>
      <c r="O667">
        <v>8161967.666666667</v>
      </c>
      <c r="P667">
        <v>30974</v>
      </c>
      <c r="Q667">
        <v>2</v>
      </c>
      <c r="R667">
        <v>116</v>
      </c>
      <c r="S667">
        <v>11.273990676400739</v>
      </c>
      <c r="T667">
        <v>0.94418603181838989</v>
      </c>
    </row>
    <row r="668" spans="1:20" x14ac:dyDescent="0.25">
      <c r="A668" t="s">
        <v>18</v>
      </c>
      <c r="B668">
        <v>9</v>
      </c>
      <c r="C668">
        <v>5</v>
      </c>
      <c r="D668">
        <v>0</v>
      </c>
      <c r="E668" t="s">
        <v>66</v>
      </c>
      <c r="F668">
        <v>19622</v>
      </c>
      <c r="G668">
        <v>21541905.833333332</v>
      </c>
      <c r="H668">
        <v>0.92424242695172631</v>
      </c>
      <c r="I668">
        <v>0.9533799533799534</v>
      </c>
      <c r="J668">
        <v>9705011.833333334</v>
      </c>
      <c r="K668">
        <v>31980</v>
      </c>
      <c r="L668">
        <v>2</v>
      </c>
      <c r="M668">
        <v>118</v>
      </c>
      <c r="N668">
        <v>0.9475524475524475</v>
      </c>
      <c r="O668">
        <v>8934939.833333334</v>
      </c>
      <c r="P668">
        <v>32489</v>
      </c>
      <c r="Q668">
        <v>2</v>
      </c>
      <c r="R668">
        <v>119</v>
      </c>
      <c r="S668">
        <v>11.272791208791208</v>
      </c>
      <c r="T668">
        <v>0.94418605566024782</v>
      </c>
    </row>
    <row r="669" spans="1:20" x14ac:dyDescent="0.25">
      <c r="A669" t="s">
        <v>18</v>
      </c>
      <c r="B669">
        <v>9</v>
      </c>
      <c r="C669">
        <v>5</v>
      </c>
      <c r="D669">
        <v>0</v>
      </c>
      <c r="E669" t="s">
        <v>76</v>
      </c>
      <c r="F669">
        <v>20712</v>
      </c>
      <c r="G669">
        <v>25909669.166666668</v>
      </c>
      <c r="H669">
        <v>0.92657342553138733</v>
      </c>
      <c r="I669">
        <v>0.95571095571095566</v>
      </c>
      <c r="J669">
        <v>10205468.666666666</v>
      </c>
      <c r="K669">
        <v>34040</v>
      </c>
      <c r="L669">
        <v>2</v>
      </c>
      <c r="M669">
        <v>122</v>
      </c>
      <c r="N669">
        <v>0.95804195804195802</v>
      </c>
      <c r="O669">
        <v>9009564.333333334</v>
      </c>
      <c r="P669">
        <v>34565</v>
      </c>
      <c r="Q669">
        <v>2</v>
      </c>
      <c r="R669">
        <v>123</v>
      </c>
      <c r="S669">
        <v>11.272208066075038</v>
      </c>
      <c r="T669">
        <v>0.94883718490600588</v>
      </c>
    </row>
    <row r="670" spans="1:20" x14ac:dyDescent="0.25">
      <c r="A670" t="s">
        <v>18</v>
      </c>
      <c r="B670">
        <v>9</v>
      </c>
      <c r="C670">
        <v>5</v>
      </c>
      <c r="D670">
        <v>0</v>
      </c>
      <c r="E670" t="s">
        <v>93</v>
      </c>
      <c r="F670">
        <v>21802</v>
      </c>
      <c r="G670">
        <v>33610718.333333336</v>
      </c>
      <c r="H670">
        <v>0.93240093191464746</v>
      </c>
      <c r="I670">
        <v>0.95804195804195802</v>
      </c>
      <c r="J670">
        <v>9266427.5</v>
      </c>
      <c r="K670">
        <v>35627</v>
      </c>
      <c r="L670">
        <v>2</v>
      </c>
      <c r="M670">
        <v>125</v>
      </c>
      <c r="N670">
        <v>0.95571095571095566</v>
      </c>
      <c r="O670">
        <v>9177455.166666666</v>
      </c>
      <c r="P670">
        <v>36164</v>
      </c>
      <c r="Q670">
        <v>2</v>
      </c>
      <c r="R670">
        <v>126</v>
      </c>
      <c r="S670">
        <v>11.272767190656012</v>
      </c>
      <c r="T670">
        <v>0.9581395268440247</v>
      </c>
    </row>
    <row r="671" spans="1:20" x14ac:dyDescent="0.25">
      <c r="A671" t="s">
        <v>18</v>
      </c>
      <c r="B671">
        <v>9</v>
      </c>
      <c r="C671">
        <v>5</v>
      </c>
      <c r="D671">
        <v>0</v>
      </c>
      <c r="E671" t="s">
        <v>94</v>
      </c>
      <c r="F671">
        <v>22892</v>
      </c>
      <c r="G671">
        <v>30846341.166666668</v>
      </c>
      <c r="H671">
        <v>0.93822843829790747</v>
      </c>
      <c r="I671">
        <v>0.9533799533799534</v>
      </c>
      <c r="J671">
        <v>9348428</v>
      </c>
      <c r="K671">
        <v>37250</v>
      </c>
      <c r="L671">
        <v>2</v>
      </c>
      <c r="M671">
        <v>128</v>
      </c>
      <c r="N671">
        <v>0.94871794871794868</v>
      </c>
      <c r="O671">
        <v>11156339.166666666</v>
      </c>
      <c r="P671">
        <v>37799</v>
      </c>
      <c r="Q671">
        <v>2</v>
      </c>
      <c r="R671">
        <v>129</v>
      </c>
      <c r="S671">
        <v>11.272711313964715</v>
      </c>
      <c r="T671">
        <v>0.95348836183547969</v>
      </c>
    </row>
    <row r="672" spans="1:20" x14ac:dyDescent="0.25">
      <c r="A672" t="s">
        <v>18</v>
      </c>
      <c r="B672">
        <v>9</v>
      </c>
      <c r="C672">
        <v>5</v>
      </c>
      <c r="D672">
        <v>0</v>
      </c>
      <c r="E672" t="s">
        <v>95</v>
      </c>
      <c r="F672">
        <v>23982</v>
      </c>
      <c r="G672">
        <v>28968766.333333332</v>
      </c>
      <c r="H672">
        <v>0.92657343546549475</v>
      </c>
      <c r="I672">
        <v>0.94988344988344986</v>
      </c>
      <c r="J672">
        <v>9917879.666666666</v>
      </c>
      <c r="K672">
        <v>38909</v>
      </c>
      <c r="L672">
        <v>2</v>
      </c>
      <c r="M672">
        <v>131</v>
      </c>
      <c r="N672">
        <v>0.94871794871794868</v>
      </c>
      <c r="O672">
        <v>10882251.333333334</v>
      </c>
      <c r="P672">
        <v>39470</v>
      </c>
      <c r="Q672">
        <v>2</v>
      </c>
      <c r="R672">
        <v>132</v>
      </c>
      <c r="S672">
        <v>11.272304588121765</v>
      </c>
      <c r="T672">
        <v>0.93023257255554204</v>
      </c>
    </row>
    <row r="673" spans="1:20" x14ac:dyDescent="0.25">
      <c r="A673" t="s">
        <v>18</v>
      </c>
      <c r="B673">
        <v>9</v>
      </c>
      <c r="C673">
        <v>5</v>
      </c>
      <c r="D673">
        <v>0</v>
      </c>
      <c r="E673" t="s">
        <v>96</v>
      </c>
      <c r="F673">
        <v>25072</v>
      </c>
      <c r="G673">
        <v>31409013.666666668</v>
      </c>
      <c r="H673">
        <v>0.94988345106442773</v>
      </c>
      <c r="I673">
        <v>0.94638694638694643</v>
      </c>
      <c r="J673">
        <v>8457183.666666666</v>
      </c>
      <c r="K673">
        <v>41177</v>
      </c>
      <c r="L673">
        <v>2</v>
      </c>
      <c r="M673">
        <v>135</v>
      </c>
      <c r="N673">
        <v>0.94522144522144524</v>
      </c>
      <c r="O673">
        <v>8846509.333333334</v>
      </c>
      <c r="P673">
        <v>41754</v>
      </c>
      <c r="Q673">
        <v>2</v>
      </c>
      <c r="R673">
        <v>136</v>
      </c>
      <c r="S673">
        <v>11.271722928540115</v>
      </c>
      <c r="T673">
        <v>0.94418603181838989</v>
      </c>
    </row>
    <row r="674" spans="1:20" x14ac:dyDescent="0.25">
      <c r="A674" t="s">
        <v>18</v>
      </c>
      <c r="B674">
        <v>9</v>
      </c>
      <c r="C674">
        <v>5</v>
      </c>
      <c r="D674">
        <v>0</v>
      </c>
      <c r="E674" t="s">
        <v>97</v>
      </c>
      <c r="F674">
        <v>26162</v>
      </c>
      <c r="G674">
        <v>37148551.5</v>
      </c>
      <c r="H674">
        <v>0.94871795177459717</v>
      </c>
      <c r="I674">
        <v>0.95221445221445222</v>
      </c>
      <c r="J674">
        <v>8622303.333333334</v>
      </c>
      <c r="K674">
        <v>42920</v>
      </c>
      <c r="L674">
        <v>2</v>
      </c>
      <c r="M674">
        <v>138</v>
      </c>
      <c r="N674">
        <v>0.95104895104895104</v>
      </c>
      <c r="O674">
        <v>10933433.666666666</v>
      </c>
      <c r="P674">
        <v>43509</v>
      </c>
      <c r="Q674">
        <v>2</v>
      </c>
      <c r="R674">
        <v>139</v>
      </c>
      <c r="S674">
        <v>11.272368766979231</v>
      </c>
      <c r="T674">
        <v>0.95813951492309568</v>
      </c>
    </row>
    <row r="675" spans="1:20" x14ac:dyDescent="0.25">
      <c r="A675" t="s">
        <v>18</v>
      </c>
      <c r="B675">
        <v>9</v>
      </c>
      <c r="C675">
        <v>5</v>
      </c>
      <c r="D675">
        <v>0</v>
      </c>
      <c r="E675" t="s">
        <v>98</v>
      </c>
      <c r="F675">
        <v>27252</v>
      </c>
      <c r="G675">
        <v>38298257.166666664</v>
      </c>
      <c r="H675">
        <v>0.91025641560554504</v>
      </c>
      <c r="I675">
        <v>0.9533799533799534</v>
      </c>
      <c r="J675">
        <v>9804271.5</v>
      </c>
      <c r="K675">
        <v>44699</v>
      </c>
      <c r="L675">
        <v>2</v>
      </c>
      <c r="M675">
        <v>141</v>
      </c>
      <c r="N675">
        <v>0.95454545454545459</v>
      </c>
      <c r="O675">
        <v>10788555.666666666</v>
      </c>
      <c r="P675">
        <v>45300</v>
      </c>
      <c r="Q675">
        <v>2</v>
      </c>
      <c r="R675">
        <v>142</v>
      </c>
      <c r="S675">
        <v>11.273013926600683</v>
      </c>
      <c r="T675">
        <v>0.94418603181838989</v>
      </c>
    </row>
    <row r="676" spans="1:20" x14ac:dyDescent="0.25">
      <c r="A676" t="s">
        <v>18</v>
      </c>
      <c r="B676">
        <v>9</v>
      </c>
      <c r="C676">
        <v>5</v>
      </c>
      <c r="D676">
        <v>0</v>
      </c>
      <c r="E676" t="s">
        <v>99</v>
      </c>
      <c r="F676">
        <v>28342</v>
      </c>
      <c r="G676">
        <v>37727161.333333336</v>
      </c>
      <c r="H676">
        <v>0.93939392765363061</v>
      </c>
      <c r="I676">
        <v>0.95104895104895104</v>
      </c>
      <c r="J676">
        <v>10606808.833333334</v>
      </c>
      <c r="K676">
        <v>46514</v>
      </c>
      <c r="L676">
        <v>2</v>
      </c>
      <c r="M676">
        <v>144</v>
      </c>
      <c r="N676">
        <v>0.95221445221445222</v>
      </c>
      <c r="O676">
        <v>9690263.166666666</v>
      </c>
      <c r="P676">
        <v>47127</v>
      </c>
      <c r="Q676">
        <v>2</v>
      </c>
      <c r="R676">
        <v>145</v>
      </c>
      <c r="S676">
        <v>11.273045609734746</v>
      </c>
      <c r="T676">
        <v>0.96046509742736819</v>
      </c>
    </row>
    <row r="677" spans="1:20" x14ac:dyDescent="0.25">
      <c r="A677" t="s">
        <v>18</v>
      </c>
      <c r="B677">
        <v>9</v>
      </c>
      <c r="C677">
        <v>5</v>
      </c>
      <c r="D677">
        <v>0</v>
      </c>
      <c r="E677" t="s">
        <v>100</v>
      </c>
      <c r="F677">
        <v>29432</v>
      </c>
      <c r="G677">
        <v>36286699.833333336</v>
      </c>
      <c r="H677">
        <v>0.93939393758773804</v>
      </c>
      <c r="I677">
        <v>0.95687645687645684</v>
      </c>
      <c r="J677">
        <v>11951518.333333334</v>
      </c>
      <c r="K677">
        <v>48365</v>
      </c>
      <c r="L677">
        <v>2</v>
      </c>
      <c r="M677">
        <v>147</v>
      </c>
      <c r="N677">
        <v>0.95104895104895104</v>
      </c>
      <c r="O677">
        <v>8692930.833333334</v>
      </c>
      <c r="P677">
        <v>48990</v>
      </c>
      <c r="Q677">
        <v>2</v>
      </c>
      <c r="R677">
        <v>148</v>
      </c>
      <c r="S677">
        <v>11.27237728585178</v>
      </c>
      <c r="T677">
        <v>0.9558139443397522</v>
      </c>
    </row>
    <row r="678" spans="1:20" x14ac:dyDescent="0.25">
      <c r="A678" t="s">
        <v>18</v>
      </c>
      <c r="B678">
        <v>9</v>
      </c>
      <c r="C678">
        <v>5</v>
      </c>
      <c r="D678">
        <v>0</v>
      </c>
      <c r="E678" t="s">
        <v>101</v>
      </c>
      <c r="F678">
        <v>30522</v>
      </c>
      <c r="G678">
        <v>37231795.833333336</v>
      </c>
      <c r="H678">
        <v>0.94289044539133704</v>
      </c>
      <c r="I678">
        <v>0.9475524475524475</v>
      </c>
      <c r="J678">
        <v>10185148.5</v>
      </c>
      <c r="K678">
        <v>49619</v>
      </c>
      <c r="L678">
        <v>2</v>
      </c>
      <c r="M678">
        <v>149</v>
      </c>
      <c r="N678">
        <v>0.94871794871794868</v>
      </c>
      <c r="O678">
        <v>9958009</v>
      </c>
      <c r="P678">
        <v>50252</v>
      </c>
      <c r="Q678">
        <v>2</v>
      </c>
      <c r="R678">
        <v>150</v>
      </c>
      <c r="S678">
        <v>11.271884564932225</v>
      </c>
      <c r="T678">
        <v>0.96976743936538701</v>
      </c>
    </row>
    <row r="679" spans="1:20" x14ac:dyDescent="0.25">
      <c r="A679" t="s">
        <v>18</v>
      </c>
      <c r="B679">
        <v>9</v>
      </c>
      <c r="C679">
        <v>5</v>
      </c>
      <c r="D679">
        <v>0</v>
      </c>
      <c r="E679" t="s">
        <v>102</v>
      </c>
      <c r="F679">
        <v>31612</v>
      </c>
      <c r="G679">
        <v>45640693.333333336</v>
      </c>
      <c r="H679">
        <v>0.93123542269070947</v>
      </c>
      <c r="I679">
        <v>0.94871794871794868</v>
      </c>
      <c r="J679">
        <v>11062076</v>
      </c>
      <c r="K679">
        <v>51530</v>
      </c>
      <c r="L679">
        <v>2</v>
      </c>
      <c r="M679">
        <v>152</v>
      </c>
      <c r="N679">
        <v>0.95104895104895104</v>
      </c>
      <c r="O679">
        <v>10953506.5</v>
      </c>
      <c r="P679">
        <v>52175</v>
      </c>
      <c r="Q679">
        <v>2</v>
      </c>
      <c r="R679">
        <v>153</v>
      </c>
      <c r="S679">
        <v>11.272703435014423</v>
      </c>
      <c r="T679">
        <v>0.94883720874786381</v>
      </c>
    </row>
    <row r="680" spans="1:20" x14ac:dyDescent="0.25">
      <c r="A680" t="s">
        <v>18</v>
      </c>
      <c r="B680">
        <v>9</v>
      </c>
      <c r="C680">
        <v>5</v>
      </c>
      <c r="D680">
        <v>0</v>
      </c>
      <c r="E680" t="s">
        <v>103</v>
      </c>
      <c r="F680">
        <v>32702</v>
      </c>
      <c r="G680">
        <v>43762982.81818182</v>
      </c>
      <c r="H680">
        <v>0.83788937872106384</v>
      </c>
      <c r="I680">
        <v>0.94914176732358546</v>
      </c>
      <c r="J680">
        <v>10724985.636363637</v>
      </c>
      <c r="K680">
        <v>53477</v>
      </c>
      <c r="L680">
        <v>2</v>
      </c>
      <c r="M680">
        <v>155</v>
      </c>
      <c r="N680">
        <v>0.95295613477431662</v>
      </c>
      <c r="O680">
        <v>9687645.8181818184</v>
      </c>
      <c r="P680">
        <v>54134</v>
      </c>
      <c r="Q680">
        <v>2</v>
      </c>
      <c r="R680">
        <v>156</v>
      </c>
      <c r="S680">
        <v>11.272790778903248</v>
      </c>
      <c r="T680">
        <v>0.94186046123504641</v>
      </c>
    </row>
    <row r="681" spans="1:20" x14ac:dyDescent="0.25">
      <c r="A681" t="s">
        <v>18</v>
      </c>
      <c r="B681">
        <v>9</v>
      </c>
      <c r="C681">
        <v>5</v>
      </c>
      <c r="D681">
        <v>0</v>
      </c>
      <c r="E681" t="s">
        <v>104</v>
      </c>
      <c r="F681">
        <v>33792</v>
      </c>
      <c r="G681">
        <v>38145924.636363633</v>
      </c>
      <c r="H681">
        <v>0.92879846421155066</v>
      </c>
      <c r="I681">
        <v>0.95549904640813732</v>
      </c>
      <c r="J681">
        <v>10087634.727272727</v>
      </c>
      <c r="K681">
        <v>55460</v>
      </c>
      <c r="L681">
        <v>2</v>
      </c>
      <c r="M681">
        <v>158</v>
      </c>
      <c r="N681">
        <v>0.95486331849968209</v>
      </c>
      <c r="O681">
        <v>11215592.818181818</v>
      </c>
      <c r="P681">
        <v>56129</v>
      </c>
      <c r="Q681">
        <v>2</v>
      </c>
      <c r="R681">
        <v>159</v>
      </c>
      <c r="S681">
        <v>11.271133211201256</v>
      </c>
      <c r="T681">
        <v>0.94302324056625364</v>
      </c>
    </row>
    <row r="682" spans="1:20" x14ac:dyDescent="0.25">
      <c r="A682" t="s">
        <v>18</v>
      </c>
      <c r="B682">
        <v>9</v>
      </c>
      <c r="C682">
        <v>5</v>
      </c>
      <c r="D682">
        <v>0</v>
      </c>
      <c r="E682" t="s">
        <v>41</v>
      </c>
      <c r="F682">
        <v>34882</v>
      </c>
      <c r="G682">
        <v>41355851.375</v>
      </c>
      <c r="H682">
        <v>0.87368880957365036</v>
      </c>
      <c r="I682">
        <v>0.95061188811188813</v>
      </c>
      <c r="J682">
        <v>10789367.375</v>
      </c>
      <c r="K682">
        <v>56802</v>
      </c>
      <c r="L682">
        <v>2</v>
      </c>
      <c r="M682">
        <v>160</v>
      </c>
      <c r="N682">
        <v>0.94973776223776218</v>
      </c>
      <c r="O682">
        <v>11507876.4375</v>
      </c>
      <c r="P682">
        <v>57479</v>
      </c>
      <c r="Q682">
        <v>2</v>
      </c>
      <c r="R682">
        <v>161</v>
      </c>
      <c r="S682">
        <v>11.269274327031971</v>
      </c>
      <c r="T682">
        <v>0.94108527501424155</v>
      </c>
    </row>
    <row r="683" spans="1:20" x14ac:dyDescent="0.25">
      <c r="A683" t="s">
        <v>18</v>
      </c>
      <c r="B683">
        <v>9</v>
      </c>
      <c r="C683">
        <v>5</v>
      </c>
      <c r="D683">
        <v>0</v>
      </c>
      <c r="E683" t="s">
        <v>26</v>
      </c>
      <c r="F683">
        <v>34952</v>
      </c>
      <c r="G683">
        <v>44227293.666666664</v>
      </c>
      <c r="H683">
        <v>0.87179486950238549</v>
      </c>
      <c r="I683">
        <v>0.94638694638694643</v>
      </c>
      <c r="J683">
        <v>10530213.5</v>
      </c>
      <c r="K683">
        <v>57479</v>
      </c>
      <c r="L683">
        <v>2</v>
      </c>
      <c r="M683">
        <v>161</v>
      </c>
      <c r="N683">
        <v>0.95221445221445222</v>
      </c>
      <c r="O683">
        <v>11032700.666666666</v>
      </c>
      <c r="P683">
        <v>58160</v>
      </c>
      <c r="Q683">
        <v>2</v>
      </c>
      <c r="R683">
        <v>162</v>
      </c>
      <c r="S683">
        <v>11.268698302133217</v>
      </c>
      <c r="T683">
        <v>0.92093023061752322</v>
      </c>
    </row>
    <row r="684" spans="1:20" x14ac:dyDescent="0.25">
      <c r="A684" t="s">
        <v>18</v>
      </c>
      <c r="B684">
        <v>9</v>
      </c>
      <c r="C684">
        <v>5</v>
      </c>
      <c r="D684">
        <v>0</v>
      </c>
      <c r="E684" t="s">
        <v>27</v>
      </c>
      <c r="F684">
        <v>36042</v>
      </c>
      <c r="G684">
        <v>33999398.333333336</v>
      </c>
      <c r="H684">
        <v>0.83216784397761023</v>
      </c>
      <c r="I684">
        <v>0.9533799533799534</v>
      </c>
      <c r="J684">
        <v>10521065</v>
      </c>
      <c r="K684">
        <v>58845</v>
      </c>
      <c r="L684">
        <v>2</v>
      </c>
      <c r="M684">
        <v>163</v>
      </c>
      <c r="N684">
        <v>0.95687645687645684</v>
      </c>
      <c r="O684">
        <v>11919140.166666666</v>
      </c>
      <c r="P684">
        <v>59534</v>
      </c>
      <c r="Q684">
        <v>2</v>
      </c>
      <c r="R684">
        <v>164</v>
      </c>
      <c r="S684">
        <v>11.266730484727178</v>
      </c>
      <c r="T684">
        <v>0.92325581312179561</v>
      </c>
    </row>
    <row r="685" spans="1:20" x14ac:dyDescent="0.25">
      <c r="A685" t="s">
        <v>18</v>
      </c>
      <c r="B685">
        <v>9</v>
      </c>
      <c r="C685">
        <v>5</v>
      </c>
      <c r="D685">
        <v>0</v>
      </c>
      <c r="E685" t="s">
        <v>57</v>
      </c>
      <c r="F685">
        <v>36992</v>
      </c>
      <c r="G685">
        <v>40868740.8125</v>
      </c>
      <c r="H685">
        <v>0.83653846010565758</v>
      </c>
      <c r="I685">
        <v>0.95935314685314688</v>
      </c>
      <c r="J685">
        <v>11736049.875</v>
      </c>
      <c r="K685">
        <v>60227</v>
      </c>
      <c r="L685">
        <v>2</v>
      </c>
      <c r="M685">
        <v>165</v>
      </c>
      <c r="N685">
        <v>0.95104895104895104</v>
      </c>
      <c r="O685">
        <v>9737340.9375</v>
      </c>
      <c r="P685">
        <v>60924</v>
      </c>
      <c r="Q685">
        <v>2</v>
      </c>
      <c r="R685">
        <v>166</v>
      </c>
      <c r="S685">
        <v>11.263752498479187</v>
      </c>
      <c r="T685">
        <v>0.93023255268732707</v>
      </c>
    </row>
    <row r="686" spans="1:20" x14ac:dyDescent="0.25">
      <c r="A686" t="s">
        <v>18</v>
      </c>
      <c r="B686">
        <v>9</v>
      </c>
      <c r="C686">
        <v>5</v>
      </c>
      <c r="D686">
        <v>0</v>
      </c>
      <c r="E686" t="s">
        <v>28</v>
      </c>
      <c r="F686">
        <v>37132</v>
      </c>
      <c r="G686">
        <v>37236922.833333336</v>
      </c>
      <c r="H686">
        <v>0.8519813517729441</v>
      </c>
      <c r="I686">
        <v>0.95571095571095566</v>
      </c>
      <c r="J686">
        <v>11507193.5</v>
      </c>
      <c r="K686">
        <v>60924</v>
      </c>
      <c r="L686">
        <v>2</v>
      </c>
      <c r="M686">
        <v>166</v>
      </c>
      <c r="N686">
        <v>0.94988344988344986</v>
      </c>
      <c r="O686">
        <v>12487995.666666666</v>
      </c>
      <c r="P686">
        <v>61625</v>
      </c>
      <c r="Q686">
        <v>2</v>
      </c>
      <c r="R686">
        <v>167</v>
      </c>
      <c r="S686">
        <v>11.262225310518545</v>
      </c>
      <c r="T686">
        <v>0.93720930814743042</v>
      </c>
    </row>
    <row r="687" spans="1:20" x14ac:dyDescent="0.25">
      <c r="A687" t="s">
        <v>18</v>
      </c>
      <c r="B687">
        <v>9</v>
      </c>
      <c r="C687">
        <v>5</v>
      </c>
      <c r="D687">
        <v>0</v>
      </c>
      <c r="E687" t="s">
        <v>67</v>
      </c>
      <c r="F687">
        <v>37808</v>
      </c>
      <c r="G687">
        <v>38871519.363636367</v>
      </c>
      <c r="H687">
        <v>0.876668783751401</v>
      </c>
      <c r="I687">
        <v>0.94723458359821999</v>
      </c>
      <c r="J687">
        <v>11282695</v>
      </c>
      <c r="K687">
        <v>61625</v>
      </c>
      <c r="L687">
        <v>2</v>
      </c>
      <c r="M687">
        <v>167</v>
      </c>
      <c r="N687">
        <v>0.95677050222504767</v>
      </c>
      <c r="O687">
        <v>11812817.636363637</v>
      </c>
      <c r="P687">
        <v>62330</v>
      </c>
      <c r="Q687">
        <v>2</v>
      </c>
      <c r="R687">
        <v>168</v>
      </c>
      <c r="S687">
        <v>11.259545296771954</v>
      </c>
      <c r="T687">
        <v>0.94883719682693479</v>
      </c>
    </row>
    <row r="688" spans="1:20" x14ac:dyDescent="0.25">
      <c r="A688" t="s">
        <v>18</v>
      </c>
      <c r="B688">
        <v>9</v>
      </c>
      <c r="C688">
        <v>5</v>
      </c>
      <c r="D688">
        <v>0</v>
      </c>
      <c r="E688" t="s">
        <v>29</v>
      </c>
      <c r="F688">
        <v>38222</v>
      </c>
      <c r="G688">
        <v>37486913.5</v>
      </c>
      <c r="H688">
        <v>0.87762238581975305</v>
      </c>
      <c r="I688">
        <v>0.92074592074592077</v>
      </c>
      <c r="J688">
        <v>9358799.666666666</v>
      </c>
      <c r="K688">
        <v>62330</v>
      </c>
      <c r="L688">
        <v>2</v>
      </c>
      <c r="M688">
        <v>168</v>
      </c>
      <c r="N688">
        <v>0.9242424242424242</v>
      </c>
      <c r="O688">
        <v>12866817.166666666</v>
      </c>
      <c r="P688">
        <v>63039</v>
      </c>
      <c r="Q688">
        <v>2</v>
      </c>
      <c r="R688">
        <v>169</v>
      </c>
      <c r="S688">
        <v>11.257935819601041</v>
      </c>
      <c r="T688">
        <v>0.95348836183547969</v>
      </c>
    </row>
    <row r="689" spans="1:20" x14ac:dyDescent="0.25">
      <c r="A689" t="s">
        <v>18</v>
      </c>
      <c r="B689">
        <v>9</v>
      </c>
      <c r="C689">
        <v>5</v>
      </c>
      <c r="D689">
        <v>0</v>
      </c>
      <c r="E689" t="s">
        <v>43</v>
      </c>
      <c r="F689">
        <v>38356</v>
      </c>
      <c r="G689">
        <v>38797033.81818182</v>
      </c>
      <c r="H689">
        <v>0.81436745416034351</v>
      </c>
      <c r="I689">
        <v>0.95168467895740627</v>
      </c>
      <c r="J689">
        <v>9541505.3636363633</v>
      </c>
      <c r="K689">
        <v>63039</v>
      </c>
      <c r="L689">
        <v>2</v>
      </c>
      <c r="M689">
        <v>169</v>
      </c>
      <c r="N689">
        <v>0.94977749523204069</v>
      </c>
      <c r="O689">
        <v>13151120.818181818</v>
      </c>
      <c r="P689">
        <v>63752</v>
      </c>
      <c r="Q689">
        <v>2</v>
      </c>
      <c r="R689">
        <v>170</v>
      </c>
      <c r="S689">
        <v>11.254830603933801</v>
      </c>
      <c r="T689">
        <v>0.91976745128631587</v>
      </c>
    </row>
    <row r="690" spans="1:20" x14ac:dyDescent="0.25">
      <c r="A690" t="s">
        <v>18</v>
      </c>
      <c r="B690">
        <v>9</v>
      </c>
      <c r="C690">
        <v>5</v>
      </c>
      <c r="D690">
        <v>0</v>
      </c>
      <c r="E690" t="s">
        <v>68</v>
      </c>
      <c r="F690">
        <v>39102</v>
      </c>
      <c r="G690">
        <v>37926409.666666664</v>
      </c>
      <c r="H690">
        <v>0.81818181276321411</v>
      </c>
      <c r="I690">
        <v>0.94871794871794868</v>
      </c>
      <c r="J690">
        <v>11205457.833333334</v>
      </c>
      <c r="K690">
        <v>63752</v>
      </c>
      <c r="L690">
        <v>2</v>
      </c>
      <c r="M690">
        <v>170</v>
      </c>
      <c r="N690">
        <v>0.94871794871794868</v>
      </c>
      <c r="O690">
        <v>11440259.666666666</v>
      </c>
      <c r="P690">
        <v>64469</v>
      </c>
      <c r="Q690">
        <v>2</v>
      </c>
      <c r="R690">
        <v>171</v>
      </c>
      <c r="S690">
        <v>11.253139343552437</v>
      </c>
      <c r="T690">
        <v>0.95348834991455078</v>
      </c>
    </row>
    <row r="691" spans="1:20" x14ac:dyDescent="0.25">
      <c r="A691" t="s">
        <v>18</v>
      </c>
      <c r="B691">
        <v>9</v>
      </c>
      <c r="C691">
        <v>5</v>
      </c>
      <c r="D691">
        <v>0</v>
      </c>
      <c r="E691" t="s">
        <v>30</v>
      </c>
      <c r="F691">
        <v>39312</v>
      </c>
      <c r="G691">
        <v>43161114.166666664</v>
      </c>
      <c r="H691">
        <v>0.89743589361508691</v>
      </c>
      <c r="I691">
        <v>0.93123543123543129</v>
      </c>
      <c r="J691">
        <v>12404560.833333334</v>
      </c>
      <c r="K691">
        <v>64469</v>
      </c>
      <c r="L691">
        <v>2</v>
      </c>
      <c r="M691">
        <v>171</v>
      </c>
      <c r="N691">
        <v>0.93123543123543129</v>
      </c>
      <c r="O691">
        <v>11868476</v>
      </c>
      <c r="P691">
        <v>65190</v>
      </c>
      <c r="Q691">
        <v>2</v>
      </c>
      <c r="R691">
        <v>172</v>
      </c>
      <c r="S691">
        <v>11.251969185492946</v>
      </c>
      <c r="T691">
        <v>0.95348836183547969</v>
      </c>
    </row>
    <row r="692" spans="1:20" x14ac:dyDescent="0.25">
      <c r="A692" t="s">
        <v>18</v>
      </c>
      <c r="B692">
        <v>9</v>
      </c>
      <c r="C692">
        <v>5</v>
      </c>
      <c r="D692">
        <v>0</v>
      </c>
      <c r="E692" t="s">
        <v>77</v>
      </c>
      <c r="F692">
        <v>39850</v>
      </c>
      <c r="G692">
        <v>50859297.5625</v>
      </c>
      <c r="H692">
        <v>0.89379369467496872</v>
      </c>
      <c r="I692">
        <v>0.95410839160839156</v>
      </c>
      <c r="J692">
        <v>12977260.75</v>
      </c>
      <c r="K692">
        <v>65190</v>
      </c>
      <c r="L692">
        <v>2</v>
      </c>
      <c r="M692">
        <v>172</v>
      </c>
      <c r="N692">
        <v>0.94667832167832167</v>
      </c>
      <c r="O692">
        <v>12629163.4375</v>
      </c>
      <c r="P692">
        <v>65915</v>
      </c>
      <c r="Q692">
        <v>2</v>
      </c>
      <c r="R692">
        <v>173</v>
      </c>
      <c r="S692">
        <v>11.251102083153254</v>
      </c>
      <c r="T692">
        <v>0.93875968456268311</v>
      </c>
    </row>
    <row r="693" spans="1:20" x14ac:dyDescent="0.25">
      <c r="A693" t="s">
        <v>18</v>
      </c>
      <c r="B693">
        <v>9</v>
      </c>
      <c r="C693">
        <v>5</v>
      </c>
      <c r="D693">
        <v>0</v>
      </c>
      <c r="E693" t="s">
        <v>31</v>
      </c>
      <c r="F693">
        <v>40402</v>
      </c>
      <c r="G693">
        <v>52520796.666666664</v>
      </c>
      <c r="H693">
        <v>0.83100233475367224</v>
      </c>
      <c r="I693">
        <v>0.93006993006993011</v>
      </c>
      <c r="J693">
        <v>12198221</v>
      </c>
      <c r="K693">
        <v>65915</v>
      </c>
      <c r="L693">
        <v>2</v>
      </c>
      <c r="M693">
        <v>173</v>
      </c>
      <c r="N693">
        <v>0.92773892773892774</v>
      </c>
      <c r="O693">
        <v>11749910.5</v>
      </c>
      <c r="P693">
        <v>66644</v>
      </c>
      <c r="Q693">
        <v>2</v>
      </c>
      <c r="R693">
        <v>174</v>
      </c>
      <c r="S693">
        <v>11.250971922246221</v>
      </c>
      <c r="T693">
        <v>0.93255814313888552</v>
      </c>
    </row>
    <row r="694" spans="1:20" x14ac:dyDescent="0.25">
      <c r="A694" t="s">
        <v>18</v>
      </c>
      <c r="B694">
        <v>9</v>
      </c>
      <c r="C694">
        <v>5</v>
      </c>
      <c r="D694">
        <v>0</v>
      </c>
      <c r="E694" t="s">
        <v>45</v>
      </c>
      <c r="F694">
        <v>40672</v>
      </c>
      <c r="G694">
        <v>46374873.363636367</v>
      </c>
      <c r="H694">
        <v>0.89764780347997497</v>
      </c>
      <c r="I694">
        <v>0.93579148124602674</v>
      </c>
      <c r="J694">
        <v>12550209.545454545</v>
      </c>
      <c r="K694">
        <v>66644</v>
      </c>
      <c r="L694">
        <v>2</v>
      </c>
      <c r="M694">
        <v>174</v>
      </c>
      <c r="N694">
        <v>0.93579148124602662</v>
      </c>
      <c r="O694">
        <v>12814229.636363637</v>
      </c>
      <c r="P694">
        <v>67377</v>
      </c>
      <c r="Q694">
        <v>2</v>
      </c>
      <c r="R694">
        <v>175</v>
      </c>
      <c r="S694">
        <v>11.249352667011911</v>
      </c>
      <c r="T694">
        <v>0.95465114712715149</v>
      </c>
    </row>
    <row r="695" spans="1:20" x14ac:dyDescent="0.25">
      <c r="A695" t="s">
        <v>18</v>
      </c>
      <c r="B695">
        <v>9</v>
      </c>
      <c r="C695">
        <v>5</v>
      </c>
      <c r="D695">
        <v>0</v>
      </c>
      <c r="E695" t="s">
        <v>78</v>
      </c>
      <c r="F695">
        <v>41212</v>
      </c>
      <c r="G695">
        <v>42164837.272727273</v>
      </c>
      <c r="H695">
        <v>0.84170374545184046</v>
      </c>
      <c r="I695">
        <v>0.94214876033057848</v>
      </c>
      <c r="J695">
        <v>12626538.545454545</v>
      </c>
      <c r="K695">
        <v>67377</v>
      </c>
      <c r="L695">
        <v>2</v>
      </c>
      <c r="M695">
        <v>175</v>
      </c>
      <c r="N695">
        <v>0.94977749523204069</v>
      </c>
      <c r="O695">
        <v>12158638</v>
      </c>
      <c r="P695">
        <v>68114</v>
      </c>
      <c r="Q695">
        <v>2</v>
      </c>
      <c r="R695">
        <v>176</v>
      </c>
      <c r="S695">
        <v>11.246960420798482</v>
      </c>
      <c r="T695">
        <v>0.9406976640224457</v>
      </c>
    </row>
    <row r="696" spans="1:20" x14ac:dyDescent="0.25">
      <c r="A696" t="s">
        <v>18</v>
      </c>
      <c r="B696">
        <v>9</v>
      </c>
      <c r="C696">
        <v>5</v>
      </c>
      <c r="D696">
        <v>0</v>
      </c>
      <c r="E696" t="s">
        <v>32</v>
      </c>
      <c r="F696">
        <v>41492</v>
      </c>
      <c r="G696">
        <v>46856870.5</v>
      </c>
      <c r="H696">
        <v>0.80419581135114038</v>
      </c>
      <c r="I696">
        <v>0.92540792540792538</v>
      </c>
      <c r="J696">
        <v>11772637</v>
      </c>
      <c r="K696">
        <v>68114</v>
      </c>
      <c r="L696">
        <v>2</v>
      </c>
      <c r="M696">
        <v>176</v>
      </c>
      <c r="N696">
        <v>0.92890442890442892</v>
      </c>
      <c r="O696">
        <v>12959813.666666666</v>
      </c>
      <c r="P696">
        <v>68855</v>
      </c>
      <c r="Q696">
        <v>2</v>
      </c>
      <c r="R696">
        <v>177</v>
      </c>
      <c r="S696">
        <v>11.246229423424976</v>
      </c>
      <c r="T696">
        <v>0.9558139443397522</v>
      </c>
    </row>
    <row r="697" spans="1:20" x14ac:dyDescent="0.25">
      <c r="A697" t="s">
        <v>18</v>
      </c>
      <c r="B697">
        <v>9</v>
      </c>
      <c r="C697">
        <v>5</v>
      </c>
      <c r="D697">
        <v>0</v>
      </c>
      <c r="E697" t="s">
        <v>58</v>
      </c>
      <c r="F697">
        <v>41896</v>
      </c>
      <c r="G697">
        <v>42924343.1875</v>
      </c>
      <c r="H697">
        <v>0.79589160718023777</v>
      </c>
      <c r="I697">
        <v>0.94624125874125875</v>
      </c>
      <c r="J697">
        <v>11845700.8125</v>
      </c>
      <c r="K697">
        <v>68855</v>
      </c>
      <c r="L697">
        <v>2</v>
      </c>
      <c r="M697">
        <v>177</v>
      </c>
      <c r="N697">
        <v>0.94711538461538458</v>
      </c>
      <c r="O697">
        <v>12944694.4375</v>
      </c>
      <c r="P697">
        <v>69600</v>
      </c>
      <c r="Q697">
        <v>2</v>
      </c>
      <c r="R697">
        <v>178</v>
      </c>
      <c r="S697">
        <v>11.242361649023152</v>
      </c>
      <c r="T697">
        <v>0.93023256063461301</v>
      </c>
    </row>
    <row r="698" spans="1:20" x14ac:dyDescent="0.25">
      <c r="A698" t="s">
        <v>18</v>
      </c>
      <c r="B698">
        <v>9</v>
      </c>
      <c r="C698">
        <v>5</v>
      </c>
      <c r="D698">
        <v>0</v>
      </c>
      <c r="E698" t="s">
        <v>33</v>
      </c>
      <c r="F698">
        <v>42582</v>
      </c>
      <c r="G698">
        <v>43047104.833333336</v>
      </c>
      <c r="H698">
        <v>0.8986014028390249</v>
      </c>
      <c r="I698">
        <v>0.95804195804195802</v>
      </c>
      <c r="J698">
        <v>13042810.833333334</v>
      </c>
      <c r="K698">
        <v>69600</v>
      </c>
      <c r="L698">
        <v>2</v>
      </c>
      <c r="M698">
        <v>178</v>
      </c>
      <c r="N698">
        <v>0.9533799533799534</v>
      </c>
      <c r="O698">
        <v>14091487.333333334</v>
      </c>
      <c r="P698">
        <v>70349</v>
      </c>
      <c r="Q698">
        <v>2</v>
      </c>
      <c r="R698">
        <v>179</v>
      </c>
      <c r="S698">
        <v>11.241032258064516</v>
      </c>
      <c r="T698">
        <v>0.93953489065170293</v>
      </c>
    </row>
    <row r="699" spans="1:20" x14ac:dyDescent="0.25">
      <c r="A699" t="s">
        <v>18</v>
      </c>
      <c r="B699">
        <v>9</v>
      </c>
      <c r="C699">
        <v>5</v>
      </c>
      <c r="D699">
        <v>0</v>
      </c>
      <c r="E699" t="s">
        <v>47</v>
      </c>
      <c r="F699">
        <v>42988</v>
      </c>
      <c r="G699">
        <v>50845952.272727273</v>
      </c>
      <c r="H699">
        <v>0.83089637214487244</v>
      </c>
      <c r="I699">
        <v>0.94342021614748883</v>
      </c>
      <c r="J699">
        <v>13210227.727272727</v>
      </c>
      <c r="K699">
        <v>70349</v>
      </c>
      <c r="L699">
        <v>2</v>
      </c>
      <c r="M699">
        <v>179</v>
      </c>
      <c r="N699">
        <v>0.93897012078830266</v>
      </c>
      <c r="O699">
        <v>13722578.909090908</v>
      </c>
      <c r="P699">
        <v>71102</v>
      </c>
      <c r="Q699">
        <v>2</v>
      </c>
      <c r="R699">
        <v>180</v>
      </c>
      <c r="S699">
        <v>11.239687177724305</v>
      </c>
      <c r="T699">
        <v>0.92325583100318909</v>
      </c>
    </row>
    <row r="700" spans="1:20" x14ac:dyDescent="0.25">
      <c r="A700" t="s">
        <v>18</v>
      </c>
      <c r="B700">
        <v>9</v>
      </c>
      <c r="C700">
        <v>5</v>
      </c>
      <c r="D700">
        <v>0</v>
      </c>
      <c r="E700" t="s">
        <v>34</v>
      </c>
      <c r="F700">
        <v>43672</v>
      </c>
      <c r="G700">
        <v>47368423.5</v>
      </c>
      <c r="H700">
        <v>0.82036713138222694</v>
      </c>
      <c r="I700">
        <v>0.94099650349650354</v>
      </c>
      <c r="J700">
        <v>13115666.25</v>
      </c>
      <c r="K700">
        <v>71859</v>
      </c>
      <c r="L700">
        <v>2</v>
      </c>
      <c r="M700">
        <v>181</v>
      </c>
      <c r="N700">
        <v>0.94361888111888115</v>
      </c>
      <c r="O700">
        <v>13621730.625</v>
      </c>
      <c r="P700">
        <v>72620</v>
      </c>
      <c r="Q700">
        <v>2</v>
      </c>
      <c r="R700">
        <v>182</v>
      </c>
      <c r="S700">
        <v>11.236955029179541</v>
      </c>
      <c r="T700">
        <v>0.92713179190953576</v>
      </c>
    </row>
    <row r="701" spans="1:20" x14ac:dyDescent="0.25">
      <c r="A701" t="s">
        <v>18</v>
      </c>
      <c r="B701">
        <v>9</v>
      </c>
      <c r="C701">
        <v>5</v>
      </c>
      <c r="D701">
        <v>0</v>
      </c>
      <c r="E701" t="s">
        <v>48</v>
      </c>
      <c r="F701">
        <v>44146</v>
      </c>
      <c r="G701">
        <v>40900347.18181818</v>
      </c>
      <c r="H701">
        <v>0.86013986305757006</v>
      </c>
      <c r="I701">
        <v>0.93452002542911639</v>
      </c>
      <c r="J701">
        <v>14044827</v>
      </c>
      <c r="K701">
        <v>72620</v>
      </c>
      <c r="L701">
        <v>2</v>
      </c>
      <c r="M701">
        <v>182</v>
      </c>
      <c r="N701">
        <v>0.9351557533375715</v>
      </c>
      <c r="O701">
        <v>14523577.636363637</v>
      </c>
      <c r="P701">
        <v>73385</v>
      </c>
      <c r="Q701">
        <v>2</v>
      </c>
      <c r="R701">
        <v>183</v>
      </c>
      <c r="S701">
        <v>11.233644859813085</v>
      </c>
      <c r="T701">
        <v>0.93372092247009275</v>
      </c>
    </row>
    <row r="702" spans="1:20" x14ac:dyDescent="0.25">
      <c r="A702" t="s">
        <v>18</v>
      </c>
      <c r="B702">
        <v>9</v>
      </c>
      <c r="C702">
        <v>5</v>
      </c>
      <c r="D702">
        <v>0</v>
      </c>
      <c r="E702" t="s">
        <v>35</v>
      </c>
      <c r="F702">
        <v>44762</v>
      </c>
      <c r="G702">
        <v>48167004.4375</v>
      </c>
      <c r="H702">
        <v>0.85402097553014755</v>
      </c>
      <c r="I702">
        <v>0.94230769230769229</v>
      </c>
      <c r="J702">
        <v>13835259.9375</v>
      </c>
      <c r="K702">
        <v>73385</v>
      </c>
      <c r="L702">
        <v>2</v>
      </c>
      <c r="M702">
        <v>183</v>
      </c>
      <c r="N702">
        <v>0.93881118881118886</v>
      </c>
      <c r="O702">
        <v>14916516.125</v>
      </c>
      <c r="P702">
        <v>74154</v>
      </c>
      <c r="Q702">
        <v>2</v>
      </c>
      <c r="R702">
        <v>184</v>
      </c>
      <c r="S702">
        <v>11.230584810343352</v>
      </c>
      <c r="T702">
        <v>0.95813952287038162</v>
      </c>
    </row>
    <row r="703" spans="1:20" x14ac:dyDescent="0.25">
      <c r="A703" t="s">
        <v>18</v>
      </c>
      <c r="B703">
        <v>9</v>
      </c>
      <c r="C703">
        <v>5</v>
      </c>
      <c r="D703">
        <v>0</v>
      </c>
      <c r="E703" t="s">
        <v>49</v>
      </c>
      <c r="F703">
        <v>45304</v>
      </c>
      <c r="G703">
        <v>75924660.833333328</v>
      </c>
      <c r="H703">
        <v>0.9265734155972799</v>
      </c>
      <c r="I703">
        <v>0.95454545454545459</v>
      </c>
      <c r="J703">
        <v>15106884.666666666</v>
      </c>
      <c r="K703">
        <v>74154</v>
      </c>
      <c r="L703">
        <v>2</v>
      </c>
      <c r="M703">
        <v>184</v>
      </c>
      <c r="N703">
        <v>0.9592074592074592</v>
      </c>
      <c r="O703">
        <v>15664149.833333334</v>
      </c>
      <c r="P703">
        <v>74927</v>
      </c>
      <c r="Q703">
        <v>2</v>
      </c>
      <c r="R703">
        <v>185</v>
      </c>
      <c r="S703">
        <v>11.231750106974754</v>
      </c>
      <c r="T703">
        <v>0.9558139443397522</v>
      </c>
    </row>
    <row r="704" spans="1:20" x14ac:dyDescent="0.25">
      <c r="A704" t="s">
        <v>18</v>
      </c>
      <c r="B704">
        <v>9</v>
      </c>
      <c r="C704">
        <v>5</v>
      </c>
      <c r="D704">
        <v>0</v>
      </c>
      <c r="E704" t="s">
        <v>36</v>
      </c>
      <c r="F704">
        <v>45852</v>
      </c>
      <c r="G704">
        <v>57452499.545454547</v>
      </c>
      <c r="H704">
        <v>0.8480610305612738</v>
      </c>
      <c r="I704">
        <v>0.93324856961220592</v>
      </c>
      <c r="J704">
        <v>13598539.363636363</v>
      </c>
      <c r="K704">
        <v>74927</v>
      </c>
      <c r="L704">
        <v>2</v>
      </c>
      <c r="M704">
        <v>185</v>
      </c>
      <c r="N704">
        <v>0.94342021614748883</v>
      </c>
      <c r="O704">
        <v>14936690.090909092</v>
      </c>
      <c r="P704">
        <v>75704</v>
      </c>
      <c r="Q704">
        <v>2</v>
      </c>
      <c r="R704">
        <v>186</v>
      </c>
      <c r="S704">
        <v>11.230848153214774</v>
      </c>
      <c r="T704">
        <v>0.94186046719551086</v>
      </c>
    </row>
    <row r="705" spans="1:20" x14ac:dyDescent="0.25">
      <c r="A705" t="s">
        <v>18</v>
      </c>
      <c r="B705">
        <v>9</v>
      </c>
      <c r="C705">
        <v>5</v>
      </c>
      <c r="D705">
        <v>0</v>
      </c>
      <c r="E705" t="s">
        <v>50</v>
      </c>
      <c r="F705">
        <v>46462</v>
      </c>
      <c r="G705">
        <v>44009485.875</v>
      </c>
      <c r="H705">
        <v>0.84396853111684322</v>
      </c>
      <c r="I705">
        <v>0.92963286713286708</v>
      </c>
      <c r="J705">
        <v>14631259.75</v>
      </c>
      <c r="K705">
        <v>75704</v>
      </c>
      <c r="L705">
        <v>2</v>
      </c>
      <c r="M705">
        <v>186</v>
      </c>
      <c r="N705">
        <v>0.93924825174825177</v>
      </c>
      <c r="O705">
        <v>14402328.75</v>
      </c>
      <c r="P705">
        <v>76485</v>
      </c>
      <c r="Q705">
        <v>2</v>
      </c>
      <c r="R705">
        <v>187</v>
      </c>
      <c r="S705">
        <v>11.226349043715848</v>
      </c>
      <c r="T705">
        <v>0.94573642412821457</v>
      </c>
    </row>
    <row r="706" spans="1:20" x14ac:dyDescent="0.25">
      <c r="A706" t="s">
        <v>18</v>
      </c>
      <c r="B706">
        <v>9</v>
      </c>
      <c r="C706">
        <v>5</v>
      </c>
      <c r="D706">
        <v>0</v>
      </c>
      <c r="E706" t="s">
        <v>37</v>
      </c>
      <c r="F706">
        <v>46942</v>
      </c>
      <c r="G706">
        <v>51971646.5</v>
      </c>
      <c r="H706">
        <v>0.91142189502716064</v>
      </c>
      <c r="I706">
        <v>0.94988344988344986</v>
      </c>
      <c r="J706">
        <v>14039401.166666666</v>
      </c>
      <c r="K706">
        <v>76485</v>
      </c>
      <c r="L706">
        <v>2</v>
      </c>
      <c r="M706">
        <v>187</v>
      </c>
      <c r="N706">
        <v>0.94638694638694643</v>
      </c>
      <c r="O706">
        <v>15411239.5</v>
      </c>
      <c r="P706">
        <v>77270</v>
      </c>
      <c r="Q706">
        <v>2</v>
      </c>
      <c r="R706">
        <v>188</v>
      </c>
      <c r="S706">
        <v>11.225294418842806</v>
      </c>
      <c r="T706">
        <v>0.94186047315597532</v>
      </c>
    </row>
    <row r="707" spans="1:20" x14ac:dyDescent="0.25">
      <c r="A707" t="s">
        <v>18</v>
      </c>
      <c r="B707">
        <v>9</v>
      </c>
      <c r="C707">
        <v>5</v>
      </c>
      <c r="D707">
        <v>0</v>
      </c>
      <c r="E707" t="s">
        <v>51</v>
      </c>
      <c r="F707">
        <v>47620</v>
      </c>
      <c r="G707">
        <v>50914669.571428575</v>
      </c>
      <c r="H707">
        <v>0.84648684092930382</v>
      </c>
      <c r="I707">
        <v>0.93040293040293043</v>
      </c>
      <c r="J707">
        <v>14826485.619047619</v>
      </c>
      <c r="K707">
        <v>78059</v>
      </c>
      <c r="L707">
        <v>2</v>
      </c>
      <c r="M707">
        <v>189</v>
      </c>
      <c r="N707">
        <v>0.93040293040293043</v>
      </c>
      <c r="O707">
        <v>15046215.095238095</v>
      </c>
      <c r="P707">
        <v>78852</v>
      </c>
      <c r="Q707">
        <v>2</v>
      </c>
      <c r="R707">
        <v>190</v>
      </c>
      <c r="S707">
        <v>11.221909873072663</v>
      </c>
      <c r="T707">
        <v>0.94418603479862218</v>
      </c>
    </row>
    <row r="708" spans="1:20" x14ac:dyDescent="0.25">
      <c r="A708" t="s">
        <v>18</v>
      </c>
      <c r="B708">
        <v>9</v>
      </c>
      <c r="C708">
        <v>5</v>
      </c>
      <c r="D708">
        <v>0</v>
      </c>
      <c r="E708" t="s">
        <v>38</v>
      </c>
      <c r="F708">
        <v>48032</v>
      </c>
      <c r="G708">
        <v>69953673.333333328</v>
      </c>
      <c r="H708">
        <v>0.90093241135279334</v>
      </c>
      <c r="I708">
        <v>0.94871794871794868</v>
      </c>
      <c r="J708">
        <v>16086600</v>
      </c>
      <c r="K708">
        <v>78852</v>
      </c>
      <c r="L708">
        <v>2</v>
      </c>
      <c r="M708">
        <v>190</v>
      </c>
      <c r="N708">
        <v>0.9475524475524475</v>
      </c>
      <c r="O708">
        <v>15693095.833333334</v>
      </c>
      <c r="P708">
        <v>79649</v>
      </c>
      <c r="Q708">
        <v>2</v>
      </c>
      <c r="R708">
        <v>191</v>
      </c>
      <c r="S708">
        <v>11.2223073648361</v>
      </c>
      <c r="T708">
        <v>0.94883719682693479</v>
      </c>
    </row>
    <row r="709" spans="1:20" x14ac:dyDescent="0.25">
      <c r="A709" t="s">
        <v>18</v>
      </c>
      <c r="B709">
        <v>9</v>
      </c>
      <c r="C709">
        <v>5</v>
      </c>
      <c r="D709">
        <v>0</v>
      </c>
      <c r="E709" t="s">
        <v>52</v>
      </c>
      <c r="F709">
        <v>48778</v>
      </c>
      <c r="G709">
        <v>53832407.952380955</v>
      </c>
      <c r="H709">
        <v>0.82550782816750667</v>
      </c>
      <c r="I709">
        <v>0.93040293040293043</v>
      </c>
      <c r="J709">
        <v>15827446.142857144</v>
      </c>
      <c r="K709">
        <v>79649</v>
      </c>
      <c r="L709">
        <v>2</v>
      </c>
      <c r="M709">
        <v>191</v>
      </c>
      <c r="N709">
        <v>0.92474192474192474</v>
      </c>
      <c r="O709">
        <v>15428587.428571429</v>
      </c>
      <c r="P709">
        <v>80450</v>
      </c>
      <c r="Q709">
        <v>2</v>
      </c>
      <c r="R709">
        <v>192</v>
      </c>
      <c r="S709">
        <v>11.219105898351181</v>
      </c>
      <c r="T709">
        <v>0.94127905964851377</v>
      </c>
    </row>
    <row r="710" spans="1:20" x14ac:dyDescent="0.25">
      <c r="A710" t="s">
        <v>18</v>
      </c>
      <c r="B710">
        <v>9</v>
      </c>
      <c r="C710">
        <v>5</v>
      </c>
      <c r="D710">
        <v>0</v>
      </c>
      <c r="E710" t="s">
        <v>61</v>
      </c>
      <c r="F710">
        <v>49252</v>
      </c>
      <c r="G710">
        <v>47349111.833333336</v>
      </c>
      <c r="H710">
        <v>0.89976689219474792</v>
      </c>
      <c r="I710">
        <v>0.94522144522144524</v>
      </c>
      <c r="J710">
        <v>16006058.666666666</v>
      </c>
      <c r="K710">
        <v>80450</v>
      </c>
      <c r="L710">
        <v>2</v>
      </c>
      <c r="M710">
        <v>192</v>
      </c>
      <c r="N710">
        <v>0.9533799533799534</v>
      </c>
      <c r="O710">
        <v>15524990</v>
      </c>
      <c r="P710">
        <v>81255</v>
      </c>
      <c r="Q710">
        <v>2</v>
      </c>
      <c r="R710">
        <v>193</v>
      </c>
      <c r="S710">
        <v>11.217550118926265</v>
      </c>
      <c r="T710">
        <v>0.94186046123504641</v>
      </c>
    </row>
    <row r="711" spans="1:20" x14ac:dyDescent="0.25">
      <c r="A711" t="s">
        <v>18</v>
      </c>
      <c r="B711">
        <v>9</v>
      </c>
      <c r="C711">
        <v>5</v>
      </c>
      <c r="D711">
        <v>0</v>
      </c>
      <c r="E711" t="s">
        <v>70</v>
      </c>
      <c r="F711">
        <v>49454</v>
      </c>
      <c r="G711">
        <v>49979370</v>
      </c>
      <c r="H711">
        <v>0.84965034325917566</v>
      </c>
      <c r="I711">
        <v>0.92773892773892774</v>
      </c>
      <c r="J711">
        <v>15709874.666666666</v>
      </c>
      <c r="K711">
        <v>81255</v>
      </c>
      <c r="L711">
        <v>2</v>
      </c>
      <c r="M711">
        <v>193</v>
      </c>
      <c r="N711">
        <v>0.92307692307692313</v>
      </c>
      <c r="O711">
        <v>14361425</v>
      </c>
      <c r="P711">
        <v>82064</v>
      </c>
      <c r="Q711">
        <v>2</v>
      </c>
      <c r="R711">
        <v>194</v>
      </c>
      <c r="S711">
        <v>11.216335540838852</v>
      </c>
      <c r="T711">
        <v>0.965116274356842</v>
      </c>
    </row>
    <row r="712" spans="1:20" x14ac:dyDescent="0.25">
      <c r="A712" t="s">
        <v>18</v>
      </c>
      <c r="B712">
        <v>9</v>
      </c>
      <c r="C712">
        <v>5</v>
      </c>
      <c r="D712">
        <v>0</v>
      </c>
      <c r="E712" t="s">
        <v>53</v>
      </c>
      <c r="F712">
        <v>49936</v>
      </c>
      <c r="G712">
        <v>45826109.272727273</v>
      </c>
      <c r="H712">
        <v>0.80928163094954053</v>
      </c>
      <c r="I712">
        <v>0.93324856961220604</v>
      </c>
      <c r="J712">
        <v>15295517.909090908</v>
      </c>
      <c r="K712">
        <v>82064</v>
      </c>
      <c r="L712">
        <v>2</v>
      </c>
      <c r="M712">
        <v>194</v>
      </c>
      <c r="N712">
        <v>0.93388429752066116</v>
      </c>
      <c r="O712">
        <v>16077799.909090908</v>
      </c>
      <c r="P712">
        <v>82877</v>
      </c>
      <c r="Q712">
        <v>2</v>
      </c>
      <c r="R712">
        <v>195</v>
      </c>
      <c r="S712">
        <v>11.213334464331156</v>
      </c>
      <c r="T712">
        <v>0.9453488290309906</v>
      </c>
    </row>
    <row r="713" spans="1:20" x14ac:dyDescent="0.25">
      <c r="A713" t="s">
        <v>18</v>
      </c>
      <c r="B713">
        <v>9</v>
      </c>
      <c r="C713">
        <v>5</v>
      </c>
      <c r="D713">
        <v>0</v>
      </c>
      <c r="E713" t="s">
        <v>62</v>
      </c>
      <c r="F713">
        <v>50478</v>
      </c>
      <c r="G713">
        <v>51466443.833333336</v>
      </c>
      <c r="H713">
        <v>0.90909091631571448</v>
      </c>
      <c r="I713">
        <v>0.94988344988344986</v>
      </c>
      <c r="J713">
        <v>16288962</v>
      </c>
      <c r="K713">
        <v>82877</v>
      </c>
      <c r="L713">
        <v>2</v>
      </c>
      <c r="M713">
        <v>195</v>
      </c>
      <c r="N713">
        <v>0.95454545454545459</v>
      </c>
      <c r="O713">
        <v>17016304</v>
      </c>
      <c r="P713">
        <v>83694</v>
      </c>
      <c r="Q713">
        <v>2</v>
      </c>
      <c r="R713">
        <v>196</v>
      </c>
      <c r="S713">
        <v>11.212038999576091</v>
      </c>
      <c r="T713">
        <v>0.95348834991455078</v>
      </c>
    </row>
    <row r="714" spans="1:20" x14ac:dyDescent="0.25">
      <c r="A714" t="s">
        <v>18</v>
      </c>
      <c r="B714">
        <v>9</v>
      </c>
      <c r="C714">
        <v>5</v>
      </c>
      <c r="D714">
        <v>0</v>
      </c>
      <c r="E714" t="s">
        <v>54</v>
      </c>
      <c r="F714">
        <v>51094</v>
      </c>
      <c r="G714">
        <v>50525216.625</v>
      </c>
      <c r="H714">
        <v>0.84265735000371933</v>
      </c>
      <c r="I714">
        <v>0.9274475524475525</v>
      </c>
      <c r="J714">
        <v>15985969.875</v>
      </c>
      <c r="K714">
        <v>83694</v>
      </c>
      <c r="L714">
        <v>2</v>
      </c>
      <c r="M714">
        <v>196</v>
      </c>
      <c r="N714">
        <v>0.92963286713286719</v>
      </c>
      <c r="O714">
        <v>16595216.25</v>
      </c>
      <c r="P714">
        <v>84515</v>
      </c>
      <c r="Q714">
        <v>2</v>
      </c>
      <c r="R714">
        <v>197</v>
      </c>
      <c r="S714">
        <v>11.208280416560832</v>
      </c>
      <c r="T714">
        <v>0.95348835388819375</v>
      </c>
    </row>
    <row r="715" spans="1:20" x14ac:dyDescent="0.25">
      <c r="A715" t="s">
        <v>18</v>
      </c>
      <c r="B715">
        <v>9</v>
      </c>
      <c r="C715">
        <v>5</v>
      </c>
      <c r="D715">
        <v>0</v>
      </c>
      <c r="E715" t="s">
        <v>63</v>
      </c>
      <c r="F715">
        <v>51704</v>
      </c>
      <c r="G715">
        <v>63251529.5</v>
      </c>
      <c r="H715">
        <v>0.90909091631571448</v>
      </c>
      <c r="I715">
        <v>0.94405594405594406</v>
      </c>
      <c r="J715">
        <v>15893139.5</v>
      </c>
      <c r="K715">
        <v>84515</v>
      </c>
      <c r="L715">
        <v>2</v>
      </c>
      <c r="M715">
        <v>197</v>
      </c>
      <c r="N715">
        <v>0.9475524475524475</v>
      </c>
      <c r="O715">
        <v>16234950</v>
      </c>
      <c r="P715">
        <v>85340</v>
      </c>
      <c r="Q715">
        <v>2</v>
      </c>
      <c r="R715">
        <v>198</v>
      </c>
      <c r="S715">
        <v>11.207751544385207</v>
      </c>
      <c r="T715">
        <v>0.9511627793312073</v>
      </c>
    </row>
    <row r="716" spans="1:20" x14ac:dyDescent="0.25">
      <c r="A716" t="s">
        <v>18</v>
      </c>
      <c r="B716">
        <v>9</v>
      </c>
      <c r="C716">
        <v>5</v>
      </c>
      <c r="D716">
        <v>0</v>
      </c>
      <c r="E716" t="s">
        <v>71</v>
      </c>
      <c r="F716">
        <v>52042</v>
      </c>
      <c r="G716">
        <v>49856824.166666664</v>
      </c>
      <c r="H716">
        <v>0.82400931914647424</v>
      </c>
      <c r="I716">
        <v>0.92307692307692313</v>
      </c>
      <c r="J716">
        <v>15908894.333333334</v>
      </c>
      <c r="K716">
        <v>85340</v>
      </c>
      <c r="L716">
        <v>2</v>
      </c>
      <c r="M716">
        <v>198</v>
      </c>
      <c r="N716">
        <v>0.92890442890442892</v>
      </c>
      <c r="O716">
        <v>17116941</v>
      </c>
      <c r="P716">
        <v>86169</v>
      </c>
      <c r="Q716">
        <v>2</v>
      </c>
      <c r="R716">
        <v>199</v>
      </c>
      <c r="S716">
        <v>11.206208238179819</v>
      </c>
      <c r="T716">
        <v>0.93720929622650151</v>
      </c>
    </row>
    <row r="717" spans="1:20" x14ac:dyDescent="0.25">
      <c r="A717" t="s">
        <v>18</v>
      </c>
      <c r="B717">
        <v>9</v>
      </c>
      <c r="C717">
        <v>5</v>
      </c>
      <c r="D717">
        <v>0</v>
      </c>
      <c r="E717" t="s">
        <v>64</v>
      </c>
      <c r="F717">
        <v>52930</v>
      </c>
      <c r="G717">
        <v>52115282.272727273</v>
      </c>
      <c r="H717">
        <v>0.85060393810272217</v>
      </c>
      <c r="I717">
        <v>0.91862682771773685</v>
      </c>
      <c r="J717">
        <v>16638937.272727273</v>
      </c>
      <c r="K717">
        <v>87002</v>
      </c>
      <c r="L717">
        <v>2</v>
      </c>
      <c r="M717">
        <v>200</v>
      </c>
      <c r="N717">
        <v>0.92307692307692313</v>
      </c>
      <c r="O717">
        <v>16926570.727272727</v>
      </c>
      <c r="P717">
        <v>87839</v>
      </c>
      <c r="Q717">
        <v>2</v>
      </c>
      <c r="R717">
        <v>201</v>
      </c>
      <c r="S717">
        <v>11.203735000845024</v>
      </c>
      <c r="T717">
        <v>0.94999998807907104</v>
      </c>
    </row>
    <row r="718" spans="1:20" x14ac:dyDescent="0.25">
      <c r="A718" t="s">
        <v>18</v>
      </c>
      <c r="B718">
        <v>9</v>
      </c>
      <c r="C718">
        <v>5</v>
      </c>
      <c r="D718">
        <v>0</v>
      </c>
      <c r="E718" t="s">
        <v>87</v>
      </c>
      <c r="F718">
        <v>53470</v>
      </c>
      <c r="G718">
        <v>60275580.636363633</v>
      </c>
      <c r="H718">
        <v>0.87794023752212524</v>
      </c>
      <c r="I718">
        <v>0.92434837889383348</v>
      </c>
      <c r="J718">
        <v>16124341.818181818</v>
      </c>
      <c r="K718">
        <v>87839</v>
      </c>
      <c r="L718">
        <v>2</v>
      </c>
      <c r="M718">
        <v>201</v>
      </c>
      <c r="N718">
        <v>0.92180546726001278</v>
      </c>
      <c r="O718">
        <v>16668789.181818182</v>
      </c>
      <c r="P718">
        <v>88680</v>
      </c>
      <c r="Q718">
        <v>2</v>
      </c>
      <c r="R718">
        <v>202</v>
      </c>
      <c r="S718">
        <v>11.202448290417898</v>
      </c>
      <c r="T718">
        <v>0.95348834991455078</v>
      </c>
    </row>
    <row r="719" spans="1:20" x14ac:dyDescent="0.25">
      <c r="A719" t="s">
        <v>18</v>
      </c>
      <c r="B719">
        <v>9</v>
      </c>
      <c r="C719">
        <v>5</v>
      </c>
      <c r="D719">
        <v>0</v>
      </c>
      <c r="E719" t="s">
        <v>65</v>
      </c>
      <c r="F719">
        <v>54156</v>
      </c>
      <c r="G719">
        <v>42971782.5</v>
      </c>
      <c r="H719">
        <v>0.83333332339922583</v>
      </c>
      <c r="I719">
        <v>0.92890442890442892</v>
      </c>
      <c r="J719">
        <v>17423889.666666668</v>
      </c>
      <c r="K719">
        <v>88680</v>
      </c>
      <c r="L719">
        <v>2</v>
      </c>
      <c r="M719">
        <v>202</v>
      </c>
      <c r="N719">
        <v>0.93006993006993011</v>
      </c>
      <c r="O719">
        <v>15324554</v>
      </c>
      <c r="P719">
        <v>89525</v>
      </c>
      <c r="Q719">
        <v>2</v>
      </c>
      <c r="R719">
        <v>203</v>
      </c>
      <c r="S719">
        <v>11.200320648046578</v>
      </c>
      <c r="T719">
        <v>0.9558139443397522</v>
      </c>
    </row>
    <row r="720" spans="1:20" x14ac:dyDescent="0.25">
      <c r="A720" t="s">
        <v>18</v>
      </c>
      <c r="B720">
        <v>9</v>
      </c>
      <c r="C720">
        <v>5</v>
      </c>
      <c r="D720">
        <v>0</v>
      </c>
      <c r="E720" t="s">
        <v>73</v>
      </c>
      <c r="F720">
        <v>54630</v>
      </c>
      <c r="G720">
        <v>54574373.833333336</v>
      </c>
      <c r="H720">
        <v>0.84032632907231652</v>
      </c>
      <c r="I720">
        <v>0.92657342657342667</v>
      </c>
      <c r="J720">
        <v>16549204.833333334</v>
      </c>
      <c r="K720">
        <v>89525</v>
      </c>
      <c r="L720">
        <v>2</v>
      </c>
      <c r="M720">
        <v>203</v>
      </c>
      <c r="N720">
        <v>0.92074592074592077</v>
      </c>
      <c r="O720">
        <v>16449214.333333334</v>
      </c>
      <c r="P720">
        <v>90374</v>
      </c>
      <c r="Q720">
        <v>2</v>
      </c>
      <c r="R720">
        <v>204</v>
      </c>
      <c r="S720">
        <v>11.199122880998566</v>
      </c>
      <c r="T720">
        <v>0.9558139443397522</v>
      </c>
    </row>
    <row r="721" spans="1:20" x14ac:dyDescent="0.25">
      <c r="A721" t="s">
        <v>18</v>
      </c>
      <c r="B721">
        <v>9</v>
      </c>
      <c r="C721">
        <v>5</v>
      </c>
      <c r="D721">
        <v>0</v>
      </c>
      <c r="E721" t="s">
        <v>74</v>
      </c>
      <c r="F721">
        <v>55924</v>
      </c>
      <c r="G721">
        <v>61039923.272727273</v>
      </c>
      <c r="H721">
        <v>0.81373172998428345</v>
      </c>
      <c r="I721">
        <v>0.92561983471074383</v>
      </c>
      <c r="J721">
        <v>15881558.090909092</v>
      </c>
      <c r="K721">
        <v>91227</v>
      </c>
      <c r="L721">
        <v>2</v>
      </c>
      <c r="M721">
        <v>205</v>
      </c>
      <c r="N721">
        <v>0.92752701843610941</v>
      </c>
      <c r="O721">
        <v>16823550.545454547</v>
      </c>
      <c r="P721">
        <v>92084</v>
      </c>
      <c r="Q721">
        <v>2</v>
      </c>
      <c r="R721">
        <v>206</v>
      </c>
      <c r="S721">
        <v>11.197590158409168</v>
      </c>
      <c r="T721">
        <v>0.93255813717842106</v>
      </c>
    </row>
    <row r="722" spans="1:20" x14ac:dyDescent="0.25">
      <c r="A722" t="s">
        <v>18</v>
      </c>
      <c r="B722">
        <v>9</v>
      </c>
      <c r="C722">
        <v>5</v>
      </c>
      <c r="D722">
        <v>0</v>
      </c>
      <c r="E722" t="s">
        <v>89</v>
      </c>
      <c r="F722">
        <v>56194</v>
      </c>
      <c r="G722">
        <v>53028214.833333336</v>
      </c>
      <c r="H722">
        <v>0.76806526382764184</v>
      </c>
      <c r="I722">
        <v>0.92424242424242431</v>
      </c>
      <c r="J722">
        <v>16980063.333333332</v>
      </c>
      <c r="K722">
        <v>92084</v>
      </c>
      <c r="L722">
        <v>2</v>
      </c>
      <c r="M722">
        <v>206</v>
      </c>
      <c r="N722">
        <v>0.93006993006993011</v>
      </c>
      <c r="O722">
        <v>16472706.166666666</v>
      </c>
      <c r="P722">
        <v>92945</v>
      </c>
      <c r="Q722">
        <v>2</v>
      </c>
      <c r="R722">
        <v>207</v>
      </c>
      <c r="S722">
        <v>11.196058615462356</v>
      </c>
      <c r="T722">
        <v>0.9465116143226624</v>
      </c>
    </row>
    <row r="723" spans="1:20" x14ac:dyDescent="0.25">
      <c r="A723" t="s">
        <v>18</v>
      </c>
      <c r="B723">
        <v>9</v>
      </c>
      <c r="C723">
        <v>5</v>
      </c>
      <c r="D723">
        <v>0</v>
      </c>
      <c r="E723" t="s">
        <v>75</v>
      </c>
      <c r="F723">
        <v>57218</v>
      </c>
      <c r="G723">
        <v>51788997.5</v>
      </c>
      <c r="H723">
        <v>0.82400932908058167</v>
      </c>
      <c r="I723">
        <v>0.92540792540792549</v>
      </c>
      <c r="J723">
        <v>17635153.666666668</v>
      </c>
      <c r="K723">
        <v>93810</v>
      </c>
      <c r="L723">
        <v>2</v>
      </c>
      <c r="M723">
        <v>208</v>
      </c>
      <c r="N723">
        <v>0.93006993006993011</v>
      </c>
      <c r="O723">
        <v>15938498.666666666</v>
      </c>
      <c r="P723">
        <v>94679</v>
      </c>
      <c r="Q723">
        <v>2</v>
      </c>
      <c r="R723">
        <v>209</v>
      </c>
      <c r="S723">
        <v>11.194528619528619</v>
      </c>
      <c r="T723">
        <v>0.9441860437393188</v>
      </c>
    </row>
    <row r="724" spans="1:20" x14ac:dyDescent="0.25">
      <c r="A724" t="s">
        <v>18</v>
      </c>
      <c r="B724">
        <v>9</v>
      </c>
      <c r="C724">
        <v>5</v>
      </c>
      <c r="D724">
        <v>0</v>
      </c>
      <c r="E724" t="s">
        <v>90</v>
      </c>
      <c r="F724">
        <v>57556</v>
      </c>
      <c r="G724">
        <v>61966500.166666664</v>
      </c>
      <c r="H724">
        <v>0.82634033759435022</v>
      </c>
      <c r="I724">
        <v>0.92773892773892774</v>
      </c>
      <c r="J724">
        <v>15953771.166666666</v>
      </c>
      <c r="K724">
        <v>94679</v>
      </c>
      <c r="L724">
        <v>2</v>
      </c>
      <c r="M724">
        <v>209</v>
      </c>
      <c r="N724">
        <v>0.92890442890442892</v>
      </c>
      <c r="O724">
        <v>16064192.166666666</v>
      </c>
      <c r="P724">
        <v>95552</v>
      </c>
      <c r="Q724">
        <v>2</v>
      </c>
      <c r="R724">
        <v>210</v>
      </c>
      <c r="S724">
        <v>11.193504963822985</v>
      </c>
      <c r="T724">
        <v>0.94883720874786381</v>
      </c>
    </row>
    <row r="725" spans="1:20" x14ac:dyDescent="0.25">
      <c r="A725" t="s">
        <v>18</v>
      </c>
      <c r="B725">
        <v>9</v>
      </c>
      <c r="C725">
        <v>5</v>
      </c>
      <c r="D725">
        <v>0</v>
      </c>
      <c r="E725" t="s">
        <v>91</v>
      </c>
      <c r="F725">
        <v>58918</v>
      </c>
      <c r="G725">
        <v>58954845</v>
      </c>
      <c r="H725">
        <v>0.83100233475367224</v>
      </c>
      <c r="I725">
        <v>0.92307692307692313</v>
      </c>
      <c r="J725">
        <v>16183139.666666666</v>
      </c>
      <c r="K725">
        <v>96429</v>
      </c>
      <c r="L725">
        <v>2</v>
      </c>
      <c r="M725">
        <v>211</v>
      </c>
      <c r="N725">
        <v>0.92773892773892774</v>
      </c>
      <c r="O725">
        <v>16054864.166666666</v>
      </c>
      <c r="P725">
        <v>97310</v>
      </c>
      <c r="Q725">
        <v>2</v>
      </c>
      <c r="R725">
        <v>212</v>
      </c>
      <c r="S725">
        <v>11.192145980491086</v>
      </c>
      <c r="T725">
        <v>0.94651162624359131</v>
      </c>
    </row>
    <row r="726" spans="1:20" x14ac:dyDescent="0.25">
      <c r="A726" t="s">
        <v>18</v>
      </c>
      <c r="B726">
        <v>9</v>
      </c>
      <c r="C726">
        <v>5</v>
      </c>
      <c r="D726">
        <v>0</v>
      </c>
      <c r="E726" t="s">
        <v>92</v>
      </c>
      <c r="F726">
        <v>60280</v>
      </c>
      <c r="G726">
        <v>64531420.166666664</v>
      </c>
      <c r="H726">
        <v>0.79137528936068213</v>
      </c>
      <c r="I726">
        <v>0.92657342657342656</v>
      </c>
      <c r="J726">
        <v>16989851.666666668</v>
      </c>
      <c r="K726">
        <v>99084</v>
      </c>
      <c r="L726">
        <v>2</v>
      </c>
      <c r="M726">
        <v>214</v>
      </c>
      <c r="N726">
        <v>0.92424242424242431</v>
      </c>
      <c r="O726">
        <v>17470777.166666668</v>
      </c>
      <c r="P726">
        <v>99977</v>
      </c>
      <c r="Q726">
        <v>2</v>
      </c>
      <c r="R726">
        <v>215</v>
      </c>
      <c r="S726">
        <v>11.191376701966718</v>
      </c>
      <c r="T726">
        <v>0.94883719682693479</v>
      </c>
    </row>
    <row r="727" spans="1:20" x14ac:dyDescent="0.25">
      <c r="A727" t="s">
        <v>18</v>
      </c>
      <c r="B727">
        <v>9</v>
      </c>
      <c r="C727">
        <v>5</v>
      </c>
      <c r="D727">
        <v>0</v>
      </c>
      <c r="E727" t="s">
        <v>105</v>
      </c>
      <c r="F727">
        <v>11992</v>
      </c>
      <c r="G727">
        <v>48843444.5</v>
      </c>
      <c r="H727">
        <v>0.79953379432360328</v>
      </c>
      <c r="I727">
        <v>0.91491841491841486</v>
      </c>
      <c r="J727">
        <v>15235120</v>
      </c>
      <c r="K727">
        <v>19352</v>
      </c>
      <c r="L727">
        <v>2</v>
      </c>
      <c r="M727">
        <v>90</v>
      </c>
      <c r="N727">
        <v>0.92540792540792549</v>
      </c>
      <c r="O727">
        <v>15498180.666666666</v>
      </c>
      <c r="P727">
        <v>19749</v>
      </c>
      <c r="Q727">
        <v>2</v>
      </c>
      <c r="R727">
        <v>91</v>
      </c>
      <c r="S727">
        <v>11.18976814516129</v>
      </c>
      <c r="T727">
        <v>0.94883719682693479</v>
      </c>
    </row>
    <row r="728" spans="1:20" x14ac:dyDescent="0.25">
      <c r="A728" t="s">
        <v>18</v>
      </c>
      <c r="B728">
        <v>9</v>
      </c>
      <c r="C728">
        <v>5</v>
      </c>
      <c r="D728">
        <v>0</v>
      </c>
      <c r="E728" t="s">
        <v>19</v>
      </c>
      <c r="F728">
        <v>13082</v>
      </c>
      <c r="G728">
        <v>17210350.5</v>
      </c>
      <c r="H728">
        <v>0.94755243261655175</v>
      </c>
      <c r="I728">
        <v>0.93939393939393945</v>
      </c>
      <c r="J728">
        <v>8493977.5</v>
      </c>
      <c r="K728">
        <v>21377</v>
      </c>
      <c r="L728">
        <v>2</v>
      </c>
      <c r="M728">
        <v>95</v>
      </c>
      <c r="N728">
        <v>0.94405594405594406</v>
      </c>
      <c r="O728">
        <v>9106248</v>
      </c>
      <c r="P728">
        <v>21794</v>
      </c>
      <c r="Q728">
        <v>2</v>
      </c>
      <c r="R728">
        <v>96</v>
      </c>
      <c r="S728">
        <v>11.188748950461797</v>
      </c>
      <c r="T728">
        <v>0.9581395268440247</v>
      </c>
    </row>
    <row r="729" spans="1:20" x14ac:dyDescent="0.25">
      <c r="A729" t="s">
        <v>18</v>
      </c>
      <c r="B729">
        <v>9</v>
      </c>
      <c r="C729">
        <v>5</v>
      </c>
      <c r="D729">
        <v>0</v>
      </c>
      <c r="E729" t="s">
        <v>20</v>
      </c>
      <c r="F729">
        <v>14172</v>
      </c>
      <c r="G729">
        <v>20248959.833333332</v>
      </c>
      <c r="H729">
        <v>0.9172494113445282</v>
      </c>
      <c r="I729">
        <v>0.95454545454545459</v>
      </c>
      <c r="J729">
        <v>10081546.5</v>
      </c>
      <c r="K729">
        <v>23069</v>
      </c>
      <c r="L729">
        <v>2</v>
      </c>
      <c r="M729">
        <v>99</v>
      </c>
      <c r="N729">
        <v>0.9533799533799534</v>
      </c>
      <c r="O729">
        <v>6805937.166666667</v>
      </c>
      <c r="P729">
        <v>23502</v>
      </c>
      <c r="Q729">
        <v>2</v>
      </c>
      <c r="R729">
        <v>100</v>
      </c>
      <c r="S729">
        <v>11.188234306814367</v>
      </c>
      <c r="T729">
        <v>0.94186046123504641</v>
      </c>
    </row>
    <row r="730" spans="1:20" x14ac:dyDescent="0.25">
      <c r="A730" t="s">
        <v>106</v>
      </c>
      <c r="B730">
        <v>3</v>
      </c>
      <c r="C730">
        <v>2</v>
      </c>
      <c r="D730">
        <v>0</v>
      </c>
      <c r="E730" t="s">
        <v>123</v>
      </c>
      <c r="F730">
        <v>28474</v>
      </c>
      <c r="G730">
        <v>26206504</v>
      </c>
      <c r="H730">
        <v>0.89304583271344506</v>
      </c>
      <c r="I730">
        <v>0.94941465941465941</v>
      </c>
      <c r="J730">
        <v>10752626.5</v>
      </c>
      <c r="K730">
        <v>45629</v>
      </c>
      <c r="L730">
        <v>2</v>
      </c>
      <c r="M730">
        <v>133</v>
      </c>
      <c r="N730">
        <v>0.95100492100492096</v>
      </c>
      <c r="O730">
        <v>8394033.5</v>
      </c>
      <c r="P730">
        <v>46240</v>
      </c>
      <c r="Q730">
        <v>2</v>
      </c>
      <c r="R730">
        <v>134</v>
      </c>
      <c r="S730">
        <v>11.187887938265392</v>
      </c>
      <c r="T730">
        <v>0.93350560665130611</v>
      </c>
    </row>
    <row r="731" spans="1:20" x14ac:dyDescent="0.25">
      <c r="A731" t="s">
        <v>106</v>
      </c>
      <c r="B731">
        <v>3</v>
      </c>
      <c r="C731">
        <v>2</v>
      </c>
      <c r="D731">
        <v>0</v>
      </c>
      <c r="E731" t="s">
        <v>124</v>
      </c>
      <c r="F731">
        <v>29660</v>
      </c>
      <c r="G731">
        <v>51374350.875</v>
      </c>
      <c r="H731">
        <v>0.96444443613290787</v>
      </c>
      <c r="I731">
        <v>0.96680555555555558</v>
      </c>
      <c r="J731">
        <v>15454231.3125</v>
      </c>
      <c r="K731">
        <v>48097</v>
      </c>
      <c r="L731">
        <v>2</v>
      </c>
      <c r="M731">
        <v>137</v>
      </c>
      <c r="N731">
        <v>0.96680555555555547</v>
      </c>
      <c r="O731">
        <v>15617645.5</v>
      </c>
      <c r="P731">
        <v>48724</v>
      </c>
      <c r="Q731">
        <v>2</v>
      </c>
      <c r="R731">
        <v>138</v>
      </c>
      <c r="S731">
        <v>11.185374434578657</v>
      </c>
      <c r="T731">
        <v>0.96938271522521968</v>
      </c>
    </row>
    <row r="732" spans="1:20" x14ac:dyDescent="0.25">
      <c r="A732" t="s">
        <v>106</v>
      </c>
      <c r="B732">
        <v>3</v>
      </c>
      <c r="C732">
        <v>2</v>
      </c>
      <c r="D732">
        <v>0</v>
      </c>
      <c r="E732" t="s">
        <v>125</v>
      </c>
      <c r="F732">
        <v>30846</v>
      </c>
      <c r="G732">
        <v>53811566.9375</v>
      </c>
      <c r="H732">
        <v>0.96916666626930237</v>
      </c>
      <c r="I732">
        <v>0.96791666666666665</v>
      </c>
      <c r="J732">
        <v>14226941.5625</v>
      </c>
      <c r="K732">
        <v>49990</v>
      </c>
      <c r="L732">
        <v>2</v>
      </c>
      <c r="M732">
        <v>140</v>
      </c>
      <c r="N732">
        <v>0.96763888888888894</v>
      </c>
      <c r="O732">
        <v>15251444.5625</v>
      </c>
      <c r="P732">
        <v>50629</v>
      </c>
      <c r="Q732">
        <v>2</v>
      </c>
      <c r="R732">
        <v>141</v>
      </c>
      <c r="S732">
        <v>11.182784005353856</v>
      </c>
      <c r="T732">
        <v>0.96790122985839844</v>
      </c>
    </row>
    <row r="733" spans="1:20" x14ac:dyDescent="0.25">
      <c r="A733" t="s">
        <v>106</v>
      </c>
      <c r="B733">
        <v>3</v>
      </c>
      <c r="C733">
        <v>2</v>
      </c>
      <c r="D733">
        <v>0</v>
      </c>
      <c r="E733" t="s">
        <v>126</v>
      </c>
      <c r="F733">
        <v>32032</v>
      </c>
      <c r="G733">
        <v>54714018.5</v>
      </c>
      <c r="H733">
        <v>0.96680555492639542</v>
      </c>
      <c r="I733">
        <v>0.96861111111111109</v>
      </c>
      <c r="J733">
        <v>15252424.3125</v>
      </c>
      <c r="K733">
        <v>51919</v>
      </c>
      <c r="L733">
        <v>2</v>
      </c>
      <c r="M733">
        <v>143</v>
      </c>
      <c r="N733">
        <v>0.97041666666666671</v>
      </c>
      <c r="O733">
        <v>15220188.9375</v>
      </c>
      <c r="P733">
        <v>52570</v>
      </c>
      <c r="Q733">
        <v>2</v>
      </c>
      <c r="R733">
        <v>144</v>
      </c>
      <c r="S733">
        <v>11.180701754385964</v>
      </c>
      <c r="T733">
        <v>0.9669135689735413</v>
      </c>
    </row>
    <row r="734" spans="1:20" x14ac:dyDescent="0.25">
      <c r="A734" t="s">
        <v>106</v>
      </c>
      <c r="B734">
        <v>3</v>
      </c>
      <c r="C734">
        <v>2</v>
      </c>
      <c r="D734">
        <v>0</v>
      </c>
      <c r="E734" t="s">
        <v>127</v>
      </c>
      <c r="F734">
        <v>33218</v>
      </c>
      <c r="G734">
        <v>59575707.25</v>
      </c>
      <c r="H734">
        <v>0.96388888359069824</v>
      </c>
      <c r="I734">
        <v>0.96819444444444447</v>
      </c>
      <c r="J734">
        <v>15112178.8125</v>
      </c>
      <c r="K734">
        <v>53884</v>
      </c>
      <c r="L734">
        <v>2</v>
      </c>
      <c r="M734">
        <v>146</v>
      </c>
      <c r="N734">
        <v>0.96930555555555564</v>
      </c>
      <c r="O734">
        <v>15267688.1875</v>
      </c>
      <c r="P734">
        <v>54547</v>
      </c>
      <c r="Q734">
        <v>2</v>
      </c>
      <c r="R734">
        <v>147</v>
      </c>
      <c r="S734">
        <v>11.178541631903888</v>
      </c>
      <c r="T734">
        <v>0.96395061016082761</v>
      </c>
    </row>
    <row r="735" spans="1:20" x14ac:dyDescent="0.25">
      <c r="A735" t="s">
        <v>106</v>
      </c>
      <c r="B735">
        <v>3</v>
      </c>
      <c r="C735">
        <v>2</v>
      </c>
      <c r="D735">
        <v>0</v>
      </c>
      <c r="E735" t="s">
        <v>128</v>
      </c>
      <c r="F735">
        <v>34404</v>
      </c>
      <c r="G735">
        <v>61149569.5625</v>
      </c>
      <c r="H735">
        <v>0.96958333626389503</v>
      </c>
      <c r="I735">
        <v>0.96847222222222229</v>
      </c>
      <c r="J735">
        <v>14641600.3125</v>
      </c>
      <c r="K735">
        <v>55214</v>
      </c>
      <c r="L735">
        <v>2</v>
      </c>
      <c r="M735">
        <v>148</v>
      </c>
      <c r="N735">
        <v>0.9654166666666667</v>
      </c>
      <c r="O735">
        <v>15724011.0625</v>
      </c>
      <c r="P735">
        <v>55885</v>
      </c>
      <c r="Q735">
        <v>2</v>
      </c>
      <c r="R735">
        <v>149</v>
      </c>
      <c r="S735">
        <v>11.176470588235293</v>
      </c>
      <c r="T735">
        <v>0.96691357692082724</v>
      </c>
    </row>
    <row r="736" spans="1:20" x14ac:dyDescent="0.25">
      <c r="A736" t="s">
        <v>106</v>
      </c>
      <c r="B736">
        <v>3</v>
      </c>
      <c r="C736">
        <v>2</v>
      </c>
      <c r="D736">
        <v>0</v>
      </c>
      <c r="E736" t="s">
        <v>129</v>
      </c>
      <c r="F736">
        <v>35590</v>
      </c>
      <c r="G736">
        <v>61706615.3125</v>
      </c>
      <c r="H736">
        <v>0.96861110627651215</v>
      </c>
      <c r="I736">
        <v>0.96680555555555558</v>
      </c>
      <c r="J736">
        <v>16338843.25</v>
      </c>
      <c r="K736">
        <v>57239</v>
      </c>
      <c r="L736">
        <v>2</v>
      </c>
      <c r="M736">
        <v>151</v>
      </c>
      <c r="N736">
        <v>0.96555555555555561</v>
      </c>
      <c r="O736">
        <v>15626292.4375</v>
      </c>
      <c r="P736">
        <v>57922</v>
      </c>
      <c r="Q736">
        <v>2</v>
      </c>
      <c r="R736">
        <v>152</v>
      </c>
      <c r="S736">
        <v>11.174155433516392</v>
      </c>
      <c r="T736">
        <v>0.9706172863642375</v>
      </c>
    </row>
    <row r="737" spans="1:20" x14ac:dyDescent="0.25">
      <c r="A737" t="s">
        <v>106</v>
      </c>
      <c r="B737">
        <v>3</v>
      </c>
      <c r="C737">
        <v>2</v>
      </c>
      <c r="D737">
        <v>0</v>
      </c>
      <c r="E737" t="s">
        <v>130</v>
      </c>
      <c r="F737">
        <v>36776</v>
      </c>
      <c r="G737">
        <v>62958527.0625</v>
      </c>
      <c r="H737">
        <v>0.97138888388872147</v>
      </c>
      <c r="I737">
        <v>0.96597222222222223</v>
      </c>
      <c r="J737">
        <v>15813764.875</v>
      </c>
      <c r="K737">
        <v>59300</v>
      </c>
      <c r="L737">
        <v>2</v>
      </c>
      <c r="M737">
        <v>154</v>
      </c>
      <c r="N737">
        <v>0.97055555555555562</v>
      </c>
      <c r="O737">
        <v>14548294.4375</v>
      </c>
      <c r="P737">
        <v>59995</v>
      </c>
      <c r="Q737">
        <v>2</v>
      </c>
      <c r="R737">
        <v>155</v>
      </c>
      <c r="S737">
        <v>11.171846435100548</v>
      </c>
      <c r="T737">
        <v>0.96419751644134521</v>
      </c>
    </row>
    <row r="738" spans="1:20" x14ac:dyDescent="0.25">
      <c r="A738" t="s">
        <v>106</v>
      </c>
      <c r="B738">
        <v>3</v>
      </c>
      <c r="C738">
        <v>2</v>
      </c>
      <c r="D738">
        <v>0</v>
      </c>
      <c r="E738" t="s">
        <v>131</v>
      </c>
      <c r="F738">
        <v>37962</v>
      </c>
      <c r="G738">
        <v>62184775.25</v>
      </c>
      <c r="H738">
        <v>0.97194444015622139</v>
      </c>
      <c r="I738">
        <v>0.96722222222222221</v>
      </c>
      <c r="J738">
        <v>15575446.3125</v>
      </c>
      <c r="K738">
        <v>61397</v>
      </c>
      <c r="L738">
        <v>2</v>
      </c>
      <c r="M738">
        <v>157</v>
      </c>
      <c r="N738">
        <v>0.96777777777777774</v>
      </c>
      <c r="O738">
        <v>16654972.125</v>
      </c>
      <c r="P738">
        <v>62104</v>
      </c>
      <c r="Q738">
        <v>2</v>
      </c>
      <c r="R738">
        <v>158</v>
      </c>
      <c r="S738">
        <v>11.169377593360997</v>
      </c>
      <c r="T738">
        <v>0.96271604299545288</v>
      </c>
    </row>
    <row r="739" spans="1:20" x14ac:dyDescent="0.25">
      <c r="A739" t="s">
        <v>106</v>
      </c>
      <c r="B739">
        <v>3</v>
      </c>
      <c r="C739">
        <v>2</v>
      </c>
      <c r="D739">
        <v>0</v>
      </c>
      <c r="E739" t="s">
        <v>165</v>
      </c>
      <c r="F739">
        <v>39148</v>
      </c>
      <c r="G739">
        <v>71466922.375</v>
      </c>
      <c r="H739">
        <v>0.97152777388691902</v>
      </c>
      <c r="I739">
        <v>0.97055555555555562</v>
      </c>
      <c r="J739">
        <v>16717296.75</v>
      </c>
      <c r="K739">
        <v>63530</v>
      </c>
      <c r="L739">
        <v>2</v>
      </c>
      <c r="M739">
        <v>160</v>
      </c>
      <c r="N739">
        <v>0.96597222222222223</v>
      </c>
      <c r="O739">
        <v>16016103.5625</v>
      </c>
      <c r="P739">
        <v>64249</v>
      </c>
      <c r="Q739">
        <v>2</v>
      </c>
      <c r="R739">
        <v>161</v>
      </c>
      <c r="S739">
        <v>11.167661196751201</v>
      </c>
      <c r="T739">
        <v>0.9676543156305949</v>
      </c>
    </row>
    <row r="740" spans="1:20" x14ac:dyDescent="0.25">
      <c r="A740" t="s">
        <v>106</v>
      </c>
      <c r="B740">
        <v>3</v>
      </c>
      <c r="C740">
        <v>2</v>
      </c>
      <c r="D740">
        <v>0</v>
      </c>
      <c r="E740" t="s">
        <v>192</v>
      </c>
      <c r="F740">
        <v>40334</v>
      </c>
      <c r="G740">
        <v>68348397.3125</v>
      </c>
      <c r="H740">
        <v>0.96972221881151199</v>
      </c>
      <c r="I740">
        <v>0.96833333333333338</v>
      </c>
      <c r="J740">
        <v>16517850.625</v>
      </c>
      <c r="K740">
        <v>64972</v>
      </c>
      <c r="L740">
        <v>2</v>
      </c>
      <c r="M740">
        <v>162</v>
      </c>
      <c r="N740">
        <v>0.96680555555555558</v>
      </c>
      <c r="O740">
        <v>15946913.875</v>
      </c>
      <c r="P740">
        <v>65699</v>
      </c>
      <c r="Q740">
        <v>2</v>
      </c>
      <c r="R740">
        <v>163</v>
      </c>
      <c r="S740">
        <v>11.164956133090548</v>
      </c>
      <c r="T740">
        <v>0.96666667064030964</v>
      </c>
    </row>
    <row r="741" spans="1:20" x14ac:dyDescent="0.25">
      <c r="A741" t="s">
        <v>106</v>
      </c>
      <c r="B741">
        <v>3</v>
      </c>
      <c r="C741">
        <v>2</v>
      </c>
      <c r="D741">
        <v>0</v>
      </c>
      <c r="E741" t="s">
        <v>210</v>
      </c>
      <c r="F741">
        <v>41520</v>
      </c>
      <c r="G741">
        <v>70804928.0625</v>
      </c>
      <c r="H741">
        <v>0.9652777761220932</v>
      </c>
      <c r="I741">
        <v>0.96652777777777776</v>
      </c>
      <c r="J741">
        <v>16931027.875</v>
      </c>
      <c r="K741">
        <v>67165</v>
      </c>
      <c r="L741">
        <v>2</v>
      </c>
      <c r="M741">
        <v>165</v>
      </c>
      <c r="N741">
        <v>0.96638888888888885</v>
      </c>
      <c r="O741">
        <v>16553214.75</v>
      </c>
      <c r="P741">
        <v>67904</v>
      </c>
      <c r="Q741">
        <v>2</v>
      </c>
      <c r="R741">
        <v>166</v>
      </c>
      <c r="S741">
        <v>11.163250123987435</v>
      </c>
      <c r="T741">
        <v>0.96864197254180906</v>
      </c>
    </row>
    <row r="742" spans="1:20" x14ac:dyDescent="0.25">
      <c r="A742" t="s">
        <v>106</v>
      </c>
      <c r="B742">
        <v>3</v>
      </c>
      <c r="C742">
        <v>2</v>
      </c>
      <c r="D742">
        <v>0</v>
      </c>
      <c r="E742" t="s">
        <v>225</v>
      </c>
      <c r="F742">
        <v>42706</v>
      </c>
      <c r="G742">
        <v>68584463.5</v>
      </c>
      <c r="H742">
        <v>0.96486110985279083</v>
      </c>
      <c r="I742">
        <v>0.96638888888888885</v>
      </c>
      <c r="J742">
        <v>16644241.125</v>
      </c>
      <c r="K742">
        <v>68647</v>
      </c>
      <c r="L742">
        <v>2</v>
      </c>
      <c r="M742">
        <v>167</v>
      </c>
      <c r="N742">
        <v>0.96902777777777771</v>
      </c>
      <c r="O742">
        <v>17629796.75</v>
      </c>
      <c r="P742">
        <v>69394</v>
      </c>
      <c r="Q742">
        <v>2</v>
      </c>
      <c r="R742">
        <v>168</v>
      </c>
      <c r="S742">
        <v>11.160723130262506</v>
      </c>
      <c r="T742">
        <v>0.9676543156305949</v>
      </c>
    </row>
    <row r="743" spans="1:20" x14ac:dyDescent="0.25">
      <c r="A743" t="s">
        <v>106</v>
      </c>
      <c r="B743">
        <v>3</v>
      </c>
      <c r="C743">
        <v>2</v>
      </c>
      <c r="D743">
        <v>0</v>
      </c>
      <c r="E743" t="s">
        <v>241</v>
      </c>
      <c r="F743">
        <v>43892</v>
      </c>
      <c r="G743">
        <v>71649662.625</v>
      </c>
      <c r="H743">
        <v>0.96847221627831459</v>
      </c>
      <c r="I743">
        <v>0.96513888888888888</v>
      </c>
      <c r="J743">
        <v>16764131.6875</v>
      </c>
      <c r="K743">
        <v>70900</v>
      </c>
      <c r="L743">
        <v>2</v>
      </c>
      <c r="M743">
        <v>170</v>
      </c>
      <c r="N743">
        <v>0.96680555555555558</v>
      </c>
      <c r="O743">
        <v>16712459</v>
      </c>
      <c r="P743">
        <v>71659</v>
      </c>
      <c r="Q743">
        <v>2</v>
      </c>
      <c r="R743">
        <v>171</v>
      </c>
      <c r="S743">
        <v>11.158367683429514</v>
      </c>
      <c r="T743">
        <v>0.96222220261891678</v>
      </c>
    </row>
    <row r="744" spans="1:20" x14ac:dyDescent="0.25">
      <c r="A744" t="s">
        <v>106</v>
      </c>
      <c r="B744">
        <v>3</v>
      </c>
      <c r="C744">
        <v>2</v>
      </c>
      <c r="D744">
        <v>0</v>
      </c>
      <c r="E744" t="s">
        <v>242</v>
      </c>
      <c r="F744">
        <v>45078</v>
      </c>
      <c r="G744">
        <v>77051157.5</v>
      </c>
      <c r="H744">
        <v>0.9722222201526165</v>
      </c>
      <c r="I744">
        <v>0.96583333333333332</v>
      </c>
      <c r="J744">
        <v>17601565.625</v>
      </c>
      <c r="K744">
        <v>73189</v>
      </c>
      <c r="L744">
        <v>2</v>
      </c>
      <c r="M744">
        <v>173</v>
      </c>
      <c r="N744">
        <v>0.96847222222222229</v>
      </c>
      <c r="O744">
        <v>16541917.75</v>
      </c>
      <c r="P744">
        <v>73960</v>
      </c>
      <c r="Q744">
        <v>2</v>
      </c>
      <c r="R744">
        <v>174</v>
      </c>
      <c r="S744">
        <v>11.1558537790219</v>
      </c>
      <c r="T744">
        <v>0.9688888867696126</v>
      </c>
    </row>
    <row r="745" spans="1:20" x14ac:dyDescent="0.25">
      <c r="A745" t="s">
        <v>106</v>
      </c>
      <c r="B745">
        <v>3</v>
      </c>
      <c r="C745">
        <v>2</v>
      </c>
      <c r="D745">
        <v>0</v>
      </c>
      <c r="E745" t="s">
        <v>243</v>
      </c>
      <c r="F745">
        <v>46264</v>
      </c>
      <c r="G745">
        <v>77173566.8125</v>
      </c>
      <c r="H745">
        <v>0.96611110121011734</v>
      </c>
      <c r="I745">
        <v>0.96666666666666667</v>
      </c>
      <c r="J745">
        <v>16834337.3125</v>
      </c>
      <c r="K745">
        <v>74735</v>
      </c>
      <c r="L745">
        <v>2</v>
      </c>
      <c r="M745">
        <v>175</v>
      </c>
      <c r="N745">
        <v>0.96680555555555558</v>
      </c>
      <c r="O745">
        <v>18754988.125</v>
      </c>
      <c r="P745">
        <v>75514</v>
      </c>
      <c r="Q745">
        <v>2</v>
      </c>
      <c r="R745">
        <v>176</v>
      </c>
      <c r="S745">
        <v>11.153593159019898</v>
      </c>
      <c r="T745">
        <v>0.97358024915059405</v>
      </c>
    </row>
    <row r="746" spans="1:20" x14ac:dyDescent="0.25">
      <c r="A746" t="s">
        <v>106</v>
      </c>
      <c r="B746">
        <v>3</v>
      </c>
      <c r="C746">
        <v>2</v>
      </c>
      <c r="D746">
        <v>0</v>
      </c>
      <c r="E746" t="s">
        <v>244</v>
      </c>
      <c r="F746">
        <v>47450</v>
      </c>
      <c r="G746">
        <v>79604365.125</v>
      </c>
      <c r="H746">
        <v>0.96986111253499985</v>
      </c>
      <c r="I746">
        <v>0.96597222222222223</v>
      </c>
      <c r="J746">
        <v>17669047.6875</v>
      </c>
      <c r="K746">
        <v>76297</v>
      </c>
      <c r="L746">
        <v>2</v>
      </c>
      <c r="M746">
        <v>177</v>
      </c>
      <c r="N746">
        <v>0.96833333333333327</v>
      </c>
      <c r="O746">
        <v>17479398.4375</v>
      </c>
      <c r="P746">
        <v>77084</v>
      </c>
      <c r="Q746">
        <v>2</v>
      </c>
      <c r="R746">
        <v>178</v>
      </c>
      <c r="S746">
        <v>11.151502709804566</v>
      </c>
      <c r="T746">
        <v>0.97111111481984458</v>
      </c>
    </row>
    <row r="747" spans="1:20" x14ac:dyDescent="0.25">
      <c r="A747" t="s">
        <v>106</v>
      </c>
      <c r="B747">
        <v>3</v>
      </c>
      <c r="C747">
        <v>2</v>
      </c>
      <c r="D747">
        <v>0</v>
      </c>
      <c r="E747" t="s">
        <v>245</v>
      </c>
      <c r="F747">
        <v>48636</v>
      </c>
      <c r="G747">
        <v>87640147.875</v>
      </c>
      <c r="H747">
        <v>0.96944444626569748</v>
      </c>
      <c r="I747">
        <v>0.96458333333333335</v>
      </c>
      <c r="J747">
        <v>18495777</v>
      </c>
      <c r="K747">
        <v>78670</v>
      </c>
      <c r="L747">
        <v>2</v>
      </c>
      <c r="M747">
        <v>180</v>
      </c>
      <c r="N747">
        <v>0.96652777777777776</v>
      </c>
      <c r="O747">
        <v>16871737.4375</v>
      </c>
      <c r="P747">
        <v>79469</v>
      </c>
      <c r="Q747">
        <v>2</v>
      </c>
      <c r="R747">
        <v>181</v>
      </c>
      <c r="S747">
        <v>11.150155814334919</v>
      </c>
      <c r="T747">
        <v>0.96987654368082687</v>
      </c>
    </row>
    <row r="748" spans="1:20" x14ac:dyDescent="0.25">
      <c r="A748" t="s">
        <v>106</v>
      </c>
      <c r="B748">
        <v>3</v>
      </c>
      <c r="C748">
        <v>2</v>
      </c>
      <c r="D748">
        <v>0</v>
      </c>
      <c r="E748" t="s">
        <v>246</v>
      </c>
      <c r="F748">
        <v>49822</v>
      </c>
      <c r="G748">
        <v>86660320</v>
      </c>
      <c r="H748">
        <v>0.96847221627831459</v>
      </c>
      <c r="I748">
        <v>0.96291666666666664</v>
      </c>
      <c r="J748">
        <v>18650960.3125</v>
      </c>
      <c r="K748">
        <v>80272</v>
      </c>
      <c r="L748">
        <v>2</v>
      </c>
      <c r="M748">
        <v>182</v>
      </c>
      <c r="N748">
        <v>0.96416666666666662</v>
      </c>
      <c r="O748">
        <v>19082058.875</v>
      </c>
      <c r="P748">
        <v>81079</v>
      </c>
      <c r="Q748">
        <v>2</v>
      </c>
      <c r="R748">
        <v>183</v>
      </c>
      <c r="S748">
        <v>11.147911547911548</v>
      </c>
      <c r="T748">
        <v>0.96592593590418496</v>
      </c>
    </row>
    <row r="749" spans="1:20" x14ac:dyDescent="0.25">
      <c r="A749" t="s">
        <v>106</v>
      </c>
      <c r="B749">
        <v>3</v>
      </c>
      <c r="C749">
        <v>2</v>
      </c>
      <c r="D749">
        <v>0</v>
      </c>
      <c r="E749" t="s">
        <v>247</v>
      </c>
      <c r="F749">
        <v>51008</v>
      </c>
      <c r="G749">
        <v>90320120</v>
      </c>
      <c r="H749">
        <v>0.96571428009441918</v>
      </c>
      <c r="I749">
        <v>0.96809523809523812</v>
      </c>
      <c r="J749">
        <v>18962534.5</v>
      </c>
      <c r="K749">
        <v>82705</v>
      </c>
      <c r="L749">
        <v>2</v>
      </c>
      <c r="M749">
        <v>185</v>
      </c>
      <c r="N749">
        <v>0.96571428571428575</v>
      </c>
      <c r="O749">
        <v>19519732.928571429</v>
      </c>
      <c r="P749">
        <v>83524</v>
      </c>
      <c r="Q749">
        <v>2</v>
      </c>
      <c r="R749">
        <v>186</v>
      </c>
      <c r="S749">
        <v>11.145615183246074</v>
      </c>
      <c r="T749">
        <v>0.96837605879856992</v>
      </c>
    </row>
    <row r="750" spans="1:20" x14ac:dyDescent="0.25">
      <c r="A750" t="s">
        <v>106</v>
      </c>
      <c r="B750">
        <v>3</v>
      </c>
      <c r="C750">
        <v>2</v>
      </c>
      <c r="D750">
        <v>0</v>
      </c>
      <c r="E750" t="s">
        <v>248</v>
      </c>
      <c r="F750">
        <v>52194</v>
      </c>
      <c r="G750">
        <v>100226010.27272727</v>
      </c>
      <c r="H750">
        <v>0.96505049683830957</v>
      </c>
      <c r="I750">
        <v>0.96666666666666667</v>
      </c>
      <c r="J750">
        <v>19919031.363636363</v>
      </c>
      <c r="K750">
        <v>84347</v>
      </c>
      <c r="L750">
        <v>2</v>
      </c>
      <c r="M750">
        <v>187</v>
      </c>
      <c r="N750">
        <v>0.96363636363636362</v>
      </c>
      <c r="O750">
        <v>19349327.181818184</v>
      </c>
      <c r="P750">
        <v>85174</v>
      </c>
      <c r="Q750">
        <v>2</v>
      </c>
      <c r="R750">
        <v>188</v>
      </c>
      <c r="S750">
        <v>11.144912137310993</v>
      </c>
      <c r="T750">
        <v>0.98148148655891421</v>
      </c>
    </row>
    <row r="751" spans="1:20" x14ac:dyDescent="0.25">
      <c r="A751" t="s">
        <v>106</v>
      </c>
      <c r="B751">
        <v>3</v>
      </c>
      <c r="C751">
        <v>2</v>
      </c>
      <c r="D751">
        <v>0</v>
      </c>
      <c r="E751" t="s">
        <v>249</v>
      </c>
      <c r="F751">
        <v>53380</v>
      </c>
      <c r="G751">
        <v>91078312.727272734</v>
      </c>
      <c r="H751">
        <v>0.96969696066596289</v>
      </c>
      <c r="I751">
        <v>0.96404040404040403</v>
      </c>
      <c r="J751">
        <v>19712632.818181816</v>
      </c>
      <c r="K751">
        <v>86005</v>
      </c>
      <c r="L751">
        <v>2</v>
      </c>
      <c r="M751">
        <v>189</v>
      </c>
      <c r="N751">
        <v>0.96424242424242423</v>
      </c>
      <c r="O751">
        <v>20256334.636363637</v>
      </c>
      <c r="P751">
        <v>86840</v>
      </c>
      <c r="Q751">
        <v>2</v>
      </c>
      <c r="R751">
        <v>190</v>
      </c>
      <c r="S751">
        <v>11.14363873918014</v>
      </c>
      <c r="T751">
        <v>0.97703703641891482</v>
      </c>
    </row>
    <row r="752" spans="1:20" x14ac:dyDescent="0.25">
      <c r="A752" t="s">
        <v>106</v>
      </c>
      <c r="B752">
        <v>3</v>
      </c>
      <c r="C752">
        <v>2</v>
      </c>
      <c r="D752">
        <v>0</v>
      </c>
      <c r="E752" t="s">
        <v>250</v>
      </c>
      <c r="F752">
        <v>54566</v>
      </c>
      <c r="G752">
        <v>89667013.454545453</v>
      </c>
      <c r="H752">
        <v>0.96888888965953479</v>
      </c>
      <c r="I752">
        <v>0.97070707070707074</v>
      </c>
      <c r="J752">
        <v>20453584.90909091</v>
      </c>
      <c r="K752">
        <v>88522</v>
      </c>
      <c r="L752">
        <v>2</v>
      </c>
      <c r="M752">
        <v>192</v>
      </c>
      <c r="N752">
        <v>0.96929292929292932</v>
      </c>
      <c r="O752">
        <v>17967981.181818184</v>
      </c>
      <c r="P752">
        <v>89369</v>
      </c>
      <c r="Q752">
        <v>2</v>
      </c>
      <c r="R752">
        <v>193</v>
      </c>
      <c r="S752">
        <v>11.141714938402545</v>
      </c>
      <c r="T752">
        <v>0.97592592239379883</v>
      </c>
    </row>
    <row r="753" spans="1:20" x14ac:dyDescent="0.25">
      <c r="A753" t="s">
        <v>106</v>
      </c>
      <c r="B753">
        <v>3</v>
      </c>
      <c r="C753">
        <v>2</v>
      </c>
      <c r="D753">
        <v>0</v>
      </c>
      <c r="E753" t="s">
        <v>251</v>
      </c>
      <c r="F753">
        <v>55752</v>
      </c>
      <c r="G753">
        <v>88520418.454545453</v>
      </c>
      <c r="H753">
        <v>0.9664646495472301</v>
      </c>
      <c r="I753">
        <v>0.96909090909090911</v>
      </c>
      <c r="J753">
        <v>18821615.454545453</v>
      </c>
      <c r="K753">
        <v>90220</v>
      </c>
      <c r="L753">
        <v>2</v>
      </c>
      <c r="M753">
        <v>194</v>
      </c>
      <c r="N753">
        <v>0.96727272727272728</v>
      </c>
      <c r="O753">
        <v>16582035.272727273</v>
      </c>
      <c r="P753">
        <v>91075</v>
      </c>
      <c r="Q753">
        <v>2</v>
      </c>
      <c r="R753">
        <v>195</v>
      </c>
      <c r="S753">
        <v>11.139876100423868</v>
      </c>
      <c r="T753">
        <v>0.97814814448356624</v>
      </c>
    </row>
    <row r="754" spans="1:20" x14ac:dyDescent="0.25">
      <c r="A754" t="s">
        <v>106</v>
      </c>
      <c r="B754">
        <v>3</v>
      </c>
      <c r="C754">
        <v>2</v>
      </c>
      <c r="D754">
        <v>0</v>
      </c>
      <c r="E754" t="s">
        <v>252</v>
      </c>
      <c r="F754">
        <v>56938</v>
      </c>
      <c r="G754">
        <v>88104320.181818187</v>
      </c>
      <c r="H754">
        <v>0.96949494968761096</v>
      </c>
      <c r="I754">
        <v>0.96444444444444444</v>
      </c>
      <c r="J754">
        <v>20436812.90909091</v>
      </c>
      <c r="K754">
        <v>91934</v>
      </c>
      <c r="L754">
        <v>2</v>
      </c>
      <c r="M754">
        <v>196</v>
      </c>
      <c r="N754">
        <v>0.96404040404040403</v>
      </c>
      <c r="O754">
        <v>20372351.363636363</v>
      </c>
      <c r="P754">
        <v>92797</v>
      </c>
      <c r="Q754">
        <v>2</v>
      </c>
      <c r="R754">
        <v>197</v>
      </c>
      <c r="S754">
        <v>11.137959117191954</v>
      </c>
      <c r="T754">
        <v>0.97703703641891482</v>
      </c>
    </row>
    <row r="755" spans="1:20" x14ac:dyDescent="0.25">
      <c r="A755" t="s">
        <v>106</v>
      </c>
      <c r="B755">
        <v>3</v>
      </c>
      <c r="C755">
        <v>2</v>
      </c>
      <c r="D755">
        <v>0</v>
      </c>
      <c r="E755" t="s">
        <v>253</v>
      </c>
      <c r="F755">
        <v>58124</v>
      </c>
      <c r="G755">
        <v>108862796.54545455</v>
      </c>
      <c r="H755">
        <v>0.96707069873809814</v>
      </c>
      <c r="I755">
        <v>0.9624242424242424</v>
      </c>
      <c r="J755">
        <v>20482737.454545453</v>
      </c>
      <c r="K755">
        <v>93664</v>
      </c>
      <c r="L755">
        <v>2</v>
      </c>
      <c r="M755">
        <v>198</v>
      </c>
      <c r="N755">
        <v>0.96606060606060606</v>
      </c>
      <c r="O755">
        <v>21683303.818181816</v>
      </c>
      <c r="P755">
        <v>94535</v>
      </c>
      <c r="Q755">
        <v>2</v>
      </c>
      <c r="R755">
        <v>199</v>
      </c>
      <c r="S755">
        <v>11.136615134255493</v>
      </c>
      <c r="T755">
        <v>0.97592592239379883</v>
      </c>
    </row>
    <row r="756" spans="1:20" x14ac:dyDescent="0.25">
      <c r="A756" t="s">
        <v>106</v>
      </c>
      <c r="B756">
        <v>3</v>
      </c>
      <c r="C756">
        <v>2</v>
      </c>
      <c r="D756">
        <v>0</v>
      </c>
      <c r="E756" t="s">
        <v>107</v>
      </c>
      <c r="F756">
        <v>59310</v>
      </c>
      <c r="G756">
        <v>106974639.5</v>
      </c>
      <c r="H756">
        <v>0.96481480201085412</v>
      </c>
      <c r="I756">
        <v>0.96111111111111103</v>
      </c>
      <c r="J756">
        <v>22606521</v>
      </c>
      <c r="K756">
        <v>96289</v>
      </c>
      <c r="L756">
        <v>2</v>
      </c>
      <c r="M756">
        <v>201</v>
      </c>
      <c r="N756">
        <v>0.97111111111111104</v>
      </c>
      <c r="O756">
        <v>22798299.333333332</v>
      </c>
      <c r="P756">
        <v>97172</v>
      </c>
      <c r="Q756">
        <v>2</v>
      </c>
      <c r="R756">
        <v>202</v>
      </c>
      <c r="S756">
        <v>11.135491216655822</v>
      </c>
      <c r="T756">
        <v>0.97777777910232544</v>
      </c>
    </row>
    <row r="757" spans="1:20" x14ac:dyDescent="0.25">
      <c r="A757" t="s">
        <v>106</v>
      </c>
      <c r="B757">
        <v>3</v>
      </c>
      <c r="C757">
        <v>2</v>
      </c>
      <c r="D757">
        <v>0</v>
      </c>
      <c r="E757" t="s">
        <v>108</v>
      </c>
      <c r="F757">
        <v>60496</v>
      </c>
      <c r="G757">
        <v>108357191</v>
      </c>
      <c r="H757">
        <v>0.96925925215085351</v>
      </c>
      <c r="I757">
        <v>0.9655555555555555</v>
      </c>
      <c r="J757">
        <v>23023472.666666668</v>
      </c>
      <c r="K757">
        <v>98059</v>
      </c>
      <c r="L757">
        <v>2</v>
      </c>
      <c r="M757">
        <v>203</v>
      </c>
      <c r="N757">
        <v>0.96407407407407408</v>
      </c>
      <c r="O757">
        <v>25200339</v>
      </c>
      <c r="P757">
        <v>98950</v>
      </c>
      <c r="Q757">
        <v>2</v>
      </c>
      <c r="R757">
        <v>204</v>
      </c>
      <c r="S757">
        <v>11.134612258169403</v>
      </c>
      <c r="T757">
        <v>0.97111109495162962</v>
      </c>
    </row>
    <row r="758" spans="1:20" x14ac:dyDescent="0.25">
      <c r="A758" t="s">
        <v>106</v>
      </c>
      <c r="B758">
        <v>3</v>
      </c>
      <c r="C758">
        <v>2</v>
      </c>
      <c r="D758">
        <v>0</v>
      </c>
      <c r="E758" t="s">
        <v>109</v>
      </c>
      <c r="F758">
        <v>61682</v>
      </c>
      <c r="G758">
        <v>111285680.16666667</v>
      </c>
      <c r="H758">
        <v>0.97555555899937951</v>
      </c>
      <c r="I758">
        <v>0.96925925925925926</v>
      </c>
      <c r="J758">
        <v>22861904</v>
      </c>
      <c r="K758">
        <v>99845</v>
      </c>
      <c r="L758">
        <v>2</v>
      </c>
      <c r="M758">
        <v>205</v>
      </c>
      <c r="N758">
        <v>0.96777777777777785</v>
      </c>
      <c r="O758">
        <v>22919294.166666668</v>
      </c>
      <c r="P758">
        <v>100744</v>
      </c>
      <c r="Q758">
        <v>2</v>
      </c>
      <c r="R758">
        <v>206</v>
      </c>
      <c r="S758">
        <v>11.133571660708482</v>
      </c>
      <c r="T758">
        <v>0.97333332300186159</v>
      </c>
    </row>
    <row r="759" spans="1:20" x14ac:dyDescent="0.25">
      <c r="A759" t="s">
        <v>106</v>
      </c>
      <c r="B759">
        <v>3</v>
      </c>
      <c r="C759">
        <v>2</v>
      </c>
      <c r="D759">
        <v>0</v>
      </c>
      <c r="E759" t="s">
        <v>110</v>
      </c>
      <c r="F759">
        <v>62868</v>
      </c>
      <c r="G759">
        <v>111129391.5</v>
      </c>
      <c r="H759">
        <v>0.97518519560496009</v>
      </c>
      <c r="I759">
        <v>0.9714814814814815</v>
      </c>
      <c r="J759">
        <v>23339139</v>
      </c>
      <c r="K759">
        <v>101647</v>
      </c>
      <c r="L759">
        <v>2</v>
      </c>
      <c r="M759">
        <v>207</v>
      </c>
      <c r="N759">
        <v>0.96333333333333337</v>
      </c>
      <c r="O759">
        <v>21459099.666666668</v>
      </c>
      <c r="P759">
        <v>102554</v>
      </c>
      <c r="Q759">
        <v>2</v>
      </c>
      <c r="R759">
        <v>208</v>
      </c>
      <c r="S759">
        <v>11.132694494071789</v>
      </c>
      <c r="T759">
        <v>0.97407406568527222</v>
      </c>
    </row>
    <row r="760" spans="1:20" x14ac:dyDescent="0.25">
      <c r="A760" t="s">
        <v>106</v>
      </c>
      <c r="B760">
        <v>3</v>
      </c>
      <c r="C760">
        <v>2</v>
      </c>
      <c r="D760">
        <v>0</v>
      </c>
      <c r="E760" t="s">
        <v>111</v>
      </c>
      <c r="F760">
        <v>64054</v>
      </c>
      <c r="G760">
        <v>108650757.5</v>
      </c>
      <c r="H760">
        <v>0.97740741570790612</v>
      </c>
      <c r="I760">
        <v>0.97074074074074079</v>
      </c>
      <c r="J760">
        <v>23907105.833333332</v>
      </c>
      <c r="K760">
        <v>103465</v>
      </c>
      <c r="L760">
        <v>2</v>
      </c>
      <c r="M760">
        <v>209</v>
      </c>
      <c r="N760">
        <v>0.96962962962962962</v>
      </c>
      <c r="O760">
        <v>22792277.333333332</v>
      </c>
      <c r="P760">
        <v>104380</v>
      </c>
      <c r="Q760">
        <v>2</v>
      </c>
      <c r="R760">
        <v>210</v>
      </c>
      <c r="S760">
        <v>11.131818181818181</v>
      </c>
      <c r="T760">
        <v>0.97629629373550419</v>
      </c>
    </row>
    <row r="761" spans="1:20" x14ac:dyDescent="0.25">
      <c r="A761" t="s">
        <v>106</v>
      </c>
      <c r="B761">
        <v>3</v>
      </c>
      <c r="C761">
        <v>2</v>
      </c>
      <c r="D761">
        <v>0</v>
      </c>
      <c r="E761" t="s">
        <v>112</v>
      </c>
      <c r="F761">
        <v>65240</v>
      </c>
      <c r="G761">
        <v>121536406.16666667</v>
      </c>
      <c r="H761">
        <v>0.97481482227643335</v>
      </c>
      <c r="I761">
        <v>0.97185185185185186</v>
      </c>
      <c r="J761">
        <v>23611875.666666668</v>
      </c>
      <c r="K761">
        <v>105299</v>
      </c>
      <c r="L761">
        <v>2</v>
      </c>
      <c r="M761">
        <v>211</v>
      </c>
      <c r="N761">
        <v>0.97444444444444445</v>
      </c>
      <c r="O761">
        <v>22675863.666666668</v>
      </c>
      <c r="P761">
        <v>106222</v>
      </c>
      <c r="Q761">
        <v>2</v>
      </c>
      <c r="R761">
        <v>212</v>
      </c>
      <c r="S761">
        <v>11.131429498620802</v>
      </c>
      <c r="T761">
        <v>0.97111109495162962</v>
      </c>
    </row>
    <row r="762" spans="1:20" x14ac:dyDescent="0.25">
      <c r="A762" t="s">
        <v>106</v>
      </c>
      <c r="B762">
        <v>3</v>
      </c>
      <c r="C762">
        <v>2</v>
      </c>
      <c r="D762">
        <v>0</v>
      </c>
      <c r="E762" t="s">
        <v>113</v>
      </c>
      <c r="F762">
        <v>66426</v>
      </c>
      <c r="G762">
        <v>119182220.5</v>
      </c>
      <c r="H762">
        <v>0.97148148218790686</v>
      </c>
      <c r="I762">
        <v>0.96888888888888891</v>
      </c>
      <c r="J762">
        <v>23694667.5</v>
      </c>
      <c r="K762">
        <v>107149</v>
      </c>
      <c r="L762">
        <v>2</v>
      </c>
      <c r="M762">
        <v>213</v>
      </c>
      <c r="N762">
        <v>0.97370370370370374</v>
      </c>
      <c r="O762">
        <v>24319083.666666668</v>
      </c>
      <c r="P762">
        <v>108080</v>
      </c>
      <c r="Q762">
        <v>2</v>
      </c>
      <c r="R762">
        <v>214</v>
      </c>
      <c r="S762">
        <v>11.130797924099904</v>
      </c>
      <c r="T762">
        <v>0.97481480836868284</v>
      </c>
    </row>
    <row r="763" spans="1:20" x14ac:dyDescent="0.25">
      <c r="A763" t="s">
        <v>106</v>
      </c>
      <c r="B763">
        <v>3</v>
      </c>
      <c r="C763">
        <v>2</v>
      </c>
      <c r="D763">
        <v>0</v>
      </c>
      <c r="E763" t="s">
        <v>114</v>
      </c>
      <c r="F763">
        <v>67612</v>
      </c>
      <c r="G763">
        <v>117074581.83333333</v>
      </c>
      <c r="H763">
        <v>0.96962962547938025</v>
      </c>
      <c r="I763">
        <v>0.97037037037037044</v>
      </c>
      <c r="J763">
        <v>24513217.5</v>
      </c>
      <c r="K763">
        <v>109015</v>
      </c>
      <c r="L763">
        <v>2</v>
      </c>
      <c r="M763">
        <v>215</v>
      </c>
      <c r="N763">
        <v>0.97296296296296292</v>
      </c>
      <c r="O763">
        <v>23009815.666666668</v>
      </c>
      <c r="P763">
        <v>109954</v>
      </c>
      <c r="Q763">
        <v>2</v>
      </c>
      <c r="R763">
        <v>216</v>
      </c>
      <c r="S763">
        <v>11.129842762198088</v>
      </c>
      <c r="T763">
        <v>0.97481480836868284</v>
      </c>
    </row>
    <row r="764" spans="1:20" x14ac:dyDescent="0.25">
      <c r="A764" t="s">
        <v>106</v>
      </c>
      <c r="B764">
        <v>3</v>
      </c>
      <c r="C764">
        <v>2</v>
      </c>
      <c r="D764">
        <v>0</v>
      </c>
      <c r="E764" t="s">
        <v>115</v>
      </c>
      <c r="F764">
        <v>68798</v>
      </c>
      <c r="G764">
        <v>127948029.16666667</v>
      </c>
      <c r="H764">
        <v>0.9707407454649607</v>
      </c>
      <c r="I764">
        <v>0.96777777777777785</v>
      </c>
      <c r="J764">
        <v>24750493.5</v>
      </c>
      <c r="K764">
        <v>110897</v>
      </c>
      <c r="L764">
        <v>2</v>
      </c>
      <c r="M764">
        <v>217</v>
      </c>
      <c r="N764">
        <v>0.97185185185185186</v>
      </c>
      <c r="O764">
        <v>22602028.833333332</v>
      </c>
      <c r="P764">
        <v>111844</v>
      </c>
      <c r="Q764">
        <v>2</v>
      </c>
      <c r="R764">
        <v>218</v>
      </c>
      <c r="S764">
        <v>11.129617627997408</v>
      </c>
      <c r="T764">
        <v>0.97851852178573606</v>
      </c>
    </row>
    <row r="765" spans="1:20" x14ac:dyDescent="0.25">
      <c r="A765" t="s">
        <v>106</v>
      </c>
      <c r="B765">
        <v>3</v>
      </c>
      <c r="C765">
        <v>2</v>
      </c>
      <c r="D765">
        <v>0</v>
      </c>
      <c r="E765" t="s">
        <v>116</v>
      </c>
      <c r="F765">
        <v>69984</v>
      </c>
      <c r="G765">
        <v>126605027.66666667</v>
      </c>
      <c r="H765">
        <v>0.96555554866790771</v>
      </c>
      <c r="I765">
        <v>0.9655555555555555</v>
      </c>
      <c r="J765">
        <v>24760406.833333332</v>
      </c>
      <c r="K765">
        <v>112795</v>
      </c>
      <c r="L765">
        <v>2</v>
      </c>
      <c r="M765">
        <v>219</v>
      </c>
      <c r="N765">
        <v>0.97185185185185186</v>
      </c>
      <c r="O765">
        <v>23983544</v>
      </c>
      <c r="P765">
        <v>113750</v>
      </c>
      <c r="Q765">
        <v>2</v>
      </c>
      <c r="R765">
        <v>220</v>
      </c>
      <c r="S765">
        <v>11.12914979757085</v>
      </c>
      <c r="T765">
        <v>0.97629629373550419</v>
      </c>
    </row>
    <row r="766" spans="1:20" x14ac:dyDescent="0.25">
      <c r="A766" t="s">
        <v>106</v>
      </c>
      <c r="B766">
        <v>3</v>
      </c>
      <c r="C766">
        <v>2</v>
      </c>
      <c r="D766">
        <v>0</v>
      </c>
      <c r="E766" t="s">
        <v>117</v>
      </c>
      <c r="F766">
        <v>71170</v>
      </c>
      <c r="G766">
        <v>120958726</v>
      </c>
      <c r="H766">
        <v>0.97185185551643372</v>
      </c>
      <c r="I766">
        <v>0.97074074074074079</v>
      </c>
      <c r="J766">
        <v>23310929</v>
      </c>
      <c r="K766">
        <v>114709</v>
      </c>
      <c r="L766">
        <v>2</v>
      </c>
      <c r="M766">
        <v>221</v>
      </c>
      <c r="N766">
        <v>0.9714814814814815</v>
      </c>
      <c r="O766">
        <v>23442068.333333332</v>
      </c>
      <c r="P766">
        <v>115672</v>
      </c>
      <c r="Q766">
        <v>2</v>
      </c>
      <c r="R766">
        <v>222</v>
      </c>
      <c r="S766">
        <v>11.12819682745225</v>
      </c>
      <c r="T766">
        <v>0.97111109495162962</v>
      </c>
    </row>
    <row r="767" spans="1:20" x14ac:dyDescent="0.25">
      <c r="A767" t="s">
        <v>106</v>
      </c>
      <c r="B767">
        <v>3</v>
      </c>
      <c r="C767">
        <v>2</v>
      </c>
      <c r="D767">
        <v>0</v>
      </c>
      <c r="E767" t="s">
        <v>118</v>
      </c>
      <c r="F767">
        <v>72356</v>
      </c>
      <c r="G767">
        <v>228195095.63636363</v>
      </c>
      <c r="H767">
        <v>0.97474747354334046</v>
      </c>
      <c r="I767">
        <v>0.96989898989898993</v>
      </c>
      <c r="J767">
        <v>24203307.90909091</v>
      </c>
      <c r="K767">
        <v>116639</v>
      </c>
      <c r="L767">
        <v>2</v>
      </c>
      <c r="M767">
        <v>223</v>
      </c>
      <c r="N767">
        <v>0.97191919191919196</v>
      </c>
      <c r="O767">
        <v>23481315.545454547</v>
      </c>
      <c r="P767">
        <v>117610</v>
      </c>
      <c r="Q767">
        <v>2</v>
      </c>
      <c r="R767">
        <v>224</v>
      </c>
      <c r="S767">
        <v>11.129376566669363</v>
      </c>
      <c r="T767">
        <v>0.97962961792945857</v>
      </c>
    </row>
    <row r="768" spans="1:20" x14ac:dyDescent="0.25">
      <c r="A768" t="s">
        <v>106</v>
      </c>
      <c r="B768">
        <v>3</v>
      </c>
      <c r="C768">
        <v>2</v>
      </c>
      <c r="D768">
        <v>0</v>
      </c>
      <c r="E768" t="s">
        <v>180</v>
      </c>
      <c r="F768">
        <v>72844</v>
      </c>
      <c r="G768">
        <v>213000341.18181819</v>
      </c>
      <c r="H768">
        <v>0.97939393737099389</v>
      </c>
      <c r="I768">
        <v>0.96969696969696972</v>
      </c>
      <c r="J768">
        <v>24823771</v>
      </c>
      <c r="K768">
        <v>117610</v>
      </c>
      <c r="L768">
        <v>2</v>
      </c>
      <c r="M768">
        <v>224</v>
      </c>
      <c r="N768">
        <v>0.96666666666666667</v>
      </c>
      <c r="O768">
        <v>23464642.272727273</v>
      </c>
      <c r="P768">
        <v>118585</v>
      </c>
      <c r="Q768">
        <v>2</v>
      </c>
      <c r="R768">
        <v>225</v>
      </c>
      <c r="S768">
        <v>11.129988689610599</v>
      </c>
      <c r="T768">
        <v>0.97962961792945857</v>
      </c>
    </row>
    <row r="769" spans="1:20" x14ac:dyDescent="0.25">
      <c r="A769" t="s">
        <v>106</v>
      </c>
      <c r="B769">
        <v>3</v>
      </c>
      <c r="C769">
        <v>2</v>
      </c>
      <c r="D769">
        <v>0</v>
      </c>
      <c r="E769" t="s">
        <v>119</v>
      </c>
      <c r="F769">
        <v>73542</v>
      </c>
      <c r="G769">
        <v>241049471</v>
      </c>
      <c r="H769">
        <v>0.97222221891085303</v>
      </c>
      <c r="I769">
        <v>0.95740740740740737</v>
      </c>
      <c r="J769">
        <v>22984288</v>
      </c>
      <c r="K769">
        <v>118585</v>
      </c>
      <c r="L769">
        <v>2</v>
      </c>
      <c r="M769">
        <v>225</v>
      </c>
      <c r="N769">
        <v>0.9622222222222222</v>
      </c>
      <c r="O769">
        <v>23047206.833333332</v>
      </c>
      <c r="P769">
        <v>119564</v>
      </c>
      <c r="Q769">
        <v>2</v>
      </c>
      <c r="R769">
        <v>226</v>
      </c>
      <c r="S769">
        <v>11.130652454780362</v>
      </c>
      <c r="T769">
        <v>0.98074074983596804</v>
      </c>
    </row>
    <row r="770" spans="1:20" x14ac:dyDescent="0.25">
      <c r="A770" t="s">
        <v>106</v>
      </c>
      <c r="B770">
        <v>3</v>
      </c>
      <c r="C770">
        <v>2</v>
      </c>
      <c r="D770">
        <v>0</v>
      </c>
      <c r="E770" t="s">
        <v>181</v>
      </c>
      <c r="F770">
        <v>74062</v>
      </c>
      <c r="G770">
        <v>236136446.27272728</v>
      </c>
      <c r="H770">
        <v>0.97656564820896496</v>
      </c>
      <c r="I770">
        <v>0.97070707070707074</v>
      </c>
      <c r="J770">
        <v>23774726.181818184</v>
      </c>
      <c r="K770">
        <v>119564</v>
      </c>
      <c r="L770">
        <v>2</v>
      </c>
      <c r="M770">
        <v>226</v>
      </c>
      <c r="N770">
        <v>0.96868686868686871</v>
      </c>
      <c r="O770">
        <v>24429912.90909091</v>
      </c>
      <c r="P770">
        <v>120547</v>
      </c>
      <c r="Q770">
        <v>2</v>
      </c>
      <c r="R770">
        <v>227</v>
      </c>
      <c r="S770">
        <v>11.132876159741832</v>
      </c>
      <c r="T770">
        <v>0.97888889312744143</v>
      </c>
    </row>
    <row r="771" spans="1:20" x14ac:dyDescent="0.25">
      <c r="A771" t="s">
        <v>106</v>
      </c>
      <c r="B771">
        <v>3</v>
      </c>
      <c r="C771">
        <v>2</v>
      </c>
      <c r="D771">
        <v>0</v>
      </c>
      <c r="E771" t="s">
        <v>120</v>
      </c>
      <c r="F771">
        <v>74728</v>
      </c>
      <c r="G771">
        <v>269659825.33333331</v>
      </c>
      <c r="H771">
        <v>0.96555554866790771</v>
      </c>
      <c r="I771">
        <v>0.96666666666666667</v>
      </c>
      <c r="J771">
        <v>23882453.333333332</v>
      </c>
      <c r="K771">
        <v>120547</v>
      </c>
      <c r="L771">
        <v>2</v>
      </c>
      <c r="M771">
        <v>227</v>
      </c>
      <c r="N771">
        <v>0.95518518518518514</v>
      </c>
      <c r="O771">
        <v>23045597.333333332</v>
      </c>
      <c r="P771">
        <v>121534</v>
      </c>
      <c r="Q771">
        <v>2</v>
      </c>
      <c r="R771">
        <v>228</v>
      </c>
      <c r="S771">
        <v>11.134585920490283</v>
      </c>
      <c r="T771">
        <v>0.98148149251937866</v>
      </c>
    </row>
    <row r="772" spans="1:20" x14ac:dyDescent="0.25">
      <c r="A772" t="s">
        <v>106</v>
      </c>
      <c r="B772">
        <v>3</v>
      </c>
      <c r="C772">
        <v>2</v>
      </c>
      <c r="D772">
        <v>0</v>
      </c>
      <c r="E772" t="s">
        <v>182</v>
      </c>
      <c r="F772">
        <v>75280</v>
      </c>
      <c r="G772">
        <v>232480170.90909091</v>
      </c>
      <c r="H772">
        <v>0.97555553913116455</v>
      </c>
      <c r="I772">
        <v>0.97010101010101013</v>
      </c>
      <c r="J772">
        <v>23334118.727272727</v>
      </c>
      <c r="K772">
        <v>121534</v>
      </c>
      <c r="L772">
        <v>2</v>
      </c>
      <c r="M772">
        <v>228</v>
      </c>
      <c r="N772">
        <v>0.96929292929292932</v>
      </c>
      <c r="O772">
        <v>23347804.181818184</v>
      </c>
      <c r="P772">
        <v>122525</v>
      </c>
      <c r="Q772">
        <v>2</v>
      </c>
      <c r="R772">
        <v>229</v>
      </c>
      <c r="S772">
        <v>11.135352884305512</v>
      </c>
      <c r="T772">
        <v>0.98259258270263672</v>
      </c>
    </row>
    <row r="773" spans="1:20" x14ac:dyDescent="0.25">
      <c r="A773" t="s">
        <v>106</v>
      </c>
      <c r="B773">
        <v>3</v>
      </c>
      <c r="C773">
        <v>2</v>
      </c>
      <c r="D773">
        <v>0</v>
      </c>
      <c r="E773" t="s">
        <v>121</v>
      </c>
      <c r="F773">
        <v>75914</v>
      </c>
      <c r="G773">
        <v>300817589.54545456</v>
      </c>
      <c r="H773">
        <v>0.97434342991222034</v>
      </c>
      <c r="I773">
        <v>0.9622222222222222</v>
      </c>
      <c r="J773">
        <v>24121759.363636363</v>
      </c>
      <c r="K773">
        <v>122525</v>
      </c>
      <c r="L773">
        <v>2</v>
      </c>
      <c r="M773">
        <v>229</v>
      </c>
      <c r="N773">
        <v>0.96444444444444444</v>
      </c>
      <c r="O773">
        <v>23641170.181818184</v>
      </c>
      <c r="P773">
        <v>123520</v>
      </c>
      <c r="Q773">
        <v>2</v>
      </c>
      <c r="R773">
        <v>230</v>
      </c>
      <c r="S773">
        <v>11.138211382113822</v>
      </c>
      <c r="T773">
        <v>0.98222222328186037</v>
      </c>
    </row>
    <row r="774" spans="1:20" x14ac:dyDescent="0.25">
      <c r="A774" t="s">
        <v>106</v>
      </c>
      <c r="B774">
        <v>3</v>
      </c>
      <c r="C774">
        <v>2</v>
      </c>
      <c r="D774">
        <v>0</v>
      </c>
      <c r="E774" t="s">
        <v>183</v>
      </c>
      <c r="F774">
        <v>76498</v>
      </c>
      <c r="G774">
        <v>224785749.54545453</v>
      </c>
      <c r="H774">
        <v>0.97555556080558081</v>
      </c>
      <c r="I774">
        <v>0.96969696969696972</v>
      </c>
      <c r="J774">
        <v>24167206.363636363</v>
      </c>
      <c r="K774">
        <v>123520</v>
      </c>
      <c r="L774">
        <v>2</v>
      </c>
      <c r="M774">
        <v>230</v>
      </c>
      <c r="N774">
        <v>0.96969696969696972</v>
      </c>
      <c r="O774">
        <v>23902142</v>
      </c>
      <c r="P774">
        <v>124519</v>
      </c>
      <c r="Q774">
        <v>2</v>
      </c>
      <c r="R774">
        <v>231</v>
      </c>
      <c r="S774">
        <v>11.138652082998231</v>
      </c>
      <c r="T774">
        <v>0.97629629373550419</v>
      </c>
    </row>
    <row r="775" spans="1:20" x14ac:dyDescent="0.25">
      <c r="A775" t="s">
        <v>106</v>
      </c>
      <c r="B775">
        <v>3</v>
      </c>
      <c r="C775">
        <v>2</v>
      </c>
      <c r="D775">
        <v>0</v>
      </c>
      <c r="E775" t="s">
        <v>122</v>
      </c>
      <c r="F775">
        <v>77100</v>
      </c>
      <c r="G775">
        <v>285248354.63636363</v>
      </c>
      <c r="H775">
        <v>0.97090909697792749</v>
      </c>
      <c r="I775">
        <v>0.96323232323232322</v>
      </c>
      <c r="J775">
        <v>24656815.90909091</v>
      </c>
      <c r="K775">
        <v>124519</v>
      </c>
      <c r="L775">
        <v>2</v>
      </c>
      <c r="M775">
        <v>231</v>
      </c>
      <c r="N775">
        <v>0.96686868686868688</v>
      </c>
      <c r="O775">
        <v>23998332.818181816</v>
      </c>
      <c r="P775">
        <v>125522</v>
      </c>
      <c r="Q775">
        <v>2</v>
      </c>
      <c r="R775">
        <v>232</v>
      </c>
      <c r="S775">
        <v>11.140297308155885</v>
      </c>
      <c r="T775">
        <v>0.97222221493721006</v>
      </c>
    </row>
    <row r="776" spans="1:20" x14ac:dyDescent="0.25">
      <c r="A776" t="s">
        <v>106</v>
      </c>
      <c r="B776">
        <v>3</v>
      </c>
      <c r="C776">
        <v>2</v>
      </c>
      <c r="D776">
        <v>0</v>
      </c>
      <c r="E776" t="s">
        <v>153</v>
      </c>
      <c r="F776">
        <v>77910</v>
      </c>
      <c r="G776">
        <v>246446815.4375</v>
      </c>
      <c r="H776">
        <v>0.97999999672174454</v>
      </c>
      <c r="I776">
        <v>0.97277777777777774</v>
      </c>
      <c r="J776">
        <v>21437966.1875</v>
      </c>
      <c r="K776">
        <v>125522</v>
      </c>
      <c r="L776">
        <v>2</v>
      </c>
      <c r="M776">
        <v>232</v>
      </c>
      <c r="N776">
        <v>0.9752777777777778</v>
      </c>
      <c r="O776">
        <v>22077212.625</v>
      </c>
      <c r="P776">
        <v>126529</v>
      </c>
      <c r="Q776">
        <v>2</v>
      </c>
      <c r="R776">
        <v>233</v>
      </c>
      <c r="S776">
        <v>11.144691437284328</v>
      </c>
      <c r="T776">
        <v>0.98271605173746746</v>
      </c>
    </row>
    <row r="777" spans="1:20" x14ac:dyDescent="0.25">
      <c r="A777" t="s">
        <v>106</v>
      </c>
      <c r="B777">
        <v>3</v>
      </c>
      <c r="C777">
        <v>2</v>
      </c>
      <c r="D777">
        <v>0</v>
      </c>
      <c r="E777" t="s">
        <v>218</v>
      </c>
      <c r="F777">
        <v>78226</v>
      </c>
      <c r="G777">
        <v>312463695.75</v>
      </c>
      <c r="H777">
        <v>0.97319444268941879</v>
      </c>
      <c r="I777">
        <v>0.96569444444444441</v>
      </c>
      <c r="J777">
        <v>23536041.8125</v>
      </c>
      <c r="K777">
        <v>126529</v>
      </c>
      <c r="L777">
        <v>2</v>
      </c>
      <c r="M777">
        <v>233</v>
      </c>
      <c r="N777">
        <v>0.96750000000000003</v>
      </c>
      <c r="O777">
        <v>22946995.5625</v>
      </c>
      <c r="P777">
        <v>127540</v>
      </c>
      <c r="Q777">
        <v>2</v>
      </c>
      <c r="R777">
        <v>234</v>
      </c>
      <c r="S777">
        <v>11.150436803718843</v>
      </c>
      <c r="T777">
        <v>0.97308641274770102</v>
      </c>
    </row>
    <row r="778" spans="1:20" x14ac:dyDescent="0.25">
      <c r="A778" t="s">
        <v>106</v>
      </c>
      <c r="B778">
        <v>3</v>
      </c>
      <c r="C778">
        <v>2</v>
      </c>
      <c r="D778">
        <v>0</v>
      </c>
      <c r="E778" t="s">
        <v>154</v>
      </c>
      <c r="F778">
        <v>79096</v>
      </c>
      <c r="G778">
        <v>187047362.16666666</v>
      </c>
      <c r="H778">
        <v>0.98555554946263635</v>
      </c>
      <c r="I778">
        <v>0.98037037037037034</v>
      </c>
      <c r="J778">
        <v>15993705.333333334</v>
      </c>
      <c r="K778">
        <v>127540</v>
      </c>
      <c r="L778">
        <v>2</v>
      </c>
      <c r="M778">
        <v>234</v>
      </c>
      <c r="N778">
        <v>0.97703703703703704</v>
      </c>
      <c r="O778">
        <v>16410730.666666666</v>
      </c>
      <c r="P778">
        <v>128555</v>
      </c>
      <c r="Q778">
        <v>2</v>
      </c>
      <c r="R778">
        <v>235</v>
      </c>
      <c r="S778">
        <v>11.151966674677562</v>
      </c>
      <c r="T778">
        <v>0.98370372056961064</v>
      </c>
    </row>
    <row r="779" spans="1:20" x14ac:dyDescent="0.25">
      <c r="A779" t="s">
        <v>106</v>
      </c>
      <c r="B779">
        <v>3</v>
      </c>
      <c r="C779">
        <v>2</v>
      </c>
      <c r="D779">
        <v>0</v>
      </c>
      <c r="E779" t="s">
        <v>219</v>
      </c>
      <c r="F779">
        <v>79508</v>
      </c>
      <c r="G779">
        <v>282252749.4285714</v>
      </c>
      <c r="H779">
        <v>0.97492063613164992</v>
      </c>
      <c r="I779">
        <v>0.96412698412698417</v>
      </c>
      <c r="J779">
        <v>24870225.761904761</v>
      </c>
      <c r="K779">
        <v>128555</v>
      </c>
      <c r="L779">
        <v>2</v>
      </c>
      <c r="M779">
        <v>235</v>
      </c>
      <c r="N779">
        <v>0.95978835978835975</v>
      </c>
      <c r="O779">
        <v>24371190.095238097</v>
      </c>
      <c r="P779">
        <v>129574</v>
      </c>
      <c r="Q779">
        <v>2</v>
      </c>
      <c r="R779">
        <v>236</v>
      </c>
      <c r="S779">
        <v>11.157069737683941</v>
      </c>
      <c r="T779">
        <v>0.9796296298503876</v>
      </c>
    </row>
    <row r="780" spans="1:20" x14ac:dyDescent="0.25">
      <c r="A780" t="s">
        <v>106</v>
      </c>
      <c r="B780">
        <v>3</v>
      </c>
      <c r="C780">
        <v>2</v>
      </c>
      <c r="D780">
        <v>0</v>
      </c>
      <c r="E780" t="s">
        <v>155</v>
      </c>
      <c r="F780">
        <v>80282</v>
      </c>
      <c r="G780">
        <v>184229205.33333334</v>
      </c>
      <c r="H780">
        <v>0.98592593272527063</v>
      </c>
      <c r="I780">
        <v>0.97296296296296292</v>
      </c>
      <c r="J780">
        <v>16570111.333333334</v>
      </c>
      <c r="K780">
        <v>129574</v>
      </c>
      <c r="L780">
        <v>2</v>
      </c>
      <c r="M780">
        <v>236</v>
      </c>
      <c r="N780">
        <v>0.97592592592592586</v>
      </c>
      <c r="O780">
        <v>15944441.166666666</v>
      </c>
      <c r="P780">
        <v>130597</v>
      </c>
      <c r="Q780">
        <v>2</v>
      </c>
      <c r="R780">
        <v>237</v>
      </c>
      <c r="S780">
        <v>11.158033573141488</v>
      </c>
      <c r="T780">
        <v>0.98888887166976924</v>
      </c>
    </row>
    <row r="781" spans="1:20" x14ac:dyDescent="0.25">
      <c r="A781" t="s">
        <v>106</v>
      </c>
      <c r="B781">
        <v>3</v>
      </c>
      <c r="C781">
        <v>2</v>
      </c>
      <c r="D781">
        <v>0</v>
      </c>
      <c r="E781" t="s">
        <v>220</v>
      </c>
      <c r="F781">
        <v>80790</v>
      </c>
      <c r="G781">
        <v>312949379.4285714</v>
      </c>
      <c r="H781">
        <v>0.97470899139131817</v>
      </c>
      <c r="I781">
        <v>0.95788359788359789</v>
      </c>
      <c r="J781">
        <v>25178131.523809522</v>
      </c>
      <c r="K781">
        <v>130597</v>
      </c>
      <c r="L781">
        <v>2</v>
      </c>
      <c r="M781">
        <v>237</v>
      </c>
      <c r="N781">
        <v>0.96179894179894176</v>
      </c>
      <c r="O781">
        <v>25399785.380952381</v>
      </c>
      <c r="P781">
        <v>131624</v>
      </c>
      <c r="Q781">
        <v>2</v>
      </c>
      <c r="R781">
        <v>238</v>
      </c>
      <c r="S781">
        <v>11.162955869443779</v>
      </c>
      <c r="T781">
        <v>0.98037037253379822</v>
      </c>
    </row>
    <row r="782" spans="1:20" x14ac:dyDescent="0.25">
      <c r="A782" t="s">
        <v>106</v>
      </c>
      <c r="B782">
        <v>3</v>
      </c>
      <c r="C782">
        <v>2</v>
      </c>
      <c r="D782">
        <v>0</v>
      </c>
      <c r="E782" t="s">
        <v>156</v>
      </c>
      <c r="F782">
        <v>81468</v>
      </c>
      <c r="G782">
        <v>220098972.83333334</v>
      </c>
      <c r="H782">
        <v>0.98370370268821716</v>
      </c>
      <c r="I782">
        <v>0.97555555555555551</v>
      </c>
      <c r="J782">
        <v>16427012.333333334</v>
      </c>
      <c r="K782">
        <v>131624</v>
      </c>
      <c r="L782">
        <v>2</v>
      </c>
      <c r="M782">
        <v>238</v>
      </c>
      <c r="N782">
        <v>0.97666666666666668</v>
      </c>
      <c r="O782">
        <v>17571945.5</v>
      </c>
      <c r="P782">
        <v>132655</v>
      </c>
      <c r="Q782">
        <v>2</v>
      </c>
      <c r="R782">
        <v>239</v>
      </c>
      <c r="S782">
        <v>11.164154103852596</v>
      </c>
      <c r="T782">
        <v>0.9859259366989136</v>
      </c>
    </row>
    <row r="783" spans="1:20" x14ac:dyDescent="0.25">
      <c r="A783" t="s">
        <v>106</v>
      </c>
      <c r="B783">
        <v>3</v>
      </c>
      <c r="C783">
        <v>2</v>
      </c>
      <c r="D783">
        <v>0</v>
      </c>
      <c r="E783" t="s">
        <v>221</v>
      </c>
      <c r="F783">
        <v>82072</v>
      </c>
      <c r="G783">
        <v>318458659.52380955</v>
      </c>
      <c r="H783">
        <v>0.97396825608753024</v>
      </c>
      <c r="I783">
        <v>0.96010582010582013</v>
      </c>
      <c r="J783">
        <v>25308501.761904761</v>
      </c>
      <c r="K783">
        <v>132655</v>
      </c>
      <c r="L783">
        <v>2</v>
      </c>
      <c r="M783">
        <v>239</v>
      </c>
      <c r="N783">
        <v>0.95957671957671953</v>
      </c>
      <c r="O783">
        <v>24891124.476190478</v>
      </c>
      <c r="P783">
        <v>133690</v>
      </c>
      <c r="Q783">
        <v>2</v>
      </c>
      <c r="R783">
        <v>240</v>
      </c>
      <c r="S783">
        <v>11.168577799012581</v>
      </c>
      <c r="T783">
        <v>0.98185185194015501</v>
      </c>
    </row>
    <row r="784" spans="1:20" x14ac:dyDescent="0.25">
      <c r="A784" t="s">
        <v>106</v>
      </c>
      <c r="B784">
        <v>3</v>
      </c>
      <c r="C784">
        <v>2</v>
      </c>
      <c r="D784">
        <v>0</v>
      </c>
      <c r="E784" t="s">
        <v>157</v>
      </c>
      <c r="F784">
        <v>82654</v>
      </c>
      <c r="G784">
        <v>190871135.33333334</v>
      </c>
      <c r="H784">
        <v>0.98888888955116272</v>
      </c>
      <c r="I784">
        <v>0.97444444444444445</v>
      </c>
      <c r="J784">
        <v>17537461.5</v>
      </c>
      <c r="K784">
        <v>133690</v>
      </c>
      <c r="L784">
        <v>2</v>
      </c>
      <c r="M784">
        <v>240</v>
      </c>
      <c r="N784">
        <v>0.97555555555555551</v>
      </c>
      <c r="O784">
        <v>16725080.166666666</v>
      </c>
      <c r="P784">
        <v>134729</v>
      </c>
      <c r="Q784">
        <v>2</v>
      </c>
      <c r="R784">
        <v>241</v>
      </c>
      <c r="S784">
        <v>11.169770773638968</v>
      </c>
      <c r="T784">
        <v>0.98222223520278928</v>
      </c>
    </row>
    <row r="785" spans="1:20" x14ac:dyDescent="0.25">
      <c r="A785" t="s">
        <v>106</v>
      </c>
      <c r="B785">
        <v>3</v>
      </c>
      <c r="C785">
        <v>2</v>
      </c>
      <c r="D785">
        <v>0</v>
      </c>
      <c r="E785" t="s">
        <v>222</v>
      </c>
      <c r="F785">
        <v>83354</v>
      </c>
      <c r="G785">
        <v>325572722.76190478</v>
      </c>
      <c r="H785">
        <v>0.9739682589258466</v>
      </c>
      <c r="I785">
        <v>0.96031746031746035</v>
      </c>
      <c r="J785">
        <v>25050264.142857142</v>
      </c>
      <c r="K785">
        <v>134729</v>
      </c>
      <c r="L785">
        <v>2</v>
      </c>
      <c r="M785">
        <v>241</v>
      </c>
      <c r="N785">
        <v>0.96095238095238089</v>
      </c>
      <c r="O785">
        <v>24774004.095238097</v>
      </c>
      <c r="P785">
        <v>135772</v>
      </c>
      <c r="Q785">
        <v>2</v>
      </c>
      <c r="R785">
        <v>242</v>
      </c>
      <c r="S785">
        <v>11.174016686531585</v>
      </c>
      <c r="T785">
        <v>0.97981482148170473</v>
      </c>
    </row>
    <row r="786" spans="1:20" x14ac:dyDescent="0.25">
      <c r="A786" t="s">
        <v>106</v>
      </c>
      <c r="B786">
        <v>3</v>
      </c>
      <c r="C786">
        <v>2</v>
      </c>
      <c r="D786">
        <v>0</v>
      </c>
      <c r="E786" t="s">
        <v>158</v>
      </c>
      <c r="F786">
        <v>83840</v>
      </c>
      <c r="G786">
        <v>205073294.16666666</v>
      </c>
      <c r="H786">
        <v>0.98703703284263611</v>
      </c>
      <c r="I786">
        <v>0.97888888888888892</v>
      </c>
      <c r="J786">
        <v>17790642.166666668</v>
      </c>
      <c r="K786">
        <v>135772</v>
      </c>
      <c r="L786">
        <v>2</v>
      </c>
      <c r="M786">
        <v>242</v>
      </c>
      <c r="N786">
        <v>0.97888888888888892</v>
      </c>
      <c r="O786">
        <v>16951024.166666668</v>
      </c>
      <c r="P786">
        <v>136819</v>
      </c>
      <c r="Q786">
        <v>2</v>
      </c>
      <c r="R786">
        <v>243</v>
      </c>
      <c r="S786">
        <v>11.174569136684934</v>
      </c>
      <c r="T786">
        <v>0.98740739822387691</v>
      </c>
    </row>
    <row r="787" spans="1:20" x14ac:dyDescent="0.25">
      <c r="A787" t="s">
        <v>106</v>
      </c>
      <c r="B787">
        <v>3</v>
      </c>
      <c r="C787">
        <v>2</v>
      </c>
      <c r="D787">
        <v>0</v>
      </c>
      <c r="E787" t="s">
        <v>206</v>
      </c>
      <c r="F787">
        <v>84894</v>
      </c>
      <c r="G787">
        <v>327770093.28571427</v>
      </c>
      <c r="H787">
        <v>0.97164020935694373</v>
      </c>
      <c r="I787">
        <v>0.95947089947089947</v>
      </c>
      <c r="J787">
        <v>26170881.571428571</v>
      </c>
      <c r="K787">
        <v>136819</v>
      </c>
      <c r="L787">
        <v>2</v>
      </c>
      <c r="M787">
        <v>243</v>
      </c>
      <c r="N787">
        <v>0.96074074074074078</v>
      </c>
      <c r="O787">
        <v>26999536.380952381</v>
      </c>
      <c r="P787">
        <v>137870</v>
      </c>
      <c r="Q787">
        <v>2</v>
      </c>
      <c r="R787">
        <v>244</v>
      </c>
      <c r="S787">
        <v>11.179273707580082</v>
      </c>
      <c r="T787">
        <v>0.97981480956077571</v>
      </c>
    </row>
    <row r="788" spans="1:20" x14ac:dyDescent="0.25">
      <c r="A788" t="s">
        <v>106</v>
      </c>
      <c r="B788">
        <v>3</v>
      </c>
      <c r="C788">
        <v>2</v>
      </c>
      <c r="D788">
        <v>0</v>
      </c>
      <c r="E788" t="s">
        <v>159</v>
      </c>
      <c r="F788">
        <v>85026</v>
      </c>
      <c r="G788">
        <v>267500104.18181819</v>
      </c>
      <c r="H788">
        <v>0.98121211745522241</v>
      </c>
      <c r="I788">
        <v>0.97333333333333338</v>
      </c>
      <c r="J788">
        <v>22342492.454545453</v>
      </c>
      <c r="K788">
        <v>137870</v>
      </c>
      <c r="L788">
        <v>2</v>
      </c>
      <c r="M788">
        <v>244</v>
      </c>
      <c r="N788">
        <v>0.97535353535353531</v>
      </c>
      <c r="O788">
        <v>20514998.727272727</v>
      </c>
      <c r="P788">
        <v>138925</v>
      </c>
      <c r="Q788">
        <v>2</v>
      </c>
      <c r="R788">
        <v>245</v>
      </c>
      <c r="S788">
        <v>11.182444743721778</v>
      </c>
      <c r="T788">
        <v>0.98148147463798519</v>
      </c>
    </row>
    <row r="789" spans="1:20" x14ac:dyDescent="0.25">
      <c r="A789" t="s">
        <v>106</v>
      </c>
      <c r="B789">
        <v>3</v>
      </c>
      <c r="C789">
        <v>2</v>
      </c>
      <c r="D789">
        <v>0</v>
      </c>
      <c r="E789" t="s">
        <v>207</v>
      </c>
      <c r="F789">
        <v>86144</v>
      </c>
      <c r="G789">
        <v>347150276.90909094</v>
      </c>
      <c r="H789">
        <v>0.9765656590461731</v>
      </c>
      <c r="I789">
        <v>0.9624242424242424</v>
      </c>
      <c r="J789">
        <v>25569820.90909091</v>
      </c>
      <c r="K789">
        <v>138925</v>
      </c>
      <c r="L789">
        <v>2</v>
      </c>
      <c r="M789">
        <v>245</v>
      </c>
      <c r="N789">
        <v>0.95898989898989895</v>
      </c>
      <c r="O789">
        <v>26148042</v>
      </c>
      <c r="P789">
        <v>139984</v>
      </c>
      <c r="Q789">
        <v>2</v>
      </c>
      <c r="R789">
        <v>246</v>
      </c>
      <c r="S789">
        <v>11.185135349058097</v>
      </c>
      <c r="T789">
        <v>0.98555555343627932</v>
      </c>
    </row>
    <row r="790" spans="1:20" x14ac:dyDescent="0.25">
      <c r="A790" t="s">
        <v>106</v>
      </c>
      <c r="B790">
        <v>3</v>
      </c>
      <c r="C790">
        <v>2</v>
      </c>
      <c r="D790">
        <v>0</v>
      </c>
      <c r="E790" t="s">
        <v>160</v>
      </c>
      <c r="F790">
        <v>86212</v>
      </c>
      <c r="G790">
        <v>281641157.0625</v>
      </c>
      <c r="H790">
        <v>0.9826388880610466</v>
      </c>
      <c r="I790">
        <v>0.96375</v>
      </c>
      <c r="J790">
        <v>22557342.875</v>
      </c>
      <c r="K790">
        <v>139984</v>
      </c>
      <c r="L790">
        <v>2</v>
      </c>
      <c r="M790">
        <v>246</v>
      </c>
      <c r="N790">
        <v>0.96347222222222217</v>
      </c>
      <c r="O790">
        <v>20955887.5625</v>
      </c>
      <c r="P790">
        <v>141047</v>
      </c>
      <c r="Q790">
        <v>2</v>
      </c>
      <c r="R790">
        <v>247</v>
      </c>
      <c r="S790">
        <v>11.188616600790514</v>
      </c>
      <c r="T790">
        <v>0.98172840277353923</v>
      </c>
    </row>
    <row r="791" spans="1:20" x14ac:dyDescent="0.25">
      <c r="A791" t="s">
        <v>106</v>
      </c>
      <c r="B791">
        <v>3</v>
      </c>
      <c r="C791">
        <v>2</v>
      </c>
      <c r="D791">
        <v>0</v>
      </c>
      <c r="E791" t="s">
        <v>161</v>
      </c>
      <c r="F791">
        <v>87398</v>
      </c>
      <c r="G791">
        <v>338855748.09090906</v>
      </c>
      <c r="H791">
        <v>0.97272728248076001</v>
      </c>
      <c r="I791">
        <v>0.95858585858585854</v>
      </c>
      <c r="J791">
        <v>27039183.727272727</v>
      </c>
      <c r="K791">
        <v>141047</v>
      </c>
      <c r="L791">
        <v>2</v>
      </c>
      <c r="M791">
        <v>247</v>
      </c>
      <c r="N791">
        <v>0.95838383838383834</v>
      </c>
      <c r="O791">
        <v>27237620.454545453</v>
      </c>
      <c r="P791">
        <v>142114</v>
      </c>
      <c r="Q791">
        <v>2</v>
      </c>
      <c r="R791">
        <v>248</v>
      </c>
      <c r="S791">
        <v>11.190032382908143</v>
      </c>
      <c r="T791">
        <v>0.9822222054004669</v>
      </c>
    </row>
    <row r="792" spans="1:20" x14ac:dyDescent="0.25">
      <c r="A792" t="s">
        <v>106</v>
      </c>
      <c r="B792">
        <v>3</v>
      </c>
      <c r="C792">
        <v>2</v>
      </c>
      <c r="D792">
        <v>0</v>
      </c>
      <c r="E792" t="s">
        <v>162</v>
      </c>
      <c r="F792">
        <v>88584</v>
      </c>
      <c r="G792">
        <v>303100948.07692307</v>
      </c>
      <c r="H792">
        <v>0.97897435839359581</v>
      </c>
      <c r="I792">
        <v>0.96410256410256412</v>
      </c>
      <c r="J792">
        <v>24388158.923076924</v>
      </c>
      <c r="K792">
        <v>143185</v>
      </c>
      <c r="L792">
        <v>2</v>
      </c>
      <c r="M792">
        <v>249</v>
      </c>
      <c r="N792">
        <v>0.96504273504273508</v>
      </c>
      <c r="O792">
        <v>24201603.846153848</v>
      </c>
      <c r="P792">
        <v>144260</v>
      </c>
      <c r="Q792">
        <v>2</v>
      </c>
      <c r="R792">
        <v>250</v>
      </c>
      <c r="S792">
        <v>11.194451012847797</v>
      </c>
      <c r="T792">
        <v>0.98059258937835692</v>
      </c>
    </row>
    <row r="793" spans="1:20" x14ac:dyDescent="0.25">
      <c r="A793" t="s">
        <v>106</v>
      </c>
      <c r="B793">
        <v>3</v>
      </c>
      <c r="C793">
        <v>2</v>
      </c>
      <c r="D793">
        <v>0</v>
      </c>
      <c r="E793" t="s">
        <v>163</v>
      </c>
      <c r="F793">
        <v>89770</v>
      </c>
      <c r="G793">
        <v>290636192.15384614</v>
      </c>
      <c r="H793">
        <v>0.97888888762547421</v>
      </c>
      <c r="I793">
        <v>0.96136752136752135</v>
      </c>
      <c r="J793">
        <v>24196675.076923076</v>
      </c>
      <c r="K793">
        <v>145339</v>
      </c>
      <c r="L793">
        <v>2</v>
      </c>
      <c r="M793">
        <v>251</v>
      </c>
      <c r="N793">
        <v>0.96239316239316242</v>
      </c>
      <c r="O793">
        <v>23896639.769230768</v>
      </c>
      <c r="P793">
        <v>146422</v>
      </c>
      <c r="Q793">
        <v>2</v>
      </c>
      <c r="R793">
        <v>252</v>
      </c>
      <c r="S793">
        <v>11.197278376465036</v>
      </c>
      <c r="T793">
        <v>0.98118518352508544</v>
      </c>
    </row>
    <row r="794" spans="1:20" x14ac:dyDescent="0.25">
      <c r="A794" t="s">
        <v>106</v>
      </c>
      <c r="B794">
        <v>3</v>
      </c>
      <c r="C794">
        <v>2</v>
      </c>
      <c r="D794">
        <v>0</v>
      </c>
      <c r="E794" t="s">
        <v>238</v>
      </c>
      <c r="F794">
        <v>90820</v>
      </c>
      <c r="G794">
        <v>290016313.26923078</v>
      </c>
      <c r="H794">
        <v>0.97897436068608212</v>
      </c>
      <c r="I794">
        <v>0.96307692307692305</v>
      </c>
      <c r="J794">
        <v>24628659.153846152</v>
      </c>
      <c r="K794">
        <v>146422</v>
      </c>
      <c r="L794">
        <v>2</v>
      </c>
      <c r="M794">
        <v>252</v>
      </c>
      <c r="N794">
        <v>0.96076923076923082</v>
      </c>
      <c r="O794">
        <v>24467669</v>
      </c>
      <c r="P794">
        <v>147509</v>
      </c>
      <c r="Q794">
        <v>2</v>
      </c>
      <c r="R794">
        <v>253</v>
      </c>
      <c r="S794">
        <v>11.200486694403015</v>
      </c>
      <c r="T794">
        <v>0.98207406759262084</v>
      </c>
    </row>
    <row r="795" spans="1:20" x14ac:dyDescent="0.25">
      <c r="A795" t="s">
        <v>106</v>
      </c>
      <c r="B795">
        <v>3</v>
      </c>
      <c r="C795">
        <v>2</v>
      </c>
      <c r="D795">
        <v>0</v>
      </c>
      <c r="E795" t="s">
        <v>164</v>
      </c>
      <c r="F795">
        <v>90956</v>
      </c>
      <c r="G795">
        <v>343843154.83333331</v>
      </c>
      <c r="H795">
        <v>0.97111112872759497</v>
      </c>
      <c r="I795">
        <v>0.94333333333333336</v>
      </c>
      <c r="J795">
        <v>27980432.666666668</v>
      </c>
      <c r="K795">
        <v>147509</v>
      </c>
      <c r="L795">
        <v>2</v>
      </c>
      <c r="M795">
        <v>253</v>
      </c>
      <c r="N795">
        <v>0.94444444444444442</v>
      </c>
      <c r="O795">
        <v>25525136.166666668</v>
      </c>
      <c r="P795">
        <v>148600</v>
      </c>
      <c r="Q795">
        <v>2</v>
      </c>
      <c r="R795">
        <v>254</v>
      </c>
      <c r="S795">
        <v>11.201726167124363</v>
      </c>
      <c r="T795">
        <v>0.98000000715255742</v>
      </c>
    </row>
    <row r="796" spans="1:20" x14ac:dyDescent="0.25">
      <c r="A796" t="s">
        <v>106</v>
      </c>
      <c r="B796">
        <v>3</v>
      </c>
      <c r="C796">
        <v>2</v>
      </c>
      <c r="D796">
        <v>0</v>
      </c>
      <c r="E796" t="s">
        <v>132</v>
      </c>
      <c r="F796">
        <v>92142</v>
      </c>
      <c r="G796">
        <v>335507867.14285713</v>
      </c>
      <c r="H796">
        <v>0.97936507917585824</v>
      </c>
      <c r="I796">
        <v>0.96317460317460313</v>
      </c>
      <c r="J796">
        <v>23996707.952380951</v>
      </c>
      <c r="K796">
        <v>148600</v>
      </c>
      <c r="L796">
        <v>2</v>
      </c>
      <c r="M796">
        <v>254</v>
      </c>
      <c r="N796">
        <v>0.9676190476190476</v>
      </c>
      <c r="O796">
        <v>24438549.619047619</v>
      </c>
      <c r="P796">
        <v>149695</v>
      </c>
      <c r="Q796">
        <v>2</v>
      </c>
      <c r="R796">
        <v>255</v>
      </c>
      <c r="S796">
        <v>11.206642644524518</v>
      </c>
      <c r="T796">
        <v>0.98370369970798488</v>
      </c>
    </row>
    <row r="797" spans="1:20" x14ac:dyDescent="0.25">
      <c r="A797" t="s">
        <v>106</v>
      </c>
      <c r="B797">
        <v>3</v>
      </c>
      <c r="C797">
        <v>2</v>
      </c>
      <c r="D797">
        <v>0</v>
      </c>
      <c r="E797" t="s">
        <v>190</v>
      </c>
      <c r="F797">
        <v>92332</v>
      </c>
      <c r="G797">
        <v>335430278.27272725</v>
      </c>
      <c r="H797">
        <v>0.97292929887771606</v>
      </c>
      <c r="I797">
        <v>0.95353535353535357</v>
      </c>
      <c r="J797">
        <v>28583955.636363637</v>
      </c>
      <c r="K797">
        <v>149695</v>
      </c>
      <c r="L797">
        <v>2</v>
      </c>
      <c r="M797">
        <v>255</v>
      </c>
      <c r="N797">
        <v>0.95272727272727276</v>
      </c>
      <c r="O797">
        <v>28581930.09090909</v>
      </c>
      <c r="P797">
        <v>150794</v>
      </c>
      <c r="Q797">
        <v>2</v>
      </c>
      <c r="R797">
        <v>256</v>
      </c>
      <c r="S797">
        <v>11.207638725835485</v>
      </c>
      <c r="T797">
        <v>0.98518518209457395</v>
      </c>
    </row>
    <row r="798" spans="1:20" x14ac:dyDescent="0.25">
      <c r="A798" t="s">
        <v>106</v>
      </c>
      <c r="B798">
        <v>3</v>
      </c>
      <c r="C798">
        <v>2</v>
      </c>
      <c r="D798">
        <v>0</v>
      </c>
      <c r="E798" t="s">
        <v>133</v>
      </c>
      <c r="F798">
        <v>93328</v>
      </c>
      <c r="G798">
        <v>289504230.25</v>
      </c>
      <c r="H798">
        <v>0.98041666299104691</v>
      </c>
      <c r="I798">
        <v>0.96736111111111112</v>
      </c>
      <c r="J798">
        <v>23442087.75</v>
      </c>
      <c r="K798">
        <v>150794</v>
      </c>
      <c r="L798">
        <v>2</v>
      </c>
      <c r="M798">
        <v>256</v>
      </c>
      <c r="N798">
        <v>0.96875</v>
      </c>
      <c r="O798">
        <v>22725121.3125</v>
      </c>
      <c r="P798">
        <v>151897</v>
      </c>
      <c r="Q798">
        <v>2</v>
      </c>
      <c r="R798">
        <v>257</v>
      </c>
      <c r="S798">
        <v>11.209802235597593</v>
      </c>
      <c r="T798">
        <v>0.97950617074966428</v>
      </c>
    </row>
    <row r="799" spans="1:20" x14ac:dyDescent="0.25">
      <c r="A799" t="s">
        <v>106</v>
      </c>
      <c r="B799">
        <v>3</v>
      </c>
      <c r="C799">
        <v>2</v>
      </c>
      <c r="D799">
        <v>0</v>
      </c>
      <c r="E799" t="s">
        <v>191</v>
      </c>
      <c r="F799">
        <v>93550</v>
      </c>
      <c r="G799">
        <v>330769388.63636363</v>
      </c>
      <c r="H799">
        <v>0.97838383913040161</v>
      </c>
      <c r="I799">
        <v>0.95313131313131305</v>
      </c>
      <c r="J799">
        <v>28835815.727272727</v>
      </c>
      <c r="K799">
        <v>151897</v>
      </c>
      <c r="L799">
        <v>2</v>
      </c>
      <c r="M799">
        <v>257</v>
      </c>
      <c r="N799">
        <v>0.95797979797979793</v>
      </c>
      <c r="O799">
        <v>27336595.545454547</v>
      </c>
      <c r="P799">
        <v>153004</v>
      </c>
      <c r="Q799">
        <v>2</v>
      </c>
      <c r="R799">
        <v>258</v>
      </c>
      <c r="S799">
        <v>11.209387691346453</v>
      </c>
      <c r="T799">
        <v>0.98370369672775271</v>
      </c>
    </row>
    <row r="800" spans="1:20" x14ac:dyDescent="0.25">
      <c r="A800" t="s">
        <v>106</v>
      </c>
      <c r="B800">
        <v>3</v>
      </c>
      <c r="C800">
        <v>2</v>
      </c>
      <c r="D800">
        <v>0</v>
      </c>
      <c r="E800" t="s">
        <v>134</v>
      </c>
      <c r="F800">
        <v>94514</v>
      </c>
      <c r="G800">
        <v>280401863.5</v>
      </c>
      <c r="H800">
        <v>0.98152777925133705</v>
      </c>
      <c r="I800">
        <v>0.96875</v>
      </c>
      <c r="J800">
        <v>23000265.375</v>
      </c>
      <c r="K800">
        <v>153004</v>
      </c>
      <c r="L800">
        <v>2</v>
      </c>
      <c r="M800">
        <v>258</v>
      </c>
      <c r="N800">
        <v>0.96875</v>
      </c>
      <c r="O800">
        <v>24100762.6875</v>
      </c>
      <c r="P800">
        <v>154115</v>
      </c>
      <c r="Q800">
        <v>2</v>
      </c>
      <c r="R800">
        <v>259</v>
      </c>
      <c r="S800">
        <v>11.212012480499221</v>
      </c>
      <c r="T800">
        <v>0.97802468935648601</v>
      </c>
    </row>
    <row r="801" spans="1:20" x14ac:dyDescent="0.25">
      <c r="A801" t="s">
        <v>106</v>
      </c>
      <c r="B801">
        <v>3</v>
      </c>
      <c r="C801">
        <v>2</v>
      </c>
      <c r="D801">
        <v>0</v>
      </c>
      <c r="E801" t="s">
        <v>135</v>
      </c>
      <c r="F801">
        <v>95700</v>
      </c>
      <c r="G801">
        <v>328794169.61538464</v>
      </c>
      <c r="H801">
        <v>0.97769230604171753</v>
      </c>
      <c r="I801">
        <v>0.96162393162393167</v>
      </c>
      <c r="J801">
        <v>25354726.5</v>
      </c>
      <c r="K801">
        <v>155230</v>
      </c>
      <c r="L801">
        <v>2</v>
      </c>
      <c r="M801">
        <v>260</v>
      </c>
      <c r="N801">
        <v>0.96162393162393167</v>
      </c>
      <c r="O801">
        <v>25535173.576923076</v>
      </c>
      <c r="P801">
        <v>156349</v>
      </c>
      <c r="Q801">
        <v>2</v>
      </c>
      <c r="R801">
        <v>261</v>
      </c>
      <c r="S801">
        <v>11.217032539311848</v>
      </c>
      <c r="T801">
        <v>0.97896295785903931</v>
      </c>
    </row>
    <row r="802" spans="1:20" x14ac:dyDescent="0.25">
      <c r="A802" t="s">
        <v>106</v>
      </c>
      <c r="B802">
        <v>3</v>
      </c>
      <c r="C802">
        <v>2</v>
      </c>
      <c r="D802">
        <v>0</v>
      </c>
      <c r="E802" t="s">
        <v>136</v>
      </c>
      <c r="F802">
        <v>96886</v>
      </c>
      <c r="G802">
        <v>326726679.42307693</v>
      </c>
      <c r="H802">
        <v>0.97769230604171753</v>
      </c>
      <c r="I802">
        <v>0.96435897435897433</v>
      </c>
      <c r="J802">
        <v>25773622.884615384</v>
      </c>
      <c r="K802">
        <v>156349</v>
      </c>
      <c r="L802">
        <v>2</v>
      </c>
      <c r="M802">
        <v>261</v>
      </c>
      <c r="N802">
        <v>0.96606837606837603</v>
      </c>
      <c r="O802">
        <v>25446151.192307692</v>
      </c>
      <c r="P802">
        <v>157472</v>
      </c>
      <c r="Q802">
        <v>2</v>
      </c>
      <c r="R802">
        <v>262</v>
      </c>
      <c r="S802">
        <v>11.219002486016159</v>
      </c>
      <c r="T802">
        <v>0.98207407236099242</v>
      </c>
    </row>
    <row r="803" spans="1:20" x14ac:dyDescent="0.25">
      <c r="A803" t="s">
        <v>106</v>
      </c>
      <c r="B803">
        <v>3</v>
      </c>
      <c r="C803">
        <v>2</v>
      </c>
      <c r="D803">
        <v>0</v>
      </c>
      <c r="E803" t="s">
        <v>168</v>
      </c>
      <c r="F803">
        <v>97204</v>
      </c>
      <c r="G803">
        <v>409610238.16666669</v>
      </c>
      <c r="H803">
        <v>0.97444443901379907</v>
      </c>
      <c r="I803">
        <v>0.95962962962962961</v>
      </c>
      <c r="J803">
        <v>28214358.5</v>
      </c>
      <c r="K803">
        <v>157472</v>
      </c>
      <c r="L803">
        <v>2</v>
      </c>
      <c r="M803">
        <v>262</v>
      </c>
      <c r="N803">
        <v>0.96148148148148149</v>
      </c>
      <c r="O803">
        <v>29590268</v>
      </c>
      <c r="P803">
        <v>158599</v>
      </c>
      <c r="Q803">
        <v>2</v>
      </c>
      <c r="R803">
        <v>263</v>
      </c>
      <c r="S803">
        <v>11.219521664854792</v>
      </c>
      <c r="T803">
        <v>0.98962961435317998</v>
      </c>
    </row>
    <row r="804" spans="1:20" x14ac:dyDescent="0.25">
      <c r="A804" t="s">
        <v>106</v>
      </c>
      <c r="B804">
        <v>3</v>
      </c>
      <c r="C804">
        <v>2</v>
      </c>
      <c r="D804">
        <v>0</v>
      </c>
      <c r="E804" t="s">
        <v>137</v>
      </c>
      <c r="F804">
        <v>98072</v>
      </c>
      <c r="G804">
        <v>318720305.09523809</v>
      </c>
      <c r="H804">
        <v>0.97957672107787364</v>
      </c>
      <c r="I804">
        <v>0.96275132275132269</v>
      </c>
      <c r="J804">
        <v>25297594.952380951</v>
      </c>
      <c r="K804">
        <v>158599</v>
      </c>
      <c r="L804">
        <v>2</v>
      </c>
      <c r="M804">
        <v>263</v>
      </c>
      <c r="N804">
        <v>0.9645502645502646</v>
      </c>
      <c r="O804">
        <v>24298195.571428571</v>
      </c>
      <c r="P804">
        <v>159730</v>
      </c>
      <c r="Q804">
        <v>2</v>
      </c>
      <c r="R804">
        <v>264</v>
      </c>
      <c r="S804">
        <v>11.224125901232654</v>
      </c>
      <c r="T804">
        <v>0.97981481552124028</v>
      </c>
    </row>
    <row r="805" spans="1:20" x14ac:dyDescent="0.25">
      <c r="A805" t="s">
        <v>106</v>
      </c>
      <c r="B805">
        <v>3</v>
      </c>
      <c r="C805">
        <v>2</v>
      </c>
      <c r="D805">
        <v>0</v>
      </c>
      <c r="E805" t="s">
        <v>169</v>
      </c>
      <c r="F805">
        <v>98422</v>
      </c>
      <c r="G805">
        <v>393991337.83333331</v>
      </c>
      <c r="H805">
        <v>0.96814815203348792</v>
      </c>
      <c r="I805">
        <v>0.9622222222222222</v>
      </c>
      <c r="J805">
        <v>29003058</v>
      </c>
      <c r="K805">
        <v>159730</v>
      </c>
      <c r="L805">
        <v>2</v>
      </c>
      <c r="M805">
        <v>264</v>
      </c>
      <c r="N805">
        <v>0.9622222222222222</v>
      </c>
      <c r="O805">
        <v>29035465</v>
      </c>
      <c r="P805">
        <v>160865</v>
      </c>
      <c r="Q805">
        <v>2</v>
      </c>
      <c r="R805">
        <v>265</v>
      </c>
      <c r="S805">
        <v>11.224486633087951</v>
      </c>
      <c r="T805">
        <v>0.98518517017364504</v>
      </c>
    </row>
    <row r="806" spans="1:20" x14ac:dyDescent="0.25">
      <c r="A806" t="s">
        <v>106</v>
      </c>
      <c r="B806">
        <v>3</v>
      </c>
      <c r="C806">
        <v>2</v>
      </c>
      <c r="D806">
        <v>0</v>
      </c>
      <c r="E806" t="s">
        <v>138</v>
      </c>
      <c r="F806">
        <v>99258</v>
      </c>
      <c r="G806">
        <v>326496195.90476191</v>
      </c>
      <c r="H806">
        <v>0.97597883145014441</v>
      </c>
      <c r="I806">
        <v>0.96317460317460313</v>
      </c>
      <c r="J806">
        <v>24127535.571428571</v>
      </c>
      <c r="K806">
        <v>160865</v>
      </c>
      <c r="L806">
        <v>2</v>
      </c>
      <c r="M806">
        <v>265</v>
      </c>
      <c r="N806">
        <v>0.96539682539682536</v>
      </c>
      <c r="O806">
        <v>24529472</v>
      </c>
      <c r="P806">
        <v>162004</v>
      </c>
      <c r="Q806">
        <v>2</v>
      </c>
      <c r="R806">
        <v>266</v>
      </c>
      <c r="S806">
        <v>11.228376914745475</v>
      </c>
      <c r="T806">
        <v>0.97666666507720945</v>
      </c>
    </row>
    <row r="807" spans="1:20" x14ac:dyDescent="0.25">
      <c r="A807" t="s">
        <v>106</v>
      </c>
      <c r="B807">
        <v>3</v>
      </c>
      <c r="C807">
        <v>2</v>
      </c>
      <c r="D807">
        <v>0</v>
      </c>
      <c r="E807" t="s">
        <v>139</v>
      </c>
      <c r="F807">
        <v>100444</v>
      </c>
      <c r="G807">
        <v>370724572</v>
      </c>
      <c r="H807">
        <v>0.9703030315312472</v>
      </c>
      <c r="I807">
        <v>0.95878787878787874</v>
      </c>
      <c r="J807">
        <v>27197326.272727273</v>
      </c>
      <c r="K807">
        <v>162004</v>
      </c>
      <c r="L807">
        <v>2</v>
      </c>
      <c r="M807">
        <v>266</v>
      </c>
      <c r="N807">
        <v>0.96060606060606057</v>
      </c>
      <c r="O807">
        <v>28116843.09090909</v>
      </c>
      <c r="P807">
        <v>163147</v>
      </c>
      <c r="Q807">
        <v>2</v>
      </c>
      <c r="R807">
        <v>267</v>
      </c>
      <c r="S807">
        <v>11.229419494473216</v>
      </c>
      <c r="T807">
        <v>0.98444444537162779</v>
      </c>
    </row>
    <row r="808" spans="1:20" x14ac:dyDescent="0.25">
      <c r="A808" t="s">
        <v>106</v>
      </c>
      <c r="B808">
        <v>3</v>
      </c>
      <c r="C808">
        <v>2</v>
      </c>
      <c r="D808">
        <v>0</v>
      </c>
      <c r="E808" t="s">
        <v>170</v>
      </c>
      <c r="F808">
        <v>100858</v>
      </c>
      <c r="G808">
        <v>328064237.04761904</v>
      </c>
      <c r="H808">
        <v>0.97830687818073092</v>
      </c>
      <c r="I808">
        <v>0.96529100529100531</v>
      </c>
      <c r="J808">
        <v>24189347.761904761</v>
      </c>
      <c r="K808">
        <v>163147</v>
      </c>
      <c r="L808">
        <v>2</v>
      </c>
      <c r="M808">
        <v>267</v>
      </c>
      <c r="N808">
        <v>0.96571428571428575</v>
      </c>
      <c r="O808">
        <v>25318789.476190478</v>
      </c>
      <c r="P808">
        <v>164294</v>
      </c>
      <c r="Q808">
        <v>2</v>
      </c>
      <c r="R808">
        <v>268</v>
      </c>
      <c r="S808">
        <v>11.23221176107424</v>
      </c>
      <c r="T808">
        <v>0.97999999821186068</v>
      </c>
    </row>
    <row r="809" spans="1:20" x14ac:dyDescent="0.25">
      <c r="A809" t="s">
        <v>106</v>
      </c>
      <c r="B809">
        <v>3</v>
      </c>
      <c r="C809">
        <v>2</v>
      </c>
      <c r="D809">
        <v>0</v>
      </c>
      <c r="E809" t="s">
        <v>140</v>
      </c>
      <c r="F809">
        <v>101630</v>
      </c>
      <c r="G809">
        <v>403635963.72727275</v>
      </c>
      <c r="H809">
        <v>0.9773737300526012</v>
      </c>
      <c r="I809">
        <v>0.96707070707070708</v>
      </c>
      <c r="J809">
        <v>26523508.545454547</v>
      </c>
      <c r="K809">
        <v>164294</v>
      </c>
      <c r="L809">
        <v>2</v>
      </c>
      <c r="M809">
        <v>268</v>
      </c>
      <c r="N809">
        <v>0.97111111111111115</v>
      </c>
      <c r="O809">
        <v>27331341.272727273</v>
      </c>
      <c r="P809">
        <v>165445</v>
      </c>
      <c r="Q809">
        <v>2</v>
      </c>
      <c r="R809">
        <v>269</v>
      </c>
      <c r="S809">
        <v>11.234559333795975</v>
      </c>
      <c r="T809">
        <v>0.97000000476837156</v>
      </c>
    </row>
    <row r="810" spans="1:20" x14ac:dyDescent="0.25">
      <c r="A810" t="s">
        <v>106</v>
      </c>
      <c r="B810">
        <v>3</v>
      </c>
      <c r="C810">
        <v>2</v>
      </c>
      <c r="D810">
        <v>0</v>
      </c>
      <c r="E810" t="s">
        <v>171</v>
      </c>
      <c r="F810">
        <v>102076</v>
      </c>
      <c r="G810">
        <v>326908834.25</v>
      </c>
      <c r="H810">
        <v>0.9756944365799427</v>
      </c>
      <c r="I810">
        <v>0.96388888888888891</v>
      </c>
      <c r="J810">
        <v>25299556.25</v>
      </c>
      <c r="K810">
        <v>165445</v>
      </c>
      <c r="L810">
        <v>2</v>
      </c>
      <c r="M810">
        <v>269</v>
      </c>
      <c r="N810">
        <v>0.96499999999999997</v>
      </c>
      <c r="O810">
        <v>26121532.3125</v>
      </c>
      <c r="P810">
        <v>166600</v>
      </c>
      <c r="Q810">
        <v>2</v>
      </c>
      <c r="R810">
        <v>270</v>
      </c>
      <c r="S810">
        <v>11.236118598382749</v>
      </c>
      <c r="T810">
        <v>0.97604938745498659</v>
      </c>
    </row>
    <row r="811" spans="1:20" x14ac:dyDescent="0.25">
      <c r="A811" t="s">
        <v>106</v>
      </c>
      <c r="B811">
        <v>3</v>
      </c>
      <c r="C811">
        <v>2</v>
      </c>
      <c r="D811">
        <v>0</v>
      </c>
      <c r="E811" t="s">
        <v>141</v>
      </c>
      <c r="F811">
        <v>102816</v>
      </c>
      <c r="G811">
        <v>319234875.125</v>
      </c>
      <c r="H811">
        <v>0.9813888855278492</v>
      </c>
      <c r="I811">
        <v>0.9719444444444445</v>
      </c>
      <c r="J811">
        <v>24228919.4375</v>
      </c>
      <c r="K811">
        <v>166600</v>
      </c>
      <c r="L811">
        <v>2</v>
      </c>
      <c r="M811">
        <v>270</v>
      </c>
      <c r="N811">
        <v>0.9752777777777778</v>
      </c>
      <c r="O811">
        <v>24881624.0625</v>
      </c>
      <c r="P811">
        <v>167759</v>
      </c>
      <c r="Q811">
        <v>2</v>
      </c>
      <c r="R811">
        <v>271</v>
      </c>
      <c r="S811">
        <v>11.238443196677178</v>
      </c>
      <c r="T811">
        <v>0.97777777512868247</v>
      </c>
    </row>
    <row r="812" spans="1:20" x14ac:dyDescent="0.25">
      <c r="A812" t="s">
        <v>106</v>
      </c>
      <c r="B812">
        <v>3</v>
      </c>
      <c r="C812">
        <v>2</v>
      </c>
      <c r="D812">
        <v>0</v>
      </c>
      <c r="E812" t="s">
        <v>142</v>
      </c>
      <c r="F812">
        <v>104002</v>
      </c>
      <c r="G812">
        <v>404807346.25</v>
      </c>
      <c r="H812">
        <v>0.97388888522982597</v>
      </c>
      <c r="I812">
        <v>0.95819444444444446</v>
      </c>
      <c r="J812">
        <v>29071565.125</v>
      </c>
      <c r="K812">
        <v>167759</v>
      </c>
      <c r="L812">
        <v>2</v>
      </c>
      <c r="M812">
        <v>271</v>
      </c>
      <c r="N812">
        <v>0.95902777777777781</v>
      </c>
      <c r="O812">
        <v>28523722.375</v>
      </c>
      <c r="P812">
        <v>168922</v>
      </c>
      <c r="Q812">
        <v>2</v>
      </c>
      <c r="R812">
        <v>272</v>
      </c>
      <c r="S812">
        <v>11.241376661289083</v>
      </c>
      <c r="T812">
        <v>0.9819753130276998</v>
      </c>
    </row>
    <row r="813" spans="1:20" x14ac:dyDescent="0.25">
      <c r="A813" t="s">
        <v>106</v>
      </c>
      <c r="B813">
        <v>3</v>
      </c>
      <c r="C813">
        <v>2</v>
      </c>
      <c r="D813">
        <v>0</v>
      </c>
      <c r="E813" t="s">
        <v>173</v>
      </c>
      <c r="F813">
        <v>104512</v>
      </c>
      <c r="G813">
        <v>353387916.95238096</v>
      </c>
      <c r="H813">
        <v>0.97968253351393197</v>
      </c>
      <c r="I813">
        <v>0.96201058201058198</v>
      </c>
      <c r="J813">
        <v>25095549.761904761</v>
      </c>
      <c r="K813">
        <v>168922</v>
      </c>
      <c r="L813">
        <v>2</v>
      </c>
      <c r="M813">
        <v>272</v>
      </c>
      <c r="N813">
        <v>0.96476190476190471</v>
      </c>
      <c r="O813">
        <v>25390065.095238097</v>
      </c>
      <c r="P813">
        <v>170089</v>
      </c>
      <c r="Q813">
        <v>2</v>
      </c>
      <c r="R813">
        <v>273</v>
      </c>
      <c r="S813">
        <v>11.244439331185765</v>
      </c>
      <c r="T813">
        <v>0.97925925254821777</v>
      </c>
    </row>
    <row r="814" spans="1:20" x14ac:dyDescent="0.25">
      <c r="A814" t="s">
        <v>106</v>
      </c>
      <c r="B814">
        <v>3</v>
      </c>
      <c r="C814">
        <v>2</v>
      </c>
      <c r="D814">
        <v>0</v>
      </c>
      <c r="E814" t="s">
        <v>143</v>
      </c>
      <c r="F814">
        <v>105188</v>
      </c>
      <c r="G814">
        <v>404688476.16666669</v>
      </c>
      <c r="H814">
        <v>0.97962961594263709</v>
      </c>
      <c r="I814">
        <v>0.96592592592592597</v>
      </c>
      <c r="J814">
        <v>28088910.333333332</v>
      </c>
      <c r="K814">
        <v>170089</v>
      </c>
      <c r="L814">
        <v>2</v>
      </c>
      <c r="M814">
        <v>273</v>
      </c>
      <c r="N814">
        <v>0.96407407407407408</v>
      </c>
      <c r="O814">
        <v>27980292.666666668</v>
      </c>
      <c r="P814">
        <v>171260</v>
      </c>
      <c r="Q814">
        <v>2</v>
      </c>
      <c r="R814">
        <v>274</v>
      </c>
      <c r="S814">
        <v>11.245323520392517</v>
      </c>
      <c r="T814">
        <v>0.97185184955596926</v>
      </c>
    </row>
    <row r="815" spans="1:20" x14ac:dyDescent="0.25">
      <c r="A815" t="s">
        <v>106</v>
      </c>
      <c r="B815">
        <v>3</v>
      </c>
      <c r="C815">
        <v>2</v>
      </c>
      <c r="D815">
        <v>0</v>
      </c>
      <c r="E815" t="s">
        <v>174</v>
      </c>
      <c r="F815">
        <v>105730</v>
      </c>
      <c r="G815">
        <v>327563698.09523809</v>
      </c>
      <c r="H815">
        <v>0.98031745638166157</v>
      </c>
      <c r="I815">
        <v>0.96507936507936509</v>
      </c>
      <c r="J815">
        <v>25729633.761904761</v>
      </c>
      <c r="K815">
        <v>171260</v>
      </c>
      <c r="L815">
        <v>2</v>
      </c>
      <c r="M815">
        <v>274</v>
      </c>
      <c r="N815">
        <v>0.96211640211640215</v>
      </c>
      <c r="O815">
        <v>26057645.285714287</v>
      </c>
      <c r="P815">
        <v>172435</v>
      </c>
      <c r="Q815">
        <v>2</v>
      </c>
      <c r="R815">
        <v>275</v>
      </c>
      <c r="S815">
        <v>11.247455032529659</v>
      </c>
      <c r="T815">
        <v>0.97814814448356624</v>
      </c>
    </row>
    <row r="816" spans="1:20" x14ac:dyDescent="0.25">
      <c r="A816" t="s">
        <v>106</v>
      </c>
      <c r="B816">
        <v>3</v>
      </c>
      <c r="C816">
        <v>2</v>
      </c>
      <c r="D816">
        <v>0</v>
      </c>
      <c r="E816" t="s">
        <v>144</v>
      </c>
      <c r="F816">
        <v>106374</v>
      </c>
      <c r="G816">
        <v>381472909.72727275</v>
      </c>
      <c r="H816">
        <v>0.98000000281767408</v>
      </c>
      <c r="I816">
        <v>0.97232323232323237</v>
      </c>
      <c r="J816">
        <v>28279236.181818184</v>
      </c>
      <c r="K816">
        <v>172435</v>
      </c>
      <c r="L816">
        <v>2</v>
      </c>
      <c r="M816">
        <v>275</v>
      </c>
      <c r="N816">
        <v>0.97131313131313135</v>
      </c>
      <c r="O816">
        <v>28900893.545454547</v>
      </c>
      <c r="P816">
        <v>173614</v>
      </c>
      <c r="Q816">
        <v>2</v>
      </c>
      <c r="R816">
        <v>276</v>
      </c>
      <c r="S816">
        <v>11.248394004282655</v>
      </c>
      <c r="T816">
        <v>0.97962963581085205</v>
      </c>
    </row>
    <row r="817" spans="1:20" x14ac:dyDescent="0.25">
      <c r="A817" t="s">
        <v>106</v>
      </c>
      <c r="B817">
        <v>3</v>
      </c>
      <c r="C817">
        <v>2</v>
      </c>
      <c r="D817">
        <v>0</v>
      </c>
      <c r="E817" t="s">
        <v>145</v>
      </c>
      <c r="F817">
        <v>107560</v>
      </c>
      <c r="G817">
        <v>347733193.25</v>
      </c>
      <c r="H817">
        <v>0.97708333283662796</v>
      </c>
      <c r="I817">
        <v>0.95944444444444443</v>
      </c>
      <c r="J817">
        <v>25567336.3125</v>
      </c>
      <c r="K817">
        <v>173614</v>
      </c>
      <c r="L817">
        <v>2</v>
      </c>
      <c r="M817">
        <v>276</v>
      </c>
      <c r="N817">
        <v>0.96305555555555555</v>
      </c>
      <c r="O817">
        <v>27306918.8125</v>
      </c>
      <c r="P817">
        <v>174797</v>
      </c>
      <c r="Q817">
        <v>2</v>
      </c>
      <c r="R817">
        <v>277</v>
      </c>
      <c r="S817">
        <v>11.250076382523678</v>
      </c>
      <c r="T817">
        <v>0.97851852575937903</v>
      </c>
    </row>
    <row r="818" spans="1:20" x14ac:dyDescent="0.25">
      <c r="A818" t="s">
        <v>106</v>
      </c>
      <c r="B818">
        <v>3</v>
      </c>
      <c r="C818">
        <v>2</v>
      </c>
      <c r="D818">
        <v>0</v>
      </c>
      <c r="E818" t="s">
        <v>176</v>
      </c>
      <c r="F818">
        <v>108166</v>
      </c>
      <c r="G818">
        <v>464866476.375</v>
      </c>
      <c r="H818">
        <v>0.97736110910773277</v>
      </c>
      <c r="I818">
        <v>0.96555555555555561</v>
      </c>
      <c r="J818">
        <v>29023087.125</v>
      </c>
      <c r="K818">
        <v>174797</v>
      </c>
      <c r="L818">
        <v>2</v>
      </c>
      <c r="M818">
        <v>277</v>
      </c>
      <c r="N818">
        <v>0.96694444444444438</v>
      </c>
      <c r="O818">
        <v>29462948.125</v>
      </c>
      <c r="P818">
        <v>175984</v>
      </c>
      <c r="Q818">
        <v>2</v>
      </c>
      <c r="R818">
        <v>278</v>
      </c>
      <c r="S818">
        <v>11.253127860848338</v>
      </c>
      <c r="T818">
        <v>0.97654321193695071</v>
      </c>
    </row>
    <row r="819" spans="1:20" x14ac:dyDescent="0.25">
      <c r="A819" t="s">
        <v>106</v>
      </c>
      <c r="B819">
        <v>3</v>
      </c>
      <c r="C819">
        <v>2</v>
      </c>
      <c r="D819">
        <v>0</v>
      </c>
      <c r="E819" t="s">
        <v>146</v>
      </c>
      <c r="F819">
        <v>108746</v>
      </c>
      <c r="G819">
        <v>416595893.5</v>
      </c>
      <c r="H819">
        <v>0.9769444428384304</v>
      </c>
      <c r="I819">
        <v>0.96430555555555553</v>
      </c>
      <c r="J819">
        <v>24985478.875</v>
      </c>
      <c r="K819">
        <v>175984</v>
      </c>
      <c r="L819">
        <v>2</v>
      </c>
      <c r="M819">
        <v>278</v>
      </c>
      <c r="N819">
        <v>0.96319444444444446</v>
      </c>
      <c r="O819">
        <v>25950140.5</v>
      </c>
      <c r="P819">
        <v>177175</v>
      </c>
      <c r="Q819">
        <v>2</v>
      </c>
      <c r="R819">
        <v>279</v>
      </c>
      <c r="S819">
        <v>11.257086254190796</v>
      </c>
      <c r="T819">
        <v>0.98074072996775308</v>
      </c>
    </row>
    <row r="820" spans="1:20" x14ac:dyDescent="0.25">
      <c r="A820" t="s">
        <v>106</v>
      </c>
      <c r="B820">
        <v>3</v>
      </c>
      <c r="C820">
        <v>2</v>
      </c>
      <c r="D820">
        <v>0</v>
      </c>
      <c r="E820" t="s">
        <v>177</v>
      </c>
      <c r="F820">
        <v>109384</v>
      </c>
      <c r="G820">
        <v>372310050.8125</v>
      </c>
      <c r="H820">
        <v>0.98041666299104691</v>
      </c>
      <c r="I820">
        <v>0.97027777777777779</v>
      </c>
      <c r="J820">
        <v>26154178.4375</v>
      </c>
      <c r="K820">
        <v>177175</v>
      </c>
      <c r="L820">
        <v>2</v>
      </c>
      <c r="M820">
        <v>279</v>
      </c>
      <c r="N820">
        <v>0.96930555555555553</v>
      </c>
      <c r="O820">
        <v>26106698.0625</v>
      </c>
      <c r="P820">
        <v>178370</v>
      </c>
      <c r="Q820">
        <v>2</v>
      </c>
      <c r="R820">
        <v>280</v>
      </c>
      <c r="S820">
        <v>11.259208523592084</v>
      </c>
      <c r="T820">
        <v>0.98024691740671799</v>
      </c>
    </row>
    <row r="821" spans="1:20" x14ac:dyDescent="0.25">
      <c r="A821" t="s">
        <v>106</v>
      </c>
      <c r="B821">
        <v>3</v>
      </c>
      <c r="C821">
        <v>2</v>
      </c>
      <c r="D821">
        <v>0</v>
      </c>
      <c r="E821" t="s">
        <v>196</v>
      </c>
      <c r="F821">
        <v>109894</v>
      </c>
      <c r="G821">
        <v>457889983.36363637</v>
      </c>
      <c r="H821">
        <v>0.97171716256575147</v>
      </c>
      <c r="I821">
        <v>0.96020202020202017</v>
      </c>
      <c r="J821">
        <v>29286024.272727273</v>
      </c>
      <c r="K821">
        <v>178370</v>
      </c>
      <c r="L821">
        <v>2</v>
      </c>
      <c r="M821">
        <v>280</v>
      </c>
      <c r="N821">
        <v>0.96060606060606057</v>
      </c>
      <c r="O821">
        <v>27627678.272727273</v>
      </c>
      <c r="P821">
        <v>179569</v>
      </c>
      <c r="Q821">
        <v>2</v>
      </c>
      <c r="R821">
        <v>281</v>
      </c>
      <c r="S821">
        <v>11.260968747623755</v>
      </c>
      <c r="T821">
        <v>0.97592592239379883</v>
      </c>
    </row>
    <row r="822" spans="1:20" x14ac:dyDescent="0.25">
      <c r="A822" t="s">
        <v>106</v>
      </c>
      <c r="B822">
        <v>3</v>
      </c>
      <c r="C822">
        <v>2</v>
      </c>
      <c r="D822">
        <v>0</v>
      </c>
      <c r="E822" t="s">
        <v>178</v>
      </c>
      <c r="F822">
        <v>110602</v>
      </c>
      <c r="G822">
        <v>393265630.9375</v>
      </c>
      <c r="H822">
        <v>0.97847221419215202</v>
      </c>
      <c r="I822">
        <v>0.9655555555555555</v>
      </c>
      <c r="J822">
        <v>24493372.125</v>
      </c>
      <c r="K822">
        <v>179569</v>
      </c>
      <c r="L822">
        <v>2</v>
      </c>
      <c r="M822">
        <v>281</v>
      </c>
      <c r="N822">
        <v>0.96819444444444447</v>
      </c>
      <c r="O822">
        <v>25852443.375</v>
      </c>
      <c r="P822">
        <v>180772</v>
      </c>
      <c r="Q822">
        <v>2</v>
      </c>
      <c r="R822">
        <v>282</v>
      </c>
      <c r="S822">
        <v>11.264297106402369</v>
      </c>
      <c r="T822">
        <v>0.97283950646718342</v>
      </c>
    </row>
    <row r="823" spans="1:20" x14ac:dyDescent="0.25">
      <c r="A823" t="s">
        <v>106</v>
      </c>
      <c r="B823">
        <v>3</v>
      </c>
      <c r="C823">
        <v>2</v>
      </c>
      <c r="D823">
        <v>0</v>
      </c>
      <c r="E823" t="s">
        <v>179</v>
      </c>
      <c r="F823">
        <v>111820</v>
      </c>
      <c r="G823">
        <v>465072507.45454544</v>
      </c>
      <c r="H823">
        <v>0.97858586094596167</v>
      </c>
      <c r="I823">
        <v>0.97131313131313135</v>
      </c>
      <c r="J823">
        <v>29280134.90909091</v>
      </c>
      <c r="K823">
        <v>180772</v>
      </c>
      <c r="L823">
        <v>2</v>
      </c>
      <c r="M823">
        <v>282</v>
      </c>
      <c r="N823">
        <v>0.97191919191919196</v>
      </c>
      <c r="O823">
        <v>29454650.90909091</v>
      </c>
      <c r="P823">
        <v>181979</v>
      </c>
      <c r="Q823">
        <v>2</v>
      </c>
      <c r="R823">
        <v>283</v>
      </c>
      <c r="S823">
        <v>11.265594172105024</v>
      </c>
      <c r="T823">
        <v>0.97666666507720945</v>
      </c>
    </row>
    <row r="824" spans="1:20" x14ac:dyDescent="0.25">
      <c r="A824" t="s">
        <v>106</v>
      </c>
      <c r="B824">
        <v>3</v>
      </c>
      <c r="C824">
        <v>2</v>
      </c>
      <c r="D824">
        <v>0</v>
      </c>
      <c r="E824" t="s">
        <v>198</v>
      </c>
      <c r="F824">
        <v>112394</v>
      </c>
      <c r="G824">
        <v>390764051.0625</v>
      </c>
      <c r="H824">
        <v>0.97847222536802292</v>
      </c>
      <c r="I824">
        <v>0.96166666666666667</v>
      </c>
      <c r="J824">
        <v>26399620.125</v>
      </c>
      <c r="K824">
        <v>181979</v>
      </c>
      <c r="L824">
        <v>2</v>
      </c>
      <c r="M824">
        <v>283</v>
      </c>
      <c r="N824">
        <v>0.96833333333333338</v>
      </c>
      <c r="O824">
        <v>25856017.1875</v>
      </c>
      <c r="P824">
        <v>183190</v>
      </c>
      <c r="Q824">
        <v>2</v>
      </c>
      <c r="R824">
        <v>284</v>
      </c>
      <c r="S824">
        <v>11.267697438229499</v>
      </c>
      <c r="T824">
        <v>0.97530863285064695</v>
      </c>
    </row>
    <row r="825" spans="1:20" x14ac:dyDescent="0.25">
      <c r="A825" t="s">
        <v>106</v>
      </c>
      <c r="B825">
        <v>3</v>
      </c>
      <c r="C825">
        <v>2</v>
      </c>
      <c r="D825">
        <v>0</v>
      </c>
      <c r="E825" t="s">
        <v>213</v>
      </c>
      <c r="F825">
        <v>112840</v>
      </c>
      <c r="G825">
        <v>319500258.66666669</v>
      </c>
      <c r="H825">
        <v>0.98592590292294824</v>
      </c>
      <c r="I825">
        <v>0.97962962962962963</v>
      </c>
      <c r="J825">
        <v>19395521</v>
      </c>
      <c r="K825">
        <v>183190</v>
      </c>
      <c r="L825">
        <v>2</v>
      </c>
      <c r="M825">
        <v>284</v>
      </c>
      <c r="N825">
        <v>0.98074074074074069</v>
      </c>
      <c r="O825">
        <v>19867176.666666668</v>
      </c>
      <c r="P825">
        <v>184405</v>
      </c>
      <c r="Q825">
        <v>2</v>
      </c>
      <c r="R825">
        <v>285</v>
      </c>
      <c r="S825">
        <v>11.269621212121212</v>
      </c>
      <c r="T825">
        <v>0.98222222328186037</v>
      </c>
    </row>
    <row r="826" spans="1:20" x14ac:dyDescent="0.25">
      <c r="A826" t="s">
        <v>106</v>
      </c>
      <c r="B826">
        <v>3</v>
      </c>
      <c r="C826">
        <v>2</v>
      </c>
      <c r="D826">
        <v>0</v>
      </c>
      <c r="E826" t="s">
        <v>199</v>
      </c>
      <c r="F826">
        <v>113644</v>
      </c>
      <c r="G826">
        <v>316264058.63636363</v>
      </c>
      <c r="H826">
        <v>0.97858585552735766</v>
      </c>
      <c r="I826">
        <v>0.96141414141414139</v>
      </c>
      <c r="J826">
        <v>24413882.363636363</v>
      </c>
      <c r="K826">
        <v>184405</v>
      </c>
      <c r="L826">
        <v>2</v>
      </c>
      <c r="M826">
        <v>285</v>
      </c>
      <c r="N826">
        <v>0.96464646464646464</v>
      </c>
      <c r="O826">
        <v>23687843.727272727</v>
      </c>
      <c r="P826">
        <v>185624</v>
      </c>
      <c r="Q826">
        <v>2</v>
      </c>
      <c r="R826">
        <v>286</v>
      </c>
      <c r="S826">
        <v>11.271591855272122</v>
      </c>
      <c r="T826">
        <v>0.97370370030403142</v>
      </c>
    </row>
    <row r="827" spans="1:20" x14ac:dyDescent="0.25">
      <c r="A827" t="s">
        <v>106</v>
      </c>
      <c r="B827">
        <v>3</v>
      </c>
      <c r="C827">
        <v>2</v>
      </c>
      <c r="D827">
        <v>0</v>
      </c>
      <c r="E827" t="s">
        <v>200</v>
      </c>
      <c r="F827">
        <v>114894</v>
      </c>
      <c r="G827">
        <v>258880905.09090909</v>
      </c>
      <c r="H827">
        <v>0.98666665770790796</v>
      </c>
      <c r="I827">
        <v>0.98</v>
      </c>
      <c r="J827">
        <v>20221203.545454547</v>
      </c>
      <c r="K827">
        <v>185624</v>
      </c>
      <c r="L827">
        <v>2</v>
      </c>
      <c r="M827">
        <v>286</v>
      </c>
      <c r="N827">
        <v>0.97616161616161612</v>
      </c>
      <c r="O827">
        <v>20089307.272727273</v>
      </c>
      <c r="P827">
        <v>186847</v>
      </c>
      <c r="Q827">
        <v>2</v>
      </c>
      <c r="R827">
        <v>287</v>
      </c>
      <c r="S827">
        <v>11.273332324913024</v>
      </c>
      <c r="T827">
        <v>0.98518518805503841</v>
      </c>
    </row>
    <row r="828" spans="1:20" x14ac:dyDescent="0.25">
      <c r="A828" t="s">
        <v>106</v>
      </c>
      <c r="B828">
        <v>3</v>
      </c>
      <c r="C828">
        <v>2</v>
      </c>
      <c r="D828">
        <v>0</v>
      </c>
      <c r="E828" t="s">
        <v>214</v>
      </c>
      <c r="F828">
        <v>115404</v>
      </c>
      <c r="G828">
        <v>349226537.45454544</v>
      </c>
      <c r="H828">
        <v>0.97838384454900573</v>
      </c>
      <c r="I828">
        <v>0.96262626262626261</v>
      </c>
      <c r="J828">
        <v>24549016.818181816</v>
      </c>
      <c r="K828">
        <v>186847</v>
      </c>
      <c r="L828">
        <v>2</v>
      </c>
      <c r="M828">
        <v>287</v>
      </c>
      <c r="N828">
        <v>0.96464646464646464</v>
      </c>
      <c r="O828">
        <v>24217855.363636363</v>
      </c>
      <c r="P828">
        <v>188074</v>
      </c>
      <c r="Q828">
        <v>2</v>
      </c>
      <c r="R828">
        <v>288</v>
      </c>
      <c r="S828">
        <v>11.276127862162776</v>
      </c>
      <c r="T828">
        <v>0.97962961792945857</v>
      </c>
    </row>
    <row r="829" spans="1:20" x14ac:dyDescent="0.25">
      <c r="A829" t="s">
        <v>106</v>
      </c>
      <c r="B829">
        <v>3</v>
      </c>
      <c r="C829">
        <v>2</v>
      </c>
      <c r="D829">
        <v>0</v>
      </c>
      <c r="E829" t="s">
        <v>215</v>
      </c>
      <c r="F829">
        <v>116686</v>
      </c>
      <c r="G829">
        <v>371738176.45454544</v>
      </c>
      <c r="H829">
        <v>0.97979797558351001</v>
      </c>
      <c r="I829">
        <v>0.96323232323232322</v>
      </c>
      <c r="J829">
        <v>24683969.636363637</v>
      </c>
      <c r="K829">
        <v>189305</v>
      </c>
      <c r="L829">
        <v>2</v>
      </c>
      <c r="M829">
        <v>289</v>
      </c>
      <c r="N829">
        <v>0.96424242424242423</v>
      </c>
      <c r="O829">
        <v>23907581.181818184</v>
      </c>
      <c r="P829">
        <v>190540</v>
      </c>
      <c r="Q829">
        <v>2</v>
      </c>
      <c r="R829">
        <v>290</v>
      </c>
      <c r="S829">
        <v>11.278994261552402</v>
      </c>
      <c r="T829">
        <v>0.97555555701255803</v>
      </c>
    </row>
    <row r="830" spans="1:20" x14ac:dyDescent="0.25">
      <c r="A830" t="s">
        <v>106</v>
      </c>
      <c r="B830">
        <v>3</v>
      </c>
      <c r="C830">
        <v>2</v>
      </c>
      <c r="D830">
        <v>0</v>
      </c>
      <c r="E830" t="s">
        <v>216</v>
      </c>
      <c r="F830">
        <v>117968</v>
      </c>
      <c r="G830">
        <v>458072360.45454544</v>
      </c>
      <c r="H830">
        <v>0.97030302611264319</v>
      </c>
      <c r="I830">
        <v>0.94989898989898991</v>
      </c>
      <c r="J830">
        <v>30198240.454545453</v>
      </c>
      <c r="K830">
        <v>190540</v>
      </c>
      <c r="L830">
        <v>2</v>
      </c>
      <c r="M830">
        <v>290</v>
      </c>
      <c r="N830">
        <v>0.94969696969696971</v>
      </c>
      <c r="O830">
        <v>29932152.181818184</v>
      </c>
      <c r="P830">
        <v>191779</v>
      </c>
      <c r="Q830">
        <v>2</v>
      </c>
      <c r="R830">
        <v>291</v>
      </c>
      <c r="S830">
        <v>11.280271595624292</v>
      </c>
      <c r="T830">
        <v>0.97592592239379883</v>
      </c>
    </row>
    <row r="831" spans="1:20" x14ac:dyDescent="0.25">
      <c r="A831" t="s">
        <v>106</v>
      </c>
      <c r="B831">
        <v>3</v>
      </c>
      <c r="C831">
        <v>2</v>
      </c>
      <c r="D831">
        <v>0</v>
      </c>
      <c r="E831" t="s">
        <v>231</v>
      </c>
      <c r="F831">
        <v>118414</v>
      </c>
      <c r="G831">
        <v>434898590.5</v>
      </c>
      <c r="H831">
        <v>0.96518517533938086</v>
      </c>
      <c r="I831">
        <v>0.94370370370370371</v>
      </c>
      <c r="J831">
        <v>30935969.333333332</v>
      </c>
      <c r="K831">
        <v>191779</v>
      </c>
      <c r="L831">
        <v>2</v>
      </c>
      <c r="M831">
        <v>291</v>
      </c>
      <c r="N831">
        <v>0.94259259259259254</v>
      </c>
      <c r="O831">
        <v>31025439.333333332</v>
      </c>
      <c r="P831">
        <v>193022</v>
      </c>
      <c r="Q831">
        <v>2</v>
      </c>
      <c r="R831">
        <v>292</v>
      </c>
      <c r="S831">
        <v>11.280898876404494</v>
      </c>
      <c r="T831">
        <v>0.98000000715255742</v>
      </c>
    </row>
    <row r="832" spans="1:20" x14ac:dyDescent="0.25">
      <c r="A832" t="s">
        <v>106</v>
      </c>
      <c r="B832">
        <v>3</v>
      </c>
      <c r="C832">
        <v>2</v>
      </c>
      <c r="D832">
        <v>0</v>
      </c>
      <c r="E832" t="s">
        <v>232</v>
      </c>
      <c r="F832">
        <v>119728</v>
      </c>
      <c r="G832">
        <v>491178008</v>
      </c>
      <c r="H832">
        <v>0.96333333849906921</v>
      </c>
      <c r="I832">
        <v>0.94444444444444442</v>
      </c>
      <c r="J832">
        <v>28683031.833333332</v>
      </c>
      <c r="K832">
        <v>194269</v>
      </c>
      <c r="L832">
        <v>2</v>
      </c>
      <c r="M832">
        <v>293</v>
      </c>
      <c r="N832">
        <v>0.94481481481481477</v>
      </c>
      <c r="O832">
        <v>28154978.833333332</v>
      </c>
      <c r="P832">
        <v>195520</v>
      </c>
      <c r="Q832">
        <v>2</v>
      </c>
      <c r="R832">
        <v>294</v>
      </c>
      <c r="S832">
        <v>11.282656214667973</v>
      </c>
      <c r="T832">
        <v>0.96148147583007815</v>
      </c>
    </row>
    <row r="833" spans="1:20" x14ac:dyDescent="0.25">
      <c r="A833" t="s">
        <v>106</v>
      </c>
      <c r="B833">
        <v>3</v>
      </c>
      <c r="C833">
        <v>2</v>
      </c>
      <c r="D833">
        <v>0</v>
      </c>
      <c r="E833" t="s">
        <v>233</v>
      </c>
      <c r="F833">
        <v>121042</v>
      </c>
      <c r="G833">
        <v>482397619.33333331</v>
      </c>
      <c r="H833">
        <v>0.96703703204790747</v>
      </c>
      <c r="I833">
        <v>0.94444444444444442</v>
      </c>
      <c r="J833">
        <v>28738557</v>
      </c>
      <c r="K833">
        <v>195520</v>
      </c>
      <c r="L833">
        <v>2</v>
      </c>
      <c r="M833">
        <v>294</v>
      </c>
      <c r="N833">
        <v>0.94148148148148147</v>
      </c>
      <c r="O833">
        <v>30457126.666666668</v>
      </c>
      <c r="P833">
        <v>196775</v>
      </c>
      <c r="Q833">
        <v>2</v>
      </c>
      <c r="R833">
        <v>295</v>
      </c>
      <c r="S833">
        <v>11.283884577714156</v>
      </c>
      <c r="T833">
        <v>0.9703703641891479</v>
      </c>
    </row>
    <row r="834" spans="1:20" x14ac:dyDescent="0.25">
      <c r="A834" t="s">
        <v>106</v>
      </c>
      <c r="B834">
        <v>3</v>
      </c>
      <c r="C834">
        <v>3</v>
      </c>
      <c r="D834">
        <v>0</v>
      </c>
      <c r="E834" t="s">
        <v>123</v>
      </c>
      <c r="F834">
        <v>32026</v>
      </c>
      <c r="G834">
        <v>420063549.83333331</v>
      </c>
      <c r="H834">
        <v>0.96555555860201514</v>
      </c>
      <c r="I834">
        <v>0.94777777777777783</v>
      </c>
      <c r="J834">
        <v>26044664.166666668</v>
      </c>
      <c r="K834">
        <v>56560</v>
      </c>
      <c r="L834">
        <v>2</v>
      </c>
      <c r="M834">
        <v>150</v>
      </c>
      <c r="N834">
        <v>0.94481481481481477</v>
      </c>
      <c r="O834">
        <v>27608244.333333332</v>
      </c>
      <c r="P834">
        <v>57239</v>
      </c>
      <c r="Q834">
        <v>2</v>
      </c>
      <c r="R834">
        <v>151</v>
      </c>
      <c r="S834">
        <v>11.284584682581519</v>
      </c>
      <c r="T834">
        <v>0.96444443464279173</v>
      </c>
    </row>
    <row r="835" spans="1:20" x14ac:dyDescent="0.25">
      <c r="A835" t="s">
        <v>106</v>
      </c>
      <c r="B835">
        <v>3</v>
      </c>
      <c r="C835">
        <v>3</v>
      </c>
      <c r="D835">
        <v>0</v>
      </c>
      <c r="E835" t="s">
        <v>249</v>
      </c>
      <c r="F835">
        <v>60040</v>
      </c>
      <c r="G835">
        <v>61848799.399999999</v>
      </c>
      <c r="H835">
        <v>0.95600000619888303</v>
      </c>
      <c r="I835">
        <v>0.95111111111111113</v>
      </c>
      <c r="J835">
        <v>17680217.600000001</v>
      </c>
      <c r="K835">
        <v>106222</v>
      </c>
      <c r="L835">
        <v>2</v>
      </c>
      <c r="M835">
        <v>212</v>
      </c>
      <c r="N835">
        <v>0.94533333333333336</v>
      </c>
      <c r="O835">
        <v>16907113</v>
      </c>
      <c r="P835">
        <v>107149</v>
      </c>
      <c r="Q835">
        <v>2</v>
      </c>
      <c r="R835">
        <v>213</v>
      </c>
      <c r="S835">
        <v>11.283875338753388</v>
      </c>
      <c r="T835">
        <v>0.94629628956317902</v>
      </c>
    </row>
    <row r="836" spans="1:20" x14ac:dyDescent="0.25">
      <c r="A836" t="s">
        <v>106</v>
      </c>
      <c r="B836">
        <v>3</v>
      </c>
      <c r="C836">
        <v>3</v>
      </c>
      <c r="D836">
        <v>0</v>
      </c>
      <c r="E836" t="s">
        <v>250</v>
      </c>
      <c r="F836">
        <v>61374</v>
      </c>
      <c r="G836">
        <v>104612372.5</v>
      </c>
      <c r="H836">
        <v>0.95925926168759668</v>
      </c>
      <c r="I836">
        <v>0.96111111111111114</v>
      </c>
      <c r="J836">
        <v>20265841</v>
      </c>
      <c r="K836">
        <v>109015</v>
      </c>
      <c r="L836">
        <v>2</v>
      </c>
      <c r="M836">
        <v>215</v>
      </c>
      <c r="N836">
        <v>0.96592592592592597</v>
      </c>
      <c r="O836">
        <v>20332348.833333332</v>
      </c>
      <c r="P836">
        <v>109954</v>
      </c>
      <c r="Q836">
        <v>2</v>
      </c>
      <c r="R836">
        <v>216</v>
      </c>
      <c r="S836">
        <v>11.283145221971408</v>
      </c>
      <c r="T836">
        <v>0.96370370388031001</v>
      </c>
    </row>
    <row r="837" spans="1:20" x14ac:dyDescent="0.25">
      <c r="A837" t="s">
        <v>106</v>
      </c>
      <c r="B837">
        <v>3</v>
      </c>
      <c r="C837">
        <v>3</v>
      </c>
      <c r="D837">
        <v>0</v>
      </c>
      <c r="E837" t="s">
        <v>251</v>
      </c>
      <c r="F837">
        <v>62708</v>
      </c>
      <c r="G837">
        <v>101469877.83333333</v>
      </c>
      <c r="H837">
        <v>0.9651851852734884</v>
      </c>
      <c r="I837">
        <v>0.96481481481481479</v>
      </c>
      <c r="J837">
        <v>21420805.333333332</v>
      </c>
      <c r="K837">
        <v>110897</v>
      </c>
      <c r="L837">
        <v>2</v>
      </c>
      <c r="M837">
        <v>217</v>
      </c>
      <c r="N837">
        <v>0.95851851851851855</v>
      </c>
      <c r="O837">
        <v>20409100.166666668</v>
      </c>
      <c r="P837">
        <v>111844</v>
      </c>
      <c r="Q837">
        <v>2</v>
      </c>
      <c r="R837">
        <v>218</v>
      </c>
      <c r="S837">
        <v>11.282716606498195</v>
      </c>
      <c r="T837">
        <v>0.97111109495162962</v>
      </c>
    </row>
    <row r="838" spans="1:20" x14ac:dyDescent="0.25">
      <c r="A838" t="s">
        <v>106</v>
      </c>
      <c r="B838">
        <v>3</v>
      </c>
      <c r="C838">
        <v>3</v>
      </c>
      <c r="D838">
        <v>0</v>
      </c>
      <c r="E838" t="s">
        <v>252</v>
      </c>
      <c r="F838">
        <v>64042</v>
      </c>
      <c r="G838">
        <v>95378322.5</v>
      </c>
      <c r="H838">
        <v>0.96666665871938073</v>
      </c>
      <c r="I838">
        <v>0.96370370370370373</v>
      </c>
      <c r="J838">
        <v>20690475.833333332</v>
      </c>
      <c r="K838">
        <v>113750</v>
      </c>
      <c r="L838">
        <v>2</v>
      </c>
      <c r="M838">
        <v>220</v>
      </c>
      <c r="N838">
        <v>0.95370370370370372</v>
      </c>
      <c r="O838">
        <v>20921187.666666668</v>
      </c>
      <c r="P838">
        <v>114709</v>
      </c>
      <c r="Q838">
        <v>2</v>
      </c>
      <c r="R838">
        <v>221</v>
      </c>
      <c r="S838">
        <v>11.28191249436175</v>
      </c>
      <c r="T838">
        <v>0.97259258031845097</v>
      </c>
    </row>
    <row r="839" spans="1:20" x14ac:dyDescent="0.25">
      <c r="A839" t="s">
        <v>106</v>
      </c>
      <c r="B839">
        <v>3</v>
      </c>
      <c r="C839">
        <v>3</v>
      </c>
      <c r="D839">
        <v>0</v>
      </c>
      <c r="E839" t="s">
        <v>253</v>
      </c>
      <c r="F839">
        <v>65376</v>
      </c>
      <c r="G839">
        <v>98543844.5</v>
      </c>
      <c r="H839">
        <v>0.95592592159907019</v>
      </c>
      <c r="I839">
        <v>0.96703703703703703</v>
      </c>
      <c r="J839">
        <v>21485800</v>
      </c>
      <c r="K839">
        <v>115672</v>
      </c>
      <c r="L839">
        <v>2</v>
      </c>
      <c r="M839">
        <v>222</v>
      </c>
      <c r="N839">
        <v>0.96148148148148149</v>
      </c>
      <c r="O839">
        <v>21123884.666666668</v>
      </c>
      <c r="P839">
        <v>116639</v>
      </c>
      <c r="Q839">
        <v>2</v>
      </c>
      <c r="R839">
        <v>223</v>
      </c>
      <c r="S839">
        <v>11.281109107303877</v>
      </c>
      <c r="T839">
        <v>0.9703703641891479</v>
      </c>
    </row>
    <row r="840" spans="1:20" x14ac:dyDescent="0.25">
      <c r="A840" t="s">
        <v>106</v>
      </c>
      <c r="B840">
        <v>3</v>
      </c>
      <c r="C840">
        <v>3</v>
      </c>
      <c r="D840">
        <v>0</v>
      </c>
      <c r="E840" t="s">
        <v>107</v>
      </c>
      <c r="F840">
        <v>66710</v>
      </c>
      <c r="G840">
        <v>107032262.66666667</v>
      </c>
      <c r="H840">
        <v>0.96037036180496216</v>
      </c>
      <c r="I840">
        <v>0.96444444444444444</v>
      </c>
      <c r="J840">
        <v>20773437.166666668</v>
      </c>
      <c r="K840">
        <v>117610</v>
      </c>
      <c r="L840">
        <v>2</v>
      </c>
      <c r="M840">
        <v>224</v>
      </c>
      <c r="N840">
        <v>0.97037037037037044</v>
      </c>
      <c r="O840">
        <v>21639052</v>
      </c>
      <c r="P840">
        <v>118585</v>
      </c>
      <c r="Q840">
        <v>2</v>
      </c>
      <c r="R840">
        <v>225</v>
      </c>
      <c r="S840">
        <v>11.280156226528467</v>
      </c>
      <c r="T840">
        <v>0.96148148775100706</v>
      </c>
    </row>
    <row r="841" spans="1:20" x14ac:dyDescent="0.25">
      <c r="A841" t="s">
        <v>106</v>
      </c>
      <c r="B841">
        <v>3</v>
      </c>
      <c r="C841">
        <v>3</v>
      </c>
      <c r="D841">
        <v>0</v>
      </c>
      <c r="E841" t="s">
        <v>108</v>
      </c>
      <c r="F841">
        <v>68044</v>
      </c>
      <c r="G841">
        <v>97930614.666666672</v>
      </c>
      <c r="H841">
        <v>0.9588888784249624</v>
      </c>
      <c r="I841">
        <v>0.95703703703703713</v>
      </c>
      <c r="J841">
        <v>18572332.5</v>
      </c>
      <c r="K841">
        <v>120547</v>
      </c>
      <c r="L841">
        <v>2</v>
      </c>
      <c r="M841">
        <v>227</v>
      </c>
      <c r="N841">
        <v>0.96111111111111103</v>
      </c>
      <c r="O841">
        <v>21813492.5</v>
      </c>
      <c r="P841">
        <v>121534</v>
      </c>
      <c r="Q841">
        <v>2</v>
      </c>
      <c r="R841">
        <v>228</v>
      </c>
      <c r="S841">
        <v>11.279054054054054</v>
      </c>
      <c r="T841">
        <v>0.96888887882232666</v>
      </c>
    </row>
    <row r="842" spans="1:20" x14ac:dyDescent="0.25">
      <c r="A842" t="s">
        <v>106</v>
      </c>
      <c r="B842">
        <v>3</v>
      </c>
      <c r="C842">
        <v>3</v>
      </c>
      <c r="D842">
        <v>0</v>
      </c>
      <c r="E842" t="s">
        <v>109</v>
      </c>
      <c r="F842">
        <v>69378</v>
      </c>
      <c r="G842">
        <v>103424576.83333333</v>
      </c>
      <c r="H842">
        <v>0.95851850509643555</v>
      </c>
      <c r="I842">
        <v>0.96518518518518515</v>
      </c>
      <c r="J842">
        <v>20965258.333333332</v>
      </c>
      <c r="K842">
        <v>122525</v>
      </c>
      <c r="L842">
        <v>2</v>
      </c>
      <c r="M842">
        <v>229</v>
      </c>
      <c r="N842">
        <v>0.96592592592592597</v>
      </c>
      <c r="O842">
        <v>21995897.833333332</v>
      </c>
      <c r="P842">
        <v>123520</v>
      </c>
      <c r="Q842">
        <v>2</v>
      </c>
      <c r="R842">
        <v>230</v>
      </c>
      <c r="S842">
        <v>11.278253039171544</v>
      </c>
      <c r="T842">
        <v>0.9666666626930237</v>
      </c>
    </row>
    <row r="843" spans="1:20" x14ac:dyDescent="0.25">
      <c r="A843" t="s">
        <v>106</v>
      </c>
      <c r="B843">
        <v>3</v>
      </c>
      <c r="C843">
        <v>3</v>
      </c>
      <c r="D843">
        <v>0</v>
      </c>
      <c r="E843" t="s">
        <v>110</v>
      </c>
      <c r="F843">
        <v>70712</v>
      </c>
      <c r="G843">
        <v>100935472.16666667</v>
      </c>
      <c r="H843">
        <v>0.96333331863085425</v>
      </c>
      <c r="I843">
        <v>0.96185185185185185</v>
      </c>
      <c r="J843">
        <v>21240980</v>
      </c>
      <c r="K843">
        <v>125522</v>
      </c>
      <c r="L843">
        <v>2</v>
      </c>
      <c r="M843">
        <v>232</v>
      </c>
      <c r="N843">
        <v>0.96148148148148149</v>
      </c>
      <c r="O843">
        <v>21912287.833333332</v>
      </c>
      <c r="P843">
        <v>126529</v>
      </c>
      <c r="Q843">
        <v>2</v>
      </c>
      <c r="R843">
        <v>233</v>
      </c>
      <c r="S843">
        <v>11.277302730273027</v>
      </c>
      <c r="T843">
        <v>0.96814812421798702</v>
      </c>
    </row>
    <row r="844" spans="1:20" x14ac:dyDescent="0.25">
      <c r="A844" t="s">
        <v>106</v>
      </c>
      <c r="B844">
        <v>3</v>
      </c>
      <c r="C844">
        <v>3</v>
      </c>
      <c r="D844">
        <v>0</v>
      </c>
      <c r="E844" t="s">
        <v>111</v>
      </c>
      <c r="F844">
        <v>72046</v>
      </c>
      <c r="G844">
        <v>103645255.83333333</v>
      </c>
      <c r="H844">
        <v>0.95962962508201599</v>
      </c>
      <c r="I844">
        <v>0.96296296296296291</v>
      </c>
      <c r="J844">
        <v>22699158.666666668</v>
      </c>
      <c r="K844">
        <v>127540</v>
      </c>
      <c r="L844">
        <v>2</v>
      </c>
      <c r="M844">
        <v>234</v>
      </c>
      <c r="N844">
        <v>0.95925925925925926</v>
      </c>
      <c r="O844">
        <v>21463028.333333332</v>
      </c>
      <c r="P844">
        <v>128555</v>
      </c>
      <c r="Q844">
        <v>2</v>
      </c>
      <c r="R844">
        <v>235</v>
      </c>
      <c r="S844">
        <v>11.276053381316538</v>
      </c>
      <c r="T844">
        <v>0.96296296119689939</v>
      </c>
    </row>
    <row r="845" spans="1:20" x14ac:dyDescent="0.25">
      <c r="A845" t="s">
        <v>106</v>
      </c>
      <c r="B845">
        <v>3</v>
      </c>
      <c r="C845">
        <v>3</v>
      </c>
      <c r="D845">
        <v>0</v>
      </c>
      <c r="E845" t="s">
        <v>112</v>
      </c>
      <c r="F845">
        <v>73380</v>
      </c>
      <c r="G845">
        <v>105581348.16666667</v>
      </c>
      <c r="H845">
        <v>0.96037037173906958</v>
      </c>
      <c r="I845">
        <v>0.97</v>
      </c>
      <c r="J845">
        <v>22797313.833333332</v>
      </c>
      <c r="K845">
        <v>129574</v>
      </c>
      <c r="L845">
        <v>2</v>
      </c>
      <c r="M845">
        <v>236</v>
      </c>
      <c r="N845">
        <v>0.96037037037037032</v>
      </c>
      <c r="O845">
        <v>22401576.166666668</v>
      </c>
      <c r="P845">
        <v>130597</v>
      </c>
      <c r="Q845">
        <v>2</v>
      </c>
      <c r="R845">
        <v>237</v>
      </c>
      <c r="S845">
        <v>11.274955035971223</v>
      </c>
      <c r="T845">
        <v>0.96074074506759644</v>
      </c>
    </row>
    <row r="846" spans="1:20" x14ac:dyDescent="0.25">
      <c r="A846" t="s">
        <v>106</v>
      </c>
      <c r="B846">
        <v>3</v>
      </c>
      <c r="C846">
        <v>3</v>
      </c>
      <c r="D846">
        <v>0</v>
      </c>
      <c r="E846" t="s">
        <v>113</v>
      </c>
      <c r="F846">
        <v>74714</v>
      </c>
      <c r="G846">
        <v>111977772.16666667</v>
      </c>
      <c r="H846">
        <v>0.96259259184201562</v>
      </c>
      <c r="I846">
        <v>0.96333333333333337</v>
      </c>
      <c r="J846">
        <v>23343561.333333332</v>
      </c>
      <c r="K846">
        <v>132655</v>
      </c>
      <c r="L846">
        <v>2</v>
      </c>
      <c r="M846">
        <v>239</v>
      </c>
      <c r="N846">
        <v>0.96518518518518515</v>
      </c>
      <c r="O846">
        <v>21924374.5</v>
      </c>
      <c r="P846">
        <v>133690</v>
      </c>
      <c r="Q846">
        <v>2</v>
      </c>
      <c r="R846">
        <v>240</v>
      </c>
      <c r="S846">
        <v>11.274007490636704</v>
      </c>
      <c r="T846">
        <v>0.96888886690139775</v>
      </c>
    </row>
    <row r="847" spans="1:20" x14ac:dyDescent="0.25">
      <c r="A847" t="s">
        <v>106</v>
      </c>
      <c r="B847">
        <v>3</v>
      </c>
      <c r="C847">
        <v>3</v>
      </c>
      <c r="D847">
        <v>0</v>
      </c>
      <c r="E847" t="s">
        <v>114</v>
      </c>
      <c r="F847">
        <v>76048</v>
      </c>
      <c r="G847">
        <v>110310313.5</v>
      </c>
      <c r="H847">
        <v>0.95925925175348914</v>
      </c>
      <c r="I847">
        <v>0.96370370370370373</v>
      </c>
      <c r="J847">
        <v>21874368.166666668</v>
      </c>
      <c r="K847">
        <v>134729</v>
      </c>
      <c r="L847">
        <v>2</v>
      </c>
      <c r="M847">
        <v>241</v>
      </c>
      <c r="N847">
        <v>0.96592592592592597</v>
      </c>
      <c r="O847">
        <v>22640620.666666668</v>
      </c>
      <c r="P847">
        <v>135772</v>
      </c>
      <c r="Q847">
        <v>2</v>
      </c>
      <c r="R847">
        <v>242</v>
      </c>
      <c r="S847">
        <v>11.272686433063791</v>
      </c>
      <c r="T847">
        <v>0.97185183763504024</v>
      </c>
    </row>
    <row r="848" spans="1:20" x14ac:dyDescent="0.25">
      <c r="A848" t="s">
        <v>106</v>
      </c>
      <c r="B848">
        <v>3</v>
      </c>
      <c r="C848">
        <v>3</v>
      </c>
      <c r="D848">
        <v>0</v>
      </c>
      <c r="E848" t="s">
        <v>115</v>
      </c>
      <c r="F848">
        <v>77382</v>
      </c>
      <c r="G848">
        <v>116228540.33333333</v>
      </c>
      <c r="H848">
        <v>0.95703704158465064</v>
      </c>
      <c r="I848">
        <v>0.96666666666666667</v>
      </c>
      <c r="J848">
        <v>23970971.5</v>
      </c>
      <c r="K848">
        <v>136819</v>
      </c>
      <c r="L848">
        <v>2</v>
      </c>
      <c r="M848">
        <v>243</v>
      </c>
      <c r="N848">
        <v>0.96407407407407408</v>
      </c>
      <c r="O848">
        <v>22969397.333333332</v>
      </c>
      <c r="P848">
        <v>137870</v>
      </c>
      <c r="Q848">
        <v>2</v>
      </c>
      <c r="R848">
        <v>244</v>
      </c>
      <c r="S848">
        <v>11.271815596467595</v>
      </c>
      <c r="T848">
        <v>0.97111109495162962</v>
      </c>
    </row>
    <row r="849" spans="1:20" x14ac:dyDescent="0.25">
      <c r="A849" t="s">
        <v>106</v>
      </c>
      <c r="B849">
        <v>3</v>
      </c>
      <c r="C849">
        <v>3</v>
      </c>
      <c r="D849">
        <v>0</v>
      </c>
      <c r="E849" t="s">
        <v>116</v>
      </c>
      <c r="F849">
        <v>78716</v>
      </c>
      <c r="G849">
        <v>112986124.5</v>
      </c>
      <c r="H849">
        <v>0.96888888875643409</v>
      </c>
      <c r="I849">
        <v>0.9622222222222222</v>
      </c>
      <c r="J849">
        <v>23552894.333333332</v>
      </c>
      <c r="K849">
        <v>138925</v>
      </c>
      <c r="L849">
        <v>2</v>
      </c>
      <c r="M849">
        <v>245</v>
      </c>
      <c r="N849">
        <v>0.96333333333333337</v>
      </c>
      <c r="O849">
        <v>23894042.166666668</v>
      </c>
      <c r="P849">
        <v>139984</v>
      </c>
      <c r="Q849">
        <v>2</v>
      </c>
      <c r="R849">
        <v>246</v>
      </c>
      <c r="S849">
        <v>11.270721125074806</v>
      </c>
      <c r="T849">
        <v>0.97259258031845097</v>
      </c>
    </row>
    <row r="850" spans="1:20" x14ac:dyDescent="0.25">
      <c r="A850" t="s">
        <v>106</v>
      </c>
      <c r="B850">
        <v>3</v>
      </c>
      <c r="C850">
        <v>3</v>
      </c>
      <c r="D850">
        <v>0</v>
      </c>
      <c r="E850" t="s">
        <v>147</v>
      </c>
      <c r="F850">
        <v>79626</v>
      </c>
      <c r="G850">
        <v>135925560.66666666</v>
      </c>
      <c r="H850">
        <v>0.96851851542790734</v>
      </c>
      <c r="I850">
        <v>0.95777777777777773</v>
      </c>
      <c r="J850">
        <v>23756855.666666668</v>
      </c>
      <c r="K850">
        <v>141047</v>
      </c>
      <c r="L850">
        <v>2</v>
      </c>
      <c r="M850">
        <v>247</v>
      </c>
      <c r="N850">
        <v>0.95851851851851855</v>
      </c>
      <c r="O850">
        <v>23073146.333333332</v>
      </c>
      <c r="P850">
        <v>142114</v>
      </c>
      <c r="Q850">
        <v>2</v>
      </c>
      <c r="R850">
        <v>248</v>
      </c>
      <c r="S850">
        <v>11.27022581127561</v>
      </c>
      <c r="T850">
        <v>0.96740739345550542</v>
      </c>
    </row>
    <row r="851" spans="1:20" x14ac:dyDescent="0.25">
      <c r="A851" t="s">
        <v>106</v>
      </c>
      <c r="B851">
        <v>3</v>
      </c>
      <c r="C851">
        <v>3</v>
      </c>
      <c r="D851">
        <v>0</v>
      </c>
      <c r="E851" t="s">
        <v>117</v>
      </c>
      <c r="F851">
        <v>80050</v>
      </c>
      <c r="G851">
        <v>209747995</v>
      </c>
      <c r="H851">
        <v>0.97703704237937927</v>
      </c>
      <c r="I851">
        <v>0.9622222222222222</v>
      </c>
      <c r="J851">
        <v>23582960.166666668</v>
      </c>
      <c r="K851">
        <v>142114</v>
      </c>
      <c r="L851">
        <v>2</v>
      </c>
      <c r="M851">
        <v>248</v>
      </c>
      <c r="N851">
        <v>0.96185185185185185</v>
      </c>
      <c r="O851">
        <v>23008727</v>
      </c>
      <c r="P851">
        <v>143185</v>
      </c>
      <c r="Q851">
        <v>2</v>
      </c>
      <c r="R851">
        <v>249</v>
      </c>
      <c r="S851">
        <v>11.271748878923766</v>
      </c>
      <c r="T851">
        <v>0.97555555105209346</v>
      </c>
    </row>
    <row r="852" spans="1:20" x14ac:dyDescent="0.25">
      <c r="A852" t="s">
        <v>106</v>
      </c>
      <c r="B852">
        <v>3</v>
      </c>
      <c r="C852">
        <v>3</v>
      </c>
      <c r="D852">
        <v>0</v>
      </c>
      <c r="E852" t="s">
        <v>148</v>
      </c>
      <c r="F852">
        <v>80960</v>
      </c>
      <c r="G852">
        <v>157655371</v>
      </c>
      <c r="H852">
        <v>0.96925925215085351</v>
      </c>
      <c r="I852">
        <v>0.96407407407407408</v>
      </c>
      <c r="J852">
        <v>21392134</v>
      </c>
      <c r="K852">
        <v>143185</v>
      </c>
      <c r="L852">
        <v>2</v>
      </c>
      <c r="M852">
        <v>249</v>
      </c>
      <c r="N852">
        <v>0.9588888888888889</v>
      </c>
      <c r="O852">
        <v>23505533.833333332</v>
      </c>
      <c r="P852">
        <v>144260</v>
      </c>
      <c r="Q852">
        <v>2</v>
      </c>
      <c r="R852">
        <v>250</v>
      </c>
      <c r="S852">
        <v>11.271328253399073</v>
      </c>
      <c r="T852">
        <v>0.97407406568527222</v>
      </c>
    </row>
    <row r="853" spans="1:20" x14ac:dyDescent="0.25">
      <c r="A853" t="s">
        <v>106</v>
      </c>
      <c r="B853">
        <v>3</v>
      </c>
      <c r="C853">
        <v>3</v>
      </c>
      <c r="D853">
        <v>0</v>
      </c>
      <c r="E853" t="s">
        <v>118</v>
      </c>
      <c r="F853">
        <v>81384</v>
      </c>
      <c r="G853">
        <v>279007079.22222221</v>
      </c>
      <c r="H853">
        <v>0.96246912744310165</v>
      </c>
      <c r="I853">
        <v>0.96543209876543212</v>
      </c>
      <c r="J853">
        <v>24195782.666666668</v>
      </c>
      <c r="K853">
        <v>144260</v>
      </c>
      <c r="L853">
        <v>2</v>
      </c>
      <c r="M853">
        <v>250</v>
      </c>
      <c r="N853">
        <v>0.96123456790123452</v>
      </c>
      <c r="O853">
        <v>24719839.111111112</v>
      </c>
      <c r="P853">
        <v>145339</v>
      </c>
      <c r="Q853">
        <v>2</v>
      </c>
      <c r="R853">
        <v>251</v>
      </c>
      <c r="S853">
        <v>11.272340425531915</v>
      </c>
      <c r="T853">
        <v>0.96620369702577591</v>
      </c>
    </row>
    <row r="854" spans="1:20" x14ac:dyDescent="0.25">
      <c r="A854" t="s">
        <v>106</v>
      </c>
      <c r="B854">
        <v>3</v>
      </c>
      <c r="C854">
        <v>3</v>
      </c>
      <c r="D854">
        <v>0</v>
      </c>
      <c r="E854" t="s">
        <v>149</v>
      </c>
      <c r="F854">
        <v>82294</v>
      </c>
      <c r="G854">
        <v>172560202.5</v>
      </c>
      <c r="H854">
        <v>0.96629629532496131</v>
      </c>
      <c r="I854">
        <v>0.96740740740740738</v>
      </c>
      <c r="J854">
        <v>23951542.166666668</v>
      </c>
      <c r="K854">
        <v>145339</v>
      </c>
      <c r="L854">
        <v>2</v>
      </c>
      <c r="M854">
        <v>251</v>
      </c>
      <c r="N854">
        <v>0.94740740740740736</v>
      </c>
      <c r="O854">
        <v>24183844.333333332</v>
      </c>
      <c r="P854">
        <v>146422</v>
      </c>
      <c r="Q854">
        <v>2</v>
      </c>
      <c r="R854">
        <v>252</v>
      </c>
      <c r="S854">
        <v>11.271845384672785</v>
      </c>
      <c r="T854">
        <v>0.96814812421798702</v>
      </c>
    </row>
    <row r="855" spans="1:20" x14ac:dyDescent="0.25">
      <c r="A855" t="s">
        <v>106</v>
      </c>
      <c r="B855">
        <v>3</v>
      </c>
      <c r="C855">
        <v>3</v>
      </c>
      <c r="D855">
        <v>0</v>
      </c>
      <c r="E855" t="s">
        <v>119</v>
      </c>
      <c r="F855">
        <v>82718</v>
      </c>
      <c r="G855">
        <v>252634822.52941176</v>
      </c>
      <c r="H855">
        <v>0.97215686124913836</v>
      </c>
      <c r="I855">
        <v>0.96196078431372545</v>
      </c>
      <c r="J855">
        <v>25545376.294117648</v>
      </c>
      <c r="K855">
        <v>146422</v>
      </c>
      <c r="L855">
        <v>2</v>
      </c>
      <c r="M855">
        <v>252</v>
      </c>
      <c r="N855">
        <v>0.96418300653594768</v>
      </c>
      <c r="O855">
        <v>25687478.05882353</v>
      </c>
      <c r="P855">
        <v>147509</v>
      </c>
      <c r="Q855">
        <v>2</v>
      </c>
      <c r="R855">
        <v>253</v>
      </c>
      <c r="S855">
        <v>11.273811298256074</v>
      </c>
      <c r="T855">
        <v>0.97245370596647263</v>
      </c>
    </row>
    <row r="856" spans="1:20" x14ac:dyDescent="0.25">
      <c r="A856" t="s">
        <v>106</v>
      </c>
      <c r="B856">
        <v>3</v>
      </c>
      <c r="C856">
        <v>3</v>
      </c>
      <c r="D856">
        <v>0</v>
      </c>
      <c r="E856" t="s">
        <v>150</v>
      </c>
      <c r="F856">
        <v>83628</v>
      </c>
      <c r="G856">
        <v>161316353.33333334</v>
      </c>
      <c r="H856">
        <v>0.96629628539085388</v>
      </c>
      <c r="I856">
        <v>0.96629629629629621</v>
      </c>
      <c r="J856">
        <v>23421760.5</v>
      </c>
      <c r="K856">
        <v>147509</v>
      </c>
      <c r="L856">
        <v>2</v>
      </c>
      <c r="M856">
        <v>253</v>
      </c>
      <c r="N856">
        <v>0.9655555555555555</v>
      </c>
      <c r="O856">
        <v>21456577</v>
      </c>
      <c r="P856">
        <v>148600</v>
      </c>
      <c r="Q856">
        <v>2</v>
      </c>
      <c r="R856">
        <v>254</v>
      </c>
      <c r="S856">
        <v>11.273092967818831</v>
      </c>
      <c r="T856">
        <v>0.96888887882232666</v>
      </c>
    </row>
    <row r="857" spans="1:20" x14ac:dyDescent="0.25">
      <c r="A857" t="s">
        <v>106</v>
      </c>
      <c r="B857">
        <v>3</v>
      </c>
      <c r="C857">
        <v>3</v>
      </c>
      <c r="D857">
        <v>0</v>
      </c>
      <c r="E857" t="s">
        <v>120</v>
      </c>
      <c r="F857">
        <v>84052</v>
      </c>
      <c r="G857">
        <v>242452835.05882353</v>
      </c>
      <c r="H857">
        <v>0.97084966827841368</v>
      </c>
      <c r="I857">
        <v>0.9611764705882353</v>
      </c>
      <c r="J857">
        <v>25809436.705882352</v>
      </c>
      <c r="K857">
        <v>148600</v>
      </c>
      <c r="L857">
        <v>2</v>
      </c>
      <c r="M857">
        <v>254</v>
      </c>
      <c r="N857">
        <v>0.96274509803921571</v>
      </c>
      <c r="O857">
        <v>25822782.117647059</v>
      </c>
      <c r="P857">
        <v>149695</v>
      </c>
      <c r="Q857">
        <v>2</v>
      </c>
      <c r="R857">
        <v>255</v>
      </c>
      <c r="S857">
        <v>11.274607544081542</v>
      </c>
      <c r="T857">
        <v>0.97314814478158951</v>
      </c>
    </row>
    <row r="858" spans="1:20" x14ac:dyDescent="0.25">
      <c r="A858" t="s">
        <v>106</v>
      </c>
      <c r="B858">
        <v>3</v>
      </c>
      <c r="C858">
        <v>3</v>
      </c>
      <c r="D858">
        <v>0</v>
      </c>
      <c r="E858" t="s">
        <v>182</v>
      </c>
      <c r="F858">
        <v>84672</v>
      </c>
      <c r="G858">
        <v>238640354.84210527</v>
      </c>
      <c r="H858">
        <v>0.97087719252235016</v>
      </c>
      <c r="I858">
        <v>0.96187134502923977</v>
      </c>
      <c r="J858">
        <v>26262503.47368421</v>
      </c>
      <c r="K858">
        <v>149695</v>
      </c>
      <c r="L858">
        <v>2</v>
      </c>
      <c r="M858">
        <v>255</v>
      </c>
      <c r="N858">
        <v>0.95789473684210524</v>
      </c>
      <c r="O858">
        <v>26103830.368421052</v>
      </c>
      <c r="P858">
        <v>150794</v>
      </c>
      <c r="Q858">
        <v>2</v>
      </c>
      <c r="R858">
        <v>256</v>
      </c>
      <c r="S858">
        <v>11.275482912332839</v>
      </c>
      <c r="T858">
        <v>0.97839505142635774</v>
      </c>
    </row>
    <row r="859" spans="1:20" x14ac:dyDescent="0.25">
      <c r="A859" t="s">
        <v>106</v>
      </c>
      <c r="B859">
        <v>3</v>
      </c>
      <c r="C859">
        <v>3</v>
      </c>
      <c r="D859">
        <v>0</v>
      </c>
      <c r="E859" t="s">
        <v>121</v>
      </c>
      <c r="F859">
        <v>85386</v>
      </c>
      <c r="G859">
        <v>230580450.66666666</v>
      </c>
      <c r="H859">
        <v>0.96938271654976738</v>
      </c>
      <c r="I859">
        <v>0.96395061728395059</v>
      </c>
      <c r="J859">
        <v>27407102.333333332</v>
      </c>
      <c r="K859">
        <v>150794</v>
      </c>
      <c r="L859">
        <v>2</v>
      </c>
      <c r="M859">
        <v>256</v>
      </c>
      <c r="N859">
        <v>0.96469135802469141</v>
      </c>
      <c r="O859">
        <v>26641860.444444444</v>
      </c>
      <c r="P859">
        <v>151897</v>
      </c>
      <c r="Q859">
        <v>2</v>
      </c>
      <c r="R859">
        <v>257</v>
      </c>
      <c r="S859">
        <v>11.275521568045141</v>
      </c>
      <c r="T859">
        <v>0.96574073284864426</v>
      </c>
    </row>
    <row r="860" spans="1:20" x14ac:dyDescent="0.25">
      <c r="A860" t="s">
        <v>106</v>
      </c>
      <c r="B860">
        <v>3</v>
      </c>
      <c r="C860">
        <v>3</v>
      </c>
      <c r="D860">
        <v>0</v>
      </c>
      <c r="E860" t="s">
        <v>183</v>
      </c>
      <c r="F860">
        <v>86042</v>
      </c>
      <c r="G860">
        <v>238726805.14285713</v>
      </c>
      <c r="H860">
        <v>0.96476190005029949</v>
      </c>
      <c r="I860">
        <v>0.95698412698412705</v>
      </c>
      <c r="J860">
        <v>25246413</v>
      </c>
      <c r="K860">
        <v>151897</v>
      </c>
      <c r="L860">
        <v>2</v>
      </c>
      <c r="M860">
        <v>257</v>
      </c>
      <c r="N860">
        <v>0.96412698412698417</v>
      </c>
      <c r="O860">
        <v>25132804.642857142</v>
      </c>
      <c r="P860">
        <v>153004</v>
      </c>
      <c r="Q860">
        <v>2</v>
      </c>
      <c r="R860">
        <v>258</v>
      </c>
      <c r="S860">
        <v>11.276273826299786</v>
      </c>
      <c r="T860">
        <v>0.96780625214943516</v>
      </c>
    </row>
    <row r="861" spans="1:20" x14ac:dyDescent="0.25">
      <c r="A861" t="s">
        <v>106</v>
      </c>
      <c r="B861">
        <v>3</v>
      </c>
      <c r="C861">
        <v>3</v>
      </c>
      <c r="D861">
        <v>0</v>
      </c>
      <c r="E861" t="s">
        <v>122</v>
      </c>
      <c r="F861">
        <v>86720</v>
      </c>
      <c r="G861">
        <v>274590261.45454544</v>
      </c>
      <c r="H861">
        <v>0.96959595788608899</v>
      </c>
      <c r="I861">
        <v>0.962020202020202</v>
      </c>
      <c r="J861">
        <v>26811697.954545453</v>
      </c>
      <c r="K861">
        <v>153004</v>
      </c>
      <c r="L861">
        <v>2</v>
      </c>
      <c r="M861">
        <v>258</v>
      </c>
      <c r="N861">
        <v>0.96353535353535347</v>
      </c>
      <c r="O861">
        <v>26269677.954545453</v>
      </c>
      <c r="P861">
        <v>154115</v>
      </c>
      <c r="Q861">
        <v>2</v>
      </c>
      <c r="R861">
        <v>259</v>
      </c>
      <c r="S861">
        <v>11.279674194742688</v>
      </c>
      <c r="T861">
        <v>0.9749558936981928</v>
      </c>
    </row>
    <row r="862" spans="1:20" x14ac:dyDescent="0.25">
      <c r="A862" t="s">
        <v>106</v>
      </c>
      <c r="B862">
        <v>3</v>
      </c>
      <c r="C862">
        <v>3</v>
      </c>
      <c r="D862">
        <v>0</v>
      </c>
      <c r="E862" t="s">
        <v>202</v>
      </c>
      <c r="F862">
        <v>87050</v>
      </c>
      <c r="G862">
        <v>257539880.96296296</v>
      </c>
      <c r="H862">
        <v>0.96296296075538357</v>
      </c>
      <c r="I862">
        <v>0.95530864197530863</v>
      </c>
      <c r="J862">
        <v>26831526.925925925</v>
      </c>
      <c r="K862">
        <v>154115</v>
      </c>
      <c r="L862">
        <v>2</v>
      </c>
      <c r="M862">
        <v>259</v>
      </c>
      <c r="N862">
        <v>0.9597530864197531</v>
      </c>
      <c r="O862">
        <v>26876078.592592593</v>
      </c>
      <c r="P862">
        <v>155230</v>
      </c>
      <c r="Q862">
        <v>2</v>
      </c>
      <c r="R862">
        <v>260</v>
      </c>
      <c r="S862">
        <v>11.28177652970736</v>
      </c>
      <c r="T862">
        <v>0.97450142640333914</v>
      </c>
    </row>
    <row r="863" spans="1:20" x14ac:dyDescent="0.25">
      <c r="A863" t="s">
        <v>106</v>
      </c>
      <c r="B863">
        <v>3</v>
      </c>
      <c r="C863">
        <v>3</v>
      </c>
      <c r="D863">
        <v>0</v>
      </c>
      <c r="E863" t="s">
        <v>153</v>
      </c>
      <c r="F863">
        <v>87630</v>
      </c>
      <c r="G863">
        <v>255030894.7142857</v>
      </c>
      <c r="H863">
        <v>0.96412697860172814</v>
      </c>
      <c r="I863">
        <v>0.96301587301587299</v>
      </c>
      <c r="J863">
        <v>27557855.642857142</v>
      </c>
      <c r="K863">
        <v>155230</v>
      </c>
      <c r="L863">
        <v>2</v>
      </c>
      <c r="M863">
        <v>260</v>
      </c>
      <c r="N863">
        <v>0.96412698412698417</v>
      </c>
      <c r="O863">
        <v>26269947.857142858</v>
      </c>
      <c r="P863">
        <v>156349</v>
      </c>
      <c r="Q863">
        <v>2</v>
      </c>
      <c r="R863">
        <v>261</v>
      </c>
      <c r="S863">
        <v>11.283109404990403</v>
      </c>
      <c r="T863">
        <v>0.97407407485521758</v>
      </c>
    </row>
    <row r="864" spans="1:20" x14ac:dyDescent="0.25">
      <c r="A864" t="s">
        <v>106</v>
      </c>
      <c r="B864">
        <v>3</v>
      </c>
      <c r="C864">
        <v>3</v>
      </c>
      <c r="D864">
        <v>0</v>
      </c>
      <c r="E864" t="s">
        <v>203</v>
      </c>
      <c r="F864">
        <v>88456</v>
      </c>
      <c r="G864">
        <v>258564783.53333333</v>
      </c>
      <c r="H864">
        <v>0.97185184558232629</v>
      </c>
      <c r="I864">
        <v>0.95629629629629631</v>
      </c>
      <c r="J864">
        <v>27363795.433333334</v>
      </c>
      <c r="K864">
        <v>156349</v>
      </c>
      <c r="L864">
        <v>2</v>
      </c>
      <c r="M864">
        <v>261</v>
      </c>
      <c r="N864">
        <v>0.9575555555555556</v>
      </c>
      <c r="O864">
        <v>27811045.433333334</v>
      </c>
      <c r="P864">
        <v>157472</v>
      </c>
      <c r="Q864">
        <v>2</v>
      </c>
      <c r="R864">
        <v>262</v>
      </c>
      <c r="S864">
        <v>11.285651149086624</v>
      </c>
      <c r="T864">
        <v>0.97509577767602329</v>
      </c>
    </row>
    <row r="865" spans="1:20" x14ac:dyDescent="0.25">
      <c r="A865" t="s">
        <v>106</v>
      </c>
      <c r="B865">
        <v>3</v>
      </c>
      <c r="C865">
        <v>3</v>
      </c>
      <c r="D865">
        <v>0</v>
      </c>
      <c r="E865" t="s">
        <v>154</v>
      </c>
      <c r="F865">
        <v>88964</v>
      </c>
      <c r="G865">
        <v>266790951.2857143</v>
      </c>
      <c r="H865">
        <v>0.9660317472049168</v>
      </c>
      <c r="I865">
        <v>0.96349206349206351</v>
      </c>
      <c r="J865">
        <v>27030101.5</v>
      </c>
      <c r="K865">
        <v>157472</v>
      </c>
      <c r="L865">
        <v>2</v>
      </c>
      <c r="M865">
        <v>262</v>
      </c>
      <c r="N865">
        <v>0.96126984126984127</v>
      </c>
      <c r="O865">
        <v>26862572.928571429</v>
      </c>
      <c r="P865">
        <v>158599</v>
      </c>
      <c r="Q865">
        <v>2</v>
      </c>
      <c r="R865">
        <v>263</v>
      </c>
      <c r="S865">
        <v>11.286534216335541</v>
      </c>
      <c r="T865">
        <v>0.9774928734852717</v>
      </c>
    </row>
    <row r="866" spans="1:20" x14ac:dyDescent="0.25">
      <c r="A866" t="s">
        <v>106</v>
      </c>
      <c r="B866">
        <v>3</v>
      </c>
      <c r="C866">
        <v>3</v>
      </c>
      <c r="D866">
        <v>0</v>
      </c>
      <c r="E866" t="s">
        <v>204</v>
      </c>
      <c r="F866">
        <v>89862</v>
      </c>
      <c r="G866">
        <v>279245033.39999998</v>
      </c>
      <c r="H866">
        <v>0.96862221479415889</v>
      </c>
      <c r="I866">
        <v>0.95848888888888895</v>
      </c>
      <c r="J866">
        <v>27665851.879999999</v>
      </c>
      <c r="K866">
        <v>158599</v>
      </c>
      <c r="L866">
        <v>2</v>
      </c>
      <c r="M866">
        <v>263</v>
      </c>
      <c r="N866">
        <v>0.96151111111111109</v>
      </c>
      <c r="O866">
        <v>27656722.879999999</v>
      </c>
      <c r="P866">
        <v>159730</v>
      </c>
      <c r="Q866">
        <v>2</v>
      </c>
      <c r="R866">
        <v>264</v>
      </c>
      <c r="S866">
        <v>11.289533602644143</v>
      </c>
      <c r="T866">
        <v>0.97006172190109885</v>
      </c>
    </row>
    <row r="867" spans="1:20" x14ac:dyDescent="0.25">
      <c r="A867" t="s">
        <v>106</v>
      </c>
      <c r="B867">
        <v>3</v>
      </c>
      <c r="C867">
        <v>3</v>
      </c>
      <c r="D867">
        <v>0</v>
      </c>
      <c r="E867" t="s">
        <v>155</v>
      </c>
      <c r="F867">
        <v>90298</v>
      </c>
      <c r="G867">
        <v>310769132.66666669</v>
      </c>
      <c r="H867">
        <v>0.96938271434218792</v>
      </c>
      <c r="I867">
        <v>0.95572016460905351</v>
      </c>
      <c r="J867">
        <v>28407163.333333332</v>
      </c>
      <c r="K867">
        <v>159730</v>
      </c>
      <c r="L867">
        <v>2</v>
      </c>
      <c r="M867">
        <v>264</v>
      </c>
      <c r="N867">
        <v>0.95621399176954736</v>
      </c>
      <c r="O867">
        <v>28144180.111111112</v>
      </c>
      <c r="P867">
        <v>160865</v>
      </c>
      <c r="Q867">
        <v>2</v>
      </c>
      <c r="R867">
        <v>265</v>
      </c>
      <c r="S867">
        <v>11.292992229878317</v>
      </c>
      <c r="T867">
        <v>0.98376068014364981</v>
      </c>
    </row>
    <row r="868" spans="1:20" x14ac:dyDescent="0.25">
      <c r="A868" t="s">
        <v>106</v>
      </c>
      <c r="B868">
        <v>3</v>
      </c>
      <c r="C868">
        <v>3</v>
      </c>
      <c r="D868">
        <v>0</v>
      </c>
      <c r="E868" t="s">
        <v>220</v>
      </c>
      <c r="F868">
        <v>90870</v>
      </c>
      <c r="G868">
        <v>301527816.27999997</v>
      </c>
      <c r="H868">
        <v>0.97075555562973026</v>
      </c>
      <c r="I868">
        <v>0.96044444444444443</v>
      </c>
      <c r="J868">
        <v>26349593.920000002</v>
      </c>
      <c r="K868">
        <v>160865</v>
      </c>
      <c r="L868">
        <v>2</v>
      </c>
      <c r="M868">
        <v>265</v>
      </c>
      <c r="N868">
        <v>0.95991111111111116</v>
      </c>
      <c r="O868">
        <v>27293007.359999999</v>
      </c>
      <c r="P868">
        <v>162004</v>
      </c>
      <c r="Q868">
        <v>2</v>
      </c>
      <c r="R868">
        <v>266</v>
      </c>
      <c r="S868">
        <v>11.296992756274237</v>
      </c>
      <c r="T868">
        <v>0.97546296566724777</v>
      </c>
    </row>
    <row r="869" spans="1:20" x14ac:dyDescent="0.25">
      <c r="A869" t="s">
        <v>106</v>
      </c>
      <c r="B869">
        <v>3</v>
      </c>
      <c r="C869">
        <v>3</v>
      </c>
      <c r="D869">
        <v>0</v>
      </c>
      <c r="E869" t="s">
        <v>156</v>
      </c>
      <c r="F869">
        <v>91632</v>
      </c>
      <c r="G869">
        <v>314808734.28571427</v>
      </c>
      <c r="H869">
        <v>0.96523809858730858</v>
      </c>
      <c r="I869">
        <v>0.95269841269841271</v>
      </c>
      <c r="J869">
        <v>28569753.5</v>
      </c>
      <c r="K869">
        <v>162004</v>
      </c>
      <c r="L869">
        <v>2</v>
      </c>
      <c r="M869">
        <v>266</v>
      </c>
      <c r="N869">
        <v>0.95222222222222219</v>
      </c>
      <c r="O869">
        <v>29044081</v>
      </c>
      <c r="P869">
        <v>163147</v>
      </c>
      <c r="Q869">
        <v>2</v>
      </c>
      <c r="R869">
        <v>267</v>
      </c>
      <c r="S869">
        <v>11.299174036985601</v>
      </c>
      <c r="T869">
        <v>0.98518518759654117</v>
      </c>
    </row>
    <row r="870" spans="1:20" x14ac:dyDescent="0.25">
      <c r="A870" t="s">
        <v>106</v>
      </c>
      <c r="B870">
        <v>3</v>
      </c>
      <c r="C870">
        <v>3</v>
      </c>
      <c r="D870">
        <v>0</v>
      </c>
      <c r="E870" t="s">
        <v>221</v>
      </c>
      <c r="F870">
        <v>92312</v>
      </c>
      <c r="G870">
        <v>291673399.47368419</v>
      </c>
      <c r="H870">
        <v>0.97076023252386801</v>
      </c>
      <c r="I870">
        <v>0.95929824561403509</v>
      </c>
      <c r="J870">
        <v>27875170.263157893</v>
      </c>
      <c r="K870">
        <v>163147</v>
      </c>
      <c r="L870">
        <v>2</v>
      </c>
      <c r="M870">
        <v>267</v>
      </c>
      <c r="N870">
        <v>0.95947368421052637</v>
      </c>
      <c r="O870">
        <v>27639861.289473683</v>
      </c>
      <c r="P870">
        <v>164294</v>
      </c>
      <c r="Q870">
        <v>2</v>
      </c>
      <c r="R870">
        <v>268</v>
      </c>
      <c r="S870">
        <v>11.303301989940957</v>
      </c>
      <c r="T870">
        <v>0.97487486858625672</v>
      </c>
    </row>
    <row r="871" spans="1:20" x14ac:dyDescent="0.25">
      <c r="A871" t="s">
        <v>106</v>
      </c>
      <c r="B871">
        <v>3</v>
      </c>
      <c r="C871">
        <v>3</v>
      </c>
      <c r="D871">
        <v>0</v>
      </c>
      <c r="E871" t="s">
        <v>157</v>
      </c>
      <c r="F871">
        <v>92966</v>
      </c>
      <c r="G871">
        <v>286432716.9285714</v>
      </c>
      <c r="H871">
        <v>0.96793650729315617</v>
      </c>
      <c r="I871">
        <v>0.9514285714285714</v>
      </c>
      <c r="J871">
        <v>28246284.5</v>
      </c>
      <c r="K871">
        <v>164294</v>
      </c>
      <c r="L871">
        <v>2</v>
      </c>
      <c r="M871">
        <v>268</v>
      </c>
      <c r="N871">
        <v>0.95380952380952377</v>
      </c>
      <c r="O871">
        <v>29390000.857142858</v>
      </c>
      <c r="P871">
        <v>165445</v>
      </c>
      <c r="Q871">
        <v>2</v>
      </c>
      <c r="R871">
        <v>269</v>
      </c>
      <c r="S871">
        <v>11.304521954416369</v>
      </c>
      <c r="T871">
        <v>0.98233617727573097</v>
      </c>
    </row>
    <row r="872" spans="1:20" x14ac:dyDescent="0.25">
      <c r="A872" t="s">
        <v>106</v>
      </c>
      <c r="B872">
        <v>3</v>
      </c>
      <c r="C872">
        <v>3</v>
      </c>
      <c r="D872">
        <v>0</v>
      </c>
      <c r="E872" t="s">
        <v>222</v>
      </c>
      <c r="F872">
        <v>93754</v>
      </c>
      <c r="G872">
        <v>296927512.5</v>
      </c>
      <c r="H872">
        <v>0.9688888867696126</v>
      </c>
      <c r="I872">
        <v>0.96</v>
      </c>
      <c r="J872">
        <v>27547915.399999999</v>
      </c>
      <c r="K872">
        <v>165445</v>
      </c>
      <c r="L872">
        <v>2</v>
      </c>
      <c r="M872">
        <v>269</v>
      </c>
      <c r="N872">
        <v>0.95955555555555561</v>
      </c>
      <c r="O872">
        <v>27204198.366666667</v>
      </c>
      <c r="P872">
        <v>166600</v>
      </c>
      <c r="Q872">
        <v>2</v>
      </c>
      <c r="R872">
        <v>270</v>
      </c>
      <c r="S872">
        <v>11.308726295139142</v>
      </c>
      <c r="T872">
        <v>0.97535121029820937</v>
      </c>
    </row>
    <row r="873" spans="1:20" x14ac:dyDescent="0.25">
      <c r="A873" t="s">
        <v>106</v>
      </c>
      <c r="B873">
        <v>3</v>
      </c>
      <c r="C873">
        <v>3</v>
      </c>
      <c r="D873">
        <v>0</v>
      </c>
      <c r="E873" t="s">
        <v>158</v>
      </c>
      <c r="F873">
        <v>94300</v>
      </c>
      <c r="G873">
        <v>322265627.09090906</v>
      </c>
      <c r="H873">
        <v>0.97040403972972522</v>
      </c>
      <c r="I873">
        <v>0.95212121212121215</v>
      </c>
      <c r="J873">
        <v>29619587.727272727</v>
      </c>
      <c r="K873">
        <v>166600</v>
      </c>
      <c r="L873">
        <v>2</v>
      </c>
      <c r="M873">
        <v>270</v>
      </c>
      <c r="N873">
        <v>0.95464646464646463</v>
      </c>
      <c r="O873">
        <v>29705774.272727273</v>
      </c>
      <c r="P873">
        <v>167759</v>
      </c>
      <c r="Q873">
        <v>2</v>
      </c>
      <c r="R873">
        <v>271</v>
      </c>
      <c r="S873">
        <v>11.312586144359811</v>
      </c>
      <c r="T873">
        <v>0.98447971968423753</v>
      </c>
    </row>
    <row r="874" spans="1:20" x14ac:dyDescent="0.25">
      <c r="A874" t="s">
        <v>106</v>
      </c>
      <c r="B874">
        <v>3</v>
      </c>
      <c r="C874">
        <v>3</v>
      </c>
      <c r="D874">
        <v>0</v>
      </c>
      <c r="E874" t="s">
        <v>235</v>
      </c>
      <c r="F874">
        <v>94762</v>
      </c>
      <c r="G874">
        <v>275223207.96666664</v>
      </c>
      <c r="H874">
        <v>0.97118518352508543</v>
      </c>
      <c r="I874">
        <v>0.95651851851851855</v>
      </c>
      <c r="J874">
        <v>27287626.333333332</v>
      </c>
      <c r="K874">
        <v>167759</v>
      </c>
      <c r="L874">
        <v>2</v>
      </c>
      <c r="M874">
        <v>271</v>
      </c>
      <c r="N874">
        <v>0.95762962962962961</v>
      </c>
      <c r="O874">
        <v>26865232.399999999</v>
      </c>
      <c r="P874">
        <v>168922</v>
      </c>
      <c r="Q874">
        <v>2</v>
      </c>
      <c r="R874">
        <v>272</v>
      </c>
      <c r="S874">
        <v>11.314947520810714</v>
      </c>
      <c r="T874">
        <v>0.97598978157701166</v>
      </c>
    </row>
    <row r="875" spans="1:20" x14ac:dyDescent="0.25">
      <c r="A875" t="s">
        <v>106</v>
      </c>
      <c r="B875">
        <v>3</v>
      </c>
      <c r="C875">
        <v>3</v>
      </c>
      <c r="D875">
        <v>0</v>
      </c>
      <c r="E875" t="s">
        <v>159</v>
      </c>
      <c r="F875">
        <v>95634</v>
      </c>
      <c r="G875">
        <v>244780847.22222221</v>
      </c>
      <c r="H875">
        <v>0.97432098123762345</v>
      </c>
      <c r="I875">
        <v>0.95481481481481478</v>
      </c>
      <c r="J875">
        <v>28189440.777777776</v>
      </c>
      <c r="K875">
        <v>168922</v>
      </c>
      <c r="L875">
        <v>2</v>
      </c>
      <c r="M875">
        <v>272</v>
      </c>
      <c r="N875">
        <v>0.95827160493827157</v>
      </c>
      <c r="O875">
        <v>28997220.777777776</v>
      </c>
      <c r="P875">
        <v>170089</v>
      </c>
      <c r="Q875">
        <v>2</v>
      </c>
      <c r="R875">
        <v>273</v>
      </c>
      <c r="S875">
        <v>11.314887152777779</v>
      </c>
      <c r="T875">
        <v>0.97916667908430099</v>
      </c>
    </row>
    <row r="876" spans="1:20" x14ac:dyDescent="0.25">
      <c r="A876" t="s">
        <v>106</v>
      </c>
      <c r="B876">
        <v>3</v>
      </c>
      <c r="C876">
        <v>3</v>
      </c>
      <c r="D876">
        <v>0</v>
      </c>
      <c r="E876" t="s">
        <v>236</v>
      </c>
      <c r="F876">
        <v>96240</v>
      </c>
      <c r="G876">
        <v>300932115.72093022</v>
      </c>
      <c r="H876">
        <v>0.96899224436560338</v>
      </c>
      <c r="I876">
        <v>0.95555555555555549</v>
      </c>
      <c r="J876">
        <v>28366224.813953489</v>
      </c>
      <c r="K876">
        <v>170089</v>
      </c>
      <c r="L876">
        <v>2</v>
      </c>
      <c r="M876">
        <v>273</v>
      </c>
      <c r="N876">
        <v>0.95684754521963822</v>
      </c>
      <c r="O876">
        <v>28038835.069767442</v>
      </c>
      <c r="P876">
        <v>171260</v>
      </c>
      <c r="Q876">
        <v>2</v>
      </c>
      <c r="R876">
        <v>274</v>
      </c>
      <c r="S876">
        <v>11.319247133482369</v>
      </c>
      <c r="T876">
        <v>0.97707230278423851</v>
      </c>
    </row>
    <row r="877" spans="1:20" x14ac:dyDescent="0.25">
      <c r="A877" t="s">
        <v>106</v>
      </c>
      <c r="B877">
        <v>3</v>
      </c>
      <c r="C877">
        <v>3</v>
      </c>
      <c r="D877">
        <v>0</v>
      </c>
      <c r="E877" t="s">
        <v>160</v>
      </c>
      <c r="F877">
        <v>96968</v>
      </c>
      <c r="G877">
        <v>270686006.8888889</v>
      </c>
      <c r="H877">
        <v>0.97333333227369523</v>
      </c>
      <c r="I877">
        <v>0.95580246913580247</v>
      </c>
      <c r="J877">
        <v>29040046.444444444</v>
      </c>
      <c r="K877">
        <v>171260</v>
      </c>
      <c r="L877">
        <v>2</v>
      </c>
      <c r="M877">
        <v>274</v>
      </c>
      <c r="N877">
        <v>0.95456790123456792</v>
      </c>
      <c r="O877">
        <v>29377706</v>
      </c>
      <c r="P877">
        <v>172435</v>
      </c>
      <c r="Q877">
        <v>2</v>
      </c>
      <c r="R877">
        <v>275</v>
      </c>
      <c r="S877">
        <v>11.320337272989335</v>
      </c>
      <c r="T877">
        <v>0.98055556416511536</v>
      </c>
    </row>
    <row r="878" spans="1:20" x14ac:dyDescent="0.25">
      <c r="A878" t="s">
        <v>106</v>
      </c>
      <c r="B878">
        <v>3</v>
      </c>
      <c r="C878">
        <v>3</v>
      </c>
      <c r="D878">
        <v>0</v>
      </c>
      <c r="E878" t="s">
        <v>237</v>
      </c>
      <c r="F878">
        <v>97718</v>
      </c>
      <c r="G878">
        <v>303428289.21739131</v>
      </c>
      <c r="H878">
        <v>0.970289857491203</v>
      </c>
      <c r="I878">
        <v>0.95613526570048313</v>
      </c>
      <c r="J878">
        <v>29176868.130434781</v>
      </c>
      <c r="K878">
        <v>172435</v>
      </c>
      <c r="L878">
        <v>2</v>
      </c>
      <c r="M878">
        <v>275</v>
      </c>
      <c r="N878">
        <v>0.9595652173913044</v>
      </c>
      <c r="O878">
        <v>28282809.543478262</v>
      </c>
      <c r="P878">
        <v>173614</v>
      </c>
      <c r="Q878">
        <v>2</v>
      </c>
      <c r="R878">
        <v>276</v>
      </c>
      <c r="S878">
        <v>11.325815256428674</v>
      </c>
      <c r="T878">
        <v>0.97991768916447952</v>
      </c>
    </row>
    <row r="879" spans="1:20" x14ac:dyDescent="0.25">
      <c r="A879" t="s">
        <v>106</v>
      </c>
      <c r="B879">
        <v>3</v>
      </c>
      <c r="C879">
        <v>3</v>
      </c>
      <c r="D879">
        <v>0</v>
      </c>
      <c r="E879" t="s">
        <v>161</v>
      </c>
      <c r="F879">
        <v>98302</v>
      </c>
      <c r="G879">
        <v>368033118.22222221</v>
      </c>
      <c r="H879">
        <v>0.97456791003545129</v>
      </c>
      <c r="I879">
        <v>0.95654320987654318</v>
      </c>
      <c r="J879">
        <v>29249073.444444444</v>
      </c>
      <c r="K879">
        <v>173614</v>
      </c>
      <c r="L879">
        <v>2</v>
      </c>
      <c r="M879">
        <v>276</v>
      </c>
      <c r="N879">
        <v>0.95506172839506176</v>
      </c>
      <c r="O879">
        <v>28692840.444444444</v>
      </c>
      <c r="P879">
        <v>174797</v>
      </c>
      <c r="Q879">
        <v>2</v>
      </c>
      <c r="R879">
        <v>277</v>
      </c>
      <c r="S879">
        <v>11.327901801737132</v>
      </c>
      <c r="T879">
        <v>0.97638888657093048</v>
      </c>
    </row>
    <row r="880" spans="1:20" x14ac:dyDescent="0.25">
      <c r="A880" t="s">
        <v>106</v>
      </c>
      <c r="B880">
        <v>3</v>
      </c>
      <c r="C880">
        <v>3</v>
      </c>
      <c r="D880">
        <v>0</v>
      </c>
      <c r="E880" t="s">
        <v>162</v>
      </c>
      <c r="F880">
        <v>99636</v>
      </c>
      <c r="G880">
        <v>310659236.93478262</v>
      </c>
      <c r="H880">
        <v>0.97048309445381165</v>
      </c>
      <c r="I880">
        <v>0.95632850241545897</v>
      </c>
      <c r="J880">
        <v>28886169.282608695</v>
      </c>
      <c r="K880">
        <v>175984</v>
      </c>
      <c r="L880">
        <v>2</v>
      </c>
      <c r="M880">
        <v>278</v>
      </c>
      <c r="N880">
        <v>0.95782608695652172</v>
      </c>
      <c r="O880">
        <v>28989998.217391305</v>
      </c>
      <c r="P880">
        <v>177175</v>
      </c>
      <c r="Q880">
        <v>2</v>
      </c>
      <c r="R880">
        <v>279</v>
      </c>
      <c r="S880">
        <v>11.332117049438363</v>
      </c>
      <c r="T880">
        <v>0.97835390170415237</v>
      </c>
    </row>
    <row r="881" spans="1:20" x14ac:dyDescent="0.25">
      <c r="A881" t="s">
        <v>106</v>
      </c>
      <c r="B881">
        <v>3</v>
      </c>
      <c r="C881">
        <v>3</v>
      </c>
      <c r="D881">
        <v>0</v>
      </c>
      <c r="E881" t="s">
        <v>187</v>
      </c>
      <c r="F881">
        <v>99742</v>
      </c>
      <c r="G881">
        <v>327120061.71739131</v>
      </c>
      <c r="H881">
        <v>0.96792271085407422</v>
      </c>
      <c r="I881">
        <v>0.95594202898550729</v>
      </c>
      <c r="J881">
        <v>29339007.043478262</v>
      </c>
      <c r="K881">
        <v>177175</v>
      </c>
      <c r="L881">
        <v>2</v>
      </c>
      <c r="M881">
        <v>279</v>
      </c>
      <c r="N881">
        <v>0.95405797101449274</v>
      </c>
      <c r="O881">
        <v>30023886.260869566</v>
      </c>
      <c r="P881">
        <v>178370</v>
      </c>
      <c r="Q881">
        <v>2</v>
      </c>
      <c r="R881">
        <v>280</v>
      </c>
      <c r="S881">
        <v>11.338586607715895</v>
      </c>
      <c r="T881">
        <v>0.98222221665912202</v>
      </c>
    </row>
    <row r="882" spans="1:20" x14ac:dyDescent="0.25">
      <c r="A882" t="s">
        <v>106</v>
      </c>
      <c r="B882">
        <v>3</v>
      </c>
      <c r="C882">
        <v>3</v>
      </c>
      <c r="D882">
        <v>0</v>
      </c>
      <c r="E882" t="s">
        <v>163</v>
      </c>
      <c r="F882">
        <v>100970</v>
      </c>
      <c r="G882">
        <v>301641866.66666669</v>
      </c>
      <c r="H882">
        <v>0.96839506096310091</v>
      </c>
      <c r="I882">
        <v>0.96049382716049381</v>
      </c>
      <c r="J882">
        <v>28695942.777777776</v>
      </c>
      <c r="K882">
        <v>178370</v>
      </c>
      <c r="L882">
        <v>2</v>
      </c>
      <c r="M882">
        <v>280</v>
      </c>
      <c r="N882">
        <v>0.96271604938271604</v>
      </c>
      <c r="O882">
        <v>30011721</v>
      </c>
      <c r="P882">
        <v>179569</v>
      </c>
      <c r="Q882">
        <v>2</v>
      </c>
      <c r="R882">
        <v>281</v>
      </c>
      <c r="S882">
        <v>11.340079817559863</v>
      </c>
      <c r="T882">
        <v>0.97175925970077515</v>
      </c>
    </row>
    <row r="883" spans="1:20" x14ac:dyDescent="0.25">
      <c r="A883" t="s">
        <v>106</v>
      </c>
      <c r="B883">
        <v>3</v>
      </c>
      <c r="C883">
        <v>3</v>
      </c>
      <c r="D883">
        <v>0</v>
      </c>
      <c r="E883" t="s">
        <v>188</v>
      </c>
      <c r="F883">
        <v>101112</v>
      </c>
      <c r="G883">
        <v>302829538.39393938</v>
      </c>
      <c r="H883">
        <v>0.9691582484678789</v>
      </c>
      <c r="I883">
        <v>0.9553535353535354</v>
      </c>
      <c r="J883">
        <v>29545353.454545453</v>
      </c>
      <c r="K883">
        <v>179569</v>
      </c>
      <c r="L883">
        <v>2</v>
      </c>
      <c r="M883">
        <v>281</v>
      </c>
      <c r="N883">
        <v>0.95609427609427611</v>
      </c>
      <c r="O883">
        <v>30509323.181818184</v>
      </c>
      <c r="P883">
        <v>180772</v>
      </c>
      <c r="Q883">
        <v>2</v>
      </c>
      <c r="R883">
        <v>282</v>
      </c>
      <c r="S883">
        <v>11.342125844294348</v>
      </c>
      <c r="T883">
        <v>0.97789351083338261</v>
      </c>
    </row>
    <row r="884" spans="1:20" x14ac:dyDescent="0.25">
      <c r="A884" t="s">
        <v>106</v>
      </c>
      <c r="B884">
        <v>3</v>
      </c>
      <c r="C884">
        <v>3</v>
      </c>
      <c r="D884">
        <v>0</v>
      </c>
      <c r="E884" t="s">
        <v>164</v>
      </c>
      <c r="F884">
        <v>102304</v>
      </c>
      <c r="G884">
        <v>286537916.5</v>
      </c>
      <c r="H884">
        <v>0.97101010517640551</v>
      </c>
      <c r="I884">
        <v>0.96</v>
      </c>
      <c r="J884">
        <v>28844627.727272727</v>
      </c>
      <c r="K884">
        <v>180772</v>
      </c>
      <c r="L884">
        <v>2</v>
      </c>
      <c r="M884">
        <v>282</v>
      </c>
      <c r="N884">
        <v>0.96010101010101012</v>
      </c>
      <c r="O884">
        <v>29041122.727272727</v>
      </c>
      <c r="P884">
        <v>181979</v>
      </c>
      <c r="Q884">
        <v>2</v>
      </c>
      <c r="R884">
        <v>283</v>
      </c>
      <c r="S884">
        <v>11.3430112870022</v>
      </c>
      <c r="T884">
        <v>0.97442680881136945</v>
      </c>
    </row>
    <row r="885" spans="1:20" x14ac:dyDescent="0.25">
      <c r="A885" t="s">
        <v>106</v>
      </c>
      <c r="B885">
        <v>3</v>
      </c>
      <c r="C885">
        <v>3</v>
      </c>
      <c r="D885">
        <v>0</v>
      </c>
      <c r="E885" t="s">
        <v>189</v>
      </c>
      <c r="F885">
        <v>102482</v>
      </c>
      <c r="G885">
        <v>312995091.94444442</v>
      </c>
      <c r="H885">
        <v>0.97129629055658973</v>
      </c>
      <c r="I885">
        <v>0.95759259259259255</v>
      </c>
      <c r="J885">
        <v>30771423.305555556</v>
      </c>
      <c r="K885">
        <v>181979</v>
      </c>
      <c r="L885">
        <v>2</v>
      </c>
      <c r="M885">
        <v>283</v>
      </c>
      <c r="N885">
        <v>0.95919753086419757</v>
      </c>
      <c r="O885">
        <v>30242799.111111112</v>
      </c>
      <c r="P885">
        <v>183190</v>
      </c>
      <c r="Q885">
        <v>2</v>
      </c>
      <c r="R885">
        <v>284</v>
      </c>
      <c r="S885">
        <v>11.346172909438504</v>
      </c>
      <c r="T885">
        <v>0.97851851156779701</v>
      </c>
    </row>
    <row r="886" spans="1:20" x14ac:dyDescent="0.25">
      <c r="A886" t="s">
        <v>106</v>
      </c>
      <c r="B886">
        <v>3</v>
      </c>
      <c r="C886">
        <v>3</v>
      </c>
      <c r="D886">
        <v>0</v>
      </c>
      <c r="E886" t="s">
        <v>132</v>
      </c>
      <c r="F886">
        <v>103638</v>
      </c>
      <c r="G886">
        <v>359926859.18181819</v>
      </c>
      <c r="H886">
        <v>0.96626262502236804</v>
      </c>
      <c r="I886">
        <v>0.95757575757575752</v>
      </c>
      <c r="J886">
        <v>29793067.227272727</v>
      </c>
      <c r="K886">
        <v>183190</v>
      </c>
      <c r="L886">
        <v>2</v>
      </c>
      <c r="M886">
        <v>284</v>
      </c>
      <c r="N886">
        <v>0.95737373737373732</v>
      </c>
      <c r="O886">
        <v>28807970.40909091</v>
      </c>
      <c r="P886">
        <v>184405</v>
      </c>
      <c r="Q886">
        <v>2</v>
      </c>
      <c r="R886">
        <v>285</v>
      </c>
      <c r="S886">
        <v>11.350512548603747</v>
      </c>
      <c r="T886">
        <v>0.97689593405950637</v>
      </c>
    </row>
    <row r="887" spans="1:20" x14ac:dyDescent="0.25">
      <c r="A887" t="s">
        <v>106</v>
      </c>
      <c r="B887">
        <v>3</v>
      </c>
      <c r="C887">
        <v>3</v>
      </c>
      <c r="D887">
        <v>0</v>
      </c>
      <c r="E887" t="s">
        <v>190</v>
      </c>
      <c r="F887">
        <v>103852</v>
      </c>
      <c r="G887">
        <v>319313919</v>
      </c>
      <c r="H887">
        <v>0.97100000083446503</v>
      </c>
      <c r="I887">
        <v>0.95777777777777773</v>
      </c>
      <c r="J887">
        <v>31887859.800000001</v>
      </c>
      <c r="K887">
        <v>184405</v>
      </c>
      <c r="L887">
        <v>2</v>
      </c>
      <c r="M887">
        <v>285</v>
      </c>
      <c r="N887">
        <v>0.95955555555555561</v>
      </c>
      <c r="O887">
        <v>31831358.649999999</v>
      </c>
      <c r="P887">
        <v>185624</v>
      </c>
      <c r="Q887">
        <v>2</v>
      </c>
      <c r="R887">
        <v>286</v>
      </c>
      <c r="S887">
        <v>11.352417931521355</v>
      </c>
      <c r="T887">
        <v>0.97914230509808187</v>
      </c>
    </row>
    <row r="888" spans="1:20" x14ac:dyDescent="0.25">
      <c r="A888" t="s">
        <v>106</v>
      </c>
      <c r="B888">
        <v>3</v>
      </c>
      <c r="C888">
        <v>3</v>
      </c>
      <c r="D888">
        <v>0</v>
      </c>
      <c r="E888" t="s">
        <v>133</v>
      </c>
      <c r="F888">
        <v>104972</v>
      </c>
      <c r="G888">
        <v>309415849.5714286</v>
      </c>
      <c r="H888">
        <v>0.96799999645778112</v>
      </c>
      <c r="I888">
        <v>0.95707936507936509</v>
      </c>
      <c r="J888">
        <v>30414869.457142856</v>
      </c>
      <c r="K888">
        <v>185624</v>
      </c>
      <c r="L888">
        <v>2</v>
      </c>
      <c r="M888">
        <v>286</v>
      </c>
      <c r="N888">
        <v>0.95847619047619048</v>
      </c>
      <c r="O888">
        <v>31157476.199999999</v>
      </c>
      <c r="P888">
        <v>186847</v>
      </c>
      <c r="Q888">
        <v>2</v>
      </c>
      <c r="R888">
        <v>287</v>
      </c>
      <c r="S888">
        <v>11.354647887323944</v>
      </c>
      <c r="T888">
        <v>0.97995642353506651</v>
      </c>
    </row>
    <row r="889" spans="1:20" x14ac:dyDescent="0.25">
      <c r="A889" t="s">
        <v>106</v>
      </c>
      <c r="B889">
        <v>3</v>
      </c>
      <c r="C889">
        <v>3</v>
      </c>
      <c r="D889">
        <v>0</v>
      </c>
      <c r="E889" t="s">
        <v>191</v>
      </c>
      <c r="F889">
        <v>105222</v>
      </c>
      <c r="G889">
        <v>313067537.69999999</v>
      </c>
      <c r="H889">
        <v>0.96911111176013942</v>
      </c>
      <c r="I889">
        <v>0.9582222222222222</v>
      </c>
      <c r="J889">
        <v>31724982.649999999</v>
      </c>
      <c r="K889">
        <v>186847</v>
      </c>
      <c r="L889">
        <v>2</v>
      </c>
      <c r="M889">
        <v>287</v>
      </c>
      <c r="N889">
        <v>0.95811111111111114</v>
      </c>
      <c r="O889">
        <v>31434421.649999999</v>
      </c>
      <c r="P889">
        <v>188074</v>
      </c>
      <c r="Q889">
        <v>2</v>
      </c>
      <c r="R889">
        <v>288</v>
      </c>
      <c r="S889">
        <v>11.3556258790436</v>
      </c>
      <c r="T889">
        <v>0.98070175083060018</v>
      </c>
    </row>
    <row r="890" spans="1:20" x14ac:dyDescent="0.25">
      <c r="A890" t="s">
        <v>106</v>
      </c>
      <c r="B890">
        <v>3</v>
      </c>
      <c r="C890">
        <v>3</v>
      </c>
      <c r="D890">
        <v>0</v>
      </c>
      <c r="E890" t="s">
        <v>134</v>
      </c>
      <c r="F890">
        <v>106306</v>
      </c>
      <c r="G890">
        <v>322202750.34285712</v>
      </c>
      <c r="H890">
        <v>0.9690793633460999</v>
      </c>
      <c r="I890">
        <v>0.95898412698412694</v>
      </c>
      <c r="J890">
        <v>31020197.199999999</v>
      </c>
      <c r="K890">
        <v>188074</v>
      </c>
      <c r="L890">
        <v>2</v>
      </c>
      <c r="M890">
        <v>288</v>
      </c>
      <c r="N890">
        <v>0.95892063492063495</v>
      </c>
      <c r="O890">
        <v>29620772.028571427</v>
      </c>
      <c r="P890">
        <v>189305</v>
      </c>
      <c r="Q890">
        <v>2</v>
      </c>
      <c r="R890">
        <v>289</v>
      </c>
      <c r="S890">
        <v>11.359102069449316</v>
      </c>
      <c r="T890">
        <v>0.97952068728559161</v>
      </c>
    </row>
    <row r="891" spans="1:20" x14ac:dyDescent="0.25">
      <c r="A891" t="s">
        <v>106</v>
      </c>
      <c r="B891">
        <v>3</v>
      </c>
      <c r="C891">
        <v>3</v>
      </c>
      <c r="D891">
        <v>0</v>
      </c>
      <c r="E891" t="s">
        <v>166</v>
      </c>
      <c r="F891">
        <v>106592</v>
      </c>
      <c r="G891">
        <v>364176670.55555558</v>
      </c>
      <c r="H891">
        <v>0.96888889206780326</v>
      </c>
      <c r="I891">
        <v>0.95950617283950623</v>
      </c>
      <c r="J891">
        <v>31357111.777777776</v>
      </c>
      <c r="K891">
        <v>189305</v>
      </c>
      <c r="L891">
        <v>2</v>
      </c>
      <c r="M891">
        <v>289</v>
      </c>
      <c r="N891">
        <v>0.96296296296296291</v>
      </c>
      <c r="O891">
        <v>31466642.111111112</v>
      </c>
      <c r="P891">
        <v>190540</v>
      </c>
      <c r="Q891">
        <v>2</v>
      </c>
      <c r="R891">
        <v>290</v>
      </c>
      <c r="S891">
        <v>11.360277621985418</v>
      </c>
      <c r="T891">
        <v>0.97268518805503845</v>
      </c>
    </row>
    <row r="892" spans="1:20" x14ac:dyDescent="0.25">
      <c r="A892" t="s">
        <v>106</v>
      </c>
      <c r="B892">
        <v>3</v>
      </c>
      <c r="C892">
        <v>3</v>
      </c>
      <c r="D892">
        <v>0</v>
      </c>
      <c r="E892" t="s">
        <v>135</v>
      </c>
      <c r="F892">
        <v>107640</v>
      </c>
      <c r="G892">
        <v>324210618.56862748</v>
      </c>
      <c r="H892">
        <v>0.96997820980408611</v>
      </c>
      <c r="I892">
        <v>0.95799564270152504</v>
      </c>
      <c r="J892">
        <v>30960743.235294119</v>
      </c>
      <c r="K892">
        <v>190540</v>
      </c>
      <c r="L892">
        <v>2</v>
      </c>
      <c r="M892">
        <v>290</v>
      </c>
      <c r="N892">
        <v>0.95625272331154687</v>
      </c>
      <c r="O892">
        <v>31116571.784313727</v>
      </c>
      <c r="P892">
        <v>191779</v>
      </c>
      <c r="Q892">
        <v>2</v>
      </c>
      <c r="R892">
        <v>291</v>
      </c>
      <c r="S892">
        <v>11.365420887181278</v>
      </c>
      <c r="T892">
        <v>0.97970369696617121</v>
      </c>
    </row>
    <row r="893" spans="1:20" x14ac:dyDescent="0.25">
      <c r="A893" t="s">
        <v>106</v>
      </c>
      <c r="B893">
        <v>3</v>
      </c>
      <c r="C893">
        <v>3</v>
      </c>
      <c r="D893">
        <v>0</v>
      </c>
      <c r="E893" t="s">
        <v>167</v>
      </c>
      <c r="F893">
        <v>107962</v>
      </c>
      <c r="G893">
        <v>357016187.22222221</v>
      </c>
      <c r="H893">
        <v>0.97308642334408235</v>
      </c>
      <c r="I893">
        <v>0.96296296296296291</v>
      </c>
      <c r="J893">
        <v>30819096.555555556</v>
      </c>
      <c r="K893">
        <v>191779</v>
      </c>
      <c r="L893">
        <v>2</v>
      </c>
      <c r="M893">
        <v>291</v>
      </c>
      <c r="N893">
        <v>0.95925925925925926</v>
      </c>
      <c r="O893">
        <v>30882689.333333332</v>
      </c>
      <c r="P893">
        <v>193022</v>
      </c>
      <c r="Q893">
        <v>2</v>
      </c>
      <c r="R893">
        <v>292</v>
      </c>
      <c r="S893">
        <v>11.366168667969841</v>
      </c>
      <c r="T893">
        <v>0.97129630297422409</v>
      </c>
    </row>
    <row r="894" spans="1:20" x14ac:dyDescent="0.25">
      <c r="A894" t="s">
        <v>106</v>
      </c>
      <c r="B894">
        <v>3</v>
      </c>
      <c r="C894">
        <v>3</v>
      </c>
      <c r="D894">
        <v>0</v>
      </c>
      <c r="E894" t="s">
        <v>136</v>
      </c>
      <c r="F894">
        <v>108974</v>
      </c>
      <c r="G894">
        <v>332783954.372549</v>
      </c>
      <c r="H894">
        <v>0.96993464231491089</v>
      </c>
      <c r="I894">
        <v>0.95681917211328971</v>
      </c>
      <c r="J894">
        <v>30696528.803921569</v>
      </c>
      <c r="K894">
        <v>193022</v>
      </c>
      <c r="L894">
        <v>2</v>
      </c>
      <c r="M894">
        <v>292</v>
      </c>
      <c r="N894">
        <v>0.95738562091503265</v>
      </c>
      <c r="O894">
        <v>30958430.921568628</v>
      </c>
      <c r="P894">
        <v>194269</v>
      </c>
      <c r="Q894">
        <v>2</v>
      </c>
      <c r="R894">
        <v>293</v>
      </c>
      <c r="S894">
        <v>11.371060869565218</v>
      </c>
      <c r="T894">
        <v>0.9833333230018616</v>
      </c>
    </row>
    <row r="895" spans="1:20" x14ac:dyDescent="0.25">
      <c r="A895" t="s">
        <v>106</v>
      </c>
      <c r="B895">
        <v>3</v>
      </c>
      <c r="C895">
        <v>3</v>
      </c>
      <c r="D895">
        <v>0</v>
      </c>
      <c r="E895" t="s">
        <v>193</v>
      </c>
      <c r="F895">
        <v>109546</v>
      </c>
      <c r="G895">
        <v>351384638.54545456</v>
      </c>
      <c r="H895">
        <v>0.97181818431073974</v>
      </c>
      <c r="I895">
        <v>0.96151515151515154</v>
      </c>
      <c r="J895">
        <v>30994900.09090909</v>
      </c>
      <c r="K895">
        <v>194269</v>
      </c>
      <c r="L895">
        <v>2</v>
      </c>
      <c r="M895">
        <v>293</v>
      </c>
      <c r="N895">
        <v>0.96131313131313134</v>
      </c>
      <c r="O895">
        <v>31944875.136363637</v>
      </c>
      <c r="P895">
        <v>195520</v>
      </c>
      <c r="Q895">
        <v>2</v>
      </c>
      <c r="R895">
        <v>294</v>
      </c>
      <c r="S895">
        <v>11.37417517538376</v>
      </c>
      <c r="T895">
        <v>0.9754850069681803</v>
      </c>
    </row>
    <row r="896" spans="1:20" x14ac:dyDescent="0.25">
      <c r="A896" t="s">
        <v>106</v>
      </c>
      <c r="B896">
        <v>3</v>
      </c>
      <c r="C896">
        <v>3</v>
      </c>
      <c r="D896">
        <v>0</v>
      </c>
      <c r="E896" t="s">
        <v>137</v>
      </c>
      <c r="F896">
        <v>110308</v>
      </c>
      <c r="G896">
        <v>318964556.7368421</v>
      </c>
      <c r="H896">
        <v>0.96830409451534871</v>
      </c>
      <c r="I896">
        <v>0.95666666666666667</v>
      </c>
      <c r="J896">
        <v>30928762.921052631</v>
      </c>
      <c r="K896">
        <v>195520</v>
      </c>
      <c r="L896">
        <v>2</v>
      </c>
      <c r="M896">
        <v>294</v>
      </c>
      <c r="N896">
        <v>0.9560818713450292</v>
      </c>
      <c r="O896">
        <v>31506173.657894738</v>
      </c>
      <c r="P896">
        <v>196775</v>
      </c>
      <c r="Q896">
        <v>2</v>
      </c>
      <c r="R896">
        <v>295</v>
      </c>
      <c r="S896">
        <v>11.377762383096639</v>
      </c>
      <c r="T896">
        <v>0.98278277951317861</v>
      </c>
    </row>
    <row r="897" spans="1:20" x14ac:dyDescent="0.25">
      <c r="A897" t="s">
        <v>106</v>
      </c>
      <c r="B897">
        <v>3</v>
      </c>
      <c r="C897">
        <v>3</v>
      </c>
      <c r="D897">
        <v>0</v>
      </c>
      <c r="E897" t="s">
        <v>194</v>
      </c>
      <c r="F897">
        <v>110952</v>
      </c>
      <c r="G897">
        <v>319928576.27272725</v>
      </c>
      <c r="H897">
        <v>0.97353535890579224</v>
      </c>
      <c r="I897">
        <v>0.95878787878787874</v>
      </c>
      <c r="J897">
        <v>31249630.045454547</v>
      </c>
      <c r="K897">
        <v>196775</v>
      </c>
      <c r="L897">
        <v>2</v>
      </c>
      <c r="M897">
        <v>295</v>
      </c>
      <c r="N897">
        <v>0.96</v>
      </c>
      <c r="O897">
        <v>31242800.90909091</v>
      </c>
      <c r="P897">
        <v>198034</v>
      </c>
      <c r="Q897">
        <v>2</v>
      </c>
      <c r="R897">
        <v>296</v>
      </c>
      <c r="S897">
        <v>11.379193470291208</v>
      </c>
      <c r="T897">
        <v>0.9761904733521598</v>
      </c>
    </row>
    <row r="898" spans="1:20" x14ac:dyDescent="0.25">
      <c r="A898" t="s">
        <v>106</v>
      </c>
      <c r="B898">
        <v>3</v>
      </c>
      <c r="C898">
        <v>3</v>
      </c>
      <c r="D898">
        <v>0</v>
      </c>
      <c r="E898" t="s">
        <v>138</v>
      </c>
      <c r="F898">
        <v>111642</v>
      </c>
      <c r="G898">
        <v>357177200.75</v>
      </c>
      <c r="H898">
        <v>0.97067901326550377</v>
      </c>
      <c r="I898">
        <v>0.95598765432098765</v>
      </c>
      <c r="J898">
        <v>31628564.055555556</v>
      </c>
      <c r="K898">
        <v>198034</v>
      </c>
      <c r="L898">
        <v>2</v>
      </c>
      <c r="M898">
        <v>296</v>
      </c>
      <c r="N898">
        <v>0.95475308641975309</v>
      </c>
      <c r="O898">
        <v>30798307.055555556</v>
      </c>
      <c r="P898">
        <v>199297</v>
      </c>
      <c r="Q898">
        <v>2</v>
      </c>
      <c r="R898">
        <v>297</v>
      </c>
      <c r="S898">
        <v>11.38377147588491</v>
      </c>
      <c r="T898">
        <v>0.98306878464562553</v>
      </c>
    </row>
    <row r="899" spans="1:20" x14ac:dyDescent="0.25">
      <c r="A899" t="s">
        <v>106</v>
      </c>
      <c r="B899">
        <v>3</v>
      </c>
      <c r="C899">
        <v>3</v>
      </c>
      <c r="D899">
        <v>0</v>
      </c>
      <c r="E899" t="s">
        <v>195</v>
      </c>
      <c r="F899">
        <v>112358</v>
      </c>
      <c r="G899">
        <v>344295250.40909094</v>
      </c>
      <c r="H899">
        <v>0.97474747625264258</v>
      </c>
      <c r="I899">
        <v>0.95949494949494951</v>
      </c>
      <c r="J899">
        <v>31658915.863636363</v>
      </c>
      <c r="K899">
        <v>199297</v>
      </c>
      <c r="L899">
        <v>2</v>
      </c>
      <c r="M899">
        <v>297</v>
      </c>
      <c r="N899">
        <v>0.96040404040404037</v>
      </c>
      <c r="O899">
        <v>30778298.772727273</v>
      </c>
      <c r="P899">
        <v>200564</v>
      </c>
      <c r="Q899">
        <v>2</v>
      </c>
      <c r="R899">
        <v>298</v>
      </c>
      <c r="S899">
        <v>11.386358939028591</v>
      </c>
      <c r="T899">
        <v>0.97619047051384333</v>
      </c>
    </row>
    <row r="900" spans="1:20" x14ac:dyDescent="0.25">
      <c r="A900" t="s">
        <v>106</v>
      </c>
      <c r="B900">
        <v>3</v>
      </c>
      <c r="C900">
        <v>3</v>
      </c>
      <c r="D900">
        <v>0</v>
      </c>
      <c r="E900" t="s">
        <v>139</v>
      </c>
      <c r="F900">
        <v>112976</v>
      </c>
      <c r="G900">
        <v>316761849.62857145</v>
      </c>
      <c r="H900">
        <v>0.96946031536374777</v>
      </c>
      <c r="I900">
        <v>0.95434920634920639</v>
      </c>
      <c r="J900">
        <v>30893400.285714287</v>
      </c>
      <c r="K900">
        <v>200564</v>
      </c>
      <c r="L900">
        <v>2</v>
      </c>
      <c r="M900">
        <v>298</v>
      </c>
      <c r="N900">
        <v>0.95263492063492061</v>
      </c>
      <c r="O900">
        <v>31650474.657142859</v>
      </c>
      <c r="P900">
        <v>201835</v>
      </c>
      <c r="Q900">
        <v>2</v>
      </c>
      <c r="R900">
        <v>299</v>
      </c>
      <c r="S900">
        <v>11.387353951890034</v>
      </c>
      <c r="T900">
        <v>0.98017428727710953</v>
      </c>
    </row>
    <row r="901" spans="1:20" x14ac:dyDescent="0.25">
      <c r="A901" t="s">
        <v>106</v>
      </c>
      <c r="B901">
        <v>3</v>
      </c>
      <c r="C901">
        <v>3</v>
      </c>
      <c r="D901">
        <v>0</v>
      </c>
      <c r="E901" t="s">
        <v>140</v>
      </c>
      <c r="F901">
        <v>114310</v>
      </c>
      <c r="G901">
        <v>350612122.09090906</v>
      </c>
      <c r="H901">
        <v>0.9685858542268927</v>
      </c>
      <c r="I901">
        <v>0.96</v>
      </c>
      <c r="J901">
        <v>31963607.363636363</v>
      </c>
      <c r="K901">
        <v>201835</v>
      </c>
      <c r="L901">
        <v>2</v>
      </c>
      <c r="M901">
        <v>299</v>
      </c>
      <c r="N901">
        <v>0.95959595959595956</v>
      </c>
      <c r="O901">
        <v>31593769.90909091</v>
      </c>
      <c r="P901">
        <v>203110</v>
      </c>
      <c r="Q901">
        <v>2</v>
      </c>
      <c r="R901">
        <v>300</v>
      </c>
      <c r="S901">
        <v>11.388759264342575</v>
      </c>
      <c r="T901">
        <v>0.97213403667722431</v>
      </c>
    </row>
    <row r="902" spans="1:20" x14ac:dyDescent="0.25">
      <c r="A902" t="s">
        <v>106</v>
      </c>
      <c r="B902">
        <v>3</v>
      </c>
      <c r="C902">
        <v>3</v>
      </c>
      <c r="D902">
        <v>0</v>
      </c>
      <c r="E902" t="s">
        <v>171</v>
      </c>
      <c r="F902">
        <v>114812</v>
      </c>
      <c r="G902">
        <v>362506954.39534885</v>
      </c>
      <c r="H902">
        <v>0.96976744296938877</v>
      </c>
      <c r="I902">
        <v>0.95586563307493544</v>
      </c>
      <c r="J902">
        <v>32080420.465116277</v>
      </c>
      <c r="K902">
        <v>203110</v>
      </c>
      <c r="L902">
        <v>2</v>
      </c>
      <c r="M902">
        <v>300</v>
      </c>
      <c r="N902">
        <v>0.95664082687338503</v>
      </c>
      <c r="O902">
        <v>31627007</v>
      </c>
      <c r="P902">
        <v>204389</v>
      </c>
      <c r="Q902">
        <v>2</v>
      </c>
      <c r="R902">
        <v>301</v>
      </c>
      <c r="S902">
        <v>11.394115634621963</v>
      </c>
      <c r="T902">
        <v>0.97962962445758639</v>
      </c>
    </row>
    <row r="903" spans="1:20" x14ac:dyDescent="0.25">
      <c r="A903" t="s">
        <v>106</v>
      </c>
      <c r="B903">
        <v>3</v>
      </c>
      <c r="C903">
        <v>3</v>
      </c>
      <c r="D903">
        <v>0</v>
      </c>
      <c r="E903" t="s">
        <v>141</v>
      </c>
      <c r="F903">
        <v>115644</v>
      </c>
      <c r="G903">
        <v>308099092.85714287</v>
      </c>
      <c r="H903">
        <v>0.97253968885966713</v>
      </c>
      <c r="I903">
        <v>0.96</v>
      </c>
      <c r="J903">
        <v>31615617.357142858</v>
      </c>
      <c r="K903">
        <v>204389</v>
      </c>
      <c r="L903">
        <v>2</v>
      </c>
      <c r="M903">
        <v>301</v>
      </c>
      <c r="N903">
        <v>0.95587301587301587</v>
      </c>
      <c r="O903">
        <v>31870335.142857142</v>
      </c>
      <c r="P903">
        <v>205672</v>
      </c>
      <c r="Q903">
        <v>2</v>
      </c>
      <c r="R903">
        <v>302</v>
      </c>
      <c r="S903">
        <v>11.394353681044501</v>
      </c>
      <c r="T903">
        <v>0.9814814833494333</v>
      </c>
    </row>
    <row r="904" spans="1:20" x14ac:dyDescent="0.25">
      <c r="A904" t="s">
        <v>106</v>
      </c>
      <c r="B904">
        <v>3</v>
      </c>
      <c r="C904">
        <v>3</v>
      </c>
      <c r="D904">
        <v>0</v>
      </c>
      <c r="E904" t="s">
        <v>172</v>
      </c>
      <c r="F904">
        <v>116182</v>
      </c>
      <c r="G904">
        <v>343024498.67441863</v>
      </c>
      <c r="H904">
        <v>0.97147287047186559</v>
      </c>
      <c r="I904">
        <v>0.95751937984496127</v>
      </c>
      <c r="J904">
        <v>31706136.558139537</v>
      </c>
      <c r="K904">
        <v>205672</v>
      </c>
      <c r="L904">
        <v>2</v>
      </c>
      <c r="M904">
        <v>302</v>
      </c>
      <c r="N904">
        <v>0.95602067183462536</v>
      </c>
      <c r="O904">
        <v>31503296.837209303</v>
      </c>
      <c r="P904">
        <v>206959</v>
      </c>
      <c r="Q904">
        <v>2</v>
      </c>
      <c r="R904">
        <v>303</v>
      </c>
      <c r="S904">
        <v>11.398582333696838</v>
      </c>
      <c r="T904">
        <v>0.97998235481125973</v>
      </c>
    </row>
    <row r="905" spans="1:20" x14ac:dyDescent="0.25">
      <c r="A905" t="s">
        <v>106</v>
      </c>
      <c r="B905">
        <v>3</v>
      </c>
      <c r="C905">
        <v>3</v>
      </c>
      <c r="D905">
        <v>0</v>
      </c>
      <c r="E905" t="s">
        <v>142</v>
      </c>
      <c r="F905">
        <v>116978</v>
      </c>
      <c r="G905">
        <v>350614755.21428573</v>
      </c>
      <c r="H905">
        <v>0.96809523446219303</v>
      </c>
      <c r="I905">
        <v>0.96047619047619048</v>
      </c>
      <c r="J905">
        <v>32591452.071428571</v>
      </c>
      <c r="K905">
        <v>206959</v>
      </c>
      <c r="L905">
        <v>2</v>
      </c>
      <c r="M905">
        <v>303</v>
      </c>
      <c r="N905">
        <v>0.9588888888888889</v>
      </c>
      <c r="O905">
        <v>32092732.071428571</v>
      </c>
      <c r="P905">
        <v>208250</v>
      </c>
      <c r="Q905">
        <v>2</v>
      </c>
      <c r="R905">
        <v>304</v>
      </c>
      <c r="S905">
        <v>11.39908756638976</v>
      </c>
      <c r="T905">
        <v>0.97549857084567726</v>
      </c>
    </row>
    <row r="906" spans="1:20" x14ac:dyDescent="0.25">
      <c r="A906" t="s">
        <v>106</v>
      </c>
      <c r="B906">
        <v>3</v>
      </c>
      <c r="C906">
        <v>3</v>
      </c>
      <c r="D906">
        <v>0</v>
      </c>
      <c r="E906" t="s">
        <v>173</v>
      </c>
      <c r="F906">
        <v>117552</v>
      </c>
      <c r="G906">
        <v>335965583.30232561</v>
      </c>
      <c r="H906">
        <v>0.96852712991625767</v>
      </c>
      <c r="I906">
        <v>0.95891472868217054</v>
      </c>
      <c r="J906">
        <v>30979633.139534883</v>
      </c>
      <c r="K906">
        <v>208250</v>
      </c>
      <c r="L906">
        <v>2</v>
      </c>
      <c r="M906">
        <v>304</v>
      </c>
      <c r="N906">
        <v>0.95968992248062013</v>
      </c>
      <c r="O906">
        <v>30719197.627906978</v>
      </c>
      <c r="P906">
        <v>209545</v>
      </c>
      <c r="Q906">
        <v>2</v>
      </c>
      <c r="R906">
        <v>305</v>
      </c>
      <c r="S906">
        <v>11.40192816891846</v>
      </c>
      <c r="T906">
        <v>0.98024691570372813</v>
      </c>
    </row>
    <row r="907" spans="1:20" x14ac:dyDescent="0.25">
      <c r="A907" t="s">
        <v>106</v>
      </c>
      <c r="B907">
        <v>3</v>
      </c>
      <c r="C907">
        <v>3</v>
      </c>
      <c r="D907">
        <v>0</v>
      </c>
      <c r="E907" t="s">
        <v>143</v>
      </c>
      <c r="F907">
        <v>118312</v>
      </c>
      <c r="G907">
        <v>371523081.64285713</v>
      </c>
      <c r="H907">
        <v>0.97174603598458431</v>
      </c>
      <c r="I907">
        <v>0.95904761904761904</v>
      </c>
      <c r="J907">
        <v>31855805</v>
      </c>
      <c r="K907">
        <v>209545</v>
      </c>
      <c r="L907">
        <v>2</v>
      </c>
      <c r="M907">
        <v>305</v>
      </c>
      <c r="N907">
        <v>0.96317460317460324</v>
      </c>
      <c r="O907">
        <v>31965762.928571429</v>
      </c>
      <c r="P907">
        <v>210844</v>
      </c>
      <c r="Q907">
        <v>2</v>
      </c>
      <c r="R907">
        <v>306</v>
      </c>
      <c r="S907">
        <v>11.402292613443668</v>
      </c>
      <c r="T907">
        <v>0.97977206798700189</v>
      </c>
    </row>
    <row r="908" spans="1:20" x14ac:dyDescent="0.25">
      <c r="A908" t="s">
        <v>106</v>
      </c>
      <c r="B908">
        <v>3</v>
      </c>
      <c r="C908">
        <v>3</v>
      </c>
      <c r="D908">
        <v>0</v>
      </c>
      <c r="E908" t="s">
        <v>174</v>
      </c>
      <c r="F908">
        <v>118922</v>
      </c>
      <c r="G908">
        <v>333603639.51162791</v>
      </c>
      <c r="H908">
        <v>0.96847544298615562</v>
      </c>
      <c r="I908">
        <v>0.95762273901808781</v>
      </c>
      <c r="J908">
        <v>31460170.139534883</v>
      </c>
      <c r="K908">
        <v>210844</v>
      </c>
      <c r="L908">
        <v>2</v>
      </c>
      <c r="M908">
        <v>306</v>
      </c>
      <c r="N908">
        <v>0.95937984496124029</v>
      </c>
      <c r="O908">
        <v>30832975.372093022</v>
      </c>
      <c r="P908">
        <v>212147</v>
      </c>
      <c r="Q908">
        <v>2</v>
      </c>
      <c r="R908">
        <v>307</v>
      </c>
      <c r="S908">
        <v>11.405586365480861</v>
      </c>
      <c r="T908">
        <v>0.98095237783023292</v>
      </c>
    </row>
    <row r="909" spans="1:20" x14ac:dyDescent="0.25">
      <c r="A909" t="s">
        <v>106</v>
      </c>
      <c r="B909">
        <v>3</v>
      </c>
      <c r="C909">
        <v>3</v>
      </c>
      <c r="D909">
        <v>0</v>
      </c>
      <c r="E909" t="s">
        <v>144</v>
      </c>
      <c r="F909">
        <v>119646</v>
      </c>
      <c r="G909">
        <v>377406782.7037037</v>
      </c>
      <c r="H909">
        <v>0.96469135858394484</v>
      </c>
      <c r="I909">
        <v>0.95942386831275717</v>
      </c>
      <c r="J909">
        <v>32001481.925925925</v>
      </c>
      <c r="K909">
        <v>212147</v>
      </c>
      <c r="L909">
        <v>2</v>
      </c>
      <c r="M909">
        <v>307</v>
      </c>
      <c r="N909">
        <v>0.95679012345679015</v>
      </c>
      <c r="O909">
        <v>31231729.185185187</v>
      </c>
      <c r="P909">
        <v>213454</v>
      </c>
      <c r="Q909">
        <v>2</v>
      </c>
      <c r="R909">
        <v>308</v>
      </c>
      <c r="S909">
        <v>11.408425032066429</v>
      </c>
      <c r="T909">
        <v>0.98176638438151431</v>
      </c>
    </row>
    <row r="910" spans="1:20" x14ac:dyDescent="0.25">
      <c r="A910" t="s">
        <v>106</v>
      </c>
      <c r="B910">
        <v>3</v>
      </c>
      <c r="C910">
        <v>3</v>
      </c>
      <c r="D910">
        <v>0</v>
      </c>
      <c r="E910" t="s">
        <v>175</v>
      </c>
      <c r="F910">
        <v>120292</v>
      </c>
      <c r="G910">
        <v>338599434.82758623</v>
      </c>
      <c r="H910">
        <v>0.97203064992510035</v>
      </c>
      <c r="I910">
        <v>0.96114942528735636</v>
      </c>
      <c r="J910">
        <v>31028217.862068966</v>
      </c>
      <c r="K910">
        <v>213454</v>
      </c>
      <c r="L910">
        <v>2</v>
      </c>
      <c r="M910">
        <v>308</v>
      </c>
      <c r="N910">
        <v>0.96007662835249041</v>
      </c>
      <c r="O910">
        <v>30848922.103448275</v>
      </c>
      <c r="P910">
        <v>214765</v>
      </c>
      <c r="Q910">
        <v>2</v>
      </c>
      <c r="R910">
        <v>309</v>
      </c>
      <c r="S910">
        <v>11.410861069936667</v>
      </c>
      <c r="T910">
        <v>0.98029100469180519</v>
      </c>
    </row>
    <row r="911" spans="1:20" x14ac:dyDescent="0.25">
      <c r="A911" t="s">
        <v>106</v>
      </c>
      <c r="B911">
        <v>3</v>
      </c>
      <c r="C911">
        <v>3</v>
      </c>
      <c r="D911">
        <v>0</v>
      </c>
      <c r="E911" t="s">
        <v>145</v>
      </c>
      <c r="F911">
        <v>120980</v>
      </c>
      <c r="G911">
        <v>374212917.1111111</v>
      </c>
      <c r="H911">
        <v>0.96625514604427198</v>
      </c>
      <c r="I911">
        <v>0.9580246913580247</v>
      </c>
      <c r="J911">
        <v>32308612.074074075</v>
      </c>
      <c r="K911">
        <v>214765</v>
      </c>
      <c r="L911">
        <v>2</v>
      </c>
      <c r="M911">
        <v>309</v>
      </c>
      <c r="N911">
        <v>0.95909465020576135</v>
      </c>
      <c r="O911">
        <v>32007836.333333332</v>
      </c>
      <c r="P911">
        <v>216080</v>
      </c>
      <c r="Q911">
        <v>2</v>
      </c>
      <c r="R911">
        <v>310</v>
      </c>
      <c r="S911">
        <v>11.41213262492434</v>
      </c>
      <c r="T911">
        <v>0.97920227280029881</v>
      </c>
    </row>
    <row r="912" spans="1:20" x14ac:dyDescent="0.25">
      <c r="A912" t="s">
        <v>106</v>
      </c>
      <c r="B912">
        <v>3</v>
      </c>
      <c r="C912">
        <v>3</v>
      </c>
      <c r="D912">
        <v>0</v>
      </c>
      <c r="E912" t="s">
        <v>146</v>
      </c>
      <c r="F912">
        <v>122314</v>
      </c>
      <c r="G912">
        <v>356134836.39999998</v>
      </c>
      <c r="H912">
        <v>0.9685925960540771</v>
      </c>
      <c r="I912">
        <v>0.95844444444444443</v>
      </c>
      <c r="J912">
        <v>30894840.233333334</v>
      </c>
      <c r="K912">
        <v>216080</v>
      </c>
      <c r="L912">
        <v>2</v>
      </c>
      <c r="M912">
        <v>310</v>
      </c>
      <c r="N912">
        <v>0.96148148148148149</v>
      </c>
      <c r="O912">
        <v>31072280.833333332</v>
      </c>
      <c r="P912">
        <v>217399</v>
      </c>
      <c r="Q912">
        <v>2</v>
      </c>
      <c r="R912">
        <v>311</v>
      </c>
      <c r="S912">
        <v>11.414390227532049</v>
      </c>
      <c r="T912">
        <v>0.97790548719208814</v>
      </c>
    </row>
    <row r="913" spans="1:20" x14ac:dyDescent="0.25">
      <c r="A913" t="s">
        <v>106</v>
      </c>
      <c r="B913">
        <v>3</v>
      </c>
      <c r="C913">
        <v>3</v>
      </c>
      <c r="D913">
        <v>0</v>
      </c>
      <c r="E913" t="s">
        <v>177</v>
      </c>
      <c r="F913">
        <v>123032</v>
      </c>
      <c r="G913">
        <v>397837432.97222221</v>
      </c>
      <c r="H913">
        <v>0.96814815368917251</v>
      </c>
      <c r="I913">
        <v>0.9588271604938271</v>
      </c>
      <c r="J913">
        <v>32692301.555555556</v>
      </c>
      <c r="K913">
        <v>217399</v>
      </c>
      <c r="L913">
        <v>2</v>
      </c>
      <c r="M913">
        <v>311</v>
      </c>
      <c r="N913">
        <v>0.95870370370370372</v>
      </c>
      <c r="O913">
        <v>32299223.583333332</v>
      </c>
      <c r="P913">
        <v>218722</v>
      </c>
      <c r="Q913">
        <v>2</v>
      </c>
      <c r="R913">
        <v>312</v>
      </c>
      <c r="S913">
        <v>11.416404419149648</v>
      </c>
      <c r="T913">
        <v>0.97756613492965694</v>
      </c>
    </row>
    <row r="914" spans="1:20" x14ac:dyDescent="0.25">
      <c r="A914" t="s">
        <v>106</v>
      </c>
      <c r="B914">
        <v>3</v>
      </c>
      <c r="C914">
        <v>3</v>
      </c>
      <c r="D914">
        <v>0</v>
      </c>
      <c r="E914" t="s">
        <v>196</v>
      </c>
      <c r="F914">
        <v>123606</v>
      </c>
      <c r="G914">
        <v>358822079.62857145</v>
      </c>
      <c r="H914">
        <v>0.97130158799035204</v>
      </c>
      <c r="I914">
        <v>0.9622222222222222</v>
      </c>
      <c r="J914">
        <v>30988866.342857141</v>
      </c>
      <c r="K914">
        <v>218722</v>
      </c>
      <c r="L914">
        <v>2</v>
      </c>
      <c r="M914">
        <v>312</v>
      </c>
      <c r="N914">
        <v>0.96190476190476193</v>
      </c>
      <c r="O914">
        <v>30830320.171428572</v>
      </c>
      <c r="P914">
        <v>220049</v>
      </c>
      <c r="Q914">
        <v>2</v>
      </c>
      <c r="R914">
        <v>313</v>
      </c>
      <c r="S914">
        <v>11.418370073480293</v>
      </c>
      <c r="T914">
        <v>0.98006535978878251</v>
      </c>
    </row>
    <row r="915" spans="1:20" x14ac:dyDescent="0.25">
      <c r="A915" t="s">
        <v>106</v>
      </c>
      <c r="B915">
        <v>3</v>
      </c>
      <c r="C915">
        <v>3</v>
      </c>
      <c r="D915">
        <v>0</v>
      </c>
      <c r="E915" t="s">
        <v>178</v>
      </c>
      <c r="F915">
        <v>124402</v>
      </c>
      <c r="G915">
        <v>417138187.57894737</v>
      </c>
      <c r="H915">
        <v>0.96514620279010976</v>
      </c>
      <c r="I915">
        <v>0.95684210526315794</v>
      </c>
      <c r="J915">
        <v>32776416</v>
      </c>
      <c r="K915">
        <v>220049</v>
      </c>
      <c r="L915">
        <v>2</v>
      </c>
      <c r="M915">
        <v>313</v>
      </c>
      <c r="N915">
        <v>0.95625730994152047</v>
      </c>
      <c r="O915">
        <v>33489902.684210528</v>
      </c>
      <c r="P915">
        <v>221380</v>
      </c>
      <c r="Q915">
        <v>2</v>
      </c>
      <c r="R915">
        <v>314</v>
      </c>
      <c r="S915">
        <v>11.419307492160918</v>
      </c>
      <c r="T915">
        <v>0.9835390945275625</v>
      </c>
    </row>
    <row r="916" spans="1:20" x14ac:dyDescent="0.25">
      <c r="A916" t="s">
        <v>106</v>
      </c>
      <c r="B916">
        <v>3</v>
      </c>
      <c r="C916">
        <v>3</v>
      </c>
      <c r="D916">
        <v>0</v>
      </c>
      <c r="E916" t="s">
        <v>197</v>
      </c>
      <c r="F916">
        <v>125012</v>
      </c>
      <c r="G916">
        <v>354897478.91428572</v>
      </c>
      <c r="H916">
        <v>0.96768253871372767</v>
      </c>
      <c r="I916">
        <v>0.96152380952380956</v>
      </c>
      <c r="J916">
        <v>30863763.057142857</v>
      </c>
      <c r="K916">
        <v>221380</v>
      </c>
      <c r="L916">
        <v>2</v>
      </c>
      <c r="M916">
        <v>314</v>
      </c>
      <c r="N916">
        <v>0.96292063492063495</v>
      </c>
      <c r="O916">
        <v>31418051.77142857</v>
      </c>
      <c r="P916">
        <v>222715</v>
      </c>
      <c r="Q916">
        <v>2</v>
      </c>
      <c r="R916">
        <v>315</v>
      </c>
      <c r="S916">
        <v>11.419595314164004</v>
      </c>
      <c r="T916">
        <v>0.98115468200515299</v>
      </c>
    </row>
    <row r="917" spans="1:20" x14ac:dyDescent="0.25">
      <c r="A917" t="s">
        <v>106</v>
      </c>
      <c r="B917">
        <v>3</v>
      </c>
      <c r="C917">
        <v>3</v>
      </c>
      <c r="D917">
        <v>0</v>
      </c>
      <c r="E917" t="s">
        <v>179</v>
      </c>
      <c r="F917">
        <v>125772</v>
      </c>
      <c r="G917">
        <v>420337868.125</v>
      </c>
      <c r="H917">
        <v>0.96805554628372192</v>
      </c>
      <c r="I917">
        <v>0.95374999999999999</v>
      </c>
      <c r="J917">
        <v>34130851.625</v>
      </c>
      <c r="K917">
        <v>222715</v>
      </c>
      <c r="L917">
        <v>2</v>
      </c>
      <c r="M917">
        <v>315</v>
      </c>
      <c r="N917">
        <v>0.95402777777777781</v>
      </c>
      <c r="O917">
        <v>34092850.3125</v>
      </c>
      <c r="P917">
        <v>224054</v>
      </c>
      <c r="Q917">
        <v>2</v>
      </c>
      <c r="R917">
        <v>316</v>
      </c>
      <c r="S917">
        <v>11.420013297872341</v>
      </c>
      <c r="T917">
        <v>0.98469135761260984</v>
      </c>
    </row>
    <row r="918" spans="1:20" x14ac:dyDescent="0.25">
      <c r="A918" t="s">
        <v>106</v>
      </c>
      <c r="B918">
        <v>3</v>
      </c>
      <c r="C918">
        <v>3</v>
      </c>
      <c r="D918">
        <v>0</v>
      </c>
      <c r="E918" t="s">
        <v>198</v>
      </c>
      <c r="F918">
        <v>126418</v>
      </c>
      <c r="G918">
        <v>379798297.74285716</v>
      </c>
      <c r="H918">
        <v>0.97333333321980064</v>
      </c>
      <c r="I918">
        <v>0.96120634920634918</v>
      </c>
      <c r="J918">
        <v>31607100.399999999</v>
      </c>
      <c r="K918">
        <v>224054</v>
      </c>
      <c r="L918">
        <v>2</v>
      </c>
      <c r="M918">
        <v>316</v>
      </c>
      <c r="N918">
        <v>0.96050793650793653</v>
      </c>
      <c r="O918">
        <v>31538330.199999999</v>
      </c>
      <c r="P918">
        <v>225397</v>
      </c>
      <c r="Q918">
        <v>2</v>
      </c>
      <c r="R918">
        <v>317</v>
      </c>
      <c r="S918">
        <v>11.421359867330017</v>
      </c>
      <c r="T918">
        <v>0.98213507147396317</v>
      </c>
    </row>
    <row r="919" spans="1:20" x14ac:dyDescent="0.25">
      <c r="A919" t="s">
        <v>106</v>
      </c>
      <c r="B919">
        <v>3</v>
      </c>
      <c r="C919">
        <v>3</v>
      </c>
      <c r="D919">
        <v>0</v>
      </c>
      <c r="E919" t="s">
        <v>213</v>
      </c>
      <c r="F919">
        <v>126920</v>
      </c>
      <c r="G919">
        <v>416743389.85714287</v>
      </c>
      <c r="H919">
        <v>0.96873015591076439</v>
      </c>
      <c r="I919">
        <v>0.95301587301587298</v>
      </c>
      <c r="J919">
        <v>34803383.5</v>
      </c>
      <c r="K919">
        <v>225397</v>
      </c>
      <c r="L919">
        <v>2</v>
      </c>
      <c r="M919">
        <v>317</v>
      </c>
      <c r="N919">
        <v>0.95301587301587298</v>
      </c>
      <c r="O919">
        <v>34109256</v>
      </c>
      <c r="P919">
        <v>226744</v>
      </c>
      <c r="Q919">
        <v>2</v>
      </c>
      <c r="R919">
        <v>318</v>
      </c>
      <c r="S919">
        <v>11.42202929286235</v>
      </c>
      <c r="T919">
        <v>0.98888888267370367</v>
      </c>
    </row>
    <row r="920" spans="1:20" x14ac:dyDescent="0.25">
      <c r="A920" t="s">
        <v>106</v>
      </c>
      <c r="B920">
        <v>3</v>
      </c>
      <c r="C920">
        <v>3</v>
      </c>
      <c r="D920">
        <v>0</v>
      </c>
      <c r="E920" t="s">
        <v>199</v>
      </c>
      <c r="F920">
        <v>127824</v>
      </c>
      <c r="G920">
        <v>338359464</v>
      </c>
      <c r="H920">
        <v>0.97020202604207129</v>
      </c>
      <c r="I920">
        <v>0.95717171717171723</v>
      </c>
      <c r="J920">
        <v>31208565.772727273</v>
      </c>
      <c r="K920">
        <v>226744</v>
      </c>
      <c r="L920">
        <v>2</v>
      </c>
      <c r="M920">
        <v>318</v>
      </c>
      <c r="N920">
        <v>0.96030303030303032</v>
      </c>
      <c r="O920">
        <v>30950725.90909091</v>
      </c>
      <c r="P920">
        <v>228095</v>
      </c>
      <c r="Q920">
        <v>2</v>
      </c>
      <c r="R920">
        <v>319</v>
      </c>
      <c r="S920">
        <v>11.423003110316987</v>
      </c>
      <c r="T920">
        <v>0.9823633233706156</v>
      </c>
    </row>
    <row r="921" spans="1:20" x14ac:dyDescent="0.25">
      <c r="A921" t="s">
        <v>106</v>
      </c>
      <c r="B921">
        <v>3</v>
      </c>
      <c r="C921">
        <v>3</v>
      </c>
      <c r="D921">
        <v>0</v>
      </c>
      <c r="E921" t="s">
        <v>228</v>
      </c>
      <c r="F921">
        <v>128756</v>
      </c>
      <c r="G921">
        <v>378540217.7037037</v>
      </c>
      <c r="H921">
        <v>0.96930041136565037</v>
      </c>
      <c r="I921">
        <v>0.95761316872427982</v>
      </c>
      <c r="J921">
        <v>33636155.555555552</v>
      </c>
      <c r="K921">
        <v>228095</v>
      </c>
      <c r="L921">
        <v>2</v>
      </c>
      <c r="M921">
        <v>319</v>
      </c>
      <c r="N921">
        <v>0.9586008230452675</v>
      </c>
      <c r="O921">
        <v>33525175.666666668</v>
      </c>
      <c r="P921">
        <v>229450</v>
      </c>
      <c r="Q921">
        <v>2</v>
      </c>
      <c r="R921">
        <v>320</v>
      </c>
      <c r="S921">
        <v>11.42449464922711</v>
      </c>
      <c r="T921">
        <v>0.98404558117573082</v>
      </c>
    </row>
    <row r="922" spans="1:20" x14ac:dyDescent="0.25">
      <c r="A922" t="s">
        <v>106</v>
      </c>
      <c r="B922">
        <v>3</v>
      </c>
      <c r="C922">
        <v>3</v>
      </c>
      <c r="D922">
        <v>0</v>
      </c>
      <c r="E922" t="s">
        <v>200</v>
      </c>
      <c r="F922">
        <v>129230</v>
      </c>
      <c r="G922">
        <v>274433206</v>
      </c>
      <c r="H922">
        <v>0.96395061413447058</v>
      </c>
      <c r="I922">
        <v>0.95259259259259255</v>
      </c>
      <c r="J922">
        <v>26111748.222222224</v>
      </c>
      <c r="K922">
        <v>229450</v>
      </c>
      <c r="L922">
        <v>2</v>
      </c>
      <c r="M922">
        <v>320</v>
      </c>
      <c r="N922">
        <v>0.95481481481481478</v>
      </c>
      <c r="O922">
        <v>26858386.666666668</v>
      </c>
      <c r="P922">
        <v>230809</v>
      </c>
      <c r="Q922">
        <v>2</v>
      </c>
      <c r="R922">
        <v>321</v>
      </c>
      <c r="S922">
        <v>11.424770581633327</v>
      </c>
      <c r="T922">
        <v>0.97592592239379883</v>
      </c>
    </row>
    <row r="923" spans="1:20" x14ac:dyDescent="0.25">
      <c r="A923" t="s">
        <v>106</v>
      </c>
      <c r="B923">
        <v>3</v>
      </c>
      <c r="C923">
        <v>3</v>
      </c>
      <c r="D923">
        <v>0</v>
      </c>
      <c r="E923" t="s">
        <v>229</v>
      </c>
      <c r="F923">
        <v>130234</v>
      </c>
      <c r="G923">
        <v>409538431.66666669</v>
      </c>
      <c r="H923">
        <v>0.97415637307696867</v>
      </c>
      <c r="I923">
        <v>0.95893004115226332</v>
      </c>
      <c r="J923">
        <v>33378753.666666668</v>
      </c>
      <c r="K923">
        <v>230809</v>
      </c>
      <c r="L923">
        <v>2</v>
      </c>
      <c r="M923">
        <v>321</v>
      </c>
      <c r="N923">
        <v>0.95613168724279829</v>
      </c>
      <c r="O923">
        <v>33373844.851851851</v>
      </c>
      <c r="P923">
        <v>232172</v>
      </c>
      <c r="Q923">
        <v>2</v>
      </c>
      <c r="R923">
        <v>322</v>
      </c>
      <c r="S923">
        <v>11.425860023724793</v>
      </c>
      <c r="T923">
        <v>0.98589742642182565</v>
      </c>
    </row>
    <row r="924" spans="1:20" x14ac:dyDescent="0.25">
      <c r="A924" t="s">
        <v>106</v>
      </c>
      <c r="B924">
        <v>3</v>
      </c>
      <c r="C924">
        <v>3</v>
      </c>
      <c r="D924">
        <v>0</v>
      </c>
      <c r="E924" t="s">
        <v>215</v>
      </c>
      <c r="F924">
        <v>131246</v>
      </c>
      <c r="G924">
        <v>329104540</v>
      </c>
      <c r="H924">
        <v>0.96987654103173149</v>
      </c>
      <c r="I924">
        <v>0.95481481481481478</v>
      </c>
      <c r="J924">
        <v>27030219.111111112</v>
      </c>
      <c r="K924">
        <v>232172</v>
      </c>
      <c r="L924">
        <v>2</v>
      </c>
      <c r="M924">
        <v>322</v>
      </c>
      <c r="N924">
        <v>0.95506172839506176</v>
      </c>
      <c r="O924">
        <v>27961425.888888888</v>
      </c>
      <c r="P924">
        <v>233539</v>
      </c>
      <c r="Q924">
        <v>2</v>
      </c>
      <c r="R924">
        <v>323</v>
      </c>
      <c r="S924">
        <v>11.427122439570573</v>
      </c>
      <c r="T924">
        <v>0.98749999701976776</v>
      </c>
    </row>
    <row r="925" spans="1:20" x14ac:dyDescent="0.25">
      <c r="A925" t="s">
        <v>106</v>
      </c>
      <c r="B925">
        <v>3</v>
      </c>
      <c r="C925">
        <v>3</v>
      </c>
      <c r="D925">
        <v>0</v>
      </c>
      <c r="E925" t="s">
        <v>230</v>
      </c>
      <c r="F925">
        <v>131712</v>
      </c>
      <c r="G925">
        <v>404585548.5714286</v>
      </c>
      <c r="H925">
        <v>0.96809524297714233</v>
      </c>
      <c r="I925">
        <v>0.95523809523809522</v>
      </c>
      <c r="J925">
        <v>32892855.428571429</v>
      </c>
      <c r="K925">
        <v>233539</v>
      </c>
      <c r="L925">
        <v>2</v>
      </c>
      <c r="M925">
        <v>323</v>
      </c>
      <c r="N925">
        <v>0.95793650793650786</v>
      </c>
      <c r="O925">
        <v>33562979.5</v>
      </c>
      <c r="P925">
        <v>234910</v>
      </c>
      <c r="Q925">
        <v>2</v>
      </c>
      <c r="R925">
        <v>324</v>
      </c>
      <c r="S925">
        <v>11.428110811344345</v>
      </c>
      <c r="T925">
        <v>0.98205127624364996</v>
      </c>
    </row>
    <row r="926" spans="1:20" x14ac:dyDescent="0.25">
      <c r="A926" t="s">
        <v>106</v>
      </c>
      <c r="B926">
        <v>3</v>
      </c>
      <c r="C926">
        <v>3</v>
      </c>
      <c r="D926">
        <v>0</v>
      </c>
      <c r="E926" t="s">
        <v>216</v>
      </c>
      <c r="F926">
        <v>132688</v>
      </c>
      <c r="G926">
        <v>287427715.75</v>
      </c>
      <c r="H926">
        <v>0.96805555373430252</v>
      </c>
      <c r="I926">
        <v>0.96166666666666667</v>
      </c>
      <c r="J926">
        <v>25922563</v>
      </c>
      <c r="K926">
        <v>234910</v>
      </c>
      <c r="L926">
        <v>2</v>
      </c>
      <c r="M926">
        <v>324</v>
      </c>
      <c r="N926">
        <v>0.95583333333333331</v>
      </c>
      <c r="O926">
        <v>27087353.75</v>
      </c>
      <c r="P926">
        <v>236285</v>
      </c>
      <c r="Q926">
        <v>2</v>
      </c>
      <c r="R926">
        <v>325</v>
      </c>
      <c r="S926">
        <v>11.428477474514962</v>
      </c>
      <c r="T926">
        <v>0.98518518890653339</v>
      </c>
    </row>
    <row r="927" spans="1:20" x14ac:dyDescent="0.25">
      <c r="A927" t="s">
        <v>106</v>
      </c>
      <c r="B927">
        <v>3</v>
      </c>
      <c r="C927">
        <v>3</v>
      </c>
      <c r="D927">
        <v>0</v>
      </c>
      <c r="E927" t="s">
        <v>231</v>
      </c>
      <c r="F927">
        <v>133190</v>
      </c>
      <c r="G927">
        <v>432017432.19999999</v>
      </c>
      <c r="H927">
        <v>0.96866665482521053</v>
      </c>
      <c r="I927">
        <v>0.95444444444444443</v>
      </c>
      <c r="J927">
        <v>32585568.399999999</v>
      </c>
      <c r="K927">
        <v>236285</v>
      </c>
      <c r="L927">
        <v>2</v>
      </c>
      <c r="M927">
        <v>325</v>
      </c>
      <c r="N927">
        <v>0.95599999999999996</v>
      </c>
      <c r="O927">
        <v>32887715.300000001</v>
      </c>
      <c r="P927">
        <v>237664</v>
      </c>
      <c r="Q927">
        <v>2</v>
      </c>
      <c r="R927">
        <v>326</v>
      </c>
      <c r="S927">
        <v>11.428853105488006</v>
      </c>
      <c r="T927">
        <v>0.9802469147576226</v>
      </c>
    </row>
    <row r="928" spans="1:20" x14ac:dyDescent="0.25">
      <c r="A928" t="s">
        <v>106</v>
      </c>
      <c r="B928">
        <v>3</v>
      </c>
      <c r="C928">
        <v>3</v>
      </c>
      <c r="D928">
        <v>0</v>
      </c>
      <c r="E928" t="s">
        <v>232</v>
      </c>
      <c r="F928">
        <v>134668</v>
      </c>
      <c r="G928">
        <v>233895738.66666666</v>
      </c>
      <c r="H928">
        <v>0.9674073954423269</v>
      </c>
      <c r="I928">
        <v>0.9555555555555556</v>
      </c>
      <c r="J928">
        <v>21871423.833333332</v>
      </c>
      <c r="K928">
        <v>239047</v>
      </c>
      <c r="L928">
        <v>2</v>
      </c>
      <c r="M928">
        <v>327</v>
      </c>
      <c r="N928">
        <v>0.95629629629629631</v>
      </c>
      <c r="O928">
        <v>21660837</v>
      </c>
      <c r="P928">
        <v>240434</v>
      </c>
      <c r="Q928">
        <v>2</v>
      </c>
      <c r="R928">
        <v>328</v>
      </c>
      <c r="S928">
        <v>11.429078247158531</v>
      </c>
      <c r="T928">
        <v>0.98296297788619991</v>
      </c>
    </row>
    <row r="929" spans="1:20" x14ac:dyDescent="0.25">
      <c r="A929" t="s">
        <v>106</v>
      </c>
      <c r="B929">
        <v>3</v>
      </c>
      <c r="C929">
        <v>3</v>
      </c>
      <c r="D929">
        <v>0</v>
      </c>
      <c r="E929" t="s">
        <v>233</v>
      </c>
      <c r="F929">
        <v>136146</v>
      </c>
      <c r="G929">
        <v>232392621.33333334</v>
      </c>
      <c r="H929">
        <v>0.96629628539085388</v>
      </c>
      <c r="I929">
        <v>0.9588888888888889</v>
      </c>
      <c r="J929">
        <v>21965039.5</v>
      </c>
      <c r="K929">
        <v>241825</v>
      </c>
      <c r="L929">
        <v>2</v>
      </c>
      <c r="M929">
        <v>329</v>
      </c>
      <c r="N929">
        <v>0.95518518518518514</v>
      </c>
      <c r="O929">
        <v>21555337.5</v>
      </c>
      <c r="P929">
        <v>243220</v>
      </c>
      <c r="Q929">
        <v>2</v>
      </c>
      <c r="R929">
        <v>330</v>
      </c>
      <c r="S929">
        <v>11.429368884218821</v>
      </c>
      <c r="T929">
        <v>0.98074074983596804</v>
      </c>
    </row>
    <row r="930" spans="1:20" x14ac:dyDescent="0.25">
      <c r="A930" t="s">
        <v>106</v>
      </c>
      <c r="B930">
        <v>3</v>
      </c>
      <c r="C930">
        <v>4</v>
      </c>
      <c r="D930">
        <v>0</v>
      </c>
      <c r="E930" t="s">
        <v>123</v>
      </c>
      <c r="F930">
        <v>35578</v>
      </c>
      <c r="G930">
        <v>252045939.16666666</v>
      </c>
      <c r="H930">
        <v>0.95999999841054284</v>
      </c>
      <c r="I930">
        <v>0.95296296296296301</v>
      </c>
      <c r="J930">
        <v>20673005.5</v>
      </c>
      <c r="K930">
        <v>67165</v>
      </c>
      <c r="L930">
        <v>2</v>
      </c>
      <c r="M930">
        <v>165</v>
      </c>
      <c r="N930">
        <v>0.95518518518518525</v>
      </c>
      <c r="O930">
        <v>20017606.5</v>
      </c>
      <c r="P930">
        <v>67904</v>
      </c>
      <c r="Q930">
        <v>2</v>
      </c>
      <c r="R930">
        <v>166</v>
      </c>
      <c r="S930">
        <v>11.430512702684961</v>
      </c>
      <c r="T930">
        <v>0.97777777910232544</v>
      </c>
    </row>
    <row r="931" spans="1:20" x14ac:dyDescent="0.25">
      <c r="A931" t="s">
        <v>106</v>
      </c>
      <c r="B931">
        <v>3</v>
      </c>
      <c r="C931">
        <v>4</v>
      </c>
      <c r="D931">
        <v>0</v>
      </c>
      <c r="E931" t="s">
        <v>124</v>
      </c>
      <c r="F931">
        <v>37060</v>
      </c>
      <c r="G931">
        <v>35659773.333333336</v>
      </c>
      <c r="H931">
        <v>0.96037037173906958</v>
      </c>
      <c r="I931">
        <v>0.94740740740740736</v>
      </c>
      <c r="J931">
        <v>10366397</v>
      </c>
      <c r="K931">
        <v>70145</v>
      </c>
      <c r="L931">
        <v>2</v>
      </c>
      <c r="M931">
        <v>169</v>
      </c>
      <c r="N931">
        <v>0.96111111111111114</v>
      </c>
      <c r="O931">
        <v>10000814</v>
      </c>
      <c r="P931">
        <v>70900</v>
      </c>
      <c r="Q931">
        <v>2</v>
      </c>
      <c r="R931">
        <v>170</v>
      </c>
      <c r="S931">
        <v>11.430080713957608</v>
      </c>
      <c r="T931">
        <v>0.97333332300186159</v>
      </c>
    </row>
    <row r="932" spans="1:20" x14ac:dyDescent="0.25">
      <c r="A932" t="s">
        <v>106</v>
      </c>
      <c r="B932">
        <v>3</v>
      </c>
      <c r="C932">
        <v>4</v>
      </c>
      <c r="D932">
        <v>0</v>
      </c>
      <c r="E932" t="s">
        <v>125</v>
      </c>
      <c r="F932">
        <v>38542</v>
      </c>
      <c r="G932">
        <v>35825136.666666664</v>
      </c>
      <c r="H932">
        <v>0.96370370189348853</v>
      </c>
      <c r="I932">
        <v>0.95037037037037042</v>
      </c>
      <c r="J932">
        <v>10649049.333333334</v>
      </c>
      <c r="K932">
        <v>72422</v>
      </c>
      <c r="L932">
        <v>2</v>
      </c>
      <c r="M932">
        <v>172</v>
      </c>
      <c r="N932">
        <v>0.95592592592592585</v>
      </c>
      <c r="O932">
        <v>10410378.333333334</v>
      </c>
      <c r="P932">
        <v>73189</v>
      </c>
      <c r="Q932">
        <v>2</v>
      </c>
      <c r="R932">
        <v>173</v>
      </c>
      <c r="S932">
        <v>11.4296490652673</v>
      </c>
      <c r="T932">
        <v>0.98740741014480593</v>
      </c>
    </row>
    <row r="933" spans="1:20" x14ac:dyDescent="0.25">
      <c r="A933" t="s">
        <v>106</v>
      </c>
      <c r="B933">
        <v>3</v>
      </c>
      <c r="C933">
        <v>4</v>
      </c>
      <c r="D933">
        <v>0</v>
      </c>
      <c r="E933" t="s">
        <v>126</v>
      </c>
      <c r="F933">
        <v>40024</v>
      </c>
      <c r="G933">
        <v>34918281.666666664</v>
      </c>
      <c r="H933">
        <v>0.9566666682561239</v>
      </c>
      <c r="I933">
        <v>0.95481481481481489</v>
      </c>
      <c r="J933">
        <v>11268180.666666666</v>
      </c>
      <c r="K933">
        <v>75514</v>
      </c>
      <c r="L933">
        <v>2</v>
      </c>
      <c r="M933">
        <v>176</v>
      </c>
      <c r="N933">
        <v>0.95296296296296301</v>
      </c>
      <c r="O933">
        <v>10732712</v>
      </c>
      <c r="P933">
        <v>76297</v>
      </c>
      <c r="Q933">
        <v>2</v>
      </c>
      <c r="R933">
        <v>177</v>
      </c>
      <c r="S933">
        <v>11.428955478329289</v>
      </c>
      <c r="T933">
        <v>0.98444445133209224</v>
      </c>
    </row>
    <row r="934" spans="1:20" x14ac:dyDescent="0.25">
      <c r="A934" t="s">
        <v>106</v>
      </c>
      <c r="B934">
        <v>3</v>
      </c>
      <c r="C934">
        <v>4</v>
      </c>
      <c r="D934">
        <v>0</v>
      </c>
      <c r="E934" t="s">
        <v>127</v>
      </c>
      <c r="F934">
        <v>41506</v>
      </c>
      <c r="G934">
        <v>38298437.5</v>
      </c>
      <c r="H934">
        <v>0.95296297470728553</v>
      </c>
      <c r="I934">
        <v>0.95444444444444443</v>
      </c>
      <c r="J934">
        <v>10805625.166666666</v>
      </c>
      <c r="K934">
        <v>78670</v>
      </c>
      <c r="L934">
        <v>2</v>
      </c>
      <c r="M934">
        <v>180</v>
      </c>
      <c r="N934">
        <v>0.95814814814814808</v>
      </c>
      <c r="O934">
        <v>11406543.166666666</v>
      </c>
      <c r="P934">
        <v>79469</v>
      </c>
      <c r="Q934">
        <v>2</v>
      </c>
      <c r="R934">
        <v>181</v>
      </c>
      <c r="S934">
        <v>11.42832798059907</v>
      </c>
      <c r="T934">
        <v>0.98000000715255742</v>
      </c>
    </row>
    <row r="935" spans="1:20" x14ac:dyDescent="0.25">
      <c r="A935" t="s">
        <v>106</v>
      </c>
      <c r="B935">
        <v>3</v>
      </c>
      <c r="C935">
        <v>4</v>
      </c>
      <c r="D935">
        <v>0</v>
      </c>
      <c r="E935" t="s">
        <v>128</v>
      </c>
      <c r="F935">
        <v>42988</v>
      </c>
      <c r="G935">
        <v>36225190</v>
      </c>
      <c r="H935">
        <v>0.9651851852734884</v>
      </c>
      <c r="I935">
        <v>0.95629629629629631</v>
      </c>
      <c r="J935">
        <v>10961565.833333334</v>
      </c>
      <c r="K935">
        <v>81079</v>
      </c>
      <c r="L935">
        <v>2</v>
      </c>
      <c r="M935">
        <v>183</v>
      </c>
      <c r="N935">
        <v>0.95814814814814808</v>
      </c>
      <c r="O935">
        <v>12385416.166666666</v>
      </c>
      <c r="P935">
        <v>81890</v>
      </c>
      <c r="Q935">
        <v>2</v>
      </c>
      <c r="R935">
        <v>184</v>
      </c>
      <c r="S935">
        <v>11.427700976216995</v>
      </c>
      <c r="T935">
        <v>0.97481480836868284</v>
      </c>
    </row>
    <row r="936" spans="1:20" x14ac:dyDescent="0.25">
      <c r="A936" t="s">
        <v>106</v>
      </c>
      <c r="B936">
        <v>3</v>
      </c>
      <c r="C936">
        <v>4</v>
      </c>
      <c r="D936">
        <v>0</v>
      </c>
      <c r="E936" t="s">
        <v>129</v>
      </c>
      <c r="F936">
        <v>44470</v>
      </c>
      <c r="G936">
        <v>38886465.166666664</v>
      </c>
      <c r="H936">
        <v>0.96592592199643457</v>
      </c>
      <c r="I936">
        <v>0.95111111111111113</v>
      </c>
      <c r="J936">
        <v>11214697.333333334</v>
      </c>
      <c r="K936">
        <v>84347</v>
      </c>
      <c r="L936">
        <v>2</v>
      </c>
      <c r="M936">
        <v>187</v>
      </c>
      <c r="N936">
        <v>0.95814814814814808</v>
      </c>
      <c r="O936">
        <v>11551559.833333334</v>
      </c>
      <c r="P936">
        <v>85174</v>
      </c>
      <c r="Q936">
        <v>2</v>
      </c>
      <c r="R936">
        <v>188</v>
      </c>
      <c r="S936">
        <v>11.426616019385683</v>
      </c>
      <c r="T936">
        <v>0.97777777910232544</v>
      </c>
    </row>
    <row r="937" spans="1:20" x14ac:dyDescent="0.25">
      <c r="A937" t="s">
        <v>106</v>
      </c>
      <c r="B937">
        <v>3</v>
      </c>
      <c r="C937">
        <v>4</v>
      </c>
      <c r="D937">
        <v>0</v>
      </c>
      <c r="E937" t="s">
        <v>130</v>
      </c>
      <c r="F937">
        <v>45952</v>
      </c>
      <c r="G937">
        <v>40344922.833333336</v>
      </c>
      <c r="H937">
        <v>0.96814815203348792</v>
      </c>
      <c r="I937">
        <v>0.94703703703703701</v>
      </c>
      <c r="J937">
        <v>12353948.666666666</v>
      </c>
      <c r="K937">
        <v>86840</v>
      </c>
      <c r="L937">
        <v>2</v>
      </c>
      <c r="M937">
        <v>190</v>
      </c>
      <c r="N937">
        <v>0.95814814814814819</v>
      </c>
      <c r="O937">
        <v>12235225.5</v>
      </c>
      <c r="P937">
        <v>87679</v>
      </c>
      <c r="Q937">
        <v>2</v>
      </c>
      <c r="R937">
        <v>191</v>
      </c>
      <c r="S937">
        <v>11.426055646481178</v>
      </c>
      <c r="T937">
        <v>0.98444443941116333</v>
      </c>
    </row>
    <row r="938" spans="1:20" x14ac:dyDescent="0.25">
      <c r="A938" t="s">
        <v>106</v>
      </c>
      <c r="B938">
        <v>3</v>
      </c>
      <c r="C938">
        <v>4</v>
      </c>
      <c r="D938">
        <v>0</v>
      </c>
      <c r="E938" t="s">
        <v>131</v>
      </c>
      <c r="F938">
        <v>47434</v>
      </c>
      <c r="G938">
        <v>47853121</v>
      </c>
      <c r="H938">
        <v>0.95999999841054284</v>
      </c>
      <c r="I938">
        <v>0.95629629629629631</v>
      </c>
      <c r="J938">
        <v>12288137.333333334</v>
      </c>
      <c r="K938">
        <v>89369</v>
      </c>
      <c r="L938">
        <v>2</v>
      </c>
      <c r="M938">
        <v>193</v>
      </c>
      <c r="N938">
        <v>0.95185185185185184</v>
      </c>
      <c r="O938">
        <v>12420494.666666666</v>
      </c>
      <c r="P938">
        <v>90220</v>
      </c>
      <c r="Q938">
        <v>2</v>
      </c>
      <c r="R938">
        <v>194</v>
      </c>
      <c r="S938">
        <v>11.425692035861527</v>
      </c>
      <c r="T938">
        <v>0.97851850986480715</v>
      </c>
    </row>
    <row r="939" spans="1:20" x14ac:dyDescent="0.25">
      <c r="A939" t="s">
        <v>106</v>
      </c>
      <c r="B939">
        <v>3</v>
      </c>
      <c r="C939">
        <v>4</v>
      </c>
      <c r="D939">
        <v>0</v>
      </c>
      <c r="E939" t="s">
        <v>165</v>
      </c>
      <c r="F939">
        <v>48916</v>
      </c>
      <c r="G939">
        <v>46939307</v>
      </c>
      <c r="H939">
        <v>0.96333333849906921</v>
      </c>
      <c r="I939">
        <v>0.9588888888888889</v>
      </c>
      <c r="J939">
        <v>12327400.166666666</v>
      </c>
      <c r="K939">
        <v>92797</v>
      </c>
      <c r="L939">
        <v>2</v>
      </c>
      <c r="M939">
        <v>197</v>
      </c>
      <c r="N939">
        <v>0.95185185185185184</v>
      </c>
      <c r="O939">
        <v>11653663.833333334</v>
      </c>
      <c r="P939">
        <v>93664</v>
      </c>
      <c r="Q939">
        <v>2</v>
      </c>
      <c r="R939">
        <v>198</v>
      </c>
      <c r="S939">
        <v>11.42526329561065</v>
      </c>
      <c r="T939">
        <v>0.9844444155693054</v>
      </c>
    </row>
    <row r="940" spans="1:20" x14ac:dyDescent="0.25">
      <c r="A940" t="s">
        <v>106</v>
      </c>
      <c r="B940">
        <v>3</v>
      </c>
      <c r="C940">
        <v>4</v>
      </c>
      <c r="D940">
        <v>0</v>
      </c>
      <c r="E940" t="s">
        <v>192</v>
      </c>
      <c r="F940">
        <v>50398</v>
      </c>
      <c r="G940">
        <v>41508511.5</v>
      </c>
      <c r="H940">
        <v>0.95592592159907019</v>
      </c>
      <c r="I940">
        <v>0.95074074074074078</v>
      </c>
      <c r="J940">
        <v>12682510.666666666</v>
      </c>
      <c r="K940">
        <v>95410</v>
      </c>
      <c r="L940">
        <v>2</v>
      </c>
      <c r="M940">
        <v>200</v>
      </c>
      <c r="N940">
        <v>0.95296296296296301</v>
      </c>
      <c r="O940">
        <v>13047981.333333334</v>
      </c>
      <c r="P940">
        <v>96289</v>
      </c>
      <c r="Q940">
        <v>2</v>
      </c>
      <c r="R940">
        <v>201</v>
      </c>
      <c r="S940">
        <v>11.424769502386713</v>
      </c>
      <c r="T940">
        <v>0.97925926446914668</v>
      </c>
    </row>
    <row r="941" spans="1:20" x14ac:dyDescent="0.25">
      <c r="A941" t="s">
        <v>106</v>
      </c>
      <c r="B941">
        <v>3</v>
      </c>
      <c r="C941">
        <v>4</v>
      </c>
      <c r="D941">
        <v>0</v>
      </c>
      <c r="E941" t="s">
        <v>210</v>
      </c>
      <c r="F941">
        <v>51880</v>
      </c>
      <c r="G941">
        <v>42113961</v>
      </c>
      <c r="H941">
        <v>0.9566666682561239</v>
      </c>
      <c r="I941">
        <v>0.95148148148148148</v>
      </c>
      <c r="J941">
        <v>12683746.5</v>
      </c>
      <c r="K941">
        <v>98059</v>
      </c>
      <c r="L941">
        <v>2</v>
      </c>
      <c r="M941">
        <v>203</v>
      </c>
      <c r="N941">
        <v>0.94925925925925925</v>
      </c>
      <c r="O941">
        <v>12728631.833333334</v>
      </c>
      <c r="P941">
        <v>98950</v>
      </c>
      <c r="Q941">
        <v>2</v>
      </c>
      <c r="R941">
        <v>204</v>
      </c>
      <c r="S941">
        <v>11.424145368978365</v>
      </c>
      <c r="T941">
        <v>0.98296297788619991</v>
      </c>
    </row>
    <row r="942" spans="1:20" x14ac:dyDescent="0.25">
      <c r="A942" t="s">
        <v>106</v>
      </c>
      <c r="B942">
        <v>3</v>
      </c>
      <c r="C942">
        <v>4</v>
      </c>
      <c r="D942">
        <v>0</v>
      </c>
      <c r="E942" t="s">
        <v>225</v>
      </c>
      <c r="F942">
        <v>53362</v>
      </c>
      <c r="G942">
        <v>42230038.833333336</v>
      </c>
      <c r="H942">
        <v>0.96259259184201562</v>
      </c>
      <c r="I942">
        <v>0.9522222222222223</v>
      </c>
      <c r="J942">
        <v>12474947.333333334</v>
      </c>
      <c r="K942">
        <v>100744</v>
      </c>
      <c r="L942">
        <v>2</v>
      </c>
      <c r="M942">
        <v>206</v>
      </c>
      <c r="N942">
        <v>0.95370370370370372</v>
      </c>
      <c r="O942">
        <v>12902370.666666666</v>
      </c>
      <c r="P942">
        <v>101647</v>
      </c>
      <c r="Q942">
        <v>2</v>
      </c>
      <c r="R942">
        <v>207</v>
      </c>
      <c r="S942">
        <v>11.423129696177719</v>
      </c>
      <c r="T942">
        <v>0.9770370244979858</v>
      </c>
    </row>
    <row r="943" spans="1:20" x14ac:dyDescent="0.25">
      <c r="A943" t="s">
        <v>106</v>
      </c>
      <c r="B943">
        <v>3</v>
      </c>
      <c r="C943">
        <v>4</v>
      </c>
      <c r="D943">
        <v>0</v>
      </c>
      <c r="E943" t="s">
        <v>241</v>
      </c>
      <c r="F943">
        <v>54844</v>
      </c>
      <c r="G943">
        <v>43336875.833333336</v>
      </c>
      <c r="H943">
        <v>0.96370370189348853</v>
      </c>
      <c r="I943">
        <v>0.95185185185185184</v>
      </c>
      <c r="J943">
        <v>12650780.333333334</v>
      </c>
      <c r="K943">
        <v>103465</v>
      </c>
      <c r="L943">
        <v>2</v>
      </c>
      <c r="M943">
        <v>209</v>
      </c>
      <c r="N943">
        <v>0.95444444444444443</v>
      </c>
      <c r="O943">
        <v>12760403.333333334</v>
      </c>
      <c r="P943">
        <v>104380</v>
      </c>
      <c r="Q943">
        <v>2</v>
      </c>
      <c r="R943">
        <v>210</v>
      </c>
      <c r="S943">
        <v>11.42185356932924</v>
      </c>
      <c r="T943">
        <v>0.98370370864868162</v>
      </c>
    </row>
    <row r="944" spans="1:20" x14ac:dyDescent="0.25">
      <c r="A944" t="s">
        <v>106</v>
      </c>
      <c r="B944">
        <v>3</v>
      </c>
      <c r="C944">
        <v>4</v>
      </c>
      <c r="D944">
        <v>0</v>
      </c>
      <c r="E944" t="s">
        <v>242</v>
      </c>
      <c r="F944">
        <v>56326</v>
      </c>
      <c r="G944">
        <v>43301787.166666664</v>
      </c>
      <c r="H944">
        <v>0.96222221851348877</v>
      </c>
      <c r="I944">
        <v>0.95296296296296301</v>
      </c>
      <c r="J944">
        <v>13168108.5</v>
      </c>
      <c r="K944">
        <v>106222</v>
      </c>
      <c r="L944">
        <v>2</v>
      </c>
      <c r="M944">
        <v>212</v>
      </c>
      <c r="N944">
        <v>0.95296296296296301</v>
      </c>
      <c r="O944">
        <v>13371323</v>
      </c>
      <c r="P944">
        <v>107149</v>
      </c>
      <c r="Q944">
        <v>2</v>
      </c>
      <c r="R944">
        <v>213</v>
      </c>
      <c r="S944">
        <v>11.420774303061958</v>
      </c>
      <c r="T944">
        <v>0.97259258031845097</v>
      </c>
    </row>
    <row r="945" spans="1:20" x14ac:dyDescent="0.25">
      <c r="A945" t="s">
        <v>106</v>
      </c>
      <c r="B945">
        <v>3</v>
      </c>
      <c r="C945">
        <v>4</v>
      </c>
      <c r="D945">
        <v>0</v>
      </c>
      <c r="E945" t="s">
        <v>243</v>
      </c>
      <c r="F945">
        <v>57808</v>
      </c>
      <c r="G945">
        <v>56430113.166666664</v>
      </c>
      <c r="H945">
        <v>0.96259258190790808</v>
      </c>
      <c r="I945">
        <v>0.95333333333333337</v>
      </c>
      <c r="J945">
        <v>13491556.666666666</v>
      </c>
      <c r="K945">
        <v>109015</v>
      </c>
      <c r="L945">
        <v>2</v>
      </c>
      <c r="M945">
        <v>215</v>
      </c>
      <c r="N945">
        <v>0.95962962962962961</v>
      </c>
      <c r="O945">
        <v>13239654.5</v>
      </c>
      <c r="P945">
        <v>109954</v>
      </c>
      <c r="Q945">
        <v>2</v>
      </c>
      <c r="R945">
        <v>216</v>
      </c>
      <c r="S945">
        <v>11.420609541212556</v>
      </c>
      <c r="T945">
        <v>0.98370370864868162</v>
      </c>
    </row>
    <row r="946" spans="1:20" x14ac:dyDescent="0.25">
      <c r="A946" t="s">
        <v>106</v>
      </c>
      <c r="B946">
        <v>3</v>
      </c>
      <c r="C946">
        <v>4</v>
      </c>
      <c r="D946">
        <v>0</v>
      </c>
      <c r="E946" t="s">
        <v>244</v>
      </c>
      <c r="F946">
        <v>59290</v>
      </c>
      <c r="G946">
        <v>54836184</v>
      </c>
      <c r="H946">
        <v>0.95444442828496301</v>
      </c>
      <c r="I946">
        <v>0.94851851851851854</v>
      </c>
      <c r="J946">
        <v>12542784.833333334</v>
      </c>
      <c r="K946">
        <v>111844</v>
      </c>
      <c r="L946">
        <v>2</v>
      </c>
      <c r="M946">
        <v>218</v>
      </c>
      <c r="N946">
        <v>0.95740740740740737</v>
      </c>
      <c r="O946">
        <v>13873041.5</v>
      </c>
      <c r="P946">
        <v>112795</v>
      </c>
      <c r="Q946">
        <v>2</v>
      </c>
      <c r="R946">
        <v>219</v>
      </c>
      <c r="S946">
        <v>11.419857785896014</v>
      </c>
      <c r="T946">
        <v>0.97555555105209346</v>
      </c>
    </row>
    <row r="947" spans="1:20" x14ac:dyDescent="0.25">
      <c r="A947" t="s">
        <v>106</v>
      </c>
      <c r="B947">
        <v>3</v>
      </c>
      <c r="C947">
        <v>4</v>
      </c>
      <c r="D947">
        <v>0</v>
      </c>
      <c r="E947" t="s">
        <v>245</v>
      </c>
      <c r="F947">
        <v>60772</v>
      </c>
      <c r="G947">
        <v>55934171</v>
      </c>
      <c r="H947">
        <v>0.95888888835906982</v>
      </c>
      <c r="I947">
        <v>0.95222222222222219</v>
      </c>
      <c r="J947">
        <v>13740309.5</v>
      </c>
      <c r="K947">
        <v>114709</v>
      </c>
      <c r="L947">
        <v>2</v>
      </c>
      <c r="M947">
        <v>221</v>
      </c>
      <c r="N947">
        <v>0.9522222222222223</v>
      </c>
      <c r="O947">
        <v>13060008.833333334</v>
      </c>
      <c r="P947">
        <v>115672</v>
      </c>
      <c r="Q947">
        <v>2</v>
      </c>
      <c r="R947">
        <v>222</v>
      </c>
      <c r="S947">
        <v>11.419171829149006</v>
      </c>
      <c r="T947">
        <v>0.97333332300186159</v>
      </c>
    </row>
    <row r="948" spans="1:20" x14ac:dyDescent="0.25">
      <c r="A948" t="s">
        <v>106</v>
      </c>
      <c r="B948">
        <v>3</v>
      </c>
      <c r="C948">
        <v>4</v>
      </c>
      <c r="D948">
        <v>0</v>
      </c>
      <c r="E948" t="s">
        <v>246</v>
      </c>
      <c r="F948">
        <v>62254</v>
      </c>
      <c r="G948">
        <v>56595058.5</v>
      </c>
      <c r="H948">
        <v>0.9566666682561239</v>
      </c>
      <c r="I948">
        <v>0.95148148148148148</v>
      </c>
      <c r="J948">
        <v>13756008.166666666</v>
      </c>
      <c r="K948">
        <v>117610</v>
      </c>
      <c r="L948">
        <v>2</v>
      </c>
      <c r="M948">
        <v>224</v>
      </c>
      <c r="N948">
        <v>0.95333333333333337</v>
      </c>
      <c r="O948">
        <v>12538308.833333334</v>
      </c>
      <c r="P948">
        <v>118585</v>
      </c>
      <c r="Q948">
        <v>2</v>
      </c>
      <c r="R948">
        <v>225</v>
      </c>
      <c r="S948">
        <v>11.418356039371618</v>
      </c>
      <c r="T948">
        <v>0.98222223520278928</v>
      </c>
    </row>
    <row r="949" spans="1:20" x14ac:dyDescent="0.25">
      <c r="A949" t="s">
        <v>106</v>
      </c>
      <c r="B949">
        <v>3</v>
      </c>
      <c r="C949">
        <v>4</v>
      </c>
      <c r="D949">
        <v>0</v>
      </c>
      <c r="E949" t="s">
        <v>247</v>
      </c>
      <c r="F949">
        <v>63736</v>
      </c>
      <c r="G949">
        <v>55844337.666666664</v>
      </c>
      <c r="H949">
        <v>0.95740740497907006</v>
      </c>
      <c r="I949">
        <v>0.95481481481481478</v>
      </c>
      <c r="J949">
        <v>13764983.166666666</v>
      </c>
      <c r="K949">
        <v>120547</v>
      </c>
      <c r="L949">
        <v>2</v>
      </c>
      <c r="M949">
        <v>227</v>
      </c>
      <c r="N949">
        <v>0.95074074074074078</v>
      </c>
      <c r="O949">
        <v>14350911.333333334</v>
      </c>
      <c r="P949">
        <v>121534</v>
      </c>
      <c r="Q949">
        <v>2</v>
      </c>
      <c r="R949">
        <v>228</v>
      </c>
      <c r="S949">
        <v>11.417866684042483</v>
      </c>
      <c r="T949">
        <v>0.98074073791503902</v>
      </c>
    </row>
    <row r="950" spans="1:20" x14ac:dyDescent="0.25">
      <c r="A950" t="s">
        <v>106</v>
      </c>
      <c r="B950">
        <v>3</v>
      </c>
      <c r="C950">
        <v>4</v>
      </c>
      <c r="D950">
        <v>0</v>
      </c>
      <c r="E950" t="s">
        <v>248</v>
      </c>
      <c r="F950">
        <v>65218</v>
      </c>
      <c r="G950">
        <v>54510378</v>
      </c>
      <c r="H950">
        <v>0.95407407482465112</v>
      </c>
      <c r="I950">
        <v>0.95185185185185184</v>
      </c>
      <c r="J950">
        <v>12943079.5</v>
      </c>
      <c r="K950">
        <v>123520</v>
      </c>
      <c r="L950">
        <v>2</v>
      </c>
      <c r="M950">
        <v>230</v>
      </c>
      <c r="N950">
        <v>0.95592592592592596</v>
      </c>
      <c r="O950">
        <v>14389901</v>
      </c>
      <c r="P950">
        <v>124519</v>
      </c>
      <c r="Q950">
        <v>2</v>
      </c>
      <c r="R950">
        <v>231</v>
      </c>
      <c r="S950">
        <v>11.417117175796262</v>
      </c>
      <c r="T950">
        <v>0.987407386302948</v>
      </c>
    </row>
    <row r="951" spans="1:20" x14ac:dyDescent="0.25">
      <c r="A951" t="s">
        <v>106</v>
      </c>
      <c r="B951">
        <v>3</v>
      </c>
      <c r="C951">
        <v>4</v>
      </c>
      <c r="D951">
        <v>0</v>
      </c>
      <c r="E951" t="s">
        <v>249</v>
      </c>
      <c r="F951">
        <v>66700</v>
      </c>
      <c r="G951">
        <v>56775205.333333336</v>
      </c>
      <c r="H951">
        <v>0.94555555780728662</v>
      </c>
      <c r="I951">
        <v>0.94888888888888889</v>
      </c>
      <c r="J951">
        <v>14358696.166666666</v>
      </c>
      <c r="K951">
        <v>126529</v>
      </c>
      <c r="L951">
        <v>2</v>
      </c>
      <c r="M951">
        <v>233</v>
      </c>
      <c r="N951">
        <v>0.9555555555555556</v>
      </c>
      <c r="O951">
        <v>13703372.5</v>
      </c>
      <c r="P951">
        <v>127540</v>
      </c>
      <c r="Q951">
        <v>2</v>
      </c>
      <c r="R951">
        <v>234</v>
      </c>
      <c r="S951">
        <v>11.416303144735986</v>
      </c>
      <c r="T951">
        <v>0.98148149251937866</v>
      </c>
    </row>
    <row r="952" spans="1:20" x14ac:dyDescent="0.25">
      <c r="A952" t="s">
        <v>106</v>
      </c>
      <c r="B952">
        <v>3</v>
      </c>
      <c r="C952">
        <v>4</v>
      </c>
      <c r="D952">
        <v>0</v>
      </c>
      <c r="E952" t="s">
        <v>250</v>
      </c>
      <c r="F952">
        <v>68182</v>
      </c>
      <c r="G952">
        <v>54798761.833333336</v>
      </c>
      <c r="H952">
        <v>0.94888888796170556</v>
      </c>
      <c r="I952">
        <v>0.95925925925925926</v>
      </c>
      <c r="J952">
        <v>14454612.333333334</v>
      </c>
      <c r="K952">
        <v>128555</v>
      </c>
      <c r="L952">
        <v>2</v>
      </c>
      <c r="M952">
        <v>235</v>
      </c>
      <c r="N952">
        <v>0.9588888888888889</v>
      </c>
      <c r="O952">
        <v>13601940</v>
      </c>
      <c r="P952">
        <v>129574</v>
      </c>
      <c r="Q952">
        <v>2</v>
      </c>
      <c r="R952">
        <v>236</v>
      </c>
      <c r="S952">
        <v>11.415294500488123</v>
      </c>
      <c r="T952">
        <v>0.97777777910232544</v>
      </c>
    </row>
    <row r="953" spans="1:20" x14ac:dyDescent="0.25">
      <c r="A953" t="s">
        <v>106</v>
      </c>
      <c r="B953">
        <v>3</v>
      </c>
      <c r="C953">
        <v>4</v>
      </c>
      <c r="D953">
        <v>0</v>
      </c>
      <c r="E953" t="s">
        <v>251</v>
      </c>
      <c r="F953">
        <v>69664</v>
      </c>
      <c r="G953">
        <v>55133838.333333336</v>
      </c>
      <c r="H953">
        <v>0.9466666579246521</v>
      </c>
      <c r="I953">
        <v>0.96407407407407408</v>
      </c>
      <c r="J953">
        <v>15115618.333333334</v>
      </c>
      <c r="K953">
        <v>131624</v>
      </c>
      <c r="L953">
        <v>2</v>
      </c>
      <c r="M953">
        <v>238</v>
      </c>
      <c r="N953">
        <v>0.96037037037037032</v>
      </c>
      <c r="O953">
        <v>14417571</v>
      </c>
      <c r="P953">
        <v>132655</v>
      </c>
      <c r="Q953">
        <v>2</v>
      </c>
      <c r="R953">
        <v>239</v>
      </c>
      <c r="S953">
        <v>11.414156528527746</v>
      </c>
      <c r="T953">
        <v>0.982962965965271</v>
      </c>
    </row>
    <row r="954" spans="1:20" x14ac:dyDescent="0.25">
      <c r="A954" t="s">
        <v>106</v>
      </c>
      <c r="B954">
        <v>3</v>
      </c>
      <c r="C954">
        <v>4</v>
      </c>
      <c r="D954">
        <v>0</v>
      </c>
      <c r="E954" t="s">
        <v>252</v>
      </c>
      <c r="F954">
        <v>71146</v>
      </c>
      <c r="G954">
        <v>68382442.666666672</v>
      </c>
      <c r="H954">
        <v>0.95703703165054321</v>
      </c>
      <c r="I954">
        <v>0.95407407407407407</v>
      </c>
      <c r="J954">
        <v>14803479.333333334</v>
      </c>
      <c r="K954">
        <v>134729</v>
      </c>
      <c r="L954">
        <v>2</v>
      </c>
      <c r="M954">
        <v>241</v>
      </c>
      <c r="N954">
        <v>0.95407407407407407</v>
      </c>
      <c r="O954">
        <v>14557460</v>
      </c>
      <c r="P954">
        <v>135772</v>
      </c>
      <c r="Q954">
        <v>2</v>
      </c>
      <c r="R954">
        <v>242</v>
      </c>
      <c r="S954">
        <v>11.413474669961632</v>
      </c>
      <c r="T954">
        <v>0.982962965965271</v>
      </c>
    </row>
    <row r="955" spans="1:20" x14ac:dyDescent="0.25">
      <c r="A955" t="s">
        <v>106</v>
      </c>
      <c r="B955">
        <v>3</v>
      </c>
      <c r="C955">
        <v>4</v>
      </c>
      <c r="D955">
        <v>0</v>
      </c>
      <c r="E955" t="s">
        <v>253</v>
      </c>
      <c r="F955">
        <v>72628</v>
      </c>
      <c r="G955">
        <v>70487732.166666672</v>
      </c>
      <c r="H955">
        <v>0.95592593153317773</v>
      </c>
      <c r="I955">
        <v>0.95592592592592596</v>
      </c>
      <c r="J955">
        <v>14748534.166666666</v>
      </c>
      <c r="K955">
        <v>137870</v>
      </c>
      <c r="L955">
        <v>2</v>
      </c>
      <c r="M955">
        <v>244</v>
      </c>
      <c r="N955">
        <v>0.95111111111111113</v>
      </c>
      <c r="O955">
        <v>15090088.5</v>
      </c>
      <c r="P955">
        <v>138925</v>
      </c>
      <c r="Q955">
        <v>2</v>
      </c>
      <c r="R955">
        <v>245</v>
      </c>
      <c r="S955">
        <v>11.412663329649613</v>
      </c>
      <c r="T955">
        <v>0.98074074983596804</v>
      </c>
    </row>
    <row r="956" spans="1:20" x14ac:dyDescent="0.25">
      <c r="A956" t="s">
        <v>106</v>
      </c>
      <c r="B956">
        <v>3</v>
      </c>
      <c r="C956">
        <v>4</v>
      </c>
      <c r="D956">
        <v>0</v>
      </c>
      <c r="E956" t="s">
        <v>107</v>
      </c>
      <c r="F956">
        <v>74110</v>
      </c>
      <c r="G956">
        <v>68337071.833333328</v>
      </c>
      <c r="H956">
        <v>0.96259259184201562</v>
      </c>
      <c r="I956">
        <v>0.95407407407407407</v>
      </c>
      <c r="J956">
        <v>15505753.333333334</v>
      </c>
      <c r="K956">
        <v>139984</v>
      </c>
      <c r="L956">
        <v>2</v>
      </c>
      <c r="M956">
        <v>246</v>
      </c>
      <c r="N956">
        <v>0.95777777777777773</v>
      </c>
      <c r="O956">
        <v>14923640</v>
      </c>
      <c r="P956">
        <v>141047</v>
      </c>
      <c r="Q956">
        <v>2</v>
      </c>
      <c r="R956">
        <v>247</v>
      </c>
      <c r="S956">
        <v>11.412112547923842</v>
      </c>
      <c r="T956">
        <v>0.98148149251937866</v>
      </c>
    </row>
    <row r="957" spans="1:20" x14ac:dyDescent="0.25">
      <c r="A957" t="s">
        <v>106</v>
      </c>
      <c r="B957">
        <v>3</v>
      </c>
      <c r="C957">
        <v>4</v>
      </c>
      <c r="D957">
        <v>0</v>
      </c>
      <c r="E957" t="s">
        <v>108</v>
      </c>
      <c r="F957">
        <v>75592</v>
      </c>
      <c r="G957">
        <v>73001114.166666672</v>
      </c>
      <c r="H957">
        <v>0.95666667819023132</v>
      </c>
      <c r="I957">
        <v>0.95518518518518525</v>
      </c>
      <c r="J957">
        <v>16000863.666666666</v>
      </c>
      <c r="K957">
        <v>143185</v>
      </c>
      <c r="L957">
        <v>2</v>
      </c>
      <c r="M957">
        <v>249</v>
      </c>
      <c r="N957">
        <v>0.95814814814814819</v>
      </c>
      <c r="O957">
        <v>15925004.666666666</v>
      </c>
      <c r="P957">
        <v>144260</v>
      </c>
      <c r="Q957">
        <v>2</v>
      </c>
      <c r="R957">
        <v>250</v>
      </c>
      <c r="S957">
        <v>11.411822020136407</v>
      </c>
      <c r="T957">
        <v>0.97629629373550419</v>
      </c>
    </row>
    <row r="958" spans="1:20" x14ac:dyDescent="0.25">
      <c r="A958" t="s">
        <v>106</v>
      </c>
      <c r="B958">
        <v>3</v>
      </c>
      <c r="C958">
        <v>4</v>
      </c>
      <c r="D958">
        <v>0</v>
      </c>
      <c r="E958" t="s">
        <v>109</v>
      </c>
      <c r="F958">
        <v>77074</v>
      </c>
      <c r="G958">
        <v>68245449.166666672</v>
      </c>
      <c r="H958">
        <v>0.96074074506759644</v>
      </c>
      <c r="I958">
        <v>0.95518518518518525</v>
      </c>
      <c r="J958">
        <v>16648692.166666666</v>
      </c>
      <c r="K958">
        <v>145339</v>
      </c>
      <c r="L958">
        <v>2</v>
      </c>
      <c r="M958">
        <v>251</v>
      </c>
      <c r="N958">
        <v>0.95296296296296301</v>
      </c>
      <c r="O958">
        <v>16728014.166666666</v>
      </c>
      <c r="P958">
        <v>146422</v>
      </c>
      <c r="Q958">
        <v>2</v>
      </c>
      <c r="R958">
        <v>252</v>
      </c>
      <c r="S958">
        <v>11.411336926173625</v>
      </c>
      <c r="T958">
        <v>0.97703703641891482</v>
      </c>
    </row>
    <row r="959" spans="1:20" x14ac:dyDescent="0.25">
      <c r="A959" t="s">
        <v>106</v>
      </c>
      <c r="B959">
        <v>3</v>
      </c>
      <c r="C959">
        <v>4</v>
      </c>
      <c r="D959">
        <v>0</v>
      </c>
      <c r="E959" t="s">
        <v>110</v>
      </c>
      <c r="F959">
        <v>78556</v>
      </c>
      <c r="G959">
        <v>71341177.5</v>
      </c>
      <c r="H959">
        <v>0.96074072519938147</v>
      </c>
      <c r="I959">
        <v>0.95592592592592596</v>
      </c>
      <c r="J959">
        <v>16283857</v>
      </c>
      <c r="K959">
        <v>148600</v>
      </c>
      <c r="L959">
        <v>2</v>
      </c>
      <c r="M959">
        <v>254</v>
      </c>
      <c r="N959">
        <v>0.95444444444444443</v>
      </c>
      <c r="O959">
        <v>17224788.666666668</v>
      </c>
      <c r="P959">
        <v>149695</v>
      </c>
      <c r="Q959">
        <v>2</v>
      </c>
      <c r="R959">
        <v>255</v>
      </c>
      <c r="S959">
        <v>11.410527682222366</v>
      </c>
      <c r="T959">
        <v>0.98370372056961064</v>
      </c>
    </row>
    <row r="960" spans="1:20" x14ac:dyDescent="0.25">
      <c r="A960" t="s">
        <v>106</v>
      </c>
      <c r="B960">
        <v>3</v>
      </c>
      <c r="C960">
        <v>4</v>
      </c>
      <c r="D960">
        <v>0</v>
      </c>
      <c r="E960" t="s">
        <v>111</v>
      </c>
      <c r="F960">
        <v>80038</v>
      </c>
      <c r="G960">
        <v>71097350.333333328</v>
      </c>
      <c r="H960">
        <v>0.96185184518496192</v>
      </c>
      <c r="I960">
        <v>0.9588888888888889</v>
      </c>
      <c r="J960">
        <v>16493921.666666666</v>
      </c>
      <c r="K960">
        <v>151897</v>
      </c>
      <c r="L960">
        <v>2</v>
      </c>
      <c r="M960">
        <v>257</v>
      </c>
      <c r="N960">
        <v>0.95814814814814819</v>
      </c>
      <c r="O960">
        <v>16453866.5</v>
      </c>
      <c r="P960">
        <v>153004</v>
      </c>
      <c r="Q960">
        <v>2</v>
      </c>
      <c r="R960">
        <v>258</v>
      </c>
      <c r="S960">
        <v>11.409978589502368</v>
      </c>
      <c r="T960">
        <v>0.9799999952316284</v>
      </c>
    </row>
    <row r="961" spans="1:20" x14ac:dyDescent="0.25">
      <c r="A961" t="s">
        <v>106</v>
      </c>
      <c r="B961">
        <v>3</v>
      </c>
      <c r="C961">
        <v>4</v>
      </c>
      <c r="D961">
        <v>0</v>
      </c>
      <c r="E961" t="s">
        <v>112</v>
      </c>
      <c r="F961">
        <v>81520</v>
      </c>
      <c r="G961">
        <v>71868134.5</v>
      </c>
      <c r="H961">
        <v>0.96074073513348901</v>
      </c>
      <c r="I961">
        <v>0.95518518518518525</v>
      </c>
      <c r="J961">
        <v>16798520.5</v>
      </c>
      <c r="K961">
        <v>154115</v>
      </c>
      <c r="L961">
        <v>2</v>
      </c>
      <c r="M961">
        <v>259</v>
      </c>
      <c r="N961">
        <v>0.96148148148148149</v>
      </c>
      <c r="O961">
        <v>17191268.333333332</v>
      </c>
      <c r="P961">
        <v>155230</v>
      </c>
      <c r="Q961">
        <v>2</v>
      </c>
      <c r="R961">
        <v>260</v>
      </c>
      <c r="S961">
        <v>11.408716518580972</v>
      </c>
      <c r="T961">
        <v>0.987407386302948</v>
      </c>
    </row>
    <row r="962" spans="1:20" x14ac:dyDescent="0.25">
      <c r="A962" t="s">
        <v>106</v>
      </c>
      <c r="B962">
        <v>3</v>
      </c>
      <c r="C962">
        <v>4</v>
      </c>
      <c r="D962">
        <v>0</v>
      </c>
      <c r="E962" t="s">
        <v>113</v>
      </c>
      <c r="F962">
        <v>83002</v>
      </c>
      <c r="G962">
        <v>70607792.333333328</v>
      </c>
      <c r="H962">
        <v>0.95777776837348938</v>
      </c>
      <c r="I962">
        <v>0.95296296296296301</v>
      </c>
      <c r="J962">
        <v>18549301</v>
      </c>
      <c r="K962">
        <v>157472</v>
      </c>
      <c r="L962">
        <v>2</v>
      </c>
      <c r="M962">
        <v>262</v>
      </c>
      <c r="N962">
        <v>0.95185185185185184</v>
      </c>
      <c r="O962">
        <v>17037054.666666668</v>
      </c>
      <c r="P962">
        <v>158599</v>
      </c>
      <c r="Q962">
        <v>2</v>
      </c>
      <c r="R962">
        <v>263</v>
      </c>
      <c r="S962">
        <v>11.407909238249594</v>
      </c>
      <c r="T962">
        <v>0.98148149251937866</v>
      </c>
    </row>
    <row r="963" spans="1:20" x14ac:dyDescent="0.25">
      <c r="A963" t="s">
        <v>106</v>
      </c>
      <c r="B963">
        <v>3</v>
      </c>
      <c r="C963">
        <v>4</v>
      </c>
      <c r="D963">
        <v>0</v>
      </c>
      <c r="E963" t="s">
        <v>114</v>
      </c>
      <c r="F963">
        <v>84484</v>
      </c>
      <c r="G963">
        <v>76972948.5</v>
      </c>
      <c r="H963">
        <v>0.95777776837348938</v>
      </c>
      <c r="I963">
        <v>0.94851851851851854</v>
      </c>
      <c r="J963">
        <v>17700876.666666668</v>
      </c>
      <c r="K963">
        <v>159730</v>
      </c>
      <c r="L963">
        <v>2</v>
      </c>
      <c r="M963">
        <v>264</v>
      </c>
      <c r="N963">
        <v>0.96074074074074067</v>
      </c>
      <c r="O963">
        <v>17518715.333333332</v>
      </c>
      <c r="P963">
        <v>160865</v>
      </c>
      <c r="Q963">
        <v>2</v>
      </c>
      <c r="R963">
        <v>265</v>
      </c>
      <c r="S963">
        <v>11.407361804160455</v>
      </c>
      <c r="T963">
        <v>0.97777777910232544</v>
      </c>
    </row>
    <row r="964" spans="1:20" x14ac:dyDescent="0.25">
      <c r="A964" t="s">
        <v>106</v>
      </c>
      <c r="B964">
        <v>3</v>
      </c>
      <c r="C964">
        <v>4</v>
      </c>
      <c r="D964">
        <v>0</v>
      </c>
      <c r="E964" t="s">
        <v>115</v>
      </c>
      <c r="F964">
        <v>85966</v>
      </c>
      <c r="G964">
        <v>84805069.333333328</v>
      </c>
      <c r="H964">
        <v>0.95370370149612427</v>
      </c>
      <c r="I964">
        <v>0.95851851851851855</v>
      </c>
      <c r="J964">
        <v>17891241.666666668</v>
      </c>
      <c r="K964">
        <v>163147</v>
      </c>
      <c r="L964">
        <v>2</v>
      </c>
      <c r="M964">
        <v>267</v>
      </c>
      <c r="N964">
        <v>0.95629629629629631</v>
      </c>
      <c r="O964">
        <v>17957302.333333332</v>
      </c>
      <c r="P964">
        <v>164294</v>
      </c>
      <c r="Q964">
        <v>2</v>
      </c>
      <c r="R964">
        <v>268</v>
      </c>
      <c r="S964">
        <v>11.40681479562091</v>
      </c>
      <c r="T964">
        <v>0.97629629373550419</v>
      </c>
    </row>
    <row r="965" spans="1:20" x14ac:dyDescent="0.25">
      <c r="A965" t="s">
        <v>106</v>
      </c>
      <c r="B965">
        <v>3</v>
      </c>
      <c r="C965">
        <v>4</v>
      </c>
      <c r="D965">
        <v>0</v>
      </c>
      <c r="E965" t="s">
        <v>116</v>
      </c>
      <c r="F965">
        <v>87448</v>
      </c>
      <c r="G965">
        <v>72624364.166666672</v>
      </c>
      <c r="H965">
        <v>0.95629628499348962</v>
      </c>
      <c r="I965">
        <v>0.9588888888888889</v>
      </c>
      <c r="J965">
        <v>18791229</v>
      </c>
      <c r="K965">
        <v>165445</v>
      </c>
      <c r="L965">
        <v>2</v>
      </c>
      <c r="M965">
        <v>269</v>
      </c>
      <c r="N965">
        <v>0.95481481481481478</v>
      </c>
      <c r="O965">
        <v>18005796.5</v>
      </c>
      <c r="P965">
        <v>166600</v>
      </c>
      <c r="Q965">
        <v>2</v>
      </c>
      <c r="R965">
        <v>270</v>
      </c>
      <c r="S965">
        <v>11.405685423816616</v>
      </c>
      <c r="T965">
        <v>0.97703703641891482</v>
      </c>
    </row>
    <row r="966" spans="1:20" x14ac:dyDescent="0.25">
      <c r="A966" t="s">
        <v>106</v>
      </c>
      <c r="B966">
        <v>3</v>
      </c>
      <c r="C966">
        <v>4</v>
      </c>
      <c r="D966">
        <v>0</v>
      </c>
      <c r="E966" t="s">
        <v>117</v>
      </c>
      <c r="F966">
        <v>88930</v>
      </c>
      <c r="G966">
        <v>76828537.833333328</v>
      </c>
      <c r="H966">
        <v>0.94814814130465186</v>
      </c>
      <c r="I966">
        <v>0.96</v>
      </c>
      <c r="J966">
        <v>18463918</v>
      </c>
      <c r="K966">
        <v>167759</v>
      </c>
      <c r="L966">
        <v>2</v>
      </c>
      <c r="M966">
        <v>271</v>
      </c>
      <c r="N966">
        <v>0.9588888888888889</v>
      </c>
      <c r="O966">
        <v>17817580.5</v>
      </c>
      <c r="P966">
        <v>168922</v>
      </c>
      <c r="Q966">
        <v>2</v>
      </c>
      <c r="R966">
        <v>272</v>
      </c>
      <c r="S966">
        <v>11.404880574794484</v>
      </c>
      <c r="T966">
        <v>0.97555555105209346</v>
      </c>
    </row>
    <row r="967" spans="1:20" x14ac:dyDescent="0.25">
      <c r="A967" t="s">
        <v>106</v>
      </c>
      <c r="B967">
        <v>3</v>
      </c>
      <c r="C967">
        <v>4</v>
      </c>
      <c r="D967">
        <v>0</v>
      </c>
      <c r="E967" t="s">
        <v>148</v>
      </c>
      <c r="F967">
        <v>89940</v>
      </c>
      <c r="G967">
        <v>123795064.54545455</v>
      </c>
      <c r="H967">
        <v>0.95151514898646961</v>
      </c>
      <c r="I967">
        <v>0.95737373737373743</v>
      </c>
      <c r="J967">
        <v>18508477.181818184</v>
      </c>
      <c r="K967">
        <v>170089</v>
      </c>
      <c r="L967">
        <v>2</v>
      </c>
      <c r="M967">
        <v>273</v>
      </c>
      <c r="N967">
        <v>0.96</v>
      </c>
      <c r="O967">
        <v>18184614.181818184</v>
      </c>
      <c r="P967">
        <v>171260</v>
      </c>
      <c r="Q967">
        <v>2</v>
      </c>
      <c r="R967">
        <v>274</v>
      </c>
      <c r="S967">
        <v>11.405174644243209</v>
      </c>
      <c r="T967">
        <v>0.96962964534759521</v>
      </c>
    </row>
    <row r="968" spans="1:20" x14ac:dyDescent="0.25">
      <c r="A968" t="s">
        <v>106</v>
      </c>
      <c r="B968">
        <v>3</v>
      </c>
      <c r="C968">
        <v>4</v>
      </c>
      <c r="D968">
        <v>0</v>
      </c>
      <c r="E968" t="s">
        <v>118</v>
      </c>
      <c r="F968">
        <v>90412</v>
      </c>
      <c r="G968">
        <v>128215392</v>
      </c>
      <c r="H968">
        <v>0.95592592159907019</v>
      </c>
      <c r="I968">
        <v>0.95814814814814819</v>
      </c>
      <c r="J968">
        <v>18645769</v>
      </c>
      <c r="K968">
        <v>171260</v>
      </c>
      <c r="L968">
        <v>2</v>
      </c>
      <c r="M968">
        <v>274</v>
      </c>
      <c r="N968">
        <v>0.95592592592592596</v>
      </c>
      <c r="O968">
        <v>18480186.166666668</v>
      </c>
      <c r="P968">
        <v>172435</v>
      </c>
      <c r="Q968">
        <v>2</v>
      </c>
      <c r="R968">
        <v>275</v>
      </c>
      <c r="S968">
        <v>11.405211431527221</v>
      </c>
      <c r="T968">
        <v>0.97259259223937988</v>
      </c>
    </row>
    <row r="969" spans="1:20" x14ac:dyDescent="0.25">
      <c r="A969" t="s">
        <v>106</v>
      </c>
      <c r="B969">
        <v>3</v>
      </c>
      <c r="C969">
        <v>4</v>
      </c>
      <c r="D969">
        <v>0</v>
      </c>
      <c r="E969" t="s">
        <v>149</v>
      </c>
      <c r="F969">
        <v>91422</v>
      </c>
      <c r="G969">
        <v>112387187.16666667</v>
      </c>
      <c r="H969">
        <v>0.94777777791023254</v>
      </c>
      <c r="I969">
        <v>0.95703703703703702</v>
      </c>
      <c r="J969">
        <v>19120709.166666668</v>
      </c>
      <c r="K969">
        <v>172435</v>
      </c>
      <c r="L969">
        <v>2</v>
      </c>
      <c r="M969">
        <v>275</v>
      </c>
      <c r="N969">
        <v>0.95814814814814808</v>
      </c>
      <c r="O969">
        <v>18206452.833333332</v>
      </c>
      <c r="P969">
        <v>173614</v>
      </c>
      <c r="Q969">
        <v>2</v>
      </c>
      <c r="R969">
        <v>276</v>
      </c>
      <c r="S969">
        <v>11.404666494312306</v>
      </c>
      <c r="T969">
        <v>0.97407407760620113</v>
      </c>
    </row>
    <row r="970" spans="1:20" x14ac:dyDescent="0.25">
      <c r="A970" t="s">
        <v>106</v>
      </c>
      <c r="B970">
        <v>3</v>
      </c>
      <c r="C970">
        <v>4</v>
      </c>
      <c r="D970">
        <v>0</v>
      </c>
      <c r="E970" t="s">
        <v>119</v>
      </c>
      <c r="F970">
        <v>91894</v>
      </c>
      <c r="G970">
        <v>213583088.09090909</v>
      </c>
      <c r="H970">
        <v>0.94787878339940856</v>
      </c>
      <c r="I970">
        <v>0.95818181818181813</v>
      </c>
      <c r="J970">
        <v>22737611.818181816</v>
      </c>
      <c r="K970">
        <v>173614</v>
      </c>
      <c r="L970">
        <v>2</v>
      </c>
      <c r="M970">
        <v>276</v>
      </c>
      <c r="N970">
        <v>0.9561616161616161</v>
      </c>
      <c r="O970">
        <v>21649903.636363637</v>
      </c>
      <c r="P970">
        <v>174797</v>
      </c>
      <c r="Q970">
        <v>2</v>
      </c>
      <c r="R970">
        <v>277</v>
      </c>
      <c r="S970">
        <v>11.405929083510948</v>
      </c>
      <c r="T970">
        <v>0.97037037014961247</v>
      </c>
    </row>
    <row r="971" spans="1:20" x14ac:dyDescent="0.25">
      <c r="A971" t="s">
        <v>106</v>
      </c>
      <c r="B971">
        <v>3</v>
      </c>
      <c r="C971">
        <v>4</v>
      </c>
      <c r="D971">
        <v>0</v>
      </c>
      <c r="E971" t="s">
        <v>181</v>
      </c>
      <c r="F971">
        <v>92542</v>
      </c>
      <c r="G971">
        <v>114865414.16666667</v>
      </c>
      <c r="H971">
        <v>0.95592592159907019</v>
      </c>
      <c r="I971">
        <v>0.95629629629629631</v>
      </c>
      <c r="J971">
        <v>20474916.166666668</v>
      </c>
      <c r="K971">
        <v>174797</v>
      </c>
      <c r="L971">
        <v>2</v>
      </c>
      <c r="M971">
        <v>277</v>
      </c>
      <c r="N971">
        <v>0.96333333333333337</v>
      </c>
      <c r="O971">
        <v>19751576</v>
      </c>
      <c r="P971">
        <v>175984</v>
      </c>
      <c r="Q971">
        <v>2</v>
      </c>
      <c r="R971">
        <v>278</v>
      </c>
      <c r="S971">
        <v>11.405126218606753</v>
      </c>
      <c r="T971">
        <v>0.9703703641891479</v>
      </c>
    </row>
    <row r="972" spans="1:20" x14ac:dyDescent="0.25">
      <c r="A972" t="s">
        <v>106</v>
      </c>
      <c r="B972">
        <v>3</v>
      </c>
      <c r="C972">
        <v>4</v>
      </c>
      <c r="D972">
        <v>0</v>
      </c>
      <c r="E972" t="s">
        <v>150</v>
      </c>
      <c r="F972">
        <v>92904</v>
      </c>
      <c r="G972">
        <v>293828264</v>
      </c>
      <c r="H972">
        <v>0.95444443821907043</v>
      </c>
      <c r="I972">
        <v>0.96296296296296291</v>
      </c>
      <c r="J972">
        <v>27089644.666666668</v>
      </c>
      <c r="K972">
        <v>175984</v>
      </c>
      <c r="L972">
        <v>2</v>
      </c>
      <c r="M972">
        <v>278</v>
      </c>
      <c r="N972">
        <v>0.96333333333333337</v>
      </c>
      <c r="O972">
        <v>27296709.666666668</v>
      </c>
      <c r="P972">
        <v>177175</v>
      </c>
      <c r="Q972">
        <v>2</v>
      </c>
      <c r="R972">
        <v>279</v>
      </c>
      <c r="S972">
        <v>11.406001936108423</v>
      </c>
      <c r="T972">
        <v>0.97037035226821899</v>
      </c>
    </row>
    <row r="973" spans="1:20" x14ac:dyDescent="0.25">
      <c r="A973" t="s">
        <v>106</v>
      </c>
      <c r="B973">
        <v>3</v>
      </c>
      <c r="C973">
        <v>4</v>
      </c>
      <c r="D973">
        <v>0</v>
      </c>
      <c r="E973" t="s">
        <v>120</v>
      </c>
      <c r="F973">
        <v>93376</v>
      </c>
      <c r="G973">
        <v>128376270.5</v>
      </c>
      <c r="H973">
        <v>0.95777778824170434</v>
      </c>
      <c r="I973">
        <v>0.96074074074074078</v>
      </c>
      <c r="J973">
        <v>19083113.833333332</v>
      </c>
      <c r="K973">
        <v>177175</v>
      </c>
      <c r="L973">
        <v>2</v>
      </c>
      <c r="M973">
        <v>279</v>
      </c>
      <c r="N973">
        <v>0.95481481481481478</v>
      </c>
      <c r="O973">
        <v>19137071.666666668</v>
      </c>
      <c r="P973">
        <v>178370</v>
      </c>
      <c r="Q973">
        <v>2</v>
      </c>
      <c r="R973">
        <v>280</v>
      </c>
      <c r="S973">
        <v>11.405844784207471</v>
      </c>
      <c r="T973">
        <v>0.97703703641891482</v>
      </c>
    </row>
    <row r="974" spans="1:20" x14ac:dyDescent="0.25">
      <c r="A974" t="s">
        <v>106</v>
      </c>
      <c r="B974">
        <v>3</v>
      </c>
      <c r="C974">
        <v>4</v>
      </c>
      <c r="D974">
        <v>0</v>
      </c>
      <c r="E974" t="s">
        <v>151</v>
      </c>
      <c r="F974">
        <v>94386</v>
      </c>
      <c r="G974">
        <v>105029464.33333333</v>
      </c>
      <c r="H974">
        <v>0.95259260137875879</v>
      </c>
      <c r="I974">
        <v>0.95555555555555549</v>
      </c>
      <c r="J974">
        <v>18825602.5</v>
      </c>
      <c r="K974">
        <v>178370</v>
      </c>
      <c r="L974">
        <v>2</v>
      </c>
      <c r="M974">
        <v>280</v>
      </c>
      <c r="N974">
        <v>0.95148148148148148</v>
      </c>
      <c r="O974">
        <v>18709775.333333332</v>
      </c>
      <c r="P974">
        <v>179569</v>
      </c>
      <c r="Q974">
        <v>2</v>
      </c>
      <c r="R974">
        <v>281</v>
      </c>
      <c r="S974">
        <v>11.405687753917586</v>
      </c>
      <c r="T974">
        <v>0.97481482028961186</v>
      </c>
    </row>
    <row r="975" spans="1:20" x14ac:dyDescent="0.25">
      <c r="A975" t="s">
        <v>106</v>
      </c>
      <c r="B975">
        <v>3</v>
      </c>
      <c r="C975">
        <v>4</v>
      </c>
      <c r="D975">
        <v>0</v>
      </c>
      <c r="E975" t="s">
        <v>121</v>
      </c>
      <c r="F975">
        <v>94858</v>
      </c>
      <c r="G975">
        <v>217756070.63636363</v>
      </c>
      <c r="H975">
        <v>0.95111112161116163</v>
      </c>
      <c r="I975">
        <v>0.96323232323232322</v>
      </c>
      <c r="J975">
        <v>22769795.454545453</v>
      </c>
      <c r="K975">
        <v>179569</v>
      </c>
      <c r="L975">
        <v>2</v>
      </c>
      <c r="M975">
        <v>281</v>
      </c>
      <c r="N975">
        <v>0.95616161616161621</v>
      </c>
      <c r="O975">
        <v>21883952</v>
      </c>
      <c r="P975">
        <v>180772</v>
      </c>
      <c r="Q975">
        <v>2</v>
      </c>
      <c r="R975">
        <v>282</v>
      </c>
      <c r="S975">
        <v>11.406753447609228</v>
      </c>
      <c r="T975">
        <v>0.96333333253860476</v>
      </c>
    </row>
    <row r="976" spans="1:20" x14ac:dyDescent="0.25">
      <c r="A976" t="s">
        <v>106</v>
      </c>
      <c r="B976">
        <v>3</v>
      </c>
      <c r="C976">
        <v>4</v>
      </c>
      <c r="D976">
        <v>0</v>
      </c>
      <c r="E976" t="s">
        <v>183</v>
      </c>
      <c r="F976">
        <v>95586</v>
      </c>
      <c r="G976">
        <v>165437269.66666666</v>
      </c>
      <c r="H976">
        <v>0.95851853489875793</v>
      </c>
      <c r="I976">
        <v>0.95925925925925926</v>
      </c>
      <c r="J976">
        <v>20001213.5</v>
      </c>
      <c r="K976">
        <v>180772</v>
      </c>
      <c r="L976">
        <v>2</v>
      </c>
      <c r="M976">
        <v>282</v>
      </c>
      <c r="N976">
        <v>0.95629629629629631</v>
      </c>
      <c r="O976">
        <v>21272104.333333332</v>
      </c>
      <c r="P976">
        <v>181979</v>
      </c>
      <c r="Q976">
        <v>2</v>
      </c>
      <c r="R976">
        <v>283</v>
      </c>
      <c r="S976">
        <v>11.405952074207679</v>
      </c>
      <c r="T976">
        <v>0.97481480836868284</v>
      </c>
    </row>
    <row r="977" spans="1:20" x14ac:dyDescent="0.25">
      <c r="A977" t="s">
        <v>106</v>
      </c>
      <c r="B977">
        <v>3</v>
      </c>
      <c r="C977">
        <v>4</v>
      </c>
      <c r="D977">
        <v>0</v>
      </c>
      <c r="E977" t="s">
        <v>122</v>
      </c>
      <c r="F977">
        <v>96340</v>
      </c>
      <c r="G977">
        <v>338515200</v>
      </c>
      <c r="H977">
        <v>0.96074073513348901</v>
      </c>
      <c r="I977">
        <v>0.96518518518518515</v>
      </c>
      <c r="J977">
        <v>27717255.833333332</v>
      </c>
      <c r="K977">
        <v>181979</v>
      </c>
      <c r="L977">
        <v>2</v>
      </c>
      <c r="M977">
        <v>283</v>
      </c>
      <c r="N977">
        <v>0.96</v>
      </c>
      <c r="O977">
        <v>26806839.666666668</v>
      </c>
      <c r="P977">
        <v>183190</v>
      </c>
      <c r="Q977">
        <v>2</v>
      </c>
      <c r="R977">
        <v>284</v>
      </c>
      <c r="S977">
        <v>11.406696716033483</v>
      </c>
      <c r="T977">
        <v>0.96962962150573728</v>
      </c>
    </row>
    <row r="978" spans="1:20" x14ac:dyDescent="0.25">
      <c r="A978" t="s">
        <v>106</v>
      </c>
      <c r="B978">
        <v>3</v>
      </c>
      <c r="C978">
        <v>4</v>
      </c>
      <c r="D978">
        <v>0</v>
      </c>
      <c r="E978" t="s">
        <v>184</v>
      </c>
      <c r="F978">
        <v>97108</v>
      </c>
      <c r="G978">
        <v>135560338.81818181</v>
      </c>
      <c r="H978">
        <v>0.95191918719898572</v>
      </c>
      <c r="I978">
        <v>0.96323232323232322</v>
      </c>
      <c r="J978">
        <v>20464973.09090909</v>
      </c>
      <c r="K978">
        <v>183190</v>
      </c>
      <c r="L978">
        <v>2</v>
      </c>
      <c r="M978">
        <v>284</v>
      </c>
      <c r="N978">
        <v>0.95252525252525255</v>
      </c>
      <c r="O978">
        <v>20297834.09090909</v>
      </c>
      <c r="P978">
        <v>184405</v>
      </c>
      <c r="Q978">
        <v>2</v>
      </c>
      <c r="R978">
        <v>285</v>
      </c>
      <c r="S978">
        <v>11.406473199922784</v>
      </c>
      <c r="T978">
        <v>0.9696296334266663</v>
      </c>
    </row>
    <row r="979" spans="1:20" x14ac:dyDescent="0.25">
      <c r="A979" t="s">
        <v>106</v>
      </c>
      <c r="B979">
        <v>3</v>
      </c>
      <c r="C979">
        <v>4</v>
      </c>
      <c r="D979">
        <v>0</v>
      </c>
      <c r="E979" t="s">
        <v>153</v>
      </c>
      <c r="F979">
        <v>97350</v>
      </c>
      <c r="G979">
        <v>324656949.16666669</v>
      </c>
      <c r="H979">
        <v>0.94074073433876038</v>
      </c>
      <c r="I979">
        <v>0.96259259259259256</v>
      </c>
      <c r="J979">
        <v>27042494</v>
      </c>
      <c r="K979">
        <v>184405</v>
      </c>
      <c r="L979">
        <v>2</v>
      </c>
      <c r="M979">
        <v>285</v>
      </c>
      <c r="N979">
        <v>0.96185185185185185</v>
      </c>
      <c r="O979">
        <v>28130588.833333332</v>
      </c>
      <c r="P979">
        <v>185624</v>
      </c>
      <c r="Q979">
        <v>2</v>
      </c>
      <c r="R979">
        <v>286</v>
      </c>
      <c r="S979">
        <v>11.407988679488005</v>
      </c>
      <c r="T979">
        <v>0.95851851701736446</v>
      </c>
    </row>
    <row r="980" spans="1:20" x14ac:dyDescent="0.25">
      <c r="A980" t="s">
        <v>106</v>
      </c>
      <c r="B980">
        <v>3</v>
      </c>
      <c r="C980">
        <v>4</v>
      </c>
      <c r="D980">
        <v>0</v>
      </c>
      <c r="E980" t="s">
        <v>154</v>
      </c>
      <c r="F980">
        <v>98832</v>
      </c>
      <c r="G980">
        <v>277619688.19999999</v>
      </c>
      <c r="H980">
        <v>0.95377777814865117</v>
      </c>
      <c r="I980">
        <v>0.96666666666666667</v>
      </c>
      <c r="J980">
        <v>28303711.399999999</v>
      </c>
      <c r="K980">
        <v>186847</v>
      </c>
      <c r="L980">
        <v>2</v>
      </c>
      <c r="M980">
        <v>287</v>
      </c>
      <c r="N980">
        <v>0.96666666666666667</v>
      </c>
      <c r="O980">
        <v>30240487.800000001</v>
      </c>
      <c r="P980">
        <v>188074</v>
      </c>
      <c r="Q980">
        <v>2</v>
      </c>
      <c r="R980">
        <v>288</v>
      </c>
      <c r="S980">
        <v>11.408950617283951</v>
      </c>
      <c r="T980">
        <v>0.97037036716938019</v>
      </c>
    </row>
    <row r="981" spans="1:20" x14ac:dyDescent="0.25">
      <c r="A981" t="s">
        <v>106</v>
      </c>
      <c r="B981">
        <v>3</v>
      </c>
      <c r="C981">
        <v>4</v>
      </c>
      <c r="D981">
        <v>0</v>
      </c>
      <c r="E981" t="s">
        <v>155</v>
      </c>
      <c r="F981">
        <v>100314</v>
      </c>
      <c r="G981">
        <v>334430908.5</v>
      </c>
      <c r="H981">
        <v>0.9614814817905426</v>
      </c>
      <c r="I981">
        <v>0.9655555555555555</v>
      </c>
      <c r="J981">
        <v>30466486</v>
      </c>
      <c r="K981">
        <v>189305</v>
      </c>
      <c r="L981">
        <v>2</v>
      </c>
      <c r="M981">
        <v>289</v>
      </c>
      <c r="N981">
        <v>0.97259259259259256</v>
      </c>
      <c r="O981">
        <v>30948476.333333332</v>
      </c>
      <c r="P981">
        <v>190540</v>
      </c>
      <c r="Q981">
        <v>2</v>
      </c>
      <c r="R981">
        <v>290</v>
      </c>
      <c r="S981">
        <v>11.41020696747654</v>
      </c>
      <c r="T981">
        <v>0.97703703641891482</v>
      </c>
    </row>
    <row r="982" spans="1:20" x14ac:dyDescent="0.25">
      <c r="A982" t="s">
        <v>106</v>
      </c>
      <c r="B982">
        <v>3</v>
      </c>
      <c r="C982">
        <v>4</v>
      </c>
      <c r="D982">
        <v>0</v>
      </c>
      <c r="E982" t="s">
        <v>156</v>
      </c>
      <c r="F982">
        <v>101796</v>
      </c>
      <c r="G982">
        <v>389044477.5</v>
      </c>
      <c r="H982">
        <v>0.96000000834465027</v>
      </c>
      <c r="I982">
        <v>0.9681481481481482</v>
      </c>
      <c r="J982">
        <v>32326825.833333332</v>
      </c>
      <c r="K982">
        <v>193022</v>
      </c>
      <c r="L982">
        <v>2</v>
      </c>
      <c r="M982">
        <v>292</v>
      </c>
      <c r="N982">
        <v>0.96962962962962962</v>
      </c>
      <c r="O982">
        <v>31930594.666666668</v>
      </c>
      <c r="P982">
        <v>194269</v>
      </c>
      <c r="Q982">
        <v>2</v>
      </c>
      <c r="R982">
        <v>293</v>
      </c>
      <c r="S982">
        <v>11.411783603186841</v>
      </c>
      <c r="T982">
        <v>0.97703704833984373</v>
      </c>
    </row>
    <row r="983" spans="1:20" x14ac:dyDescent="0.25">
      <c r="A983" t="s">
        <v>106</v>
      </c>
      <c r="B983">
        <v>3</v>
      </c>
      <c r="C983">
        <v>4</v>
      </c>
      <c r="D983">
        <v>0</v>
      </c>
      <c r="E983" t="s">
        <v>157</v>
      </c>
      <c r="F983">
        <v>103278</v>
      </c>
      <c r="G983">
        <v>370509103.16666669</v>
      </c>
      <c r="H983">
        <v>0.96037037173906958</v>
      </c>
      <c r="I983">
        <v>0.96777777777777774</v>
      </c>
      <c r="J983">
        <v>31602901</v>
      </c>
      <c r="K983">
        <v>195520</v>
      </c>
      <c r="L983">
        <v>2</v>
      </c>
      <c r="M983">
        <v>294</v>
      </c>
      <c r="N983">
        <v>0.97185185185185186</v>
      </c>
      <c r="O983">
        <v>31084466.166666668</v>
      </c>
      <c r="P983">
        <v>196775</v>
      </c>
      <c r="Q983">
        <v>2</v>
      </c>
      <c r="R983">
        <v>295</v>
      </c>
      <c r="S983">
        <v>11.412459858702633</v>
      </c>
      <c r="T983">
        <v>0.96222223043441768</v>
      </c>
    </row>
    <row r="984" spans="1:20" x14ac:dyDescent="0.25">
      <c r="A984" t="s">
        <v>106</v>
      </c>
      <c r="B984">
        <v>3</v>
      </c>
      <c r="C984">
        <v>4</v>
      </c>
      <c r="D984">
        <v>0</v>
      </c>
      <c r="E984" t="s">
        <v>158</v>
      </c>
      <c r="F984">
        <v>104760</v>
      </c>
      <c r="G984">
        <v>300042030.66666669</v>
      </c>
      <c r="H984">
        <v>0.96888888875643409</v>
      </c>
      <c r="I984">
        <v>0.97</v>
      </c>
      <c r="J984">
        <v>32057141.833333332</v>
      </c>
      <c r="K984">
        <v>198034</v>
      </c>
      <c r="L984">
        <v>2</v>
      </c>
      <c r="M984">
        <v>296</v>
      </c>
      <c r="N984">
        <v>0.97074074074074068</v>
      </c>
      <c r="O984">
        <v>31307287.666666668</v>
      </c>
      <c r="P984">
        <v>199297</v>
      </c>
      <c r="Q984">
        <v>2</v>
      </c>
      <c r="R984">
        <v>297</v>
      </c>
      <c r="S984">
        <v>11.413199794555727</v>
      </c>
      <c r="T984">
        <v>0.9703703641891479</v>
      </c>
    </row>
    <row r="985" spans="1:20" x14ac:dyDescent="0.25">
      <c r="A985" t="s">
        <v>106</v>
      </c>
      <c r="B985">
        <v>3</v>
      </c>
      <c r="C985">
        <v>4</v>
      </c>
      <c r="D985">
        <v>0</v>
      </c>
      <c r="E985" t="s">
        <v>159</v>
      </c>
      <c r="F985">
        <v>106242</v>
      </c>
      <c r="G985">
        <v>347614814.33333331</v>
      </c>
      <c r="H985">
        <v>0.9644444386164347</v>
      </c>
      <c r="I985">
        <v>0.9681481481481482</v>
      </c>
      <c r="J985">
        <v>29391322</v>
      </c>
      <c r="K985">
        <v>200564</v>
      </c>
      <c r="L985">
        <v>2</v>
      </c>
      <c r="M985">
        <v>298</v>
      </c>
      <c r="N985">
        <v>0.97</v>
      </c>
      <c r="O985">
        <v>32320171.333333332</v>
      </c>
      <c r="P985">
        <v>201835</v>
      </c>
      <c r="Q985">
        <v>2</v>
      </c>
      <c r="R985">
        <v>299</v>
      </c>
      <c r="S985">
        <v>11.41329739442947</v>
      </c>
      <c r="T985">
        <v>0.95925924777984617</v>
      </c>
    </row>
    <row r="986" spans="1:20" x14ac:dyDescent="0.25">
      <c r="A986" t="s">
        <v>106</v>
      </c>
      <c r="B986">
        <v>3</v>
      </c>
      <c r="C986">
        <v>4</v>
      </c>
      <c r="D986">
        <v>0</v>
      </c>
      <c r="E986" t="s">
        <v>160</v>
      </c>
      <c r="F986">
        <v>107724</v>
      </c>
      <c r="G986">
        <v>415264077</v>
      </c>
      <c r="H986">
        <v>0.9666666487852732</v>
      </c>
      <c r="I986">
        <v>0.96296296296296291</v>
      </c>
      <c r="J986">
        <v>32621400.166666668</v>
      </c>
      <c r="K986">
        <v>204389</v>
      </c>
      <c r="L986">
        <v>2</v>
      </c>
      <c r="M986">
        <v>301</v>
      </c>
      <c r="N986">
        <v>0.96740740740740738</v>
      </c>
      <c r="O986">
        <v>34433359.5</v>
      </c>
      <c r="P986">
        <v>205672</v>
      </c>
      <c r="Q986">
        <v>2</v>
      </c>
      <c r="R986">
        <v>302</v>
      </c>
      <c r="S986">
        <v>11.414421349756223</v>
      </c>
      <c r="T986">
        <v>0.96814813613891604</v>
      </c>
    </row>
    <row r="987" spans="1:20" x14ac:dyDescent="0.25">
      <c r="A987" t="s">
        <v>106</v>
      </c>
      <c r="B987">
        <v>3</v>
      </c>
      <c r="C987">
        <v>4</v>
      </c>
      <c r="D987">
        <v>0</v>
      </c>
      <c r="E987" t="s">
        <v>161</v>
      </c>
      <c r="F987">
        <v>109206</v>
      </c>
      <c r="G987">
        <v>356075148.33333331</v>
      </c>
      <c r="H987">
        <v>0.96407405535380042</v>
      </c>
      <c r="I987">
        <v>0.97111111111111104</v>
      </c>
      <c r="J987">
        <v>33298134.333333332</v>
      </c>
      <c r="K987">
        <v>206959</v>
      </c>
      <c r="L987">
        <v>2</v>
      </c>
      <c r="M987">
        <v>303</v>
      </c>
      <c r="N987">
        <v>0.96888888888888891</v>
      </c>
      <c r="O987">
        <v>32627301.166666668</v>
      </c>
      <c r="P987">
        <v>208250</v>
      </c>
      <c r="Q987">
        <v>2</v>
      </c>
      <c r="R987">
        <v>304</v>
      </c>
      <c r="S987">
        <v>11.415159676798769</v>
      </c>
      <c r="T987">
        <v>0.96296296119689939</v>
      </c>
    </row>
    <row r="988" spans="1:20" x14ac:dyDescent="0.25">
      <c r="A988" t="s">
        <v>106</v>
      </c>
      <c r="B988">
        <v>3</v>
      </c>
      <c r="C988">
        <v>4</v>
      </c>
      <c r="D988">
        <v>0</v>
      </c>
      <c r="E988" t="s">
        <v>162</v>
      </c>
      <c r="F988">
        <v>110688</v>
      </c>
      <c r="G988">
        <v>420481378.16666669</v>
      </c>
      <c r="H988">
        <v>0.95740740497907006</v>
      </c>
      <c r="I988">
        <v>0.9681481481481482</v>
      </c>
      <c r="J988">
        <v>33142059.666666668</v>
      </c>
      <c r="K988">
        <v>209545</v>
      </c>
      <c r="L988">
        <v>2</v>
      </c>
      <c r="M988">
        <v>305</v>
      </c>
      <c r="N988">
        <v>0.9714814814814815</v>
      </c>
      <c r="O988">
        <v>34263295.333333336</v>
      </c>
      <c r="P988">
        <v>210844</v>
      </c>
      <c r="Q988">
        <v>2</v>
      </c>
      <c r="R988">
        <v>306</v>
      </c>
      <c r="S988">
        <v>11.416410256410256</v>
      </c>
      <c r="T988">
        <v>0.95407407283782963</v>
      </c>
    </row>
    <row r="989" spans="1:20" x14ac:dyDescent="0.25">
      <c r="A989" t="s">
        <v>106</v>
      </c>
      <c r="B989">
        <v>3</v>
      </c>
      <c r="C989">
        <v>4</v>
      </c>
      <c r="D989">
        <v>0</v>
      </c>
      <c r="E989" t="s">
        <v>163</v>
      </c>
      <c r="F989">
        <v>112170</v>
      </c>
      <c r="G989">
        <v>316096640.5</v>
      </c>
      <c r="H989">
        <v>0.95814815163612366</v>
      </c>
      <c r="I989">
        <v>0.96666666666666667</v>
      </c>
      <c r="J989">
        <v>33790918.5</v>
      </c>
      <c r="K989">
        <v>212147</v>
      </c>
      <c r="L989">
        <v>2</v>
      </c>
      <c r="M989">
        <v>307</v>
      </c>
      <c r="N989">
        <v>0.96703703703703703</v>
      </c>
      <c r="O989">
        <v>33685795.166666664</v>
      </c>
      <c r="P989">
        <v>213454</v>
      </c>
      <c r="Q989">
        <v>2</v>
      </c>
      <c r="R989">
        <v>308</v>
      </c>
      <c r="S989">
        <v>11.41689093938229</v>
      </c>
      <c r="T989">
        <v>0.95999999046325679</v>
      </c>
    </row>
    <row r="990" spans="1:20" x14ac:dyDescent="0.25">
      <c r="A990" t="s">
        <v>106</v>
      </c>
      <c r="B990">
        <v>3</v>
      </c>
      <c r="C990">
        <v>4</v>
      </c>
      <c r="D990">
        <v>0</v>
      </c>
      <c r="E990" t="s">
        <v>164</v>
      </c>
      <c r="F990">
        <v>113652</v>
      </c>
      <c r="G990">
        <v>319491466.5</v>
      </c>
      <c r="H990">
        <v>0.95518518487612403</v>
      </c>
      <c r="I990">
        <v>0.9681481481481482</v>
      </c>
      <c r="J990">
        <v>33399215.333333332</v>
      </c>
      <c r="K990">
        <v>214765</v>
      </c>
      <c r="L990">
        <v>2</v>
      </c>
      <c r="M990">
        <v>309</v>
      </c>
      <c r="N990">
        <v>0.96518518518518515</v>
      </c>
      <c r="O990">
        <v>33152654.166666668</v>
      </c>
      <c r="P990">
        <v>216080</v>
      </c>
      <c r="Q990">
        <v>2</v>
      </c>
      <c r="R990">
        <v>310</v>
      </c>
      <c r="S990">
        <v>11.41717909300538</v>
      </c>
      <c r="T990">
        <v>0.95703703165054321</v>
      </c>
    </row>
    <row r="991" spans="1:20" x14ac:dyDescent="0.25">
      <c r="A991" t="s">
        <v>106</v>
      </c>
      <c r="B991">
        <v>3</v>
      </c>
      <c r="C991">
        <v>4</v>
      </c>
      <c r="D991">
        <v>0</v>
      </c>
      <c r="E991" t="s">
        <v>132</v>
      </c>
      <c r="F991">
        <v>115134</v>
      </c>
      <c r="G991">
        <v>404533223</v>
      </c>
      <c r="H991">
        <v>0.96666666865348816</v>
      </c>
      <c r="I991">
        <v>0.9655555555555555</v>
      </c>
      <c r="J991">
        <v>33217213</v>
      </c>
      <c r="K991">
        <v>217399</v>
      </c>
      <c r="L991">
        <v>2</v>
      </c>
      <c r="M991">
        <v>311</v>
      </c>
      <c r="N991">
        <v>0.96629629629629632</v>
      </c>
      <c r="O991">
        <v>33718239.333333336</v>
      </c>
      <c r="P991">
        <v>218722</v>
      </c>
      <c r="Q991">
        <v>2</v>
      </c>
      <c r="R991">
        <v>312</v>
      </c>
      <c r="S991">
        <v>11.418299398130362</v>
      </c>
      <c r="T991">
        <v>0.96888887882232666</v>
      </c>
    </row>
    <row r="992" spans="1:20" x14ac:dyDescent="0.25">
      <c r="A992" t="s">
        <v>106</v>
      </c>
      <c r="B992">
        <v>3</v>
      </c>
      <c r="C992">
        <v>4</v>
      </c>
      <c r="D992">
        <v>0</v>
      </c>
      <c r="E992" t="s">
        <v>133</v>
      </c>
      <c r="F992">
        <v>116616</v>
      </c>
      <c r="G992">
        <v>349577035.16666669</v>
      </c>
      <c r="H992">
        <v>0.95962964495023095</v>
      </c>
      <c r="I992">
        <v>0.96925925925925926</v>
      </c>
      <c r="J992">
        <v>33237476.5</v>
      </c>
      <c r="K992">
        <v>221380</v>
      </c>
      <c r="L992">
        <v>2</v>
      </c>
      <c r="M992">
        <v>314</v>
      </c>
      <c r="N992">
        <v>0.96629629629629632</v>
      </c>
      <c r="O992">
        <v>32734199.833333332</v>
      </c>
      <c r="P992">
        <v>222715</v>
      </c>
      <c r="Q992">
        <v>2</v>
      </c>
      <c r="R992">
        <v>315</v>
      </c>
      <c r="S992">
        <v>11.418970814132104</v>
      </c>
      <c r="T992">
        <v>0.96370370388031001</v>
      </c>
    </row>
    <row r="993" spans="1:20" x14ac:dyDescent="0.25">
      <c r="A993" t="s">
        <v>106</v>
      </c>
      <c r="B993">
        <v>3</v>
      </c>
      <c r="C993">
        <v>4</v>
      </c>
      <c r="D993">
        <v>0</v>
      </c>
      <c r="E993" t="s">
        <v>134</v>
      </c>
      <c r="F993">
        <v>118098</v>
      </c>
      <c r="G993">
        <v>441778810.66666669</v>
      </c>
      <c r="H993">
        <v>0.95185185472170508</v>
      </c>
      <c r="I993">
        <v>0.96851851851851856</v>
      </c>
      <c r="J993">
        <v>33661451.833333336</v>
      </c>
      <c r="K993">
        <v>224054</v>
      </c>
      <c r="L993">
        <v>2</v>
      </c>
      <c r="M993">
        <v>316</v>
      </c>
      <c r="N993">
        <v>0.96592592592592585</v>
      </c>
      <c r="O993">
        <v>34234210.5</v>
      </c>
      <c r="P993">
        <v>225397</v>
      </c>
      <c r="Q993">
        <v>2</v>
      </c>
      <c r="R993">
        <v>317</v>
      </c>
      <c r="S993">
        <v>11.419833653230967</v>
      </c>
      <c r="T993">
        <v>0.95777778625488286</v>
      </c>
    </row>
    <row r="994" spans="1:20" x14ac:dyDescent="0.25">
      <c r="A994" t="s">
        <v>106</v>
      </c>
      <c r="B994">
        <v>3</v>
      </c>
      <c r="C994">
        <v>4</v>
      </c>
      <c r="D994">
        <v>0</v>
      </c>
      <c r="E994" t="s">
        <v>135</v>
      </c>
      <c r="F994">
        <v>119580</v>
      </c>
      <c r="G994">
        <v>597166825</v>
      </c>
      <c r="H994">
        <v>0.96349205289568218</v>
      </c>
      <c r="I994">
        <v>0.96666666666666667</v>
      </c>
      <c r="J994">
        <v>34460740.857142858</v>
      </c>
      <c r="K994">
        <v>226744</v>
      </c>
      <c r="L994">
        <v>2</v>
      </c>
      <c r="M994">
        <v>318</v>
      </c>
      <c r="N994">
        <v>0.96412698412698417</v>
      </c>
      <c r="O994">
        <v>32938474.142857142</v>
      </c>
      <c r="P994">
        <v>228095</v>
      </c>
      <c r="Q994">
        <v>2</v>
      </c>
      <c r="R994">
        <v>319</v>
      </c>
      <c r="S994">
        <v>11.422331649293342</v>
      </c>
      <c r="T994">
        <v>0.96666665871938073</v>
      </c>
    </row>
    <row r="995" spans="1:20" x14ac:dyDescent="0.25">
      <c r="A995" t="s">
        <v>106</v>
      </c>
      <c r="B995">
        <v>3</v>
      </c>
      <c r="C995">
        <v>4</v>
      </c>
      <c r="D995">
        <v>0</v>
      </c>
      <c r="E995" t="s">
        <v>136</v>
      </c>
      <c r="F995">
        <v>121062</v>
      </c>
      <c r="G995">
        <v>574583520.5</v>
      </c>
      <c r="H995">
        <v>0.95185184478759766</v>
      </c>
      <c r="I995">
        <v>0.96481481481481479</v>
      </c>
      <c r="J995">
        <v>32756778</v>
      </c>
      <c r="K995">
        <v>229450</v>
      </c>
      <c r="L995">
        <v>2</v>
      </c>
      <c r="M995">
        <v>320</v>
      </c>
      <c r="N995">
        <v>0.96370370370370373</v>
      </c>
      <c r="O995">
        <v>34652073.166666664</v>
      </c>
      <c r="P995">
        <v>230809</v>
      </c>
      <c r="Q995">
        <v>2</v>
      </c>
      <c r="R995">
        <v>321</v>
      </c>
      <c r="S995">
        <v>11.424854567538196</v>
      </c>
      <c r="T995">
        <v>0.97629629373550419</v>
      </c>
    </row>
    <row r="996" spans="1:20" x14ac:dyDescent="0.25">
      <c r="A996" t="s">
        <v>106</v>
      </c>
      <c r="B996">
        <v>3</v>
      </c>
      <c r="C996">
        <v>4</v>
      </c>
      <c r="D996">
        <v>0</v>
      </c>
      <c r="E996" t="s">
        <v>137</v>
      </c>
      <c r="F996">
        <v>122544</v>
      </c>
      <c r="G996">
        <v>352263450.66666669</v>
      </c>
      <c r="H996">
        <v>0.95777777830759681</v>
      </c>
      <c r="I996">
        <v>0.96629629629629632</v>
      </c>
      <c r="J996">
        <v>32094441.666666668</v>
      </c>
      <c r="K996">
        <v>232172</v>
      </c>
      <c r="L996">
        <v>2</v>
      </c>
      <c r="M996">
        <v>322</v>
      </c>
      <c r="N996">
        <v>0.96518518518518515</v>
      </c>
      <c r="O996">
        <v>32705125.833333332</v>
      </c>
      <c r="P996">
        <v>233539</v>
      </c>
      <c r="Q996">
        <v>2</v>
      </c>
      <c r="R996">
        <v>323</v>
      </c>
      <c r="S996">
        <v>11.425330692057001</v>
      </c>
      <c r="T996">
        <v>0.96962962150573728</v>
      </c>
    </row>
    <row r="997" spans="1:20" x14ac:dyDescent="0.25">
      <c r="A997" t="s">
        <v>106</v>
      </c>
      <c r="B997">
        <v>3</v>
      </c>
      <c r="C997">
        <v>4</v>
      </c>
      <c r="D997">
        <v>0</v>
      </c>
      <c r="E997" t="s">
        <v>138</v>
      </c>
      <c r="F997">
        <v>124026</v>
      </c>
      <c r="G997">
        <v>498234670.83333331</v>
      </c>
      <c r="H997">
        <v>0.96259259184201562</v>
      </c>
      <c r="I997">
        <v>0.96259259259259256</v>
      </c>
      <c r="J997">
        <v>30859987</v>
      </c>
      <c r="K997">
        <v>234910</v>
      </c>
      <c r="L997">
        <v>2</v>
      </c>
      <c r="M997">
        <v>324</v>
      </c>
      <c r="N997">
        <v>0.96296296296296291</v>
      </c>
      <c r="O997">
        <v>32366783.833333332</v>
      </c>
      <c r="P997">
        <v>236285</v>
      </c>
      <c r="Q997">
        <v>2</v>
      </c>
      <c r="R997">
        <v>325</v>
      </c>
      <c r="S997">
        <v>11.427020121366976</v>
      </c>
      <c r="T997">
        <v>0.97407406568527222</v>
      </c>
    </row>
    <row r="998" spans="1:20" x14ac:dyDescent="0.25">
      <c r="A998" t="s">
        <v>106</v>
      </c>
      <c r="B998">
        <v>3</v>
      </c>
      <c r="C998">
        <v>4</v>
      </c>
      <c r="D998">
        <v>0</v>
      </c>
      <c r="E998" t="s">
        <v>139</v>
      </c>
      <c r="F998">
        <v>125508</v>
      </c>
      <c r="G998">
        <v>380462835.83333331</v>
      </c>
      <c r="H998">
        <v>0.95333333810170495</v>
      </c>
      <c r="I998">
        <v>0.95925925925925926</v>
      </c>
      <c r="J998">
        <v>33768842.5</v>
      </c>
      <c r="K998">
        <v>237664</v>
      </c>
      <c r="L998">
        <v>2</v>
      </c>
      <c r="M998">
        <v>326</v>
      </c>
      <c r="N998">
        <v>0.96185185185185185</v>
      </c>
      <c r="O998">
        <v>34795751.666666664</v>
      </c>
      <c r="P998">
        <v>239047</v>
      </c>
      <c r="Q998">
        <v>2</v>
      </c>
      <c r="R998">
        <v>327</v>
      </c>
      <c r="S998">
        <v>11.427558904284528</v>
      </c>
      <c r="T998">
        <v>0.96148148775100706</v>
      </c>
    </row>
    <row r="999" spans="1:20" x14ac:dyDescent="0.25">
      <c r="A999" t="s">
        <v>106</v>
      </c>
      <c r="B999">
        <v>3</v>
      </c>
      <c r="C999">
        <v>4</v>
      </c>
      <c r="D999">
        <v>0</v>
      </c>
      <c r="E999" t="s">
        <v>140</v>
      </c>
      <c r="F999">
        <v>126990</v>
      </c>
      <c r="G999">
        <v>531657396.66666669</v>
      </c>
      <c r="H999">
        <v>0.95148148139317834</v>
      </c>
      <c r="I999">
        <v>0.96592592592592597</v>
      </c>
      <c r="J999">
        <v>35592464.333333336</v>
      </c>
      <c r="K999">
        <v>240434</v>
      </c>
      <c r="L999">
        <v>2</v>
      </c>
      <c r="M999">
        <v>328</v>
      </c>
      <c r="N999">
        <v>0.96259259259259256</v>
      </c>
      <c r="O999">
        <v>35083059.666666664</v>
      </c>
      <c r="P999">
        <v>241825</v>
      </c>
      <c r="Q999">
        <v>2</v>
      </c>
      <c r="R999">
        <v>329</v>
      </c>
      <c r="S999">
        <v>11.42879938724708</v>
      </c>
      <c r="T999">
        <v>0.96888889074325557</v>
      </c>
    </row>
    <row r="1000" spans="1:20" x14ac:dyDescent="0.25">
      <c r="A1000" t="s">
        <v>106</v>
      </c>
      <c r="B1000">
        <v>3</v>
      </c>
      <c r="C1000">
        <v>4</v>
      </c>
      <c r="D1000">
        <v>0</v>
      </c>
      <c r="E1000" t="s">
        <v>141</v>
      </c>
      <c r="F1000">
        <v>128472</v>
      </c>
      <c r="G1000">
        <v>483164133.33333331</v>
      </c>
      <c r="H1000">
        <v>0.9481481512387594</v>
      </c>
      <c r="I1000">
        <v>0.96703703703703703</v>
      </c>
      <c r="J1000">
        <v>35218044.166666664</v>
      </c>
      <c r="K1000">
        <v>243220</v>
      </c>
      <c r="L1000">
        <v>2</v>
      </c>
      <c r="M1000">
        <v>330</v>
      </c>
      <c r="N1000">
        <v>0.96518518518518515</v>
      </c>
      <c r="O1000">
        <v>34460630.833333336</v>
      </c>
      <c r="P1000">
        <v>244619</v>
      </c>
      <c r="Q1000">
        <v>2</v>
      </c>
      <c r="R1000">
        <v>331</v>
      </c>
      <c r="S1000">
        <v>11.429656096471639</v>
      </c>
      <c r="T1000">
        <v>0.96592593193054199</v>
      </c>
    </row>
    <row r="1001" spans="1:20" x14ac:dyDescent="0.25">
      <c r="A1001" t="s">
        <v>106</v>
      </c>
      <c r="B1001">
        <v>3</v>
      </c>
      <c r="C1001">
        <v>4</v>
      </c>
      <c r="D1001">
        <v>0</v>
      </c>
      <c r="E1001" t="s">
        <v>142</v>
      </c>
      <c r="F1001">
        <v>129954</v>
      </c>
      <c r="G1001">
        <v>409625838.83333331</v>
      </c>
      <c r="H1001">
        <v>0.95407407482465112</v>
      </c>
      <c r="I1001">
        <v>0.96925925925925926</v>
      </c>
      <c r="J1001">
        <v>34514641.333333336</v>
      </c>
      <c r="K1001">
        <v>246022</v>
      </c>
      <c r="L1001">
        <v>2</v>
      </c>
      <c r="M1001">
        <v>332</v>
      </c>
      <c r="N1001">
        <v>0.96407407407407408</v>
      </c>
      <c r="O1001">
        <v>31530043</v>
      </c>
      <c r="P1001">
        <v>247429</v>
      </c>
      <c r="Q1001">
        <v>2</v>
      </c>
      <c r="R1001">
        <v>333</v>
      </c>
      <c r="S1001">
        <v>11.430384590854009</v>
      </c>
      <c r="T1001">
        <v>0.97629629373550419</v>
      </c>
    </row>
    <row r="1002" spans="1:20" x14ac:dyDescent="0.25">
      <c r="A1002" t="s">
        <v>106</v>
      </c>
      <c r="B1002">
        <v>3</v>
      </c>
      <c r="C1002">
        <v>4</v>
      </c>
      <c r="D1002">
        <v>0</v>
      </c>
      <c r="E1002" t="s">
        <v>143</v>
      </c>
      <c r="F1002">
        <v>131436</v>
      </c>
      <c r="G1002">
        <v>545514776.16666663</v>
      </c>
      <c r="H1002">
        <v>0.95592593153317773</v>
      </c>
      <c r="I1002">
        <v>0.96481481481481479</v>
      </c>
      <c r="J1002">
        <v>33578461.333333336</v>
      </c>
      <c r="K1002">
        <v>248840</v>
      </c>
      <c r="L1002">
        <v>2</v>
      </c>
      <c r="M1002">
        <v>334</v>
      </c>
      <c r="N1002">
        <v>0.96185185185185185</v>
      </c>
      <c r="O1002">
        <v>31529704.833333332</v>
      </c>
      <c r="P1002">
        <v>250255</v>
      </c>
      <c r="Q1002">
        <v>2</v>
      </c>
      <c r="R1002">
        <v>335</v>
      </c>
      <c r="S1002">
        <v>11.431877590054192</v>
      </c>
      <c r="T1002">
        <v>0.96814815998077397</v>
      </c>
    </row>
    <row r="1003" spans="1:20" x14ac:dyDescent="0.25">
      <c r="A1003" t="s">
        <v>106</v>
      </c>
      <c r="B1003">
        <v>3</v>
      </c>
      <c r="C1003">
        <v>4</v>
      </c>
      <c r="D1003">
        <v>0</v>
      </c>
      <c r="E1003" t="s">
        <v>144</v>
      </c>
      <c r="F1003">
        <v>132918</v>
      </c>
      <c r="G1003">
        <v>427921542.5</v>
      </c>
      <c r="H1003">
        <v>0.96000000834465027</v>
      </c>
      <c r="I1003">
        <v>0.9588888888888889</v>
      </c>
      <c r="J1003">
        <v>34536474.5</v>
      </c>
      <c r="K1003">
        <v>251674</v>
      </c>
      <c r="L1003">
        <v>2</v>
      </c>
      <c r="M1003">
        <v>336</v>
      </c>
      <c r="N1003">
        <v>0.96185185185185185</v>
      </c>
      <c r="O1003">
        <v>34632187.833333336</v>
      </c>
      <c r="P1003">
        <v>253097</v>
      </c>
      <c r="Q1003">
        <v>2</v>
      </c>
      <c r="R1003">
        <v>337</v>
      </c>
      <c r="S1003">
        <v>11.432222293034224</v>
      </c>
      <c r="T1003">
        <v>0.96814814805984495</v>
      </c>
    </row>
    <row r="1004" spans="1:20" x14ac:dyDescent="0.25">
      <c r="A1004" t="s">
        <v>106</v>
      </c>
      <c r="B1004">
        <v>3</v>
      </c>
      <c r="C1004">
        <v>4</v>
      </c>
      <c r="D1004">
        <v>0</v>
      </c>
      <c r="E1004" t="s">
        <v>145</v>
      </c>
      <c r="F1004">
        <v>134400</v>
      </c>
      <c r="G1004">
        <v>478428769.16666669</v>
      </c>
      <c r="H1004">
        <v>0.95777777830759681</v>
      </c>
      <c r="I1004">
        <v>0.96333333333333337</v>
      </c>
      <c r="J1004">
        <v>33563518.666666664</v>
      </c>
      <c r="K1004">
        <v>254524</v>
      </c>
      <c r="L1004">
        <v>2</v>
      </c>
      <c r="M1004">
        <v>338</v>
      </c>
      <c r="N1004">
        <v>0.96296296296296291</v>
      </c>
      <c r="O1004">
        <v>31991002</v>
      </c>
      <c r="P1004">
        <v>255955</v>
      </c>
      <c r="Q1004">
        <v>2</v>
      </c>
      <c r="R1004">
        <v>339</v>
      </c>
      <c r="S1004">
        <v>11.432694145378099</v>
      </c>
      <c r="T1004">
        <v>0.97037037611007693</v>
      </c>
    </row>
    <row r="1005" spans="1:20" x14ac:dyDescent="0.25">
      <c r="A1005" t="s">
        <v>106</v>
      </c>
      <c r="B1005">
        <v>3</v>
      </c>
      <c r="C1005">
        <v>4</v>
      </c>
      <c r="D1005">
        <v>0</v>
      </c>
      <c r="E1005" t="s">
        <v>146</v>
      </c>
      <c r="F1005">
        <v>135882</v>
      </c>
      <c r="G1005">
        <v>520077671.5</v>
      </c>
      <c r="H1005">
        <v>0.96148147185643518</v>
      </c>
      <c r="I1005">
        <v>0.9655555555555555</v>
      </c>
      <c r="J1005">
        <v>33914227.833333336</v>
      </c>
      <c r="K1005">
        <v>257390</v>
      </c>
      <c r="L1005">
        <v>2</v>
      </c>
      <c r="M1005">
        <v>340</v>
      </c>
      <c r="N1005">
        <v>0.96629629629629632</v>
      </c>
      <c r="O1005">
        <v>33120171.666666668</v>
      </c>
      <c r="P1005">
        <v>258829</v>
      </c>
      <c r="Q1005">
        <v>2</v>
      </c>
      <c r="R1005">
        <v>341</v>
      </c>
      <c r="S1005">
        <v>11.432974590842514</v>
      </c>
      <c r="T1005">
        <v>0.96370370388031001</v>
      </c>
    </row>
    <row r="1006" spans="1:20" x14ac:dyDescent="0.25">
      <c r="A1006" t="s">
        <v>106</v>
      </c>
      <c r="B1006">
        <v>5</v>
      </c>
      <c r="C1006">
        <v>2</v>
      </c>
      <c r="D1006">
        <v>0</v>
      </c>
      <c r="E1006" t="s">
        <v>123</v>
      </c>
      <c r="F1006">
        <v>53338</v>
      </c>
      <c r="G1006">
        <v>418449544.16666669</v>
      </c>
      <c r="H1006">
        <v>0.95444443821907043</v>
      </c>
      <c r="I1006">
        <v>0.96074074074074067</v>
      </c>
      <c r="J1006">
        <v>31389146</v>
      </c>
      <c r="K1006">
        <v>53225</v>
      </c>
      <c r="L1006">
        <v>2</v>
      </c>
      <c r="M1006">
        <v>145</v>
      </c>
      <c r="N1006">
        <v>0.96037037037037032</v>
      </c>
      <c r="O1006">
        <v>31096817.166666668</v>
      </c>
      <c r="P1006">
        <v>53884</v>
      </c>
      <c r="Q1006">
        <v>2</v>
      </c>
      <c r="R1006">
        <v>146</v>
      </c>
      <c r="S1006">
        <v>11.433127506524922</v>
      </c>
      <c r="T1006">
        <v>0.97629630565643311</v>
      </c>
    </row>
    <row r="1007" spans="1:20" x14ac:dyDescent="0.25">
      <c r="A1007" t="s">
        <v>106</v>
      </c>
      <c r="B1007">
        <v>5</v>
      </c>
      <c r="C1007">
        <v>2</v>
      </c>
      <c r="D1007">
        <v>0</v>
      </c>
      <c r="E1007" t="s">
        <v>257</v>
      </c>
      <c r="F1007">
        <v>58893</v>
      </c>
      <c r="G1007">
        <v>51503902.25</v>
      </c>
      <c r="H1007">
        <v>0.96388888359069824</v>
      </c>
      <c r="I1007">
        <v>0.96</v>
      </c>
      <c r="J1007">
        <v>13704303.25</v>
      </c>
      <c r="K1007">
        <v>58609</v>
      </c>
      <c r="L1007">
        <v>2</v>
      </c>
      <c r="M1007">
        <v>153</v>
      </c>
      <c r="N1007">
        <v>0.9538888888888889</v>
      </c>
      <c r="O1007">
        <v>13397828.25</v>
      </c>
      <c r="P1007">
        <v>59300</v>
      </c>
      <c r="Q1007">
        <v>2</v>
      </c>
      <c r="R1007">
        <v>154</v>
      </c>
      <c r="S1007">
        <v>11.432444472729587</v>
      </c>
      <c r="T1007">
        <v>0.94938270250956214</v>
      </c>
    </row>
    <row r="1008" spans="1:20" x14ac:dyDescent="0.25">
      <c r="A1008" t="s">
        <v>106</v>
      </c>
      <c r="B1008">
        <v>5</v>
      </c>
      <c r="C1008">
        <v>2</v>
      </c>
      <c r="D1008">
        <v>0</v>
      </c>
      <c r="E1008" t="s">
        <v>128</v>
      </c>
      <c r="F1008">
        <v>64448</v>
      </c>
      <c r="G1008">
        <v>55374954.75</v>
      </c>
      <c r="H1008">
        <v>0.96222221851348877</v>
      </c>
      <c r="I1008">
        <v>0.96166666666666667</v>
      </c>
      <c r="J1008">
        <v>14206928.25</v>
      </c>
      <c r="K1008">
        <v>64249</v>
      </c>
      <c r="L1008">
        <v>2</v>
      </c>
      <c r="M1008">
        <v>161</v>
      </c>
      <c r="N1008">
        <v>0.95833333333333337</v>
      </c>
      <c r="O1008">
        <v>15761668.25</v>
      </c>
      <c r="P1008">
        <v>64972</v>
      </c>
      <c r="Q1008">
        <v>2</v>
      </c>
      <c r="R1008">
        <v>162</v>
      </c>
      <c r="S1008">
        <v>11.431889037348094</v>
      </c>
      <c r="T1008">
        <v>0.94320988655090332</v>
      </c>
    </row>
    <row r="1009" spans="1:20" x14ac:dyDescent="0.25">
      <c r="A1009" t="s">
        <v>106</v>
      </c>
      <c r="B1009">
        <v>5</v>
      </c>
      <c r="C1009">
        <v>2</v>
      </c>
      <c r="D1009">
        <v>0</v>
      </c>
      <c r="E1009" t="s">
        <v>258</v>
      </c>
      <c r="F1009">
        <v>70003</v>
      </c>
      <c r="G1009">
        <v>62509383.75</v>
      </c>
      <c r="H1009">
        <v>0.96444444358348846</v>
      </c>
      <c r="I1009">
        <v>0.96166666666666667</v>
      </c>
      <c r="J1009">
        <v>13449123.75</v>
      </c>
      <c r="K1009">
        <v>69394</v>
      </c>
      <c r="L1009">
        <v>2</v>
      </c>
      <c r="M1009">
        <v>168</v>
      </c>
      <c r="N1009">
        <v>0.96611111111111114</v>
      </c>
      <c r="O1009">
        <v>15646424.25</v>
      </c>
      <c r="P1009">
        <v>70145</v>
      </c>
      <c r="Q1009">
        <v>2</v>
      </c>
      <c r="R1009">
        <v>169</v>
      </c>
      <c r="S1009">
        <v>11.431524712168438</v>
      </c>
      <c r="T1009">
        <v>0.9407407442728678</v>
      </c>
    </row>
    <row r="1010" spans="1:20" x14ac:dyDescent="0.25">
      <c r="A1010" t="s">
        <v>106</v>
      </c>
      <c r="B1010">
        <v>5</v>
      </c>
      <c r="C1010">
        <v>2</v>
      </c>
      <c r="D1010">
        <v>0</v>
      </c>
      <c r="E1010" t="s">
        <v>192</v>
      </c>
      <c r="F1010">
        <v>75558</v>
      </c>
      <c r="G1010">
        <v>67797969.5</v>
      </c>
      <c r="H1010">
        <v>0.95666667819023132</v>
      </c>
      <c r="I1010">
        <v>0.96388888888888891</v>
      </c>
      <c r="J1010">
        <v>16480038</v>
      </c>
      <c r="K1010">
        <v>75514</v>
      </c>
      <c r="L1010">
        <v>2</v>
      </c>
      <c r="M1010">
        <v>176</v>
      </c>
      <c r="N1010">
        <v>0.96333333333333337</v>
      </c>
      <c r="O1010">
        <v>17240110.25</v>
      </c>
      <c r="P1010">
        <v>76297</v>
      </c>
      <c r="Q1010">
        <v>2</v>
      </c>
      <c r="R1010">
        <v>177</v>
      </c>
      <c r="S1010">
        <v>11.431096979332274</v>
      </c>
      <c r="T1010">
        <v>0.93827160199483239</v>
      </c>
    </row>
    <row r="1011" spans="1:20" x14ac:dyDescent="0.25">
      <c r="A1011" t="s">
        <v>106</v>
      </c>
      <c r="B1011">
        <v>5</v>
      </c>
      <c r="C1011">
        <v>2</v>
      </c>
      <c r="D1011">
        <v>0</v>
      </c>
      <c r="E1011" t="s">
        <v>292</v>
      </c>
      <c r="F1011">
        <v>81113</v>
      </c>
      <c r="G1011">
        <v>69512041.25</v>
      </c>
      <c r="H1011">
        <v>0.96222221851348877</v>
      </c>
      <c r="I1011">
        <v>0.95444444444444443</v>
      </c>
      <c r="J1011">
        <v>17521682.25</v>
      </c>
      <c r="K1011">
        <v>81079</v>
      </c>
      <c r="L1011">
        <v>2</v>
      </c>
      <c r="M1011">
        <v>183</v>
      </c>
      <c r="N1011">
        <v>0.96</v>
      </c>
      <c r="O1011">
        <v>18476637</v>
      </c>
      <c r="P1011">
        <v>81890</v>
      </c>
      <c r="Q1011">
        <v>2</v>
      </c>
      <c r="R1011">
        <v>184</v>
      </c>
      <c r="S1011">
        <v>11.430669464047302</v>
      </c>
      <c r="T1011">
        <v>0.93580247958501184</v>
      </c>
    </row>
    <row r="1012" spans="1:20" x14ac:dyDescent="0.25">
      <c r="A1012" t="s">
        <v>106</v>
      </c>
      <c r="B1012">
        <v>5</v>
      </c>
      <c r="C1012">
        <v>2</v>
      </c>
      <c r="D1012">
        <v>0</v>
      </c>
      <c r="E1012" t="s">
        <v>243</v>
      </c>
      <c r="F1012">
        <v>86668</v>
      </c>
      <c r="G1012">
        <v>74881398.25</v>
      </c>
      <c r="H1012">
        <v>0.95722222328186035</v>
      </c>
      <c r="I1012">
        <v>0.96</v>
      </c>
      <c r="J1012">
        <v>16230701.25</v>
      </c>
      <c r="K1012">
        <v>86005</v>
      </c>
      <c r="L1012">
        <v>2</v>
      </c>
      <c r="M1012">
        <v>189</v>
      </c>
      <c r="N1012">
        <v>0.9605555555555555</v>
      </c>
      <c r="O1012">
        <v>18905507.5</v>
      </c>
      <c r="P1012">
        <v>86840</v>
      </c>
      <c r="Q1012">
        <v>2</v>
      </c>
      <c r="R1012">
        <v>190</v>
      </c>
      <c r="S1012">
        <v>11.430178605478929</v>
      </c>
      <c r="T1012">
        <v>0.93580247958501184</v>
      </c>
    </row>
    <row r="1013" spans="1:20" x14ac:dyDescent="0.25">
      <c r="A1013" t="s">
        <v>106</v>
      </c>
      <c r="B1013">
        <v>5</v>
      </c>
      <c r="C1013">
        <v>2</v>
      </c>
      <c r="D1013">
        <v>0</v>
      </c>
      <c r="E1013" t="s">
        <v>293</v>
      </c>
      <c r="F1013">
        <v>92223</v>
      </c>
      <c r="G1013">
        <v>85825865.25</v>
      </c>
      <c r="H1013">
        <v>0.96444442868232727</v>
      </c>
      <c r="I1013">
        <v>0.9622222222222222</v>
      </c>
      <c r="J1013">
        <v>19436561.25</v>
      </c>
      <c r="K1013">
        <v>91934</v>
      </c>
      <c r="L1013">
        <v>2</v>
      </c>
      <c r="M1013">
        <v>196</v>
      </c>
      <c r="N1013">
        <v>0.9622222222222222</v>
      </c>
      <c r="O1013">
        <v>19728039.75</v>
      </c>
      <c r="P1013">
        <v>92797</v>
      </c>
      <c r="Q1013">
        <v>2</v>
      </c>
      <c r="R1013">
        <v>197</v>
      </c>
      <c r="S1013">
        <v>11.42981508546737</v>
      </c>
      <c r="T1013">
        <v>0.93703705072402954</v>
      </c>
    </row>
    <row r="1014" spans="1:20" x14ac:dyDescent="0.25">
      <c r="A1014" t="s">
        <v>106</v>
      </c>
      <c r="B1014">
        <v>5</v>
      </c>
      <c r="C1014">
        <v>2</v>
      </c>
      <c r="D1014">
        <v>0</v>
      </c>
      <c r="E1014" t="s">
        <v>248</v>
      </c>
      <c r="F1014">
        <v>97778</v>
      </c>
      <c r="G1014">
        <v>109745886</v>
      </c>
      <c r="H1014">
        <v>0.95722220838069916</v>
      </c>
      <c r="I1014">
        <v>0.96055555555555561</v>
      </c>
      <c r="J1014">
        <v>20728965.25</v>
      </c>
      <c r="K1014">
        <v>97172</v>
      </c>
      <c r="L1014">
        <v>2</v>
      </c>
      <c r="M1014">
        <v>202</v>
      </c>
      <c r="N1014">
        <v>0.96</v>
      </c>
      <c r="O1014">
        <v>19923900.75</v>
      </c>
      <c r="P1014">
        <v>98059</v>
      </c>
      <c r="Q1014">
        <v>2</v>
      </c>
      <c r="R1014">
        <v>203</v>
      </c>
      <c r="S1014">
        <v>11.429578806937297</v>
      </c>
      <c r="T1014">
        <v>0.9395061731338501</v>
      </c>
    </row>
    <row r="1015" spans="1:20" x14ac:dyDescent="0.25">
      <c r="A1015" t="s">
        <v>106</v>
      </c>
      <c r="B1015">
        <v>5</v>
      </c>
      <c r="C1015">
        <v>2</v>
      </c>
      <c r="D1015">
        <v>0</v>
      </c>
      <c r="E1015" t="s">
        <v>294</v>
      </c>
      <c r="F1015">
        <v>103333</v>
      </c>
      <c r="G1015">
        <v>107055295</v>
      </c>
      <c r="H1015">
        <v>0.95222221314907074</v>
      </c>
      <c r="I1015">
        <v>0.96333333333333337</v>
      </c>
      <c r="J1015">
        <v>20327425</v>
      </c>
      <c r="K1015">
        <v>102554</v>
      </c>
      <c r="L1015">
        <v>2</v>
      </c>
      <c r="M1015">
        <v>208</v>
      </c>
      <c r="N1015">
        <v>0.9622222222222222</v>
      </c>
      <c r="O1015">
        <v>20617334.25</v>
      </c>
      <c r="P1015">
        <v>103465</v>
      </c>
      <c r="Q1015">
        <v>2</v>
      </c>
      <c r="R1015">
        <v>209</v>
      </c>
      <c r="S1015">
        <v>11.429342648459828</v>
      </c>
      <c r="T1015">
        <v>0.9395061731338501</v>
      </c>
    </row>
    <row r="1016" spans="1:20" x14ac:dyDescent="0.25">
      <c r="A1016" t="s">
        <v>106</v>
      </c>
      <c r="B1016">
        <v>5</v>
      </c>
      <c r="C1016">
        <v>2</v>
      </c>
      <c r="D1016">
        <v>0</v>
      </c>
      <c r="E1016" t="s">
        <v>253</v>
      </c>
      <c r="F1016">
        <v>108888</v>
      </c>
      <c r="G1016">
        <v>99997468.25</v>
      </c>
      <c r="H1016">
        <v>0.96444444358348846</v>
      </c>
      <c r="I1016">
        <v>0.95833333333333337</v>
      </c>
      <c r="J1016">
        <v>21742348.5</v>
      </c>
      <c r="K1016">
        <v>108080</v>
      </c>
      <c r="L1016">
        <v>2</v>
      </c>
      <c r="M1016">
        <v>214</v>
      </c>
      <c r="N1016">
        <v>0.96499999999999997</v>
      </c>
      <c r="O1016">
        <v>21566324</v>
      </c>
      <c r="P1016">
        <v>109015</v>
      </c>
      <c r="Q1016">
        <v>2</v>
      </c>
      <c r="R1016">
        <v>215</v>
      </c>
      <c r="S1016">
        <v>11.429106609943489</v>
      </c>
      <c r="T1016">
        <v>0.94197531541188562</v>
      </c>
    </row>
    <row r="1017" spans="1:20" x14ac:dyDescent="0.25">
      <c r="A1017" t="s">
        <v>106</v>
      </c>
      <c r="B1017">
        <v>5</v>
      </c>
      <c r="C1017">
        <v>2</v>
      </c>
      <c r="D1017">
        <v>0</v>
      </c>
      <c r="E1017" t="s">
        <v>254</v>
      </c>
      <c r="F1017">
        <v>114443</v>
      </c>
      <c r="G1017">
        <v>107969541.5</v>
      </c>
      <c r="H1017">
        <v>0.96944443881511688</v>
      </c>
      <c r="I1017">
        <v>0.9588888888888889</v>
      </c>
      <c r="J1017">
        <v>24342358.75</v>
      </c>
      <c r="K1017">
        <v>113750</v>
      </c>
      <c r="L1017">
        <v>2</v>
      </c>
      <c r="M1017">
        <v>220</v>
      </c>
      <c r="N1017">
        <v>0.96499999999999997</v>
      </c>
      <c r="O1017">
        <v>20665143</v>
      </c>
      <c r="P1017">
        <v>114709</v>
      </c>
      <c r="Q1017">
        <v>2</v>
      </c>
      <c r="R1017">
        <v>221</v>
      </c>
      <c r="S1017">
        <v>11.428743731352759</v>
      </c>
      <c r="T1017">
        <v>0.9506172935167948</v>
      </c>
    </row>
    <row r="1018" spans="1:20" x14ac:dyDescent="0.25">
      <c r="A1018" t="s">
        <v>106</v>
      </c>
      <c r="B1018">
        <v>5</v>
      </c>
      <c r="C1018">
        <v>2</v>
      </c>
      <c r="D1018">
        <v>0</v>
      </c>
      <c r="E1018" t="s">
        <v>111</v>
      </c>
      <c r="F1018">
        <v>119998</v>
      </c>
      <c r="G1018">
        <v>101696669</v>
      </c>
      <c r="H1018">
        <v>0.96777775883674622</v>
      </c>
      <c r="I1018">
        <v>0.95611111111111113</v>
      </c>
      <c r="J1018">
        <v>22270972.75</v>
      </c>
      <c r="K1018">
        <v>119564</v>
      </c>
      <c r="L1018">
        <v>2</v>
      </c>
      <c r="M1018">
        <v>226</v>
      </c>
      <c r="N1018">
        <v>0.96333333333333337</v>
      </c>
      <c r="O1018">
        <v>22877464.75</v>
      </c>
      <c r="P1018">
        <v>120547</v>
      </c>
      <c r="Q1018">
        <v>2</v>
      </c>
      <c r="R1018">
        <v>227</v>
      </c>
      <c r="S1018">
        <v>11.428063717712762</v>
      </c>
      <c r="T1018">
        <v>0.94444443782170617</v>
      </c>
    </row>
    <row r="1019" spans="1:20" x14ac:dyDescent="0.25">
      <c r="A1019" t="s">
        <v>106</v>
      </c>
      <c r="B1019">
        <v>5</v>
      </c>
      <c r="C1019">
        <v>2</v>
      </c>
      <c r="D1019">
        <v>0</v>
      </c>
      <c r="E1019" t="s">
        <v>255</v>
      </c>
      <c r="F1019">
        <v>125553</v>
      </c>
      <c r="G1019">
        <v>112494028.5</v>
      </c>
      <c r="H1019">
        <v>0.96666665375232697</v>
      </c>
      <c r="I1019">
        <v>0.95944444444444443</v>
      </c>
      <c r="J1019">
        <v>21252877.5</v>
      </c>
      <c r="K1019">
        <v>125522</v>
      </c>
      <c r="L1019">
        <v>2</v>
      </c>
      <c r="M1019">
        <v>232</v>
      </c>
      <c r="N1019">
        <v>0.96</v>
      </c>
      <c r="O1019">
        <v>23053717.75</v>
      </c>
      <c r="P1019">
        <v>126529</v>
      </c>
      <c r="Q1019">
        <v>2</v>
      </c>
      <c r="R1019">
        <v>233</v>
      </c>
      <c r="S1019">
        <v>11.427384049235455</v>
      </c>
      <c r="T1019">
        <v>0.95679012934366858</v>
      </c>
    </row>
    <row r="1020" spans="1:20" x14ac:dyDescent="0.25">
      <c r="A1020" t="s">
        <v>106</v>
      </c>
      <c r="B1020">
        <v>5</v>
      </c>
      <c r="C1020">
        <v>2</v>
      </c>
      <c r="D1020">
        <v>0</v>
      </c>
      <c r="E1020" t="s">
        <v>116</v>
      </c>
      <c r="F1020">
        <v>131108</v>
      </c>
      <c r="G1020">
        <v>131014096.5</v>
      </c>
      <c r="H1020">
        <v>0.96888887882232666</v>
      </c>
      <c r="I1020">
        <v>0.9655555555555555</v>
      </c>
      <c r="J1020">
        <v>21024401.25</v>
      </c>
      <c r="K1020">
        <v>130597</v>
      </c>
      <c r="L1020">
        <v>2</v>
      </c>
      <c r="M1020">
        <v>237</v>
      </c>
      <c r="N1020">
        <v>0.95944444444444443</v>
      </c>
      <c r="O1020">
        <v>23532483</v>
      </c>
      <c r="P1020">
        <v>131624</v>
      </c>
      <c r="Q1020">
        <v>2</v>
      </c>
      <c r="R1020">
        <v>238</v>
      </c>
      <c r="S1020">
        <v>11.427021883920077</v>
      </c>
      <c r="T1020">
        <v>0.94444443782170617</v>
      </c>
    </row>
    <row r="1021" spans="1:20" x14ac:dyDescent="0.25">
      <c r="A1021" t="s">
        <v>106</v>
      </c>
      <c r="B1021">
        <v>5</v>
      </c>
      <c r="C1021">
        <v>2</v>
      </c>
      <c r="D1021">
        <v>0</v>
      </c>
      <c r="E1021" t="s">
        <v>147</v>
      </c>
      <c r="F1021">
        <v>132618</v>
      </c>
      <c r="G1021">
        <v>206035492.25</v>
      </c>
      <c r="H1021">
        <v>0.96444442868232727</v>
      </c>
      <c r="I1021">
        <v>0.96333333333333337</v>
      </c>
      <c r="J1021">
        <v>21386639</v>
      </c>
      <c r="K1021">
        <v>131624</v>
      </c>
      <c r="L1021">
        <v>2</v>
      </c>
      <c r="M1021">
        <v>238</v>
      </c>
      <c r="N1021">
        <v>0.96388888888888891</v>
      </c>
      <c r="O1021">
        <v>23421909.75</v>
      </c>
      <c r="P1021">
        <v>132655</v>
      </c>
      <c r="Q1021">
        <v>2</v>
      </c>
      <c r="R1021">
        <v>239</v>
      </c>
      <c r="S1021">
        <v>11.427103811275288</v>
      </c>
      <c r="T1021">
        <v>0.95185184478759766</v>
      </c>
    </row>
    <row r="1022" spans="1:20" x14ac:dyDescent="0.25">
      <c r="A1022" t="s">
        <v>106</v>
      </c>
      <c r="B1022">
        <v>5</v>
      </c>
      <c r="C1022">
        <v>2</v>
      </c>
      <c r="D1022">
        <v>0</v>
      </c>
      <c r="E1022" t="s">
        <v>256</v>
      </c>
      <c r="F1022">
        <v>136663</v>
      </c>
      <c r="G1022">
        <v>357170294</v>
      </c>
      <c r="H1022">
        <v>0.9605555534362793</v>
      </c>
      <c r="I1022">
        <v>0.9622222222222222</v>
      </c>
      <c r="J1022">
        <v>24663388.75</v>
      </c>
      <c r="K1022">
        <v>135772</v>
      </c>
      <c r="L1022">
        <v>2</v>
      </c>
      <c r="M1022">
        <v>242</v>
      </c>
      <c r="N1022">
        <v>0.9655555555555555</v>
      </c>
      <c r="O1022">
        <v>24194403</v>
      </c>
      <c r="P1022">
        <v>136819</v>
      </c>
      <c r="Q1022">
        <v>2</v>
      </c>
      <c r="R1022">
        <v>243</v>
      </c>
      <c r="S1022">
        <v>11.428453686679768</v>
      </c>
      <c r="T1022">
        <v>0.96172839403152466</v>
      </c>
    </row>
    <row r="1023" spans="1:20" x14ac:dyDescent="0.25">
      <c r="A1023" t="s">
        <v>106</v>
      </c>
      <c r="B1023">
        <v>5</v>
      </c>
      <c r="C1023">
        <v>2</v>
      </c>
      <c r="D1023">
        <v>0</v>
      </c>
      <c r="E1023" t="s">
        <v>262</v>
      </c>
      <c r="F1023">
        <v>138173</v>
      </c>
      <c r="G1023">
        <v>291275441.85714287</v>
      </c>
      <c r="H1023">
        <v>0.97015872171946937</v>
      </c>
      <c r="I1023">
        <v>0.95904761904761904</v>
      </c>
      <c r="J1023">
        <v>25696249.714285713</v>
      </c>
      <c r="K1023">
        <v>137870</v>
      </c>
      <c r="L1023">
        <v>2</v>
      </c>
      <c r="M1023">
        <v>244</v>
      </c>
      <c r="N1023">
        <v>0.96</v>
      </c>
      <c r="O1023">
        <v>23696310.714285713</v>
      </c>
      <c r="P1023">
        <v>138925</v>
      </c>
      <c r="Q1023">
        <v>2</v>
      </c>
      <c r="R1023">
        <v>245</v>
      </c>
      <c r="S1023">
        <v>11.429847908745247</v>
      </c>
      <c r="T1023">
        <v>0.94999998807907104</v>
      </c>
    </row>
    <row r="1024" spans="1:20" x14ac:dyDescent="0.25">
      <c r="A1024" t="s">
        <v>106</v>
      </c>
      <c r="B1024">
        <v>5</v>
      </c>
      <c r="C1024">
        <v>2</v>
      </c>
      <c r="D1024">
        <v>0</v>
      </c>
      <c r="E1024" t="s">
        <v>201</v>
      </c>
      <c r="F1024">
        <v>140302</v>
      </c>
      <c r="G1024">
        <v>508344488.25</v>
      </c>
      <c r="H1024">
        <v>0.96166665852069855</v>
      </c>
      <c r="I1024">
        <v>0.96111111111111103</v>
      </c>
      <c r="J1024">
        <v>26718261.5</v>
      </c>
      <c r="K1024">
        <v>139984</v>
      </c>
      <c r="L1024">
        <v>2</v>
      </c>
      <c r="M1024">
        <v>246</v>
      </c>
      <c r="N1024">
        <v>0.9588888888888889</v>
      </c>
      <c r="O1024">
        <v>25110241.5</v>
      </c>
      <c r="P1024">
        <v>141047</v>
      </c>
      <c r="Q1024">
        <v>2</v>
      </c>
      <c r="R1024">
        <v>247</v>
      </c>
      <c r="S1024">
        <v>11.432336543335023</v>
      </c>
      <c r="T1024">
        <v>0.95308641592661536</v>
      </c>
    </row>
    <row r="1025" spans="1:20" x14ac:dyDescent="0.25">
      <c r="A1025" t="s">
        <v>106</v>
      </c>
      <c r="B1025">
        <v>5</v>
      </c>
      <c r="C1025">
        <v>2</v>
      </c>
      <c r="D1025">
        <v>0</v>
      </c>
      <c r="E1025" t="s">
        <v>121</v>
      </c>
      <c r="F1025">
        <v>142218</v>
      </c>
      <c r="G1025">
        <v>485045227.25</v>
      </c>
      <c r="H1025">
        <v>0.96388888359069824</v>
      </c>
      <c r="I1025">
        <v>0.9622222222222222</v>
      </c>
      <c r="J1025">
        <v>27437423.5</v>
      </c>
      <c r="K1025">
        <v>142114</v>
      </c>
      <c r="L1025">
        <v>2</v>
      </c>
      <c r="M1025">
        <v>248</v>
      </c>
      <c r="N1025">
        <v>0.9622222222222222</v>
      </c>
      <c r="O1025">
        <v>25442114</v>
      </c>
      <c r="P1025">
        <v>143185</v>
      </c>
      <c r="Q1025">
        <v>2</v>
      </c>
      <c r="R1025">
        <v>249</v>
      </c>
      <c r="S1025">
        <v>11.434633899163922</v>
      </c>
      <c r="T1025">
        <v>0.9580247004826864</v>
      </c>
    </row>
    <row r="1026" spans="1:20" x14ac:dyDescent="0.25">
      <c r="A1026" t="s">
        <v>106</v>
      </c>
      <c r="B1026">
        <v>5</v>
      </c>
      <c r="C1026">
        <v>2</v>
      </c>
      <c r="D1026">
        <v>0</v>
      </c>
      <c r="E1026" t="s">
        <v>152</v>
      </c>
      <c r="F1026">
        <v>143728</v>
      </c>
      <c r="G1026">
        <v>270537762</v>
      </c>
      <c r="H1026">
        <v>0.96444442442485268</v>
      </c>
      <c r="I1026">
        <v>0.960952380952381</v>
      </c>
      <c r="J1026">
        <v>25658400.142857142</v>
      </c>
      <c r="K1026">
        <v>143185</v>
      </c>
      <c r="L1026">
        <v>2</v>
      </c>
      <c r="M1026">
        <v>249</v>
      </c>
      <c r="N1026">
        <v>0.96158730158730155</v>
      </c>
      <c r="O1026">
        <v>26115080.285714287</v>
      </c>
      <c r="P1026">
        <v>144260</v>
      </c>
      <c r="Q1026">
        <v>2</v>
      </c>
      <c r="R1026">
        <v>250</v>
      </c>
      <c r="S1026">
        <v>11.435201012978791</v>
      </c>
      <c r="T1026">
        <v>0.94938271244366967</v>
      </c>
    </row>
    <row r="1027" spans="1:20" x14ac:dyDescent="0.25">
      <c r="A1027" t="s">
        <v>106</v>
      </c>
      <c r="B1027">
        <v>5</v>
      </c>
      <c r="C1027">
        <v>2</v>
      </c>
      <c r="D1027">
        <v>0</v>
      </c>
      <c r="E1027" t="s">
        <v>274</v>
      </c>
      <c r="F1027">
        <v>146157</v>
      </c>
      <c r="G1027">
        <v>411016662.71428573</v>
      </c>
      <c r="H1027">
        <v>0.96317459855760845</v>
      </c>
      <c r="I1027">
        <v>0.96412698412698417</v>
      </c>
      <c r="J1027">
        <v>26219866.142857142</v>
      </c>
      <c r="K1027">
        <v>145339</v>
      </c>
      <c r="L1027">
        <v>2</v>
      </c>
      <c r="M1027">
        <v>251</v>
      </c>
      <c r="N1027">
        <v>0.95873015873015877</v>
      </c>
      <c r="O1027">
        <v>26652229.714285713</v>
      </c>
      <c r="P1027">
        <v>146422</v>
      </c>
      <c r="Q1027">
        <v>2</v>
      </c>
      <c r="R1027">
        <v>252</v>
      </c>
      <c r="S1027">
        <v>11.437349702569295</v>
      </c>
      <c r="T1027">
        <v>0.97283949454625451</v>
      </c>
    </row>
    <row r="1028" spans="1:20" x14ac:dyDescent="0.25">
      <c r="A1028" t="s">
        <v>106</v>
      </c>
      <c r="B1028">
        <v>5</v>
      </c>
      <c r="C1028">
        <v>2</v>
      </c>
      <c r="D1028">
        <v>0</v>
      </c>
      <c r="E1028" t="s">
        <v>185</v>
      </c>
      <c r="F1028">
        <v>147870</v>
      </c>
      <c r="G1028">
        <v>443585141</v>
      </c>
      <c r="H1028">
        <v>0.97388887405395508</v>
      </c>
      <c r="I1028">
        <v>0.96388888888888891</v>
      </c>
      <c r="J1028">
        <v>26300822.75</v>
      </c>
      <c r="K1028">
        <v>147509</v>
      </c>
      <c r="L1028">
        <v>2</v>
      </c>
      <c r="M1028">
        <v>253</v>
      </c>
      <c r="N1028">
        <v>0.95444444444444443</v>
      </c>
      <c r="O1028">
        <v>27011652.75</v>
      </c>
      <c r="P1028">
        <v>148600</v>
      </c>
      <c r="Q1028">
        <v>2</v>
      </c>
      <c r="R1028">
        <v>254</v>
      </c>
      <c r="S1028">
        <v>11.439137036568392</v>
      </c>
      <c r="T1028">
        <v>0.97654320796330774</v>
      </c>
    </row>
    <row r="1029" spans="1:20" x14ac:dyDescent="0.25">
      <c r="A1029" t="s">
        <v>106</v>
      </c>
      <c r="B1029">
        <v>5</v>
      </c>
      <c r="C1029">
        <v>2</v>
      </c>
      <c r="D1029">
        <v>0</v>
      </c>
      <c r="E1029" t="s">
        <v>263</v>
      </c>
      <c r="F1029">
        <v>149283</v>
      </c>
      <c r="G1029">
        <v>443031697</v>
      </c>
      <c r="H1029">
        <v>0.96857141596930363</v>
      </c>
      <c r="I1029">
        <v>0.96190476190476193</v>
      </c>
      <c r="J1029">
        <v>26796054.857142858</v>
      </c>
      <c r="K1029">
        <v>148600</v>
      </c>
      <c r="L1029">
        <v>2</v>
      </c>
      <c r="M1029">
        <v>254</v>
      </c>
      <c r="N1029">
        <v>0.95746031746031746</v>
      </c>
      <c r="O1029">
        <v>27006023.142857142</v>
      </c>
      <c r="P1029">
        <v>149695</v>
      </c>
      <c r="Q1029">
        <v>2</v>
      </c>
      <c r="R1029">
        <v>255</v>
      </c>
      <c r="S1029">
        <v>11.441725162840701</v>
      </c>
      <c r="T1029">
        <v>0.96481481194496155</v>
      </c>
    </row>
    <row r="1030" spans="1:20" x14ac:dyDescent="0.25">
      <c r="A1030" t="s">
        <v>106</v>
      </c>
      <c r="B1030">
        <v>5</v>
      </c>
      <c r="C1030">
        <v>2</v>
      </c>
      <c r="D1030">
        <v>0</v>
      </c>
      <c r="E1030" t="s">
        <v>281</v>
      </c>
      <c r="F1030">
        <v>150149</v>
      </c>
      <c r="G1030">
        <v>503408877.25</v>
      </c>
      <c r="H1030">
        <v>0.96611110866069794</v>
      </c>
      <c r="I1030">
        <v>0.95833333333333337</v>
      </c>
      <c r="J1030">
        <v>25965891.5</v>
      </c>
      <c r="K1030">
        <v>149695</v>
      </c>
      <c r="L1030">
        <v>2</v>
      </c>
      <c r="M1030">
        <v>255</v>
      </c>
      <c r="N1030">
        <v>0.95777777777777784</v>
      </c>
      <c r="O1030">
        <v>26252427.5</v>
      </c>
      <c r="P1030">
        <v>150794</v>
      </c>
      <c r="Q1030">
        <v>2</v>
      </c>
      <c r="R1030">
        <v>256</v>
      </c>
      <c r="S1030">
        <v>11.443636593538598</v>
      </c>
      <c r="T1030">
        <v>0.96172839403152466</v>
      </c>
    </row>
    <row r="1031" spans="1:20" x14ac:dyDescent="0.25">
      <c r="A1031" t="s">
        <v>106</v>
      </c>
      <c r="B1031">
        <v>5</v>
      </c>
      <c r="C1031">
        <v>2</v>
      </c>
      <c r="D1031">
        <v>0</v>
      </c>
      <c r="E1031" t="s">
        <v>205</v>
      </c>
      <c r="F1031">
        <v>152012</v>
      </c>
      <c r="G1031">
        <v>419833735</v>
      </c>
      <c r="H1031">
        <v>0.96277777850627899</v>
      </c>
      <c r="I1031">
        <v>0.95944444444444443</v>
      </c>
      <c r="J1031">
        <v>26273911.25</v>
      </c>
      <c r="K1031">
        <v>151897</v>
      </c>
      <c r="L1031">
        <v>2</v>
      </c>
      <c r="M1031">
        <v>257</v>
      </c>
      <c r="N1031">
        <v>0.9605555555555555</v>
      </c>
      <c r="O1031">
        <v>27055802.25</v>
      </c>
      <c r="P1031">
        <v>153004</v>
      </c>
      <c r="Q1031">
        <v>2</v>
      </c>
      <c r="R1031">
        <v>258</v>
      </c>
      <c r="S1031">
        <v>11.444662157891409</v>
      </c>
      <c r="T1031">
        <v>0.95925925175348914</v>
      </c>
    </row>
    <row r="1032" spans="1:20" x14ac:dyDescent="0.25">
      <c r="A1032" t="s">
        <v>106</v>
      </c>
      <c r="B1032">
        <v>5</v>
      </c>
      <c r="C1032">
        <v>2</v>
      </c>
      <c r="D1032">
        <v>0</v>
      </c>
      <c r="E1032" t="s">
        <v>269</v>
      </c>
      <c r="F1032">
        <v>153575</v>
      </c>
      <c r="G1032">
        <v>406733781</v>
      </c>
      <c r="H1032">
        <v>0.96666665375232697</v>
      </c>
      <c r="I1032">
        <v>0.96611111111111114</v>
      </c>
      <c r="J1032">
        <v>25960898.5</v>
      </c>
      <c r="K1032">
        <v>153004</v>
      </c>
      <c r="L1032">
        <v>2</v>
      </c>
      <c r="M1032">
        <v>258</v>
      </c>
      <c r="N1032">
        <v>0.96111111111111103</v>
      </c>
      <c r="O1032">
        <v>26806274.75</v>
      </c>
      <c r="P1032">
        <v>154115</v>
      </c>
      <c r="Q1032">
        <v>2</v>
      </c>
      <c r="R1032">
        <v>259</v>
      </c>
      <c r="S1032">
        <v>11.445813586097946</v>
      </c>
      <c r="T1032">
        <v>0.95555555820465088</v>
      </c>
    </row>
    <row r="1033" spans="1:20" x14ac:dyDescent="0.25">
      <c r="A1033" t="s">
        <v>106</v>
      </c>
      <c r="B1033">
        <v>5</v>
      </c>
      <c r="C1033">
        <v>2</v>
      </c>
      <c r="D1033">
        <v>0</v>
      </c>
      <c r="E1033" t="s">
        <v>157</v>
      </c>
      <c r="F1033">
        <v>154838</v>
      </c>
      <c r="G1033">
        <v>556428129.25</v>
      </c>
      <c r="H1033">
        <v>0.96277777850627899</v>
      </c>
      <c r="I1033">
        <v>0.9655555555555555</v>
      </c>
      <c r="J1033">
        <v>25963012.75</v>
      </c>
      <c r="K1033">
        <v>154115</v>
      </c>
      <c r="L1033">
        <v>2</v>
      </c>
      <c r="M1033">
        <v>259</v>
      </c>
      <c r="N1033">
        <v>0.96166666666666667</v>
      </c>
      <c r="O1033">
        <v>26403256.5</v>
      </c>
      <c r="P1033">
        <v>155230</v>
      </c>
      <c r="Q1033">
        <v>2</v>
      </c>
      <c r="R1033">
        <v>260</v>
      </c>
      <c r="S1033">
        <v>11.448417461621075</v>
      </c>
      <c r="T1033">
        <v>0.96666665871938073</v>
      </c>
    </row>
    <row r="1034" spans="1:20" x14ac:dyDescent="0.25">
      <c r="A1034" t="s">
        <v>106</v>
      </c>
      <c r="B1034">
        <v>5</v>
      </c>
      <c r="C1034">
        <v>2</v>
      </c>
      <c r="D1034">
        <v>0</v>
      </c>
      <c r="E1034" t="s">
        <v>222</v>
      </c>
      <c r="F1034">
        <v>156154</v>
      </c>
      <c r="G1034">
        <v>552643805</v>
      </c>
      <c r="H1034">
        <v>0.96571428435189388</v>
      </c>
      <c r="I1034">
        <v>0.95841269841269838</v>
      </c>
      <c r="J1034">
        <v>27900342.285714287</v>
      </c>
      <c r="K1034">
        <v>155230</v>
      </c>
      <c r="L1034">
        <v>2</v>
      </c>
      <c r="M1034">
        <v>260</v>
      </c>
      <c r="N1034">
        <v>0.96476190476190482</v>
      </c>
      <c r="O1034">
        <v>27737503.142857142</v>
      </c>
      <c r="P1034">
        <v>156349</v>
      </c>
      <c r="Q1034">
        <v>2</v>
      </c>
      <c r="R1034">
        <v>261</v>
      </c>
      <c r="S1034">
        <v>11.452323819146249</v>
      </c>
      <c r="T1034">
        <v>0.97407406568527222</v>
      </c>
    </row>
    <row r="1035" spans="1:20" x14ac:dyDescent="0.25">
      <c r="A1035" t="s">
        <v>106</v>
      </c>
      <c r="B1035">
        <v>5</v>
      </c>
      <c r="C1035">
        <v>2</v>
      </c>
      <c r="D1035">
        <v>0</v>
      </c>
      <c r="E1035" t="s">
        <v>275</v>
      </c>
      <c r="F1035">
        <v>157867</v>
      </c>
      <c r="G1035">
        <v>612394017.75</v>
      </c>
      <c r="H1035">
        <v>0.96666666865348816</v>
      </c>
      <c r="I1035">
        <v>0.9622222222222222</v>
      </c>
      <c r="J1035">
        <v>28577048</v>
      </c>
      <c r="K1035">
        <v>157472</v>
      </c>
      <c r="L1035">
        <v>2</v>
      </c>
      <c r="M1035">
        <v>262</v>
      </c>
      <c r="N1035">
        <v>0.96055555555555561</v>
      </c>
      <c r="O1035">
        <v>28400350.25</v>
      </c>
      <c r="P1035">
        <v>158599</v>
      </c>
      <c r="Q1035">
        <v>2</v>
      </c>
      <c r="R1035">
        <v>263</v>
      </c>
      <c r="S1035">
        <v>11.454734848484849</v>
      </c>
      <c r="T1035">
        <v>0.9716049234072367</v>
      </c>
    </row>
    <row r="1036" spans="1:20" x14ac:dyDescent="0.25">
      <c r="A1036" t="s">
        <v>106</v>
      </c>
      <c r="B1036">
        <v>5</v>
      </c>
      <c r="C1036">
        <v>2</v>
      </c>
      <c r="D1036">
        <v>0</v>
      </c>
      <c r="E1036" t="s">
        <v>186</v>
      </c>
      <c r="F1036">
        <v>159280</v>
      </c>
      <c r="G1036">
        <v>424145430.25</v>
      </c>
      <c r="H1036">
        <v>0.95499999821186066</v>
      </c>
      <c r="I1036">
        <v>0.96166666666666667</v>
      </c>
      <c r="J1036">
        <v>26760072.5</v>
      </c>
      <c r="K1036">
        <v>158599</v>
      </c>
      <c r="L1036">
        <v>2</v>
      </c>
      <c r="M1036">
        <v>263</v>
      </c>
      <c r="N1036">
        <v>0.95944444444444443</v>
      </c>
      <c r="O1036">
        <v>27605128.25</v>
      </c>
      <c r="P1036">
        <v>159730</v>
      </c>
      <c r="Q1036">
        <v>2</v>
      </c>
      <c r="R1036">
        <v>264</v>
      </c>
      <c r="S1036">
        <v>11.455945468316083</v>
      </c>
      <c r="T1036">
        <v>0.97037037213643396</v>
      </c>
    </row>
    <row r="1037" spans="1:20" x14ac:dyDescent="0.25">
      <c r="A1037" t="s">
        <v>106</v>
      </c>
      <c r="B1037">
        <v>5</v>
      </c>
      <c r="C1037">
        <v>2</v>
      </c>
      <c r="D1037">
        <v>0</v>
      </c>
      <c r="E1037" t="s">
        <v>264</v>
      </c>
      <c r="F1037">
        <v>160393</v>
      </c>
      <c r="G1037">
        <v>498384551.75</v>
      </c>
      <c r="H1037">
        <v>0.96166665852069855</v>
      </c>
      <c r="I1037">
        <v>0.96333333333333337</v>
      </c>
      <c r="J1037">
        <v>26810227</v>
      </c>
      <c r="K1037">
        <v>159730</v>
      </c>
      <c r="L1037">
        <v>2</v>
      </c>
      <c r="M1037">
        <v>264</v>
      </c>
      <c r="N1037">
        <v>0.95833333333333337</v>
      </c>
      <c r="O1037">
        <v>26426688.25</v>
      </c>
      <c r="P1037">
        <v>160865</v>
      </c>
      <c r="Q1037">
        <v>2</v>
      </c>
      <c r="R1037">
        <v>265</v>
      </c>
      <c r="S1037">
        <v>11.457786471479052</v>
      </c>
      <c r="T1037">
        <v>0.95308641592661536</v>
      </c>
    </row>
    <row r="1038" spans="1:20" x14ac:dyDescent="0.25">
      <c r="A1038" t="s">
        <v>106</v>
      </c>
      <c r="B1038">
        <v>5</v>
      </c>
      <c r="C1038">
        <v>2</v>
      </c>
      <c r="D1038">
        <v>0</v>
      </c>
      <c r="E1038" t="s">
        <v>282</v>
      </c>
      <c r="F1038">
        <v>162159</v>
      </c>
      <c r="G1038">
        <v>597631030.28571427</v>
      </c>
      <c r="H1038">
        <v>0.96825395311628071</v>
      </c>
      <c r="I1038">
        <v>0.96</v>
      </c>
      <c r="J1038">
        <v>28036980.428571429</v>
      </c>
      <c r="K1038">
        <v>162004</v>
      </c>
      <c r="L1038">
        <v>2</v>
      </c>
      <c r="M1038">
        <v>266</v>
      </c>
      <c r="N1038">
        <v>0.95936507936507931</v>
      </c>
      <c r="O1038">
        <v>26871933.571428571</v>
      </c>
      <c r="P1038">
        <v>163147</v>
      </c>
      <c r="Q1038">
        <v>2</v>
      </c>
      <c r="R1038">
        <v>267</v>
      </c>
      <c r="S1038">
        <v>11.462125512456637</v>
      </c>
      <c r="T1038">
        <v>0.96358023087183631</v>
      </c>
    </row>
    <row r="1039" spans="1:20" x14ac:dyDescent="0.25">
      <c r="A1039" t="s">
        <v>106</v>
      </c>
      <c r="B1039">
        <v>5</v>
      </c>
      <c r="C1039">
        <v>2</v>
      </c>
      <c r="D1039">
        <v>0</v>
      </c>
      <c r="E1039" t="s">
        <v>208</v>
      </c>
      <c r="F1039">
        <v>163722</v>
      </c>
      <c r="G1039">
        <v>626827642.5</v>
      </c>
      <c r="H1039">
        <v>0.9627777636051178</v>
      </c>
      <c r="I1039">
        <v>0.9622222222222222</v>
      </c>
      <c r="J1039">
        <v>29395541.5</v>
      </c>
      <c r="K1039">
        <v>163147</v>
      </c>
      <c r="L1039">
        <v>2</v>
      </c>
      <c r="M1039">
        <v>267</v>
      </c>
      <c r="N1039">
        <v>0.9588888888888889</v>
      </c>
      <c r="O1039">
        <v>28895525.25</v>
      </c>
      <c r="P1039">
        <v>164294</v>
      </c>
      <c r="Q1039">
        <v>2</v>
      </c>
      <c r="R1039">
        <v>268</v>
      </c>
      <c r="S1039">
        <v>11.464720348067344</v>
      </c>
      <c r="T1039">
        <v>0.96296296517054236</v>
      </c>
    </row>
    <row r="1040" spans="1:20" x14ac:dyDescent="0.25">
      <c r="A1040" t="s">
        <v>106</v>
      </c>
      <c r="B1040">
        <v>5</v>
      </c>
      <c r="C1040">
        <v>2</v>
      </c>
      <c r="D1040">
        <v>0</v>
      </c>
      <c r="E1040" t="s">
        <v>270</v>
      </c>
      <c r="F1040">
        <v>164985</v>
      </c>
      <c r="G1040">
        <v>608358240.25</v>
      </c>
      <c r="H1040">
        <v>0.96111111342906952</v>
      </c>
      <c r="I1040">
        <v>0.96722222222222221</v>
      </c>
      <c r="J1040">
        <v>29436343.75</v>
      </c>
      <c r="K1040">
        <v>164294</v>
      </c>
      <c r="L1040">
        <v>2</v>
      </c>
      <c r="M1040">
        <v>268</v>
      </c>
      <c r="N1040">
        <v>0.95666666666666667</v>
      </c>
      <c r="O1040">
        <v>28039721.5</v>
      </c>
      <c r="P1040">
        <v>165445</v>
      </c>
      <c r="Q1040">
        <v>2</v>
      </c>
      <c r="R1040">
        <v>269</v>
      </c>
      <c r="S1040">
        <v>11.467439954611359</v>
      </c>
      <c r="T1040">
        <v>0.96913578112920129</v>
      </c>
    </row>
    <row r="1041" spans="1:20" x14ac:dyDescent="0.25">
      <c r="A1041" t="s">
        <v>106</v>
      </c>
      <c r="B1041">
        <v>5</v>
      </c>
      <c r="C1041">
        <v>2</v>
      </c>
      <c r="D1041">
        <v>0</v>
      </c>
      <c r="E1041" t="s">
        <v>162</v>
      </c>
      <c r="F1041">
        <v>165948</v>
      </c>
      <c r="G1041">
        <v>509181814</v>
      </c>
      <c r="H1041">
        <v>0.96222223341464996</v>
      </c>
      <c r="I1041">
        <v>0.96166666666666667</v>
      </c>
      <c r="J1041">
        <v>28154839</v>
      </c>
      <c r="K1041">
        <v>165445</v>
      </c>
      <c r="L1041">
        <v>2</v>
      </c>
      <c r="M1041">
        <v>269</v>
      </c>
      <c r="N1041">
        <v>0.9622222222222222</v>
      </c>
      <c r="O1041">
        <v>27562133</v>
      </c>
      <c r="P1041">
        <v>166600</v>
      </c>
      <c r="Q1041">
        <v>2</v>
      </c>
      <c r="R1041">
        <v>270</v>
      </c>
      <c r="S1041">
        <v>11.469212831663201</v>
      </c>
      <c r="T1041">
        <v>0.96296296517054236</v>
      </c>
    </row>
    <row r="1042" spans="1:20" x14ac:dyDescent="0.25">
      <c r="A1042" t="s">
        <v>106</v>
      </c>
      <c r="B1042">
        <v>5</v>
      </c>
      <c r="C1042">
        <v>2</v>
      </c>
      <c r="D1042">
        <v>0</v>
      </c>
      <c r="E1042" t="s">
        <v>223</v>
      </c>
      <c r="F1042">
        <v>168164</v>
      </c>
      <c r="G1042">
        <v>497877739.28571427</v>
      </c>
      <c r="H1042">
        <v>0.96412698711667744</v>
      </c>
      <c r="I1042">
        <v>0.95809523809523811</v>
      </c>
      <c r="J1042">
        <v>28542985.857142858</v>
      </c>
      <c r="K1042">
        <v>167759</v>
      </c>
      <c r="L1042">
        <v>2</v>
      </c>
      <c r="M1042">
        <v>271</v>
      </c>
      <c r="N1042">
        <v>0.9622222222222222</v>
      </c>
      <c r="O1042">
        <v>28935418</v>
      </c>
      <c r="P1042">
        <v>168922</v>
      </c>
      <c r="Q1042">
        <v>2</v>
      </c>
      <c r="R1042">
        <v>272</v>
      </c>
      <c r="S1042">
        <v>11.471588761496788</v>
      </c>
      <c r="T1042">
        <v>0.96419751644134521</v>
      </c>
    </row>
    <row r="1043" spans="1:20" x14ac:dyDescent="0.25">
      <c r="A1043" t="s">
        <v>106</v>
      </c>
      <c r="B1043">
        <v>5</v>
      </c>
      <c r="C1043">
        <v>2</v>
      </c>
      <c r="D1043">
        <v>0</v>
      </c>
      <c r="E1043" t="s">
        <v>276</v>
      </c>
      <c r="F1043">
        <v>169577</v>
      </c>
      <c r="G1043">
        <v>554051861.5</v>
      </c>
      <c r="H1043">
        <v>0.96722222864627838</v>
      </c>
      <c r="I1043">
        <v>0.96166666666666667</v>
      </c>
      <c r="J1043">
        <v>28799687</v>
      </c>
      <c r="K1043">
        <v>168922</v>
      </c>
      <c r="L1043">
        <v>2</v>
      </c>
      <c r="M1043">
        <v>272</v>
      </c>
      <c r="N1043">
        <v>0.9622222222222222</v>
      </c>
      <c r="O1043">
        <v>30072838.25</v>
      </c>
      <c r="P1043">
        <v>170089</v>
      </c>
      <c r="Q1043">
        <v>2</v>
      </c>
      <c r="R1043">
        <v>273</v>
      </c>
      <c r="S1043">
        <v>11.47329638493513</v>
      </c>
      <c r="T1043">
        <v>0.97407406568527222</v>
      </c>
    </row>
    <row r="1044" spans="1:20" x14ac:dyDescent="0.25">
      <c r="A1044" t="s">
        <v>106</v>
      </c>
      <c r="B1044">
        <v>5</v>
      </c>
      <c r="C1044">
        <v>2</v>
      </c>
      <c r="D1044">
        <v>0</v>
      </c>
      <c r="E1044" t="s">
        <v>189</v>
      </c>
      <c r="F1044">
        <v>170690</v>
      </c>
      <c r="G1044">
        <v>540881556.25</v>
      </c>
      <c r="H1044">
        <v>0.96111109852790833</v>
      </c>
      <c r="I1044">
        <v>0.95666666666666667</v>
      </c>
      <c r="J1044">
        <v>26908533</v>
      </c>
      <c r="K1044">
        <v>170089</v>
      </c>
      <c r="L1044">
        <v>2</v>
      </c>
      <c r="M1044">
        <v>273</v>
      </c>
      <c r="N1044">
        <v>0.96444444444444444</v>
      </c>
      <c r="O1044">
        <v>29368649</v>
      </c>
      <c r="P1044">
        <v>171260</v>
      </c>
      <c r="Q1044">
        <v>2</v>
      </c>
      <c r="R1044">
        <v>274</v>
      </c>
      <c r="S1044">
        <v>11.475066112580279</v>
      </c>
      <c r="T1044">
        <v>0.97407408555348718</v>
      </c>
    </row>
    <row r="1045" spans="1:20" x14ac:dyDescent="0.25">
      <c r="A1045" t="s">
        <v>106</v>
      </c>
      <c r="B1045">
        <v>5</v>
      </c>
      <c r="C1045">
        <v>2</v>
      </c>
      <c r="D1045">
        <v>0</v>
      </c>
      <c r="E1045" t="s">
        <v>265</v>
      </c>
      <c r="F1045">
        <v>171503</v>
      </c>
      <c r="G1045">
        <v>436941862.25</v>
      </c>
      <c r="H1045">
        <v>0.96833331882953644</v>
      </c>
      <c r="I1045">
        <v>0.96277777777777773</v>
      </c>
      <c r="J1045">
        <v>27208431.75</v>
      </c>
      <c r="K1045">
        <v>171260</v>
      </c>
      <c r="L1045">
        <v>2</v>
      </c>
      <c r="M1045">
        <v>274</v>
      </c>
      <c r="N1045">
        <v>0.96111111111111103</v>
      </c>
      <c r="O1045">
        <v>27214731</v>
      </c>
      <c r="P1045">
        <v>172435</v>
      </c>
      <c r="Q1045">
        <v>2</v>
      </c>
      <c r="R1045">
        <v>275</v>
      </c>
      <c r="S1045">
        <v>11.476016618406144</v>
      </c>
      <c r="T1045">
        <v>0.95679012934366858</v>
      </c>
    </row>
    <row r="1046" spans="1:20" x14ac:dyDescent="0.25">
      <c r="A1046" t="s">
        <v>106</v>
      </c>
      <c r="B1046">
        <v>5</v>
      </c>
      <c r="C1046">
        <v>2</v>
      </c>
      <c r="D1046">
        <v>0</v>
      </c>
      <c r="E1046" t="s">
        <v>239</v>
      </c>
      <c r="F1046">
        <v>172606</v>
      </c>
      <c r="G1046">
        <v>553606030.5</v>
      </c>
      <c r="H1046">
        <v>0.96611110866069794</v>
      </c>
      <c r="I1046">
        <v>0.95555555555555549</v>
      </c>
      <c r="J1046">
        <v>27107897.5</v>
      </c>
      <c r="K1046">
        <v>172435</v>
      </c>
      <c r="L1046">
        <v>2</v>
      </c>
      <c r="M1046">
        <v>275</v>
      </c>
      <c r="N1046">
        <v>0.95777777777777784</v>
      </c>
      <c r="O1046">
        <v>26368880.75</v>
      </c>
      <c r="P1046">
        <v>173614</v>
      </c>
      <c r="Q1046">
        <v>2</v>
      </c>
      <c r="R1046">
        <v>276</v>
      </c>
      <c r="S1046">
        <v>11.477784770295784</v>
      </c>
      <c r="T1046">
        <v>0.9580247004826864</v>
      </c>
    </row>
    <row r="1047" spans="1:20" x14ac:dyDescent="0.25">
      <c r="A1047" t="s">
        <v>106</v>
      </c>
      <c r="B1047">
        <v>5</v>
      </c>
      <c r="C1047">
        <v>2</v>
      </c>
      <c r="D1047">
        <v>0</v>
      </c>
      <c r="E1047" t="s">
        <v>283</v>
      </c>
      <c r="F1047">
        <v>174169</v>
      </c>
      <c r="G1047">
        <v>732953173.5</v>
      </c>
      <c r="H1047">
        <v>0.9699999988079071</v>
      </c>
      <c r="I1047">
        <v>0.95777777777777784</v>
      </c>
      <c r="J1047">
        <v>31253471</v>
      </c>
      <c r="K1047">
        <v>173614</v>
      </c>
      <c r="L1047">
        <v>2</v>
      </c>
      <c r="M1047">
        <v>276</v>
      </c>
      <c r="N1047">
        <v>0.95611111111111113</v>
      </c>
      <c r="O1047">
        <v>31170751.75</v>
      </c>
      <c r="P1047">
        <v>174797</v>
      </c>
      <c r="Q1047">
        <v>2</v>
      </c>
      <c r="R1047">
        <v>277</v>
      </c>
      <c r="S1047">
        <v>11.480747451868631</v>
      </c>
      <c r="T1047">
        <v>0.96543208758036292</v>
      </c>
    </row>
    <row r="1048" spans="1:20" x14ac:dyDescent="0.25">
      <c r="A1048" t="s">
        <v>106</v>
      </c>
      <c r="B1048">
        <v>5</v>
      </c>
      <c r="C1048">
        <v>2</v>
      </c>
      <c r="D1048">
        <v>0</v>
      </c>
      <c r="E1048" t="s">
        <v>209</v>
      </c>
      <c r="F1048">
        <v>175432</v>
      </c>
      <c r="G1048">
        <v>635290198.5</v>
      </c>
      <c r="H1048">
        <v>0.96555554866790771</v>
      </c>
      <c r="I1048">
        <v>0.96388888888888891</v>
      </c>
      <c r="J1048">
        <v>30556554.25</v>
      </c>
      <c r="K1048">
        <v>174797</v>
      </c>
      <c r="L1048">
        <v>2</v>
      </c>
      <c r="M1048">
        <v>277</v>
      </c>
      <c r="N1048">
        <v>0.96</v>
      </c>
      <c r="O1048">
        <v>30371145.25</v>
      </c>
      <c r="P1048">
        <v>175984</v>
      </c>
      <c r="Q1048">
        <v>2</v>
      </c>
      <c r="R1048">
        <v>278</v>
      </c>
      <c r="S1048">
        <v>11.482953830670525</v>
      </c>
      <c r="T1048">
        <v>0.97654318809509277</v>
      </c>
    </row>
    <row r="1049" spans="1:20" x14ac:dyDescent="0.25">
      <c r="A1049" t="s">
        <v>106</v>
      </c>
      <c r="B1049">
        <v>5</v>
      </c>
      <c r="C1049">
        <v>2</v>
      </c>
      <c r="D1049">
        <v>0</v>
      </c>
      <c r="E1049" t="s">
        <v>134</v>
      </c>
      <c r="F1049">
        <v>177058</v>
      </c>
      <c r="G1049">
        <v>488621500.25</v>
      </c>
      <c r="H1049">
        <v>0.96555554866790771</v>
      </c>
      <c r="I1049">
        <v>0.96111111111111103</v>
      </c>
      <c r="J1049">
        <v>29150628.75</v>
      </c>
      <c r="K1049">
        <v>175984</v>
      </c>
      <c r="L1049">
        <v>2</v>
      </c>
      <c r="M1049">
        <v>278</v>
      </c>
      <c r="N1049">
        <v>0.95833333333333337</v>
      </c>
      <c r="O1049">
        <v>29111864.5</v>
      </c>
      <c r="P1049">
        <v>177175</v>
      </c>
      <c r="Q1049">
        <v>2</v>
      </c>
      <c r="R1049">
        <v>279</v>
      </c>
      <c r="S1049">
        <v>11.484152936737518</v>
      </c>
      <c r="T1049">
        <v>0.97654320796330774</v>
      </c>
    </row>
    <row r="1050" spans="1:20" x14ac:dyDescent="0.25">
      <c r="A1050" t="s">
        <v>106</v>
      </c>
      <c r="B1050">
        <v>5</v>
      </c>
      <c r="C1050">
        <v>2</v>
      </c>
      <c r="D1050">
        <v>0</v>
      </c>
      <c r="E1050" t="s">
        <v>290</v>
      </c>
      <c r="F1050">
        <v>178761</v>
      </c>
      <c r="G1050">
        <v>489565491.4285714</v>
      </c>
      <c r="H1050">
        <v>0.96571429286684307</v>
      </c>
      <c r="I1050">
        <v>0.96</v>
      </c>
      <c r="J1050">
        <v>29300447.571428571</v>
      </c>
      <c r="K1050">
        <v>178370</v>
      </c>
      <c r="L1050">
        <v>2</v>
      </c>
      <c r="M1050">
        <v>280</v>
      </c>
      <c r="N1050">
        <v>0.95809523809523811</v>
      </c>
      <c r="O1050">
        <v>29549959.571428571</v>
      </c>
      <c r="P1050">
        <v>179569</v>
      </c>
      <c r="Q1050">
        <v>2</v>
      </c>
      <c r="R1050">
        <v>281</v>
      </c>
      <c r="S1050">
        <v>11.486139920799548</v>
      </c>
      <c r="T1050">
        <v>0.96358025074005127</v>
      </c>
    </row>
    <row r="1051" spans="1:20" x14ac:dyDescent="0.25">
      <c r="A1051" t="s">
        <v>106</v>
      </c>
      <c r="B1051">
        <v>5</v>
      </c>
      <c r="C1051">
        <v>2</v>
      </c>
      <c r="D1051">
        <v>0</v>
      </c>
      <c r="E1051" t="s">
        <v>224</v>
      </c>
      <c r="F1051">
        <v>180174</v>
      </c>
      <c r="G1051">
        <v>515667167</v>
      </c>
      <c r="H1051">
        <v>0.96333333849906921</v>
      </c>
      <c r="I1051">
        <v>0.96444444444444444</v>
      </c>
      <c r="J1051">
        <v>31506019.5</v>
      </c>
      <c r="K1051">
        <v>179569</v>
      </c>
      <c r="L1051">
        <v>2</v>
      </c>
      <c r="M1051">
        <v>281</v>
      </c>
      <c r="N1051">
        <v>0.9555555555555556</v>
      </c>
      <c r="O1051">
        <v>32486159.25</v>
      </c>
      <c r="P1051">
        <v>180772</v>
      </c>
      <c r="Q1051">
        <v>2</v>
      </c>
      <c r="R1051">
        <v>282</v>
      </c>
      <c r="S1051">
        <v>11.487211713693206</v>
      </c>
      <c r="T1051">
        <v>0.96913580099741614</v>
      </c>
    </row>
    <row r="1052" spans="1:20" x14ac:dyDescent="0.25">
      <c r="A1052" t="s">
        <v>106</v>
      </c>
      <c r="B1052">
        <v>5</v>
      </c>
      <c r="C1052">
        <v>2</v>
      </c>
      <c r="D1052">
        <v>0</v>
      </c>
      <c r="E1052" t="s">
        <v>277</v>
      </c>
      <c r="F1052">
        <v>181287</v>
      </c>
      <c r="G1052">
        <v>510761522.75</v>
      </c>
      <c r="H1052">
        <v>0.96722221374511719</v>
      </c>
      <c r="I1052">
        <v>0.95944444444444443</v>
      </c>
      <c r="J1052">
        <v>29728916.5</v>
      </c>
      <c r="K1052">
        <v>180772</v>
      </c>
      <c r="L1052">
        <v>2</v>
      </c>
      <c r="M1052">
        <v>282</v>
      </c>
      <c r="N1052">
        <v>0.95611111111111113</v>
      </c>
      <c r="O1052">
        <v>31026020.75</v>
      </c>
      <c r="P1052">
        <v>181979</v>
      </c>
      <c r="Q1052">
        <v>2</v>
      </c>
      <c r="R1052">
        <v>283</v>
      </c>
      <c r="S1052">
        <v>11.488220141986556</v>
      </c>
      <c r="T1052">
        <v>0.96790122985839844</v>
      </c>
    </row>
    <row r="1053" spans="1:20" x14ac:dyDescent="0.25">
      <c r="A1053" t="s">
        <v>106</v>
      </c>
      <c r="B1053">
        <v>5</v>
      </c>
      <c r="C1053">
        <v>2</v>
      </c>
      <c r="D1053">
        <v>0</v>
      </c>
      <c r="E1053" t="s">
        <v>259</v>
      </c>
      <c r="F1053">
        <v>182613</v>
      </c>
      <c r="G1053">
        <v>551553143.5</v>
      </c>
      <c r="H1053">
        <v>0.96388886868953705</v>
      </c>
      <c r="I1053">
        <v>0.96055555555555561</v>
      </c>
      <c r="J1053">
        <v>29797134.75</v>
      </c>
      <c r="K1053">
        <v>181979</v>
      </c>
      <c r="L1053">
        <v>2</v>
      </c>
      <c r="M1053">
        <v>283</v>
      </c>
      <c r="N1053">
        <v>0.95777777777777773</v>
      </c>
      <c r="O1053">
        <v>29757475.75</v>
      </c>
      <c r="P1053">
        <v>183190</v>
      </c>
      <c r="Q1053">
        <v>2</v>
      </c>
      <c r="R1053">
        <v>284</v>
      </c>
      <c r="S1053">
        <v>11.489730544563784</v>
      </c>
      <c r="T1053">
        <v>0.96790122985839844</v>
      </c>
    </row>
    <row r="1054" spans="1:20" x14ac:dyDescent="0.25">
      <c r="A1054" t="s">
        <v>106</v>
      </c>
      <c r="B1054">
        <v>5</v>
      </c>
      <c r="C1054">
        <v>2</v>
      </c>
      <c r="D1054">
        <v>0</v>
      </c>
      <c r="E1054" t="s">
        <v>240</v>
      </c>
      <c r="F1054">
        <v>184916</v>
      </c>
      <c r="G1054">
        <v>619434715.85714281</v>
      </c>
      <c r="H1054">
        <v>0.96761904444013325</v>
      </c>
      <c r="I1054">
        <v>0.96158730158730155</v>
      </c>
      <c r="J1054">
        <v>29769733.571428571</v>
      </c>
      <c r="K1054">
        <v>184405</v>
      </c>
      <c r="L1054">
        <v>2</v>
      </c>
      <c r="M1054">
        <v>285</v>
      </c>
      <c r="N1054">
        <v>0.95968253968253969</v>
      </c>
      <c r="O1054">
        <v>30092152.142857142</v>
      </c>
      <c r="P1054">
        <v>185624</v>
      </c>
      <c r="Q1054">
        <v>2</v>
      </c>
      <c r="R1054">
        <v>286</v>
      </c>
      <c r="S1054">
        <v>11.493407835258663</v>
      </c>
      <c r="T1054">
        <v>0.9765431980292002</v>
      </c>
    </row>
    <row r="1055" spans="1:20" x14ac:dyDescent="0.25">
      <c r="A1055" t="s">
        <v>106</v>
      </c>
      <c r="B1055">
        <v>5</v>
      </c>
      <c r="C1055">
        <v>2</v>
      </c>
      <c r="D1055">
        <v>0</v>
      </c>
      <c r="E1055" t="s">
        <v>284</v>
      </c>
      <c r="F1055">
        <v>186179</v>
      </c>
      <c r="G1055">
        <v>649679507.75</v>
      </c>
      <c r="H1055">
        <v>0.9677777886390686</v>
      </c>
      <c r="I1055">
        <v>0.9622222222222222</v>
      </c>
      <c r="J1055">
        <v>31457076.75</v>
      </c>
      <c r="K1055">
        <v>185624</v>
      </c>
      <c r="L1055">
        <v>2</v>
      </c>
      <c r="M1055">
        <v>286</v>
      </c>
      <c r="N1055">
        <v>0.95499999999999996</v>
      </c>
      <c r="O1055">
        <v>31727909</v>
      </c>
      <c r="P1055">
        <v>186847</v>
      </c>
      <c r="Q1055">
        <v>2</v>
      </c>
      <c r="R1055">
        <v>287</v>
      </c>
      <c r="S1055">
        <v>11.495292493095656</v>
      </c>
      <c r="T1055">
        <v>0.97283949454625451</v>
      </c>
    </row>
    <row r="1056" spans="1:20" x14ac:dyDescent="0.25">
      <c r="A1056" t="s">
        <v>106</v>
      </c>
      <c r="B1056">
        <v>5</v>
      </c>
      <c r="C1056">
        <v>2</v>
      </c>
      <c r="D1056">
        <v>0</v>
      </c>
      <c r="E1056" t="s">
        <v>266</v>
      </c>
      <c r="F1056">
        <v>187805</v>
      </c>
      <c r="G1056">
        <v>799052008</v>
      </c>
      <c r="H1056">
        <v>0.97111111879348755</v>
      </c>
      <c r="I1056">
        <v>0.96388888888888891</v>
      </c>
      <c r="J1056">
        <v>31992059.5</v>
      </c>
      <c r="K1056">
        <v>186847</v>
      </c>
      <c r="L1056">
        <v>2</v>
      </c>
      <c r="M1056">
        <v>287</v>
      </c>
      <c r="N1056">
        <v>0.96166666666666667</v>
      </c>
      <c r="O1056">
        <v>31844661.25</v>
      </c>
      <c r="P1056">
        <v>188074</v>
      </c>
      <c r="Q1056">
        <v>2</v>
      </c>
      <c r="R1056">
        <v>288</v>
      </c>
      <c r="S1056">
        <v>11.498180220883533</v>
      </c>
      <c r="T1056">
        <v>0.97407404581705725</v>
      </c>
    </row>
    <row r="1057" spans="1:20" x14ac:dyDescent="0.25">
      <c r="A1057" t="s">
        <v>106</v>
      </c>
      <c r="B1057">
        <v>5</v>
      </c>
      <c r="C1057">
        <v>2</v>
      </c>
      <c r="D1057">
        <v>0</v>
      </c>
      <c r="E1057" t="s">
        <v>139</v>
      </c>
      <c r="F1057">
        <v>188168</v>
      </c>
      <c r="G1057">
        <v>725685178.14285719</v>
      </c>
      <c r="H1057">
        <v>0.97206349883760723</v>
      </c>
      <c r="I1057">
        <v>0.95904761904761904</v>
      </c>
      <c r="J1057">
        <v>30349202.428571429</v>
      </c>
      <c r="K1057">
        <v>188074</v>
      </c>
      <c r="L1057">
        <v>2</v>
      </c>
      <c r="M1057">
        <v>288</v>
      </c>
      <c r="N1057">
        <v>0.9622222222222222</v>
      </c>
      <c r="O1057">
        <v>30367470.857142858</v>
      </c>
      <c r="P1057">
        <v>189305</v>
      </c>
      <c r="Q1057">
        <v>2</v>
      </c>
      <c r="R1057">
        <v>289</v>
      </c>
      <c r="S1057">
        <v>11.503104810888791</v>
      </c>
      <c r="T1057">
        <v>0.98148149251937866</v>
      </c>
    </row>
    <row r="1058" spans="1:20" x14ac:dyDescent="0.25">
      <c r="A1058" t="s">
        <v>106</v>
      </c>
      <c r="B1058">
        <v>5</v>
      </c>
      <c r="C1058">
        <v>2</v>
      </c>
      <c r="D1058">
        <v>0</v>
      </c>
      <c r="E1058" t="s">
        <v>291</v>
      </c>
      <c r="F1058">
        <v>191071</v>
      </c>
      <c r="G1058">
        <v>561385965.5</v>
      </c>
      <c r="H1058">
        <v>0.96944443881511688</v>
      </c>
      <c r="I1058">
        <v>0.95944444444444443</v>
      </c>
      <c r="J1058">
        <v>30753847.5</v>
      </c>
      <c r="K1058">
        <v>190540</v>
      </c>
      <c r="L1058">
        <v>2</v>
      </c>
      <c r="M1058">
        <v>290</v>
      </c>
      <c r="N1058">
        <v>0.9588888888888889</v>
      </c>
      <c r="O1058">
        <v>30408068.75</v>
      </c>
      <c r="P1058">
        <v>191779</v>
      </c>
      <c r="Q1058">
        <v>2</v>
      </c>
      <c r="R1058">
        <v>291</v>
      </c>
      <c r="S1058">
        <v>11.504420894212078</v>
      </c>
      <c r="T1058">
        <v>0.9679012497266134</v>
      </c>
    </row>
    <row r="1059" spans="1:20" x14ac:dyDescent="0.25">
      <c r="A1059" t="s">
        <v>106</v>
      </c>
      <c r="B1059">
        <v>5</v>
      </c>
      <c r="C1059">
        <v>2</v>
      </c>
      <c r="D1059">
        <v>0</v>
      </c>
      <c r="E1059" t="s">
        <v>272</v>
      </c>
      <c r="F1059">
        <v>192997</v>
      </c>
      <c r="G1059">
        <v>576435084.75</v>
      </c>
      <c r="H1059">
        <v>0.96888889372348785</v>
      </c>
      <c r="I1059">
        <v>0.96277777777777773</v>
      </c>
      <c r="J1059">
        <v>31951524</v>
      </c>
      <c r="K1059">
        <v>191779</v>
      </c>
      <c r="L1059">
        <v>2</v>
      </c>
      <c r="M1059">
        <v>291</v>
      </c>
      <c r="N1059">
        <v>0.9572222222222222</v>
      </c>
      <c r="O1059">
        <v>32127192.75</v>
      </c>
      <c r="P1059">
        <v>193022</v>
      </c>
      <c r="Q1059">
        <v>2</v>
      </c>
      <c r="R1059">
        <v>292</v>
      </c>
      <c r="S1059">
        <v>11.505673625478027</v>
      </c>
      <c r="T1059">
        <v>0.97777777910232544</v>
      </c>
    </row>
    <row r="1060" spans="1:20" x14ac:dyDescent="0.25">
      <c r="A1060" t="s">
        <v>106</v>
      </c>
      <c r="B1060">
        <v>5</v>
      </c>
      <c r="C1060">
        <v>2</v>
      </c>
      <c r="D1060">
        <v>0</v>
      </c>
      <c r="E1060" t="s">
        <v>260</v>
      </c>
      <c r="F1060">
        <v>193723</v>
      </c>
      <c r="G1060">
        <v>647553129.28571427</v>
      </c>
      <c r="H1060">
        <v>0.9660317557198661</v>
      </c>
      <c r="I1060">
        <v>0.9568253968253968</v>
      </c>
      <c r="J1060">
        <v>31151221.142857142</v>
      </c>
      <c r="K1060">
        <v>193022</v>
      </c>
      <c r="L1060">
        <v>2</v>
      </c>
      <c r="M1060">
        <v>292</v>
      </c>
      <c r="N1060">
        <v>0.96190476190476193</v>
      </c>
      <c r="O1060">
        <v>31433612.142857142</v>
      </c>
      <c r="P1060">
        <v>194269</v>
      </c>
      <c r="Q1060">
        <v>2</v>
      </c>
      <c r="R1060">
        <v>293</v>
      </c>
      <c r="S1060">
        <v>11.508334377741571</v>
      </c>
      <c r="T1060">
        <v>0.96728395422299707</v>
      </c>
    </row>
    <row r="1061" spans="1:20" x14ac:dyDescent="0.25">
      <c r="A1061" t="s">
        <v>106</v>
      </c>
      <c r="B1061">
        <v>5</v>
      </c>
      <c r="C1061">
        <v>2</v>
      </c>
      <c r="D1061">
        <v>0</v>
      </c>
      <c r="E1061" t="s">
        <v>226</v>
      </c>
      <c r="F1061">
        <v>197226</v>
      </c>
      <c r="G1061">
        <v>646145908.85714281</v>
      </c>
      <c r="H1061">
        <v>0.9704761930874416</v>
      </c>
      <c r="I1061">
        <v>0.96</v>
      </c>
      <c r="J1061">
        <v>31016942.571428571</v>
      </c>
      <c r="K1061">
        <v>196775</v>
      </c>
      <c r="L1061">
        <v>2</v>
      </c>
      <c r="M1061">
        <v>295</v>
      </c>
      <c r="N1061">
        <v>0.9568253968253968</v>
      </c>
      <c r="O1061">
        <v>31669886.714285713</v>
      </c>
      <c r="P1061">
        <v>198034</v>
      </c>
      <c r="Q1061">
        <v>2</v>
      </c>
      <c r="R1061">
        <v>296</v>
      </c>
      <c r="S1061">
        <v>11.511493892890698</v>
      </c>
      <c r="T1061">
        <v>0.97777776916821801</v>
      </c>
    </row>
    <row r="1062" spans="1:20" x14ac:dyDescent="0.25">
      <c r="A1062" t="s">
        <v>106</v>
      </c>
      <c r="B1062">
        <v>5</v>
      </c>
      <c r="C1062">
        <v>2</v>
      </c>
      <c r="D1062">
        <v>0</v>
      </c>
      <c r="E1062" t="s">
        <v>144</v>
      </c>
      <c r="F1062">
        <v>199278</v>
      </c>
      <c r="G1062">
        <v>539648315.5</v>
      </c>
      <c r="H1062">
        <v>0.96944445371627808</v>
      </c>
      <c r="I1062">
        <v>0.9572222222222222</v>
      </c>
      <c r="J1062">
        <v>30918748.25</v>
      </c>
      <c r="K1062">
        <v>198034</v>
      </c>
      <c r="L1062">
        <v>2</v>
      </c>
      <c r="M1062">
        <v>296</v>
      </c>
      <c r="N1062">
        <v>0.95277777777777772</v>
      </c>
      <c r="O1062">
        <v>32451716</v>
      </c>
      <c r="P1062">
        <v>199297</v>
      </c>
      <c r="Q1062">
        <v>2</v>
      </c>
      <c r="R1062">
        <v>297</v>
      </c>
      <c r="S1062">
        <v>11.512430333771682</v>
      </c>
      <c r="T1062">
        <v>0.97777777910232544</v>
      </c>
    </row>
    <row r="1063" spans="1:20" x14ac:dyDescent="0.25">
      <c r="A1063" t="s">
        <v>106</v>
      </c>
      <c r="B1063">
        <v>5</v>
      </c>
      <c r="C1063">
        <v>2</v>
      </c>
      <c r="D1063">
        <v>0</v>
      </c>
      <c r="E1063" t="s">
        <v>212</v>
      </c>
      <c r="F1063">
        <v>204194</v>
      </c>
      <c r="G1063">
        <v>536689698.30769229</v>
      </c>
      <c r="H1063">
        <v>0.96769230640851533</v>
      </c>
      <c r="I1063">
        <v>0.95794871794871794</v>
      </c>
      <c r="J1063">
        <v>31537463.769230768</v>
      </c>
      <c r="K1063">
        <v>203110</v>
      </c>
      <c r="L1063">
        <v>2</v>
      </c>
      <c r="M1063">
        <v>300</v>
      </c>
      <c r="N1063">
        <v>0.96119658119658125</v>
      </c>
      <c r="O1063">
        <v>31201704.615384616</v>
      </c>
      <c r="P1063">
        <v>204389</v>
      </c>
      <c r="Q1063">
        <v>2</v>
      </c>
      <c r="R1063">
        <v>301</v>
      </c>
      <c r="S1063">
        <v>11.514766612438994</v>
      </c>
      <c r="T1063">
        <v>0.97345678508281708</v>
      </c>
    </row>
    <row r="1064" spans="1:20" x14ac:dyDescent="0.25">
      <c r="A1064" t="s">
        <v>106</v>
      </c>
      <c r="B1064">
        <v>5</v>
      </c>
      <c r="C1064">
        <v>2</v>
      </c>
      <c r="D1064">
        <v>0</v>
      </c>
      <c r="E1064" t="s">
        <v>261</v>
      </c>
      <c r="F1064">
        <v>204833</v>
      </c>
      <c r="G1064">
        <v>737527921.71428573</v>
      </c>
      <c r="H1064">
        <v>0.96888888733727596</v>
      </c>
      <c r="I1064">
        <v>0.95619047619047615</v>
      </c>
      <c r="J1064">
        <v>32088962.428571429</v>
      </c>
      <c r="K1064">
        <v>204389</v>
      </c>
      <c r="L1064">
        <v>2</v>
      </c>
      <c r="M1064">
        <v>301</v>
      </c>
      <c r="N1064">
        <v>0.95587301587301587</v>
      </c>
      <c r="O1064">
        <v>31970485</v>
      </c>
      <c r="P1064">
        <v>205672</v>
      </c>
      <c r="Q1064">
        <v>2</v>
      </c>
      <c r="R1064">
        <v>302</v>
      </c>
      <c r="S1064">
        <v>11.51754331102633</v>
      </c>
      <c r="T1064">
        <v>0.97469136118888855</v>
      </c>
    </row>
    <row r="1065" spans="1:20" x14ac:dyDescent="0.25">
      <c r="A1065" t="s">
        <v>106</v>
      </c>
      <c r="B1065">
        <v>5</v>
      </c>
      <c r="C1065">
        <v>2</v>
      </c>
      <c r="D1065">
        <v>0</v>
      </c>
      <c r="E1065" t="s">
        <v>227</v>
      </c>
      <c r="F1065">
        <v>209536</v>
      </c>
      <c r="G1065">
        <v>747583657</v>
      </c>
      <c r="H1065">
        <v>0.96866665482521053</v>
      </c>
      <c r="I1065">
        <v>0.95955555555555549</v>
      </c>
      <c r="J1065">
        <v>31733601.399999999</v>
      </c>
      <c r="K1065">
        <v>208250</v>
      </c>
      <c r="L1065">
        <v>2</v>
      </c>
      <c r="M1065">
        <v>304</v>
      </c>
      <c r="N1065">
        <v>0.95711111111111113</v>
      </c>
      <c r="O1065">
        <v>31577141</v>
      </c>
      <c r="P1065">
        <v>209545</v>
      </c>
      <c r="Q1065">
        <v>2</v>
      </c>
      <c r="R1065">
        <v>305</v>
      </c>
      <c r="S1065">
        <v>11.52203262703919</v>
      </c>
      <c r="T1065">
        <v>0.97942386070887244</v>
      </c>
    </row>
    <row r="1066" spans="1:20" x14ac:dyDescent="0.25">
      <c r="A1066" t="s">
        <v>106</v>
      </c>
      <c r="B1066">
        <v>5</v>
      </c>
      <c r="C1066">
        <v>2</v>
      </c>
      <c r="D1066">
        <v>0</v>
      </c>
      <c r="E1066" t="s">
        <v>268</v>
      </c>
      <c r="F1066">
        <v>210625</v>
      </c>
      <c r="G1066">
        <v>902510286.25</v>
      </c>
      <c r="H1066">
        <v>0.96499998867511749</v>
      </c>
      <c r="I1066">
        <v>0.95111111111111113</v>
      </c>
      <c r="J1066">
        <v>32644971.75</v>
      </c>
      <c r="K1066">
        <v>209545</v>
      </c>
      <c r="L1066">
        <v>2</v>
      </c>
      <c r="M1066">
        <v>305</v>
      </c>
      <c r="N1066">
        <v>0.95111111111111113</v>
      </c>
      <c r="O1066">
        <v>30247012.25</v>
      </c>
      <c r="P1066">
        <v>210844</v>
      </c>
      <c r="Q1066">
        <v>2</v>
      </c>
      <c r="R1066">
        <v>306</v>
      </c>
      <c r="S1066">
        <v>11.52433918640255</v>
      </c>
      <c r="T1066">
        <v>0.98148149251937866</v>
      </c>
    </row>
    <row r="1067" spans="1:20" x14ac:dyDescent="0.25">
      <c r="A1067" t="s">
        <v>106</v>
      </c>
      <c r="B1067">
        <v>5</v>
      </c>
      <c r="C1067">
        <v>2</v>
      </c>
      <c r="D1067">
        <v>0</v>
      </c>
      <c r="E1067" t="s">
        <v>286</v>
      </c>
      <c r="F1067">
        <v>215691</v>
      </c>
      <c r="G1067">
        <v>660964703.5</v>
      </c>
      <c r="H1067">
        <v>0.96911112070083616</v>
      </c>
      <c r="I1067">
        <v>0.95466666666666666</v>
      </c>
      <c r="J1067">
        <v>32072497.600000001</v>
      </c>
      <c r="K1067">
        <v>214765</v>
      </c>
      <c r="L1067">
        <v>2</v>
      </c>
      <c r="M1067">
        <v>309</v>
      </c>
      <c r="N1067">
        <v>0.96044444444444443</v>
      </c>
      <c r="O1067">
        <v>33454502.699999999</v>
      </c>
      <c r="P1067">
        <v>216080</v>
      </c>
      <c r="Q1067">
        <v>2</v>
      </c>
      <c r="R1067">
        <v>310</v>
      </c>
      <c r="S1067">
        <v>11.526572160119903</v>
      </c>
      <c r="T1067">
        <v>0.97695473829905188</v>
      </c>
    </row>
    <row r="1068" spans="1:20" x14ac:dyDescent="0.25">
      <c r="A1068" t="s">
        <v>106</v>
      </c>
      <c r="B1068">
        <v>5</v>
      </c>
      <c r="C1068">
        <v>2</v>
      </c>
      <c r="D1068">
        <v>0</v>
      </c>
      <c r="E1068" t="s">
        <v>273</v>
      </c>
      <c r="F1068">
        <v>216417</v>
      </c>
      <c r="G1068">
        <v>657620266.5</v>
      </c>
      <c r="H1068">
        <v>0.95111110806465149</v>
      </c>
      <c r="I1068">
        <v>0.9522222222222223</v>
      </c>
      <c r="J1068">
        <v>31530758</v>
      </c>
      <c r="K1068">
        <v>216080</v>
      </c>
      <c r="L1068">
        <v>2</v>
      </c>
      <c r="M1068">
        <v>310</v>
      </c>
      <c r="N1068">
        <v>0.9505555555555556</v>
      </c>
      <c r="O1068">
        <v>33945604</v>
      </c>
      <c r="P1068">
        <v>217399</v>
      </c>
      <c r="Q1068">
        <v>2</v>
      </c>
      <c r="R1068">
        <v>311</v>
      </c>
      <c r="S1068">
        <v>11.527502029094087</v>
      </c>
      <c r="T1068">
        <v>0.98641975720723474</v>
      </c>
    </row>
    <row r="1069" spans="1:20" x14ac:dyDescent="0.25">
      <c r="A1069" t="s">
        <v>106</v>
      </c>
      <c r="B1069">
        <v>5</v>
      </c>
      <c r="C1069">
        <v>2</v>
      </c>
      <c r="D1069">
        <v>0</v>
      </c>
      <c r="E1069" t="s">
        <v>280</v>
      </c>
      <c r="F1069">
        <v>222209</v>
      </c>
      <c r="G1069">
        <v>791947433.42857146</v>
      </c>
      <c r="H1069">
        <v>0.96634920154299053</v>
      </c>
      <c r="I1069">
        <v>0.95809523809523811</v>
      </c>
      <c r="J1069">
        <v>34104051.285714284</v>
      </c>
      <c r="K1069">
        <v>221380</v>
      </c>
      <c r="L1069">
        <v>2</v>
      </c>
      <c r="M1069">
        <v>314</v>
      </c>
      <c r="N1069">
        <v>0.95746031746031746</v>
      </c>
      <c r="O1069">
        <v>33959101.714285716</v>
      </c>
      <c r="P1069">
        <v>222715</v>
      </c>
      <c r="Q1069">
        <v>2</v>
      </c>
      <c r="R1069">
        <v>315</v>
      </c>
      <c r="S1069">
        <v>11.530766350474289</v>
      </c>
      <c r="T1069">
        <v>0.97407407561937964</v>
      </c>
    </row>
    <row r="1070" spans="1:20" x14ac:dyDescent="0.25">
      <c r="A1070" t="s">
        <v>106</v>
      </c>
      <c r="B1070">
        <v>5</v>
      </c>
      <c r="C1070">
        <v>2</v>
      </c>
      <c r="D1070">
        <v>0</v>
      </c>
      <c r="E1070" t="s">
        <v>287</v>
      </c>
      <c r="F1070">
        <v>228001</v>
      </c>
      <c r="G1070">
        <v>796417233</v>
      </c>
      <c r="H1070">
        <v>0.96634921857288902</v>
      </c>
      <c r="I1070">
        <v>0.95650793650793653</v>
      </c>
      <c r="J1070">
        <v>35318220</v>
      </c>
      <c r="K1070">
        <v>226744</v>
      </c>
      <c r="L1070">
        <v>2</v>
      </c>
      <c r="M1070">
        <v>318</v>
      </c>
      <c r="N1070">
        <v>0.95460317460317456</v>
      </c>
      <c r="O1070">
        <v>34679399.428571425</v>
      </c>
      <c r="P1070">
        <v>228095</v>
      </c>
      <c r="Q1070">
        <v>2</v>
      </c>
      <c r="R1070">
        <v>319</v>
      </c>
      <c r="S1070">
        <v>11.533216892271225</v>
      </c>
      <c r="T1070">
        <v>0.98271605372428894</v>
      </c>
    </row>
    <row r="1071" spans="1:20" x14ac:dyDescent="0.25">
      <c r="A1071" t="s">
        <v>106</v>
      </c>
      <c r="B1071">
        <v>5</v>
      </c>
      <c r="C1071">
        <v>3</v>
      </c>
      <c r="D1071">
        <v>0</v>
      </c>
      <c r="E1071" t="s">
        <v>123</v>
      </c>
      <c r="F1071">
        <v>63994</v>
      </c>
      <c r="G1071">
        <v>449329293.5</v>
      </c>
      <c r="H1071">
        <v>0.96000000834465027</v>
      </c>
      <c r="I1071">
        <v>0.95833333333333326</v>
      </c>
      <c r="J1071">
        <v>30198867.5</v>
      </c>
      <c r="K1071">
        <v>63530</v>
      </c>
      <c r="L1071">
        <v>2</v>
      </c>
      <c r="M1071">
        <v>160</v>
      </c>
      <c r="N1071">
        <v>0.95444444444444443</v>
      </c>
      <c r="O1071">
        <v>30311989</v>
      </c>
      <c r="P1071">
        <v>64249</v>
      </c>
      <c r="Q1071">
        <v>2</v>
      </c>
      <c r="R1071">
        <v>161</v>
      </c>
      <c r="S1071">
        <v>11.532896788275647</v>
      </c>
      <c r="T1071">
        <v>0.98148149251937866</v>
      </c>
    </row>
    <row r="1072" spans="1:20" x14ac:dyDescent="0.25">
      <c r="A1072" t="s">
        <v>106</v>
      </c>
      <c r="B1072">
        <v>5</v>
      </c>
      <c r="C1072">
        <v>3</v>
      </c>
      <c r="D1072">
        <v>0</v>
      </c>
      <c r="E1072" t="s">
        <v>257</v>
      </c>
      <c r="F1072">
        <v>70659</v>
      </c>
      <c r="G1072">
        <v>73152649.25</v>
      </c>
      <c r="H1072">
        <v>0.95222222805023193</v>
      </c>
      <c r="I1072">
        <v>0.95500000000000007</v>
      </c>
      <c r="J1072">
        <v>16984529.25</v>
      </c>
      <c r="K1072">
        <v>70145</v>
      </c>
      <c r="L1072">
        <v>2</v>
      </c>
      <c r="M1072">
        <v>169</v>
      </c>
      <c r="N1072">
        <v>0.95666666666666667</v>
      </c>
      <c r="O1072">
        <v>15164896.5</v>
      </c>
      <c r="P1072">
        <v>70900</v>
      </c>
      <c r="Q1072">
        <v>2</v>
      </c>
      <c r="R1072">
        <v>170</v>
      </c>
      <c r="S1072">
        <v>11.532327451836149</v>
      </c>
      <c r="T1072">
        <v>0.97530863682428992</v>
      </c>
    </row>
    <row r="1073" spans="1:20" x14ac:dyDescent="0.25">
      <c r="A1073" t="s">
        <v>106</v>
      </c>
      <c r="B1073">
        <v>5</v>
      </c>
      <c r="C1073">
        <v>3</v>
      </c>
      <c r="D1073">
        <v>0</v>
      </c>
      <c r="E1073" t="s">
        <v>128</v>
      </c>
      <c r="F1073">
        <v>77324</v>
      </c>
      <c r="G1073">
        <v>94071362.5</v>
      </c>
      <c r="H1073">
        <v>0.94611109793186188</v>
      </c>
      <c r="I1073">
        <v>0.95611111111111113</v>
      </c>
      <c r="J1073">
        <v>16486069.25</v>
      </c>
      <c r="K1073">
        <v>77084</v>
      </c>
      <c r="L1073">
        <v>2</v>
      </c>
      <c r="M1073">
        <v>178</v>
      </c>
      <c r="N1073">
        <v>0.95499999999999996</v>
      </c>
      <c r="O1073">
        <v>18657268.25</v>
      </c>
      <c r="P1073">
        <v>77875</v>
      </c>
      <c r="Q1073">
        <v>2</v>
      </c>
      <c r="R1073">
        <v>179</v>
      </c>
      <c r="S1073">
        <v>11.532007729227701</v>
      </c>
      <c r="T1073">
        <v>0.97901235024134314</v>
      </c>
    </row>
    <row r="1074" spans="1:20" x14ac:dyDescent="0.25">
      <c r="A1074" t="s">
        <v>106</v>
      </c>
      <c r="B1074">
        <v>5</v>
      </c>
      <c r="C1074">
        <v>3</v>
      </c>
      <c r="D1074">
        <v>0</v>
      </c>
      <c r="E1074" t="s">
        <v>258</v>
      </c>
      <c r="F1074">
        <v>83989</v>
      </c>
      <c r="G1074">
        <v>119996769</v>
      </c>
      <c r="H1074">
        <v>0.94833333790302277</v>
      </c>
      <c r="I1074">
        <v>0.95444444444444443</v>
      </c>
      <c r="J1074">
        <v>19210192.75</v>
      </c>
      <c r="K1074">
        <v>83524</v>
      </c>
      <c r="L1074">
        <v>2</v>
      </c>
      <c r="M1074">
        <v>186</v>
      </c>
      <c r="N1074">
        <v>0.9572222222222222</v>
      </c>
      <c r="O1074">
        <v>20123548.5</v>
      </c>
      <c r="P1074">
        <v>84347</v>
      </c>
      <c r="Q1074">
        <v>2</v>
      </c>
      <c r="R1074">
        <v>187</v>
      </c>
      <c r="S1074">
        <v>11.531625849068362</v>
      </c>
      <c r="T1074">
        <v>0.97777777910232544</v>
      </c>
    </row>
    <row r="1075" spans="1:20" x14ac:dyDescent="0.25">
      <c r="A1075" t="s">
        <v>106</v>
      </c>
      <c r="B1075">
        <v>5</v>
      </c>
      <c r="C1075">
        <v>3</v>
      </c>
      <c r="D1075">
        <v>0</v>
      </c>
      <c r="E1075" t="s">
        <v>192</v>
      </c>
      <c r="F1075">
        <v>90654</v>
      </c>
      <c r="G1075">
        <v>92264001.75</v>
      </c>
      <c r="H1075">
        <v>0.94777777791023254</v>
      </c>
      <c r="I1075">
        <v>0.95222222222222219</v>
      </c>
      <c r="J1075">
        <v>21366228.25</v>
      </c>
      <c r="K1075">
        <v>90220</v>
      </c>
      <c r="L1075">
        <v>2</v>
      </c>
      <c r="M1075">
        <v>194</v>
      </c>
      <c r="N1075">
        <v>0.95777777777777773</v>
      </c>
      <c r="O1075">
        <v>20383234.5</v>
      </c>
      <c r="P1075">
        <v>91075</v>
      </c>
      <c r="Q1075">
        <v>2</v>
      </c>
      <c r="R1075">
        <v>195</v>
      </c>
      <c r="S1075">
        <v>11.531057254999688</v>
      </c>
      <c r="T1075">
        <v>0.97901235024134314</v>
      </c>
    </row>
    <row r="1076" spans="1:20" x14ac:dyDescent="0.25">
      <c r="A1076" t="s">
        <v>106</v>
      </c>
      <c r="B1076">
        <v>5</v>
      </c>
      <c r="C1076">
        <v>3</v>
      </c>
      <c r="D1076">
        <v>0</v>
      </c>
      <c r="E1076" t="s">
        <v>292</v>
      </c>
      <c r="F1076">
        <v>97319</v>
      </c>
      <c r="G1076">
        <v>124819908.25</v>
      </c>
      <c r="H1076">
        <v>0.9561111181974411</v>
      </c>
      <c r="I1076">
        <v>0.9572222222222222</v>
      </c>
      <c r="J1076">
        <v>21021611.25</v>
      </c>
      <c r="K1076">
        <v>97172</v>
      </c>
      <c r="L1076">
        <v>2</v>
      </c>
      <c r="M1076">
        <v>202</v>
      </c>
      <c r="N1076">
        <v>0.95333333333333337</v>
      </c>
      <c r="O1076">
        <v>20806378.75</v>
      </c>
      <c r="P1076">
        <v>98059</v>
      </c>
      <c r="Q1076">
        <v>2</v>
      </c>
      <c r="R1076">
        <v>203</v>
      </c>
      <c r="S1076">
        <v>11.530987231392089</v>
      </c>
      <c r="T1076">
        <v>0.9814814726511637</v>
      </c>
    </row>
    <row r="1077" spans="1:20" x14ac:dyDescent="0.25">
      <c r="A1077" t="s">
        <v>106</v>
      </c>
      <c r="B1077">
        <v>5</v>
      </c>
      <c r="C1077">
        <v>3</v>
      </c>
      <c r="D1077">
        <v>0</v>
      </c>
      <c r="E1077" t="s">
        <v>243</v>
      </c>
      <c r="F1077">
        <v>103984</v>
      </c>
      <c r="G1077">
        <v>163973841.5</v>
      </c>
      <c r="H1077">
        <v>0.94666667282581329</v>
      </c>
      <c r="I1077">
        <v>0.95666666666666667</v>
      </c>
      <c r="J1077">
        <v>23689504</v>
      </c>
      <c r="K1077">
        <v>103465</v>
      </c>
      <c r="L1077">
        <v>2</v>
      </c>
      <c r="M1077">
        <v>209</v>
      </c>
      <c r="N1077">
        <v>0.95166666666666666</v>
      </c>
      <c r="O1077">
        <v>22046254.75</v>
      </c>
      <c r="P1077">
        <v>104380</v>
      </c>
      <c r="Q1077">
        <v>2</v>
      </c>
      <c r="R1077">
        <v>210</v>
      </c>
      <c r="S1077">
        <v>11.531228594557568</v>
      </c>
      <c r="T1077">
        <v>0.980246901512146</v>
      </c>
    </row>
    <row r="1078" spans="1:20" x14ac:dyDescent="0.25">
      <c r="A1078" t="s">
        <v>106</v>
      </c>
      <c r="B1078">
        <v>5</v>
      </c>
      <c r="C1078">
        <v>3</v>
      </c>
      <c r="D1078">
        <v>0</v>
      </c>
      <c r="E1078" t="s">
        <v>293</v>
      </c>
      <c r="F1078">
        <v>110649</v>
      </c>
      <c r="G1078">
        <v>134430553</v>
      </c>
      <c r="H1078">
        <v>0.95000000298023224</v>
      </c>
      <c r="I1078">
        <v>0.95499999999999996</v>
      </c>
      <c r="J1078">
        <v>23126690.25</v>
      </c>
      <c r="K1078">
        <v>109954</v>
      </c>
      <c r="L1078">
        <v>2</v>
      </c>
      <c r="M1078">
        <v>216</v>
      </c>
      <c r="N1078">
        <v>0.95166666666666666</v>
      </c>
      <c r="O1078">
        <v>22978476</v>
      </c>
      <c r="P1078">
        <v>110897</v>
      </c>
      <c r="Q1078">
        <v>2</v>
      </c>
      <c r="R1078">
        <v>217</v>
      </c>
      <c r="S1078">
        <v>11.530909543671791</v>
      </c>
      <c r="T1078">
        <v>0.98271604379018151</v>
      </c>
    </row>
    <row r="1079" spans="1:20" x14ac:dyDescent="0.25">
      <c r="A1079" t="s">
        <v>106</v>
      </c>
      <c r="B1079">
        <v>5</v>
      </c>
      <c r="C1079">
        <v>3</v>
      </c>
      <c r="D1079">
        <v>0</v>
      </c>
      <c r="E1079" t="s">
        <v>248</v>
      </c>
      <c r="F1079">
        <v>117314</v>
      </c>
      <c r="G1079">
        <v>166429839.75</v>
      </c>
      <c r="H1079">
        <v>0.95499999821186066</v>
      </c>
      <c r="I1079">
        <v>0.95</v>
      </c>
      <c r="J1079">
        <v>22122972.5</v>
      </c>
      <c r="K1079">
        <v>116639</v>
      </c>
      <c r="L1079">
        <v>2</v>
      </c>
      <c r="M1079">
        <v>223</v>
      </c>
      <c r="N1079">
        <v>0.95555555555555549</v>
      </c>
      <c r="O1079">
        <v>23774149.5</v>
      </c>
      <c r="P1079">
        <v>117610</v>
      </c>
      <c r="Q1079">
        <v>2</v>
      </c>
      <c r="R1079">
        <v>224</v>
      </c>
      <c r="S1079">
        <v>11.530715130391485</v>
      </c>
      <c r="T1079">
        <v>0.98148149251937866</v>
      </c>
    </row>
    <row r="1080" spans="1:20" x14ac:dyDescent="0.25">
      <c r="A1080" t="s">
        <v>106</v>
      </c>
      <c r="B1080">
        <v>5</v>
      </c>
      <c r="C1080">
        <v>3</v>
      </c>
      <c r="D1080">
        <v>0</v>
      </c>
      <c r="E1080" t="s">
        <v>294</v>
      </c>
      <c r="F1080">
        <v>123979</v>
      </c>
      <c r="G1080">
        <v>176799529.5</v>
      </c>
      <c r="H1080">
        <v>0.95666666328907013</v>
      </c>
      <c r="I1080">
        <v>0.94944444444444442</v>
      </c>
      <c r="J1080">
        <v>24282609.5</v>
      </c>
      <c r="K1080">
        <v>123520</v>
      </c>
      <c r="L1080">
        <v>2</v>
      </c>
      <c r="M1080">
        <v>230</v>
      </c>
      <c r="N1080">
        <v>0.95277777777777772</v>
      </c>
      <c r="O1080">
        <v>26079044.25</v>
      </c>
      <c r="P1080">
        <v>124519</v>
      </c>
      <c r="Q1080">
        <v>2</v>
      </c>
      <c r="R1080">
        <v>231</v>
      </c>
      <c r="S1080">
        <v>11.530645261651422</v>
      </c>
      <c r="T1080">
        <v>0.98518520593643188</v>
      </c>
    </row>
    <row r="1081" spans="1:20" x14ac:dyDescent="0.25">
      <c r="A1081" t="s">
        <v>106</v>
      </c>
      <c r="B1081">
        <v>5</v>
      </c>
      <c r="C1081">
        <v>3</v>
      </c>
      <c r="D1081">
        <v>0</v>
      </c>
      <c r="E1081" t="s">
        <v>253</v>
      </c>
      <c r="F1081">
        <v>130644</v>
      </c>
      <c r="G1081">
        <v>179081395.5</v>
      </c>
      <c r="H1081">
        <v>0.95999999344348907</v>
      </c>
      <c r="I1081">
        <v>0.94888888888888889</v>
      </c>
      <c r="J1081">
        <v>24753017</v>
      </c>
      <c r="K1081">
        <v>130597</v>
      </c>
      <c r="L1081">
        <v>2</v>
      </c>
      <c r="M1081">
        <v>237</v>
      </c>
      <c r="N1081">
        <v>0.95500000000000007</v>
      </c>
      <c r="O1081">
        <v>25560084.25</v>
      </c>
      <c r="P1081">
        <v>131624</v>
      </c>
      <c r="Q1081">
        <v>2</v>
      </c>
      <c r="R1081">
        <v>238</v>
      </c>
      <c r="S1081">
        <v>11.530326594090202</v>
      </c>
      <c r="T1081">
        <v>0.98765430847803748</v>
      </c>
    </row>
    <row r="1082" spans="1:20" x14ac:dyDescent="0.25">
      <c r="A1082" t="s">
        <v>106</v>
      </c>
      <c r="B1082">
        <v>5</v>
      </c>
      <c r="C1082">
        <v>3</v>
      </c>
      <c r="D1082">
        <v>0</v>
      </c>
      <c r="E1082" t="s">
        <v>254</v>
      </c>
      <c r="F1082">
        <v>137309</v>
      </c>
      <c r="G1082">
        <v>193262826</v>
      </c>
      <c r="H1082">
        <v>0.95722222328186035</v>
      </c>
      <c r="I1082">
        <v>0.9538888888888889</v>
      </c>
      <c r="J1082">
        <v>26772505.5</v>
      </c>
      <c r="K1082">
        <v>136819</v>
      </c>
      <c r="L1082">
        <v>2</v>
      </c>
      <c r="M1082">
        <v>243</v>
      </c>
      <c r="N1082">
        <v>0.95500000000000007</v>
      </c>
      <c r="O1082">
        <v>26562205</v>
      </c>
      <c r="P1082">
        <v>137870</v>
      </c>
      <c r="Q1082">
        <v>2</v>
      </c>
      <c r="R1082">
        <v>244</v>
      </c>
      <c r="S1082">
        <v>11.529759313390135</v>
      </c>
      <c r="T1082">
        <v>0.98888885974884033</v>
      </c>
    </row>
    <row r="1083" spans="1:20" x14ac:dyDescent="0.25">
      <c r="A1083" t="s">
        <v>106</v>
      </c>
      <c r="B1083">
        <v>5</v>
      </c>
      <c r="C1083">
        <v>3</v>
      </c>
      <c r="D1083">
        <v>0</v>
      </c>
      <c r="E1083" t="s">
        <v>111</v>
      </c>
      <c r="F1083">
        <v>143974</v>
      </c>
      <c r="G1083">
        <v>198882452.5</v>
      </c>
      <c r="H1083">
        <v>0.9583333432674408</v>
      </c>
      <c r="I1083">
        <v>0.96166666666666667</v>
      </c>
      <c r="J1083">
        <v>28493374</v>
      </c>
      <c r="K1083">
        <v>143185</v>
      </c>
      <c r="L1083">
        <v>2</v>
      </c>
      <c r="M1083">
        <v>249</v>
      </c>
      <c r="N1083">
        <v>0.95611111111111113</v>
      </c>
      <c r="O1083">
        <v>26943614.5</v>
      </c>
      <c r="P1083">
        <v>144260</v>
      </c>
      <c r="Q1083">
        <v>2</v>
      </c>
      <c r="R1083">
        <v>250</v>
      </c>
      <c r="S1083">
        <v>11.529254492321085</v>
      </c>
      <c r="T1083">
        <v>0.990123450756073</v>
      </c>
    </row>
    <row r="1084" spans="1:20" x14ac:dyDescent="0.25">
      <c r="A1084" t="s">
        <v>106</v>
      </c>
      <c r="B1084">
        <v>5</v>
      </c>
      <c r="C1084">
        <v>3</v>
      </c>
      <c r="D1084">
        <v>0</v>
      </c>
      <c r="E1084" t="s">
        <v>255</v>
      </c>
      <c r="F1084">
        <v>150639</v>
      </c>
      <c r="G1084">
        <v>192862031</v>
      </c>
      <c r="H1084">
        <v>0.96166667342185974</v>
      </c>
      <c r="I1084">
        <v>0.96333333333333337</v>
      </c>
      <c r="J1084">
        <v>28020582.75</v>
      </c>
      <c r="K1084">
        <v>149695</v>
      </c>
      <c r="L1084">
        <v>2</v>
      </c>
      <c r="M1084">
        <v>255</v>
      </c>
      <c r="N1084">
        <v>0.95500000000000007</v>
      </c>
      <c r="O1084">
        <v>28846726.75</v>
      </c>
      <c r="P1084">
        <v>150794</v>
      </c>
      <c r="Q1084">
        <v>2</v>
      </c>
      <c r="R1084">
        <v>256</v>
      </c>
      <c r="S1084">
        <v>11.528936408279977</v>
      </c>
      <c r="T1084">
        <v>0.990123450756073</v>
      </c>
    </row>
    <row r="1085" spans="1:20" x14ac:dyDescent="0.25">
      <c r="A1085" t="s">
        <v>106</v>
      </c>
      <c r="B1085">
        <v>5</v>
      </c>
      <c r="C1085">
        <v>3</v>
      </c>
      <c r="D1085">
        <v>0</v>
      </c>
      <c r="E1085" t="s">
        <v>116</v>
      </c>
      <c r="F1085">
        <v>157304</v>
      </c>
      <c r="G1085">
        <v>202621229.25</v>
      </c>
      <c r="H1085">
        <v>0.96333332359790802</v>
      </c>
      <c r="I1085">
        <v>0.95944444444444443</v>
      </c>
      <c r="J1085">
        <v>28931788.25</v>
      </c>
      <c r="K1085">
        <v>156349</v>
      </c>
      <c r="L1085">
        <v>2</v>
      </c>
      <c r="M1085">
        <v>261</v>
      </c>
      <c r="N1085">
        <v>0.95444444444444443</v>
      </c>
      <c r="O1085">
        <v>29336733.25</v>
      </c>
      <c r="P1085">
        <v>157472</v>
      </c>
      <c r="Q1085">
        <v>2</v>
      </c>
      <c r="R1085">
        <v>262</v>
      </c>
      <c r="S1085">
        <v>11.528556335839911</v>
      </c>
      <c r="T1085">
        <v>0.98765432834625244</v>
      </c>
    </row>
    <row r="1086" spans="1:20" x14ac:dyDescent="0.25">
      <c r="A1086" t="s">
        <v>106</v>
      </c>
      <c r="B1086">
        <v>5</v>
      </c>
      <c r="C1086">
        <v>3</v>
      </c>
      <c r="D1086">
        <v>0</v>
      </c>
      <c r="E1086" t="s">
        <v>147</v>
      </c>
      <c r="F1086">
        <v>159114</v>
      </c>
      <c r="G1086">
        <v>274945724.5</v>
      </c>
      <c r="H1086">
        <v>0.95388889312744141</v>
      </c>
      <c r="I1086">
        <v>0.96</v>
      </c>
      <c r="J1086">
        <v>29711807</v>
      </c>
      <c r="K1086">
        <v>158599</v>
      </c>
      <c r="L1086">
        <v>2</v>
      </c>
      <c r="M1086">
        <v>263</v>
      </c>
      <c r="N1086">
        <v>0.96277777777777773</v>
      </c>
      <c r="O1086">
        <v>30720022.75</v>
      </c>
      <c r="P1086">
        <v>159730</v>
      </c>
      <c r="Q1086">
        <v>2</v>
      </c>
      <c r="R1086">
        <v>264</v>
      </c>
      <c r="S1086">
        <v>11.528735632183908</v>
      </c>
      <c r="T1086">
        <v>0.98765430847803748</v>
      </c>
    </row>
    <row r="1087" spans="1:20" x14ac:dyDescent="0.25">
      <c r="A1087" t="s">
        <v>106</v>
      </c>
      <c r="B1087">
        <v>5</v>
      </c>
      <c r="C1087">
        <v>3</v>
      </c>
      <c r="D1087">
        <v>0</v>
      </c>
      <c r="E1087" t="s">
        <v>256</v>
      </c>
      <c r="F1087">
        <v>163969</v>
      </c>
      <c r="G1087">
        <v>410336623.25</v>
      </c>
      <c r="H1087">
        <v>0.95388889312744141</v>
      </c>
      <c r="I1087">
        <v>0.9572222222222222</v>
      </c>
      <c r="J1087">
        <v>29721787.5</v>
      </c>
      <c r="K1087">
        <v>163147</v>
      </c>
      <c r="L1087">
        <v>2</v>
      </c>
      <c r="M1087">
        <v>267</v>
      </c>
      <c r="N1087">
        <v>0.95444444444444443</v>
      </c>
      <c r="O1087">
        <v>29582706</v>
      </c>
      <c r="P1087">
        <v>164294</v>
      </c>
      <c r="Q1087">
        <v>2</v>
      </c>
      <c r="R1087">
        <v>268</v>
      </c>
      <c r="S1087">
        <v>11.529598111683956</v>
      </c>
      <c r="T1087">
        <v>0.98765430847803748</v>
      </c>
    </row>
    <row r="1088" spans="1:20" x14ac:dyDescent="0.25">
      <c r="A1088" t="s">
        <v>106</v>
      </c>
      <c r="B1088">
        <v>5</v>
      </c>
      <c r="C1088">
        <v>3</v>
      </c>
      <c r="D1088">
        <v>0</v>
      </c>
      <c r="E1088" t="s">
        <v>262</v>
      </c>
      <c r="F1088">
        <v>165779</v>
      </c>
      <c r="G1088">
        <v>336876565.4285714</v>
      </c>
      <c r="H1088">
        <v>0.96190476417541504</v>
      </c>
      <c r="I1088">
        <v>0.9568253968253968</v>
      </c>
      <c r="J1088">
        <v>28395392</v>
      </c>
      <c r="K1088">
        <v>165445</v>
      </c>
      <c r="L1088">
        <v>2</v>
      </c>
      <c r="M1088">
        <v>269</v>
      </c>
      <c r="N1088">
        <v>0.95936507936507931</v>
      </c>
      <c r="O1088">
        <v>29837383.857142858</v>
      </c>
      <c r="P1088">
        <v>166600</v>
      </c>
      <c r="Q1088">
        <v>2</v>
      </c>
      <c r="R1088">
        <v>270</v>
      </c>
      <c r="S1088">
        <v>11.53017509002856</v>
      </c>
      <c r="T1088">
        <v>0.97469136118888855</v>
      </c>
    </row>
    <row r="1089" spans="1:20" x14ac:dyDescent="0.25">
      <c r="A1089" t="s">
        <v>106</v>
      </c>
      <c r="B1089">
        <v>5</v>
      </c>
      <c r="C1089">
        <v>3</v>
      </c>
      <c r="D1089">
        <v>0</v>
      </c>
      <c r="E1089" t="s">
        <v>201</v>
      </c>
      <c r="F1089">
        <v>168334</v>
      </c>
      <c r="G1089">
        <v>535041811.25</v>
      </c>
      <c r="H1089">
        <v>0.96333333849906921</v>
      </c>
      <c r="I1089">
        <v>0.95944444444444443</v>
      </c>
      <c r="J1089">
        <v>30618066.75</v>
      </c>
      <c r="K1089">
        <v>167759</v>
      </c>
      <c r="L1089">
        <v>2</v>
      </c>
      <c r="M1089">
        <v>271</v>
      </c>
      <c r="N1089">
        <v>0.95833333333333326</v>
      </c>
      <c r="O1089">
        <v>28771801</v>
      </c>
      <c r="P1089">
        <v>168922</v>
      </c>
      <c r="Q1089">
        <v>2</v>
      </c>
      <c r="R1089">
        <v>272</v>
      </c>
      <c r="S1089">
        <v>11.531905648665425</v>
      </c>
      <c r="T1089">
        <v>0.97283949454625451</v>
      </c>
    </row>
    <row r="1090" spans="1:20" x14ac:dyDescent="0.25">
      <c r="A1090" t="s">
        <v>106</v>
      </c>
      <c r="B1090">
        <v>5</v>
      </c>
      <c r="C1090">
        <v>3</v>
      </c>
      <c r="D1090">
        <v>0</v>
      </c>
      <c r="E1090" t="s">
        <v>121</v>
      </c>
      <c r="F1090">
        <v>170634</v>
      </c>
      <c r="G1090">
        <v>405916118.75</v>
      </c>
      <c r="H1090">
        <v>0.96888889372348785</v>
      </c>
      <c r="I1090">
        <v>0.96611111111111114</v>
      </c>
      <c r="J1090">
        <v>31980722</v>
      </c>
      <c r="K1090">
        <v>170089</v>
      </c>
      <c r="L1090">
        <v>2</v>
      </c>
      <c r="M1090">
        <v>273</v>
      </c>
      <c r="N1090">
        <v>0.96611111111111114</v>
      </c>
      <c r="O1090">
        <v>27990070.5</v>
      </c>
      <c r="P1090">
        <v>171260</v>
      </c>
      <c r="Q1090">
        <v>2</v>
      </c>
      <c r="R1090">
        <v>274</v>
      </c>
      <c r="S1090">
        <v>11.532828596251706</v>
      </c>
      <c r="T1090">
        <v>0.9716049234072367</v>
      </c>
    </row>
    <row r="1091" spans="1:20" x14ac:dyDescent="0.25">
      <c r="A1091" t="s">
        <v>106</v>
      </c>
      <c r="B1091">
        <v>5</v>
      </c>
      <c r="C1091">
        <v>3</v>
      </c>
      <c r="D1091">
        <v>0</v>
      </c>
      <c r="E1091" t="s">
        <v>152</v>
      </c>
      <c r="F1091">
        <v>172444</v>
      </c>
      <c r="G1091">
        <v>440022419.4285714</v>
      </c>
      <c r="H1091">
        <v>0.95777777263096397</v>
      </c>
      <c r="I1091">
        <v>0.95936507936507942</v>
      </c>
      <c r="J1091">
        <v>28058995.714285713</v>
      </c>
      <c r="K1091">
        <v>172435</v>
      </c>
      <c r="L1091">
        <v>2</v>
      </c>
      <c r="M1091">
        <v>275</v>
      </c>
      <c r="N1091">
        <v>0.95746031746031746</v>
      </c>
      <c r="O1091">
        <v>29433143.428571429</v>
      </c>
      <c r="P1091">
        <v>173614</v>
      </c>
      <c r="Q1091">
        <v>2</v>
      </c>
      <c r="R1091">
        <v>276</v>
      </c>
      <c r="S1091">
        <v>11.534706283729298</v>
      </c>
      <c r="T1091">
        <v>0.97283949454625451</v>
      </c>
    </row>
    <row r="1092" spans="1:20" x14ac:dyDescent="0.25">
      <c r="A1092" t="s">
        <v>106</v>
      </c>
      <c r="B1092">
        <v>5</v>
      </c>
      <c r="C1092">
        <v>3</v>
      </c>
      <c r="D1092">
        <v>0</v>
      </c>
      <c r="E1092" t="s">
        <v>274</v>
      </c>
      <c r="F1092">
        <v>175359</v>
      </c>
      <c r="G1092">
        <v>476853995.28571427</v>
      </c>
      <c r="H1092">
        <v>0.96000000408717567</v>
      </c>
      <c r="I1092">
        <v>0.96158730158730155</v>
      </c>
      <c r="J1092">
        <v>29252811.428571429</v>
      </c>
      <c r="K1092">
        <v>174797</v>
      </c>
      <c r="L1092">
        <v>2</v>
      </c>
      <c r="M1092">
        <v>277</v>
      </c>
      <c r="N1092">
        <v>0.9622222222222222</v>
      </c>
      <c r="O1092">
        <v>29992933.714285713</v>
      </c>
      <c r="P1092">
        <v>175984</v>
      </c>
      <c r="Q1092">
        <v>2</v>
      </c>
      <c r="R1092">
        <v>278</v>
      </c>
      <c r="S1092">
        <v>11.536396329365079</v>
      </c>
      <c r="T1092">
        <v>0.97098765770594275</v>
      </c>
    </row>
    <row r="1093" spans="1:20" x14ac:dyDescent="0.25">
      <c r="A1093" t="s">
        <v>106</v>
      </c>
      <c r="B1093">
        <v>5</v>
      </c>
      <c r="C1093">
        <v>3</v>
      </c>
      <c r="D1093">
        <v>0</v>
      </c>
      <c r="E1093" t="s">
        <v>185</v>
      </c>
      <c r="F1093">
        <v>177414</v>
      </c>
      <c r="G1093">
        <v>556578285.25</v>
      </c>
      <c r="H1093">
        <v>0.96555556356906891</v>
      </c>
      <c r="I1093">
        <v>0.96666666666666667</v>
      </c>
      <c r="J1093">
        <v>31248216.25</v>
      </c>
      <c r="K1093">
        <v>177175</v>
      </c>
      <c r="L1093">
        <v>2</v>
      </c>
      <c r="M1093">
        <v>279</v>
      </c>
      <c r="N1093">
        <v>0.96277777777777773</v>
      </c>
      <c r="O1093">
        <v>31694742.75</v>
      </c>
      <c r="P1093">
        <v>178370</v>
      </c>
      <c r="Q1093">
        <v>2</v>
      </c>
      <c r="R1093">
        <v>280</v>
      </c>
      <c r="S1093">
        <v>11.538370939747086</v>
      </c>
      <c r="T1093">
        <v>0.96543210744857788</v>
      </c>
    </row>
    <row r="1094" spans="1:20" x14ac:dyDescent="0.25">
      <c r="A1094" t="s">
        <v>106</v>
      </c>
      <c r="B1094">
        <v>5</v>
      </c>
      <c r="C1094">
        <v>3</v>
      </c>
      <c r="D1094">
        <v>0</v>
      </c>
      <c r="E1094" t="s">
        <v>263</v>
      </c>
      <c r="F1094">
        <v>179109</v>
      </c>
      <c r="G1094">
        <v>486970463.4285714</v>
      </c>
      <c r="H1094">
        <v>0.96158729280744282</v>
      </c>
      <c r="I1094">
        <v>0.9663492063492064</v>
      </c>
      <c r="J1094">
        <v>31668170.714285713</v>
      </c>
      <c r="K1094">
        <v>178370</v>
      </c>
      <c r="L1094">
        <v>2</v>
      </c>
      <c r="M1094">
        <v>280</v>
      </c>
      <c r="N1094">
        <v>0.96380952380952378</v>
      </c>
      <c r="O1094">
        <v>31361509</v>
      </c>
      <c r="P1094">
        <v>179569</v>
      </c>
      <c r="Q1094">
        <v>2</v>
      </c>
      <c r="R1094">
        <v>281</v>
      </c>
      <c r="S1094">
        <v>11.540244129128199</v>
      </c>
      <c r="T1094">
        <v>0.96049383282661438</v>
      </c>
    </row>
    <row r="1095" spans="1:20" x14ac:dyDescent="0.25">
      <c r="A1095" t="s">
        <v>106</v>
      </c>
      <c r="B1095">
        <v>5</v>
      </c>
      <c r="C1095">
        <v>3</v>
      </c>
      <c r="D1095">
        <v>0</v>
      </c>
      <c r="E1095" t="s">
        <v>281</v>
      </c>
      <c r="F1095">
        <v>180149</v>
      </c>
      <c r="G1095">
        <v>469295276.75</v>
      </c>
      <c r="H1095">
        <v>0.96388888359069824</v>
      </c>
      <c r="I1095">
        <v>0.95500000000000007</v>
      </c>
      <c r="J1095">
        <v>30838052.5</v>
      </c>
      <c r="K1095">
        <v>179569</v>
      </c>
      <c r="L1095">
        <v>2</v>
      </c>
      <c r="M1095">
        <v>281</v>
      </c>
      <c r="N1095">
        <v>0.94944444444444442</v>
      </c>
      <c r="O1095">
        <v>31018699</v>
      </c>
      <c r="P1095">
        <v>180772</v>
      </c>
      <c r="Q1095">
        <v>2</v>
      </c>
      <c r="R1095">
        <v>282</v>
      </c>
      <c r="S1095">
        <v>11.54103945982779</v>
      </c>
      <c r="T1095">
        <v>0.97901235024134314</v>
      </c>
    </row>
    <row r="1096" spans="1:20" x14ac:dyDescent="0.25">
      <c r="A1096" t="s">
        <v>106</v>
      </c>
      <c r="B1096">
        <v>5</v>
      </c>
      <c r="C1096">
        <v>3</v>
      </c>
      <c r="D1096">
        <v>0</v>
      </c>
      <c r="E1096" t="s">
        <v>205</v>
      </c>
      <c r="F1096">
        <v>182384</v>
      </c>
      <c r="G1096">
        <v>479435688.5</v>
      </c>
      <c r="H1096">
        <v>0.98277777433395386</v>
      </c>
      <c r="I1096">
        <v>0.96888888888888891</v>
      </c>
      <c r="J1096">
        <v>31089660.75</v>
      </c>
      <c r="K1096">
        <v>181979</v>
      </c>
      <c r="L1096">
        <v>2</v>
      </c>
      <c r="M1096">
        <v>283</v>
      </c>
      <c r="N1096">
        <v>0.96111111111111103</v>
      </c>
      <c r="O1096">
        <v>31202198.5</v>
      </c>
      <c r="P1096">
        <v>183190</v>
      </c>
      <c r="Q1096">
        <v>2</v>
      </c>
      <c r="R1096">
        <v>284</v>
      </c>
      <c r="S1096">
        <v>11.542205982535455</v>
      </c>
      <c r="T1096">
        <v>0.97037037213643396</v>
      </c>
    </row>
    <row r="1097" spans="1:20" x14ac:dyDescent="0.25">
      <c r="A1097" t="s">
        <v>106</v>
      </c>
      <c r="B1097">
        <v>5</v>
      </c>
      <c r="C1097">
        <v>3</v>
      </c>
      <c r="D1097">
        <v>0</v>
      </c>
      <c r="E1097" t="s">
        <v>269</v>
      </c>
      <c r="F1097">
        <v>184259</v>
      </c>
      <c r="G1097">
        <v>443111338</v>
      </c>
      <c r="H1097">
        <v>0.9677777886390686</v>
      </c>
      <c r="I1097">
        <v>0.96499999999999997</v>
      </c>
      <c r="J1097">
        <v>31065462.75</v>
      </c>
      <c r="K1097">
        <v>183190</v>
      </c>
      <c r="L1097">
        <v>2</v>
      </c>
      <c r="M1097">
        <v>284</v>
      </c>
      <c r="N1097">
        <v>0.96388888888888891</v>
      </c>
      <c r="O1097">
        <v>31548285.25</v>
      </c>
      <c r="P1097">
        <v>184405</v>
      </c>
      <c r="Q1097">
        <v>2</v>
      </c>
      <c r="R1097">
        <v>285</v>
      </c>
      <c r="S1097">
        <v>11.542876602067983</v>
      </c>
      <c r="T1097">
        <v>0.96172841389973962</v>
      </c>
    </row>
    <row r="1098" spans="1:20" x14ac:dyDescent="0.25">
      <c r="A1098" t="s">
        <v>106</v>
      </c>
      <c r="B1098">
        <v>5</v>
      </c>
      <c r="C1098">
        <v>3</v>
      </c>
      <c r="D1098">
        <v>0</v>
      </c>
      <c r="E1098" t="s">
        <v>288</v>
      </c>
      <c r="F1098">
        <v>184939</v>
      </c>
      <c r="G1098">
        <v>506019220.5</v>
      </c>
      <c r="H1098">
        <v>0.96777777373790741</v>
      </c>
      <c r="I1098">
        <v>0.96833333333333338</v>
      </c>
      <c r="J1098">
        <v>31943887</v>
      </c>
      <c r="K1098">
        <v>184405</v>
      </c>
      <c r="L1098">
        <v>2</v>
      </c>
      <c r="M1098">
        <v>285</v>
      </c>
      <c r="N1098">
        <v>0.96333333333333337</v>
      </c>
      <c r="O1098">
        <v>31792842.5</v>
      </c>
      <c r="P1098">
        <v>185624</v>
      </c>
      <c r="Q1098">
        <v>2</v>
      </c>
      <c r="R1098">
        <v>286</v>
      </c>
      <c r="S1098">
        <v>11.544103992571959</v>
      </c>
      <c r="T1098">
        <v>0.96296296517054236</v>
      </c>
    </row>
    <row r="1099" spans="1:20" x14ac:dyDescent="0.25">
      <c r="A1099" t="s">
        <v>106</v>
      </c>
      <c r="B1099">
        <v>5</v>
      </c>
      <c r="C1099">
        <v>3</v>
      </c>
      <c r="D1099">
        <v>0</v>
      </c>
      <c r="E1099" t="s">
        <v>157</v>
      </c>
      <c r="F1099">
        <v>185774</v>
      </c>
      <c r="G1099">
        <v>409181585.25</v>
      </c>
      <c r="H1099">
        <v>0.9677777886390686</v>
      </c>
      <c r="I1099">
        <v>0.96111111111111114</v>
      </c>
      <c r="J1099">
        <v>31711572.25</v>
      </c>
      <c r="K1099">
        <v>185624</v>
      </c>
      <c r="L1099">
        <v>2</v>
      </c>
      <c r="M1099">
        <v>286</v>
      </c>
      <c r="N1099">
        <v>0.95500000000000007</v>
      </c>
      <c r="O1099">
        <v>31702233.75</v>
      </c>
      <c r="P1099">
        <v>186847</v>
      </c>
      <c r="Q1099">
        <v>2</v>
      </c>
      <c r="R1099">
        <v>287</v>
      </c>
      <c r="S1099">
        <v>11.544464385172351</v>
      </c>
      <c r="T1099">
        <v>0.96419753630956018</v>
      </c>
    </row>
    <row r="1100" spans="1:20" x14ac:dyDescent="0.25">
      <c r="A1100" t="s">
        <v>106</v>
      </c>
      <c r="B1100">
        <v>5</v>
      </c>
      <c r="C1100">
        <v>3</v>
      </c>
      <c r="D1100">
        <v>0</v>
      </c>
      <c r="E1100" t="s">
        <v>222</v>
      </c>
      <c r="F1100">
        <v>187354</v>
      </c>
      <c r="G1100">
        <v>541553242</v>
      </c>
      <c r="H1100">
        <v>0.9583333432674408</v>
      </c>
      <c r="I1100">
        <v>0.95444444444444443</v>
      </c>
      <c r="J1100">
        <v>32077346.25</v>
      </c>
      <c r="K1100">
        <v>186847</v>
      </c>
      <c r="L1100">
        <v>2</v>
      </c>
      <c r="M1100">
        <v>287</v>
      </c>
      <c r="N1100">
        <v>0.95333333333333337</v>
      </c>
      <c r="O1100">
        <v>32643963</v>
      </c>
      <c r="P1100">
        <v>188074</v>
      </c>
      <c r="Q1100">
        <v>2</v>
      </c>
      <c r="R1100">
        <v>288</v>
      </c>
      <c r="S1100">
        <v>11.545381426715338</v>
      </c>
      <c r="T1100">
        <v>0.97654322783152259</v>
      </c>
    </row>
    <row r="1101" spans="1:20" x14ac:dyDescent="0.25">
      <c r="A1101" t="s">
        <v>106</v>
      </c>
      <c r="B1101">
        <v>5</v>
      </c>
      <c r="C1101">
        <v>3</v>
      </c>
      <c r="D1101">
        <v>0</v>
      </c>
      <c r="E1101" t="s">
        <v>275</v>
      </c>
      <c r="F1101">
        <v>189409</v>
      </c>
      <c r="G1101">
        <v>428974298</v>
      </c>
      <c r="H1101">
        <v>0.96944443881511688</v>
      </c>
      <c r="I1101">
        <v>0.97277777777777774</v>
      </c>
      <c r="J1101">
        <v>31487687.5</v>
      </c>
      <c r="K1101">
        <v>189305</v>
      </c>
      <c r="L1101">
        <v>2</v>
      </c>
      <c r="M1101">
        <v>289</v>
      </c>
      <c r="N1101">
        <v>0.96833333333333338</v>
      </c>
      <c r="O1101">
        <v>33000419.75</v>
      </c>
      <c r="P1101">
        <v>190540</v>
      </c>
      <c r="Q1101">
        <v>2</v>
      </c>
      <c r="R1101">
        <v>290</v>
      </c>
      <c r="S1101">
        <v>11.54580317931589</v>
      </c>
      <c r="T1101">
        <v>0.9580247004826864</v>
      </c>
    </row>
    <row r="1102" spans="1:20" x14ac:dyDescent="0.25">
      <c r="A1102" t="s">
        <v>106</v>
      </c>
      <c r="B1102">
        <v>5</v>
      </c>
      <c r="C1102">
        <v>3</v>
      </c>
      <c r="D1102">
        <v>0</v>
      </c>
      <c r="E1102" t="s">
        <v>186</v>
      </c>
      <c r="F1102">
        <v>191104</v>
      </c>
      <c r="G1102">
        <v>393340549.39999998</v>
      </c>
      <c r="H1102">
        <v>0.96799998283386235</v>
      </c>
      <c r="I1102">
        <v>0.96977777777777774</v>
      </c>
      <c r="J1102">
        <v>31546553.199999999</v>
      </c>
      <c r="K1102">
        <v>190540</v>
      </c>
      <c r="L1102">
        <v>2</v>
      </c>
      <c r="M1102">
        <v>290</v>
      </c>
      <c r="N1102">
        <v>0.96933333333333338</v>
      </c>
      <c r="O1102">
        <v>31289534</v>
      </c>
      <c r="P1102">
        <v>191779</v>
      </c>
      <c r="Q1102">
        <v>2</v>
      </c>
      <c r="R1102">
        <v>291</v>
      </c>
      <c r="S1102">
        <v>11.546252782587187</v>
      </c>
      <c r="T1102">
        <v>0.96388889849185944</v>
      </c>
    </row>
    <row r="1103" spans="1:20" x14ac:dyDescent="0.25">
      <c r="A1103" t="s">
        <v>106</v>
      </c>
      <c r="B1103">
        <v>5</v>
      </c>
      <c r="C1103">
        <v>3</v>
      </c>
      <c r="D1103">
        <v>0</v>
      </c>
      <c r="E1103" t="s">
        <v>264</v>
      </c>
      <c r="F1103">
        <v>192439</v>
      </c>
      <c r="G1103">
        <v>545884199.25</v>
      </c>
      <c r="H1103">
        <v>0.95611110329627991</v>
      </c>
      <c r="I1103">
        <v>0.96388888888888891</v>
      </c>
      <c r="J1103">
        <v>32675053.25</v>
      </c>
      <c r="K1103">
        <v>191779</v>
      </c>
      <c r="L1103">
        <v>2</v>
      </c>
      <c r="M1103">
        <v>291</v>
      </c>
      <c r="N1103">
        <v>0.96499999999999997</v>
      </c>
      <c r="O1103">
        <v>31104445.75</v>
      </c>
      <c r="P1103">
        <v>193022</v>
      </c>
      <c r="Q1103">
        <v>2</v>
      </c>
      <c r="R1103">
        <v>292</v>
      </c>
      <c r="S1103">
        <v>11.547601384767557</v>
      </c>
      <c r="T1103">
        <v>0.96049382289250695</v>
      </c>
    </row>
    <row r="1104" spans="1:20" x14ac:dyDescent="0.25">
      <c r="A1104" t="s">
        <v>106</v>
      </c>
      <c r="B1104">
        <v>5</v>
      </c>
      <c r="C1104">
        <v>3</v>
      </c>
      <c r="D1104">
        <v>0</v>
      </c>
      <c r="E1104" t="s">
        <v>282</v>
      </c>
      <c r="F1104">
        <v>194559</v>
      </c>
      <c r="G1104">
        <v>454656120.5714286</v>
      </c>
      <c r="H1104">
        <v>0.96158730132239201</v>
      </c>
      <c r="I1104">
        <v>0.96285714285714286</v>
      </c>
      <c r="J1104">
        <v>32006598.857142858</v>
      </c>
      <c r="K1104">
        <v>194269</v>
      </c>
      <c r="L1104">
        <v>2</v>
      </c>
      <c r="M1104">
        <v>293</v>
      </c>
      <c r="N1104">
        <v>0.96031746031746035</v>
      </c>
      <c r="O1104">
        <v>31711485.142857142</v>
      </c>
      <c r="P1104">
        <v>195520</v>
      </c>
      <c r="Q1104">
        <v>2</v>
      </c>
      <c r="R1104">
        <v>294</v>
      </c>
      <c r="S1104">
        <v>11.548785762837545</v>
      </c>
      <c r="T1104">
        <v>0.96604939301808679</v>
      </c>
    </row>
    <row r="1105" spans="1:20" x14ac:dyDescent="0.25">
      <c r="A1105" t="s">
        <v>106</v>
      </c>
      <c r="B1105">
        <v>5</v>
      </c>
      <c r="C1105">
        <v>3</v>
      </c>
      <c r="D1105">
        <v>0</v>
      </c>
      <c r="E1105" t="s">
        <v>208</v>
      </c>
      <c r="F1105">
        <v>196434</v>
      </c>
      <c r="G1105">
        <v>475177022.75</v>
      </c>
      <c r="H1105">
        <v>0.97944445908069611</v>
      </c>
      <c r="I1105">
        <v>0.96777777777777774</v>
      </c>
      <c r="J1105">
        <v>32346003.5</v>
      </c>
      <c r="K1105">
        <v>195520</v>
      </c>
      <c r="L1105">
        <v>2</v>
      </c>
      <c r="M1105">
        <v>294</v>
      </c>
      <c r="N1105">
        <v>0.96333333333333337</v>
      </c>
      <c r="O1105">
        <v>31546838.25</v>
      </c>
      <c r="P1105">
        <v>196775</v>
      </c>
      <c r="Q1105">
        <v>2</v>
      </c>
      <c r="R1105">
        <v>295</v>
      </c>
      <c r="S1105">
        <v>11.549515042935688</v>
      </c>
      <c r="T1105">
        <v>0.96296294530232751</v>
      </c>
    </row>
    <row r="1106" spans="1:20" x14ac:dyDescent="0.25">
      <c r="A1106" t="s">
        <v>106</v>
      </c>
      <c r="B1106">
        <v>5</v>
      </c>
      <c r="C1106">
        <v>3</v>
      </c>
      <c r="D1106">
        <v>0</v>
      </c>
      <c r="E1106" t="s">
        <v>270</v>
      </c>
      <c r="F1106">
        <v>197949</v>
      </c>
      <c r="G1106">
        <v>639460234.25</v>
      </c>
      <c r="H1106">
        <v>0.9699999988079071</v>
      </c>
      <c r="I1106">
        <v>0.96833333333333327</v>
      </c>
      <c r="J1106">
        <v>32028577.25</v>
      </c>
      <c r="K1106">
        <v>196775</v>
      </c>
      <c r="L1106">
        <v>2</v>
      </c>
      <c r="M1106">
        <v>295</v>
      </c>
      <c r="N1106">
        <v>0.96388888888888891</v>
      </c>
      <c r="O1106">
        <v>31188034.25</v>
      </c>
      <c r="P1106">
        <v>198034</v>
      </c>
      <c r="Q1106">
        <v>2</v>
      </c>
      <c r="R1106">
        <v>296</v>
      </c>
      <c r="S1106">
        <v>11.551540979556544</v>
      </c>
      <c r="T1106">
        <v>0.96172841389973962</v>
      </c>
    </row>
    <row r="1107" spans="1:20" x14ac:dyDescent="0.25">
      <c r="A1107" t="s">
        <v>106</v>
      </c>
      <c r="B1107">
        <v>5</v>
      </c>
      <c r="C1107">
        <v>3</v>
      </c>
      <c r="D1107">
        <v>0</v>
      </c>
      <c r="E1107" t="s">
        <v>162</v>
      </c>
      <c r="F1107">
        <v>199104</v>
      </c>
      <c r="G1107">
        <v>531165844.5</v>
      </c>
      <c r="H1107">
        <v>0.96666666865348816</v>
      </c>
      <c r="I1107">
        <v>0.96333333333333337</v>
      </c>
      <c r="J1107">
        <v>33901766</v>
      </c>
      <c r="K1107">
        <v>198034</v>
      </c>
      <c r="L1107">
        <v>2</v>
      </c>
      <c r="M1107">
        <v>296</v>
      </c>
      <c r="N1107">
        <v>0.96388888888888891</v>
      </c>
      <c r="O1107">
        <v>33119642.25</v>
      </c>
      <c r="P1107">
        <v>199297</v>
      </c>
      <c r="Q1107">
        <v>2</v>
      </c>
      <c r="R1107">
        <v>297</v>
      </c>
      <c r="S1107">
        <v>11.552516208706392</v>
      </c>
      <c r="T1107">
        <v>0.96913580099741614</v>
      </c>
    </row>
    <row r="1108" spans="1:20" x14ac:dyDescent="0.25">
      <c r="A1108" t="s">
        <v>106</v>
      </c>
      <c r="B1108">
        <v>5</v>
      </c>
      <c r="C1108">
        <v>3</v>
      </c>
      <c r="D1108">
        <v>0</v>
      </c>
      <c r="E1108" t="s">
        <v>289</v>
      </c>
      <c r="F1108">
        <v>199709</v>
      </c>
      <c r="G1108">
        <v>458596710.25</v>
      </c>
      <c r="H1108">
        <v>0.95944444835186005</v>
      </c>
      <c r="I1108">
        <v>0.9572222222222222</v>
      </c>
      <c r="J1108">
        <v>32703744</v>
      </c>
      <c r="K1108">
        <v>199297</v>
      </c>
      <c r="L1108">
        <v>2</v>
      </c>
      <c r="M1108">
        <v>297</v>
      </c>
      <c r="N1108">
        <v>0.95833333333333337</v>
      </c>
      <c r="O1108">
        <v>32140774.25</v>
      </c>
      <c r="P1108">
        <v>200564</v>
      </c>
      <c r="Q1108">
        <v>2</v>
      </c>
      <c r="R1108">
        <v>298</v>
      </c>
      <c r="S1108">
        <v>11.553120562997716</v>
      </c>
      <c r="T1108">
        <v>0.9716049234072367</v>
      </c>
    </row>
    <row r="1109" spans="1:20" x14ac:dyDescent="0.25">
      <c r="A1109" t="s">
        <v>106</v>
      </c>
      <c r="B1109">
        <v>5</v>
      </c>
      <c r="C1109">
        <v>3</v>
      </c>
      <c r="D1109">
        <v>0</v>
      </c>
      <c r="E1109" t="s">
        <v>223</v>
      </c>
      <c r="F1109">
        <v>201764</v>
      </c>
      <c r="G1109">
        <v>397067619.5</v>
      </c>
      <c r="H1109">
        <v>0.97111110389232635</v>
      </c>
      <c r="I1109">
        <v>0.97222222222222221</v>
      </c>
      <c r="J1109">
        <v>32003188.5</v>
      </c>
      <c r="K1109">
        <v>200564</v>
      </c>
      <c r="L1109">
        <v>2</v>
      </c>
      <c r="M1109">
        <v>298</v>
      </c>
      <c r="N1109">
        <v>0.96833333333333327</v>
      </c>
      <c r="O1109">
        <v>31865467</v>
      </c>
      <c r="P1109">
        <v>201835</v>
      </c>
      <c r="Q1109">
        <v>2</v>
      </c>
      <c r="R1109">
        <v>299</v>
      </c>
      <c r="S1109">
        <v>11.553416034067766</v>
      </c>
      <c r="T1109">
        <v>0.95679012934366858</v>
      </c>
    </row>
    <row r="1110" spans="1:20" x14ac:dyDescent="0.25">
      <c r="A1110" t="s">
        <v>106</v>
      </c>
      <c r="B1110">
        <v>5</v>
      </c>
      <c r="C1110">
        <v>3</v>
      </c>
      <c r="D1110">
        <v>0</v>
      </c>
      <c r="E1110" t="s">
        <v>276</v>
      </c>
      <c r="F1110">
        <v>203459</v>
      </c>
      <c r="G1110">
        <v>440230921</v>
      </c>
      <c r="H1110">
        <v>0.97277776896953583</v>
      </c>
      <c r="I1110">
        <v>0.96888888888888891</v>
      </c>
      <c r="J1110">
        <v>32608487.75</v>
      </c>
      <c r="K1110">
        <v>203110</v>
      </c>
      <c r="L1110">
        <v>2</v>
      </c>
      <c r="M1110">
        <v>300</v>
      </c>
      <c r="N1110">
        <v>0.97388888888888892</v>
      </c>
      <c r="O1110">
        <v>31450821</v>
      </c>
      <c r="P1110">
        <v>204389</v>
      </c>
      <c r="Q1110">
        <v>2</v>
      </c>
      <c r="R1110">
        <v>301</v>
      </c>
      <c r="S1110">
        <v>11.554143271425927</v>
      </c>
      <c r="T1110">
        <v>0.94567900896072388</v>
      </c>
    </row>
    <row r="1111" spans="1:20" x14ac:dyDescent="0.25">
      <c r="A1111" t="s">
        <v>106</v>
      </c>
      <c r="B1111">
        <v>5</v>
      </c>
      <c r="C1111">
        <v>3</v>
      </c>
      <c r="D1111">
        <v>0</v>
      </c>
      <c r="E1111" t="s">
        <v>189</v>
      </c>
      <c r="F1111">
        <v>204794</v>
      </c>
      <c r="G1111">
        <v>487801450.75</v>
      </c>
      <c r="H1111">
        <v>0.98166666924953461</v>
      </c>
      <c r="I1111">
        <v>0.97055555555555562</v>
      </c>
      <c r="J1111">
        <v>31341526</v>
      </c>
      <c r="K1111">
        <v>204389</v>
      </c>
      <c r="L1111">
        <v>2</v>
      </c>
      <c r="M1111">
        <v>301</v>
      </c>
      <c r="N1111">
        <v>0.96666666666666667</v>
      </c>
      <c r="O1111">
        <v>31886145.25</v>
      </c>
      <c r="P1111">
        <v>205672</v>
      </c>
      <c r="Q1111">
        <v>2</v>
      </c>
      <c r="R1111">
        <v>302</v>
      </c>
      <c r="S1111">
        <v>11.554993522916538</v>
      </c>
      <c r="T1111">
        <v>0.96666665871938073</v>
      </c>
    </row>
    <row r="1112" spans="1:20" x14ac:dyDescent="0.25">
      <c r="A1112" t="s">
        <v>106</v>
      </c>
      <c r="B1112">
        <v>5</v>
      </c>
      <c r="C1112">
        <v>3</v>
      </c>
      <c r="D1112">
        <v>0</v>
      </c>
      <c r="E1112" t="s">
        <v>265</v>
      </c>
      <c r="F1112">
        <v>205769</v>
      </c>
      <c r="G1112">
        <v>522998612</v>
      </c>
      <c r="H1112">
        <v>0.97944444417953491</v>
      </c>
      <c r="I1112">
        <v>0.96277777777777773</v>
      </c>
      <c r="J1112">
        <v>33929637</v>
      </c>
      <c r="K1112">
        <v>205672</v>
      </c>
      <c r="L1112">
        <v>2</v>
      </c>
      <c r="M1112">
        <v>302</v>
      </c>
      <c r="N1112">
        <v>0.95944444444444443</v>
      </c>
      <c r="O1112">
        <v>33203092.25</v>
      </c>
      <c r="P1112">
        <v>206959</v>
      </c>
      <c r="Q1112">
        <v>2</v>
      </c>
      <c r="R1112">
        <v>303</v>
      </c>
      <c r="S1112">
        <v>11.555720012334259</v>
      </c>
      <c r="T1112">
        <v>0.96543210744857788</v>
      </c>
    </row>
    <row r="1113" spans="1:20" x14ac:dyDescent="0.25">
      <c r="A1113" t="s">
        <v>106</v>
      </c>
      <c r="B1113">
        <v>5</v>
      </c>
      <c r="C1113">
        <v>3</v>
      </c>
      <c r="D1113">
        <v>0</v>
      </c>
      <c r="E1113" t="s">
        <v>239</v>
      </c>
      <c r="F1113">
        <v>207094</v>
      </c>
      <c r="G1113">
        <v>532936929.25</v>
      </c>
      <c r="H1113">
        <v>0.96444444358348846</v>
      </c>
      <c r="I1113">
        <v>0.95611111111111113</v>
      </c>
      <c r="J1113">
        <v>33333638</v>
      </c>
      <c r="K1113">
        <v>206959</v>
      </c>
      <c r="L1113">
        <v>2</v>
      </c>
      <c r="M1113">
        <v>303</v>
      </c>
      <c r="N1113">
        <v>0.95944444444444443</v>
      </c>
      <c r="O1113">
        <v>32386836.75</v>
      </c>
      <c r="P1113">
        <v>208250</v>
      </c>
      <c r="Q1113">
        <v>2</v>
      </c>
      <c r="R1113">
        <v>304</v>
      </c>
      <c r="S1113">
        <v>11.556446143412048</v>
      </c>
      <c r="T1113">
        <v>0.97530865669250488</v>
      </c>
    </row>
    <row r="1114" spans="1:20" x14ac:dyDescent="0.25">
      <c r="A1114" t="s">
        <v>106</v>
      </c>
      <c r="B1114">
        <v>5</v>
      </c>
      <c r="C1114">
        <v>3</v>
      </c>
      <c r="D1114">
        <v>0</v>
      </c>
      <c r="E1114" t="s">
        <v>283</v>
      </c>
      <c r="F1114">
        <v>208969</v>
      </c>
      <c r="G1114">
        <v>462104461.5</v>
      </c>
      <c r="H1114">
        <v>0.96722222864627838</v>
      </c>
      <c r="I1114">
        <v>0.97277777777777774</v>
      </c>
      <c r="J1114">
        <v>32491886</v>
      </c>
      <c r="K1114">
        <v>208250</v>
      </c>
      <c r="L1114">
        <v>2</v>
      </c>
      <c r="M1114">
        <v>304</v>
      </c>
      <c r="N1114">
        <v>0.97111111111111104</v>
      </c>
      <c r="O1114">
        <v>31650393</v>
      </c>
      <c r="P1114">
        <v>209545</v>
      </c>
      <c r="Q1114">
        <v>2</v>
      </c>
      <c r="R1114">
        <v>305</v>
      </c>
      <c r="S1114">
        <v>11.556986993774272</v>
      </c>
      <c r="T1114">
        <v>0.95925925175348914</v>
      </c>
    </row>
    <row r="1115" spans="1:20" x14ac:dyDescent="0.25">
      <c r="A1115" t="s">
        <v>106</v>
      </c>
      <c r="B1115">
        <v>5</v>
      </c>
      <c r="C1115">
        <v>3</v>
      </c>
      <c r="D1115">
        <v>0</v>
      </c>
      <c r="E1115" t="s">
        <v>209</v>
      </c>
      <c r="F1115">
        <v>210484</v>
      </c>
      <c r="G1115">
        <v>458845282.25</v>
      </c>
      <c r="H1115">
        <v>0.97611109912395477</v>
      </c>
      <c r="I1115">
        <v>0.96611111111111114</v>
      </c>
      <c r="J1115">
        <v>33454049.75</v>
      </c>
      <c r="K1115">
        <v>209545</v>
      </c>
      <c r="L1115">
        <v>2</v>
      </c>
      <c r="M1115">
        <v>305</v>
      </c>
      <c r="N1115">
        <v>0.95833333333333326</v>
      </c>
      <c r="O1115">
        <v>32984709.75</v>
      </c>
      <c r="P1115">
        <v>210844</v>
      </c>
      <c r="Q1115">
        <v>2</v>
      </c>
      <c r="R1115">
        <v>306</v>
      </c>
      <c r="S1115">
        <v>11.557589203179885</v>
      </c>
      <c r="T1115">
        <v>0.96419753630956018</v>
      </c>
    </row>
    <row r="1116" spans="1:20" x14ac:dyDescent="0.25">
      <c r="A1116" t="s">
        <v>106</v>
      </c>
      <c r="B1116">
        <v>5</v>
      </c>
      <c r="C1116">
        <v>3</v>
      </c>
      <c r="D1116">
        <v>0</v>
      </c>
      <c r="E1116" t="s">
        <v>271</v>
      </c>
      <c r="F1116">
        <v>211639</v>
      </c>
      <c r="G1116">
        <v>475902957.75</v>
      </c>
      <c r="H1116">
        <v>0.97833332419395447</v>
      </c>
      <c r="I1116">
        <v>0.9605555555555555</v>
      </c>
      <c r="J1116">
        <v>35234103</v>
      </c>
      <c r="K1116">
        <v>210844</v>
      </c>
      <c r="L1116">
        <v>2</v>
      </c>
      <c r="M1116">
        <v>306</v>
      </c>
      <c r="N1116">
        <v>0.96499999999999997</v>
      </c>
      <c r="O1116">
        <v>32368598</v>
      </c>
      <c r="P1116">
        <v>212147</v>
      </c>
      <c r="Q1116">
        <v>2</v>
      </c>
      <c r="R1116">
        <v>307</v>
      </c>
      <c r="S1116">
        <v>11.558129505267697</v>
      </c>
      <c r="T1116">
        <v>0.9580247004826864</v>
      </c>
    </row>
    <row r="1117" spans="1:20" x14ac:dyDescent="0.25">
      <c r="A1117" t="s">
        <v>106</v>
      </c>
      <c r="B1117">
        <v>5</v>
      </c>
      <c r="C1117">
        <v>3</v>
      </c>
      <c r="D1117">
        <v>0</v>
      </c>
      <c r="E1117" t="s">
        <v>134</v>
      </c>
      <c r="F1117">
        <v>212434</v>
      </c>
      <c r="G1117">
        <v>462930292</v>
      </c>
      <c r="H1117">
        <v>0.97277776896953583</v>
      </c>
      <c r="I1117">
        <v>0.96277777777777773</v>
      </c>
      <c r="J1117">
        <v>32867256.5</v>
      </c>
      <c r="K1117">
        <v>212147</v>
      </c>
      <c r="L1117">
        <v>2</v>
      </c>
      <c r="M1117">
        <v>307</v>
      </c>
      <c r="N1117">
        <v>0.96888888888888891</v>
      </c>
      <c r="O1117">
        <v>33018146.75</v>
      </c>
      <c r="P1117">
        <v>213454</v>
      </c>
      <c r="Q1117">
        <v>2</v>
      </c>
      <c r="R1117">
        <v>308</v>
      </c>
      <c r="S1117">
        <v>11.558423159839853</v>
      </c>
      <c r="T1117">
        <v>0.96666665871938073</v>
      </c>
    </row>
    <row r="1118" spans="1:20" x14ac:dyDescent="0.25">
      <c r="A1118" t="s">
        <v>106</v>
      </c>
      <c r="B1118">
        <v>5</v>
      </c>
      <c r="C1118">
        <v>3</v>
      </c>
      <c r="D1118">
        <v>0</v>
      </c>
      <c r="E1118" t="s">
        <v>290</v>
      </c>
      <c r="F1118">
        <v>214479</v>
      </c>
      <c r="G1118">
        <v>484112081</v>
      </c>
      <c r="H1118">
        <v>0.96166667342185974</v>
      </c>
      <c r="I1118">
        <v>0.95666666666666667</v>
      </c>
      <c r="J1118">
        <v>32488689.75</v>
      </c>
      <c r="K1118">
        <v>213454</v>
      </c>
      <c r="L1118">
        <v>2</v>
      </c>
      <c r="M1118">
        <v>308</v>
      </c>
      <c r="N1118">
        <v>0.95944444444444443</v>
      </c>
      <c r="O1118">
        <v>32053291.75</v>
      </c>
      <c r="P1118">
        <v>214765</v>
      </c>
      <c r="Q1118">
        <v>2</v>
      </c>
      <c r="R1118">
        <v>309</v>
      </c>
      <c r="S1118">
        <v>11.558962990331917</v>
      </c>
      <c r="T1118">
        <v>0.98395059506098426</v>
      </c>
    </row>
    <row r="1119" spans="1:20" x14ac:dyDescent="0.25">
      <c r="A1119" t="s">
        <v>106</v>
      </c>
      <c r="B1119">
        <v>5</v>
      </c>
      <c r="C1119">
        <v>3</v>
      </c>
      <c r="D1119">
        <v>0</v>
      </c>
      <c r="E1119" t="s">
        <v>224</v>
      </c>
      <c r="F1119">
        <v>216174</v>
      </c>
      <c r="G1119">
        <v>451656710.75</v>
      </c>
      <c r="H1119">
        <v>0.97055554389953613</v>
      </c>
      <c r="I1119">
        <v>0.96388888888888891</v>
      </c>
      <c r="J1119">
        <v>33785258.75</v>
      </c>
      <c r="K1119">
        <v>216080</v>
      </c>
      <c r="L1119">
        <v>2</v>
      </c>
      <c r="M1119">
        <v>310</v>
      </c>
      <c r="N1119">
        <v>0.9655555555555555</v>
      </c>
      <c r="O1119">
        <v>32787080</v>
      </c>
      <c r="P1119">
        <v>217399</v>
      </c>
      <c r="Q1119">
        <v>2</v>
      </c>
      <c r="R1119">
        <v>311</v>
      </c>
      <c r="S1119">
        <v>11.559317860001231</v>
      </c>
      <c r="T1119">
        <v>0.95925925175348914</v>
      </c>
    </row>
    <row r="1120" spans="1:20" x14ac:dyDescent="0.25">
      <c r="A1120" t="s">
        <v>106</v>
      </c>
      <c r="B1120">
        <v>5</v>
      </c>
      <c r="C1120">
        <v>3</v>
      </c>
      <c r="D1120">
        <v>0</v>
      </c>
      <c r="E1120" t="s">
        <v>168</v>
      </c>
      <c r="F1120">
        <v>218484</v>
      </c>
      <c r="G1120">
        <v>549101228.25</v>
      </c>
      <c r="H1120">
        <v>0.97333332896232605</v>
      </c>
      <c r="I1120">
        <v>0.97111111111111115</v>
      </c>
      <c r="J1120">
        <v>33943316.5</v>
      </c>
      <c r="K1120">
        <v>217399</v>
      </c>
      <c r="L1120">
        <v>2</v>
      </c>
      <c r="M1120">
        <v>311</v>
      </c>
      <c r="N1120">
        <v>0.96277777777777773</v>
      </c>
      <c r="O1120">
        <v>32486895.5</v>
      </c>
      <c r="P1120">
        <v>218722</v>
      </c>
      <c r="Q1120">
        <v>2</v>
      </c>
      <c r="R1120">
        <v>312</v>
      </c>
      <c r="S1120">
        <v>11.5601034037053</v>
      </c>
      <c r="T1120">
        <v>0.95185184478759766</v>
      </c>
    </row>
    <row r="1121" spans="1:20" x14ac:dyDescent="0.25">
      <c r="A1121" t="s">
        <v>106</v>
      </c>
      <c r="B1121">
        <v>5</v>
      </c>
      <c r="C1121">
        <v>3</v>
      </c>
      <c r="D1121">
        <v>0</v>
      </c>
      <c r="E1121" t="s">
        <v>259</v>
      </c>
      <c r="F1121">
        <v>219099</v>
      </c>
      <c r="G1121">
        <v>587538601.85714281</v>
      </c>
      <c r="H1121">
        <v>0.96793651580810547</v>
      </c>
      <c r="I1121">
        <v>0.96476190476190471</v>
      </c>
      <c r="J1121">
        <v>33431616.285714287</v>
      </c>
      <c r="K1121">
        <v>218722</v>
      </c>
      <c r="L1121">
        <v>2</v>
      </c>
      <c r="M1121">
        <v>312</v>
      </c>
      <c r="N1121">
        <v>0.96412698412698417</v>
      </c>
      <c r="O1121">
        <v>33753201.142857142</v>
      </c>
      <c r="P1121">
        <v>220049</v>
      </c>
      <c r="Q1121">
        <v>2</v>
      </c>
      <c r="R1121">
        <v>313</v>
      </c>
      <c r="S1121">
        <v>11.561830933923957</v>
      </c>
      <c r="T1121">
        <v>0.97098764777183533</v>
      </c>
    </row>
    <row r="1122" spans="1:20" x14ac:dyDescent="0.25">
      <c r="A1122" t="s">
        <v>106</v>
      </c>
      <c r="B1122">
        <v>5</v>
      </c>
      <c r="C1122">
        <v>3</v>
      </c>
      <c r="D1122">
        <v>0</v>
      </c>
      <c r="E1122" t="s">
        <v>240</v>
      </c>
      <c r="F1122">
        <v>221864</v>
      </c>
      <c r="G1122">
        <v>669222272.25</v>
      </c>
      <c r="H1122">
        <v>0.97111111879348755</v>
      </c>
      <c r="I1122">
        <v>0.96277777777777773</v>
      </c>
      <c r="J1122">
        <v>32857466</v>
      </c>
      <c r="K1122">
        <v>221380</v>
      </c>
      <c r="L1122">
        <v>2</v>
      </c>
      <c r="M1122">
        <v>314</v>
      </c>
      <c r="N1122">
        <v>0.96944444444444444</v>
      </c>
      <c r="O1122">
        <v>34908180.5</v>
      </c>
      <c r="P1122">
        <v>222715</v>
      </c>
      <c r="Q1122">
        <v>2</v>
      </c>
      <c r="R1122">
        <v>315</v>
      </c>
      <c r="S1122">
        <v>11.563414934186246</v>
      </c>
      <c r="T1122">
        <v>0.96543210744857788</v>
      </c>
    </row>
    <row r="1123" spans="1:20" x14ac:dyDescent="0.25">
      <c r="A1123" t="s">
        <v>106</v>
      </c>
      <c r="B1123">
        <v>5</v>
      </c>
      <c r="C1123">
        <v>3</v>
      </c>
      <c r="D1123">
        <v>0</v>
      </c>
      <c r="E1123" t="s">
        <v>284</v>
      </c>
      <c r="F1123">
        <v>223379</v>
      </c>
      <c r="G1123">
        <v>543243263.75</v>
      </c>
      <c r="H1123">
        <v>0.97222223877906799</v>
      </c>
      <c r="I1123">
        <v>0.96944444444444444</v>
      </c>
      <c r="J1123">
        <v>33814420.5</v>
      </c>
      <c r="K1123">
        <v>222715</v>
      </c>
      <c r="L1123">
        <v>2</v>
      </c>
      <c r="M1123">
        <v>315</v>
      </c>
      <c r="N1123">
        <v>0.97222222222222221</v>
      </c>
      <c r="O1123">
        <v>35153208.75</v>
      </c>
      <c r="P1123">
        <v>224054</v>
      </c>
      <c r="Q1123">
        <v>2</v>
      </c>
      <c r="R1123">
        <v>316</v>
      </c>
      <c r="S1123">
        <v>11.56426023859304</v>
      </c>
      <c r="T1123">
        <v>0.97530863682428992</v>
      </c>
    </row>
    <row r="1124" spans="1:20" x14ac:dyDescent="0.25">
      <c r="A1124" t="s">
        <v>106</v>
      </c>
      <c r="B1124">
        <v>5</v>
      </c>
      <c r="C1124">
        <v>3</v>
      </c>
      <c r="D1124">
        <v>0</v>
      </c>
      <c r="E1124" t="s">
        <v>266</v>
      </c>
      <c r="F1124">
        <v>225329</v>
      </c>
      <c r="G1124">
        <v>487901022.25</v>
      </c>
      <c r="H1124">
        <v>0.9722222238779068</v>
      </c>
      <c r="I1124">
        <v>0.96444444444444444</v>
      </c>
      <c r="J1124">
        <v>33881838.25</v>
      </c>
      <c r="K1124">
        <v>224054</v>
      </c>
      <c r="L1124">
        <v>2</v>
      </c>
      <c r="M1124">
        <v>316</v>
      </c>
      <c r="N1124">
        <v>0.96333333333333337</v>
      </c>
      <c r="O1124">
        <v>34253394.75</v>
      </c>
      <c r="P1124">
        <v>225397</v>
      </c>
      <c r="Q1124">
        <v>2</v>
      </c>
      <c r="R1124">
        <v>317</v>
      </c>
      <c r="S1124">
        <v>11.564920693471043</v>
      </c>
      <c r="T1124">
        <v>0.96666665871938073</v>
      </c>
    </row>
    <row r="1125" spans="1:20" x14ac:dyDescent="0.25">
      <c r="A1125" t="s">
        <v>106</v>
      </c>
      <c r="B1125">
        <v>5</v>
      </c>
      <c r="C1125">
        <v>3</v>
      </c>
      <c r="D1125">
        <v>0</v>
      </c>
      <c r="E1125" t="s">
        <v>139</v>
      </c>
      <c r="F1125">
        <v>225764</v>
      </c>
      <c r="G1125">
        <v>464817024.4285714</v>
      </c>
      <c r="H1125">
        <v>0.96920634167534969</v>
      </c>
      <c r="I1125">
        <v>0.96857142857142853</v>
      </c>
      <c r="J1125">
        <v>34887879</v>
      </c>
      <c r="K1125">
        <v>225397</v>
      </c>
      <c r="L1125">
        <v>2</v>
      </c>
      <c r="M1125">
        <v>317</v>
      </c>
      <c r="N1125">
        <v>0.96730158730158733</v>
      </c>
      <c r="O1125">
        <v>34423885.857142858</v>
      </c>
      <c r="P1125">
        <v>226744</v>
      </c>
      <c r="Q1125">
        <v>2</v>
      </c>
      <c r="R1125">
        <v>318</v>
      </c>
      <c r="S1125">
        <v>11.565476556258833</v>
      </c>
      <c r="T1125">
        <v>0.9629629751046499</v>
      </c>
    </row>
    <row r="1126" spans="1:20" x14ac:dyDescent="0.25">
      <c r="A1126" t="s">
        <v>106</v>
      </c>
      <c r="B1126">
        <v>5</v>
      </c>
      <c r="C1126">
        <v>3</v>
      </c>
      <c r="D1126">
        <v>0</v>
      </c>
      <c r="E1126" t="s">
        <v>291</v>
      </c>
      <c r="F1126">
        <v>229249</v>
      </c>
      <c r="G1126">
        <v>461385915.5</v>
      </c>
      <c r="H1126">
        <v>0.96999998390674591</v>
      </c>
      <c r="I1126">
        <v>0.9605555555555555</v>
      </c>
      <c r="J1126">
        <v>33453528.25</v>
      </c>
      <c r="K1126">
        <v>228095</v>
      </c>
      <c r="L1126">
        <v>2</v>
      </c>
      <c r="M1126">
        <v>319</v>
      </c>
      <c r="N1126">
        <v>0.96499999999999997</v>
      </c>
      <c r="O1126">
        <v>34747304.75</v>
      </c>
      <c r="P1126">
        <v>229450</v>
      </c>
      <c r="Q1126">
        <v>2</v>
      </c>
      <c r="R1126">
        <v>320</v>
      </c>
      <c r="S1126">
        <v>11.56619770227929</v>
      </c>
      <c r="T1126">
        <v>0.95679012934366858</v>
      </c>
    </row>
    <row r="1127" spans="1:20" x14ac:dyDescent="0.25">
      <c r="A1127" t="s">
        <v>106</v>
      </c>
      <c r="B1127">
        <v>5</v>
      </c>
      <c r="C1127">
        <v>3</v>
      </c>
      <c r="D1127">
        <v>0</v>
      </c>
      <c r="E1127" t="s">
        <v>211</v>
      </c>
      <c r="F1127">
        <v>230584</v>
      </c>
      <c r="G1127">
        <v>601792885.25</v>
      </c>
      <c r="H1127">
        <v>0.96499998867511749</v>
      </c>
      <c r="I1127">
        <v>0.97222222222222221</v>
      </c>
      <c r="J1127">
        <v>34095118.25</v>
      </c>
      <c r="K1127">
        <v>229450</v>
      </c>
      <c r="L1127">
        <v>2</v>
      </c>
      <c r="M1127">
        <v>320</v>
      </c>
      <c r="N1127">
        <v>0.96833333333333338</v>
      </c>
      <c r="O1127">
        <v>36234030</v>
      </c>
      <c r="P1127">
        <v>230809</v>
      </c>
      <c r="Q1127">
        <v>2</v>
      </c>
      <c r="R1127">
        <v>321</v>
      </c>
      <c r="S1127">
        <v>11.567962655856521</v>
      </c>
      <c r="T1127">
        <v>0.96296296517054236</v>
      </c>
    </row>
    <row r="1128" spans="1:20" x14ac:dyDescent="0.25">
      <c r="A1128" t="s">
        <v>106</v>
      </c>
      <c r="B1128">
        <v>5</v>
      </c>
      <c r="C1128">
        <v>3</v>
      </c>
      <c r="D1128">
        <v>0</v>
      </c>
      <c r="E1128" t="s">
        <v>272</v>
      </c>
      <c r="F1128">
        <v>231559</v>
      </c>
      <c r="G1128">
        <v>508945820.5</v>
      </c>
      <c r="H1128">
        <v>0.96944443881511688</v>
      </c>
      <c r="I1128">
        <v>0.97055555555555562</v>
      </c>
      <c r="J1128">
        <v>35116272.75</v>
      </c>
      <c r="K1128">
        <v>230809</v>
      </c>
      <c r="L1128">
        <v>2</v>
      </c>
      <c r="M1128">
        <v>321</v>
      </c>
      <c r="N1128">
        <v>0.96666666666666667</v>
      </c>
      <c r="O1128">
        <v>34400090.25</v>
      </c>
      <c r="P1128">
        <v>232172</v>
      </c>
      <c r="Q1128">
        <v>2</v>
      </c>
      <c r="R1128">
        <v>322</v>
      </c>
      <c r="S1128">
        <v>11.56874424316856</v>
      </c>
      <c r="T1128">
        <v>0.96543208758036292</v>
      </c>
    </row>
    <row r="1129" spans="1:20" x14ac:dyDescent="0.25">
      <c r="A1129" t="s">
        <v>106</v>
      </c>
      <c r="B1129">
        <v>5</v>
      </c>
      <c r="C1129">
        <v>3</v>
      </c>
      <c r="D1129">
        <v>0</v>
      </c>
      <c r="E1129" t="s">
        <v>260</v>
      </c>
      <c r="F1129">
        <v>232429</v>
      </c>
      <c r="G1129">
        <v>476168578</v>
      </c>
      <c r="H1129">
        <v>0.976666659116745</v>
      </c>
      <c r="I1129">
        <v>0.97</v>
      </c>
      <c r="J1129">
        <v>35695684.75</v>
      </c>
      <c r="K1129">
        <v>232172</v>
      </c>
      <c r="L1129">
        <v>2</v>
      </c>
      <c r="M1129">
        <v>322</v>
      </c>
      <c r="N1129">
        <v>0.96722222222222221</v>
      </c>
      <c r="O1129">
        <v>32821603</v>
      </c>
      <c r="P1129">
        <v>233539</v>
      </c>
      <c r="Q1129">
        <v>2</v>
      </c>
      <c r="R1129">
        <v>323</v>
      </c>
      <c r="S1129">
        <v>11.569341273251888</v>
      </c>
      <c r="T1129">
        <v>0.96419751644134521</v>
      </c>
    </row>
    <row r="1130" spans="1:20" x14ac:dyDescent="0.25">
      <c r="A1130" t="s">
        <v>106</v>
      </c>
      <c r="B1130">
        <v>5</v>
      </c>
      <c r="C1130">
        <v>3</v>
      </c>
      <c r="D1130">
        <v>0</v>
      </c>
      <c r="E1130" t="s">
        <v>226</v>
      </c>
      <c r="F1130">
        <v>236634</v>
      </c>
      <c r="G1130">
        <v>529661621.71428573</v>
      </c>
      <c r="H1130">
        <v>0.97206349032265804</v>
      </c>
      <c r="I1130">
        <v>0.96730158730158733</v>
      </c>
      <c r="J1130">
        <v>34234387.285714284</v>
      </c>
      <c r="K1130">
        <v>236285</v>
      </c>
      <c r="L1130">
        <v>2</v>
      </c>
      <c r="M1130">
        <v>325</v>
      </c>
      <c r="N1130">
        <v>0.96730158730158733</v>
      </c>
      <c r="O1130">
        <v>33277740.857142858</v>
      </c>
      <c r="P1130">
        <v>237664</v>
      </c>
      <c r="Q1130">
        <v>2</v>
      </c>
      <c r="R1130">
        <v>326</v>
      </c>
      <c r="S1130">
        <v>11.570753559155621</v>
      </c>
      <c r="T1130">
        <v>0.96234566966692603</v>
      </c>
    </row>
    <row r="1131" spans="1:20" x14ac:dyDescent="0.25">
      <c r="A1131" t="s">
        <v>106</v>
      </c>
      <c r="B1131">
        <v>5</v>
      </c>
      <c r="C1131">
        <v>3</v>
      </c>
      <c r="D1131">
        <v>0</v>
      </c>
      <c r="E1131" t="s">
        <v>267</v>
      </c>
      <c r="F1131">
        <v>239019</v>
      </c>
      <c r="G1131">
        <v>457653037.75</v>
      </c>
      <c r="H1131">
        <v>0.96722222864627838</v>
      </c>
      <c r="I1131">
        <v>0.96277777777777773</v>
      </c>
      <c r="J1131">
        <v>34928909.5</v>
      </c>
      <c r="K1131">
        <v>237664</v>
      </c>
      <c r="L1131">
        <v>2</v>
      </c>
      <c r="M1131">
        <v>326</v>
      </c>
      <c r="N1131">
        <v>0.96888888888888891</v>
      </c>
      <c r="O1131">
        <v>35781488.75</v>
      </c>
      <c r="P1131">
        <v>239047</v>
      </c>
      <c r="Q1131">
        <v>2</v>
      </c>
      <c r="R1131">
        <v>327</v>
      </c>
      <c r="S1131">
        <v>11.571226993865031</v>
      </c>
      <c r="T1131">
        <v>0.95925925175348914</v>
      </c>
    </row>
    <row r="1132" spans="1:20" x14ac:dyDescent="0.25">
      <c r="A1132" t="s">
        <v>106</v>
      </c>
      <c r="B1132">
        <v>5</v>
      </c>
      <c r="C1132">
        <v>3</v>
      </c>
      <c r="D1132">
        <v>0</v>
      </c>
      <c r="E1132" t="s">
        <v>144</v>
      </c>
      <c r="F1132">
        <v>239094</v>
      </c>
      <c r="G1132">
        <v>575230327.70000005</v>
      </c>
      <c r="H1132">
        <v>0.97399999499320988</v>
      </c>
      <c r="I1132">
        <v>0.96777777777777785</v>
      </c>
      <c r="J1132">
        <v>34578849.399999999</v>
      </c>
      <c r="K1132">
        <v>239047</v>
      </c>
      <c r="L1132">
        <v>2</v>
      </c>
      <c r="M1132">
        <v>327</v>
      </c>
      <c r="N1132">
        <v>0.9695555555555555</v>
      </c>
      <c r="O1132">
        <v>34430252.799999997</v>
      </c>
      <c r="P1132">
        <v>240434</v>
      </c>
      <c r="Q1132">
        <v>2</v>
      </c>
      <c r="R1132">
        <v>328</v>
      </c>
      <c r="S1132">
        <v>11.573206621704475</v>
      </c>
      <c r="T1132">
        <v>0.96090534660551286</v>
      </c>
    </row>
    <row r="1133" spans="1:20" x14ac:dyDescent="0.25">
      <c r="A1133" t="s">
        <v>106</v>
      </c>
      <c r="B1133">
        <v>5</v>
      </c>
      <c r="C1133">
        <v>3</v>
      </c>
      <c r="D1133">
        <v>0</v>
      </c>
      <c r="E1133" t="s">
        <v>285</v>
      </c>
      <c r="F1133">
        <v>244019</v>
      </c>
      <c r="G1133">
        <v>708474159</v>
      </c>
      <c r="H1133">
        <v>0.96833333373069763</v>
      </c>
      <c r="I1133">
        <v>0.97</v>
      </c>
      <c r="J1133">
        <v>34262781</v>
      </c>
      <c r="K1133">
        <v>243220</v>
      </c>
      <c r="L1133">
        <v>2</v>
      </c>
      <c r="M1133">
        <v>330</v>
      </c>
      <c r="N1133">
        <v>0.96777777777777785</v>
      </c>
      <c r="O1133">
        <v>36296522.25</v>
      </c>
      <c r="P1133">
        <v>244619</v>
      </c>
      <c r="Q1133">
        <v>2</v>
      </c>
      <c r="R1133">
        <v>331</v>
      </c>
      <c r="S1133">
        <v>11.574414613215643</v>
      </c>
      <c r="T1133">
        <v>0.95061727364857995</v>
      </c>
    </row>
    <row r="1134" spans="1:20" x14ac:dyDescent="0.25">
      <c r="A1134" t="s">
        <v>106</v>
      </c>
      <c r="B1134">
        <v>5</v>
      </c>
      <c r="C1134">
        <v>3</v>
      </c>
      <c r="D1134">
        <v>0</v>
      </c>
      <c r="E1134" t="s">
        <v>261</v>
      </c>
      <c r="F1134">
        <v>245759</v>
      </c>
      <c r="G1134">
        <v>584434362.5</v>
      </c>
      <c r="H1134">
        <v>0.97500000894069672</v>
      </c>
      <c r="I1134">
        <v>0.96944444444444444</v>
      </c>
      <c r="J1134">
        <v>35567642.5</v>
      </c>
      <c r="K1134">
        <v>244619</v>
      </c>
      <c r="L1134">
        <v>2</v>
      </c>
      <c r="M1134">
        <v>331</v>
      </c>
      <c r="N1134">
        <v>0.97</v>
      </c>
      <c r="O1134">
        <v>36945933</v>
      </c>
      <c r="P1134">
        <v>246022</v>
      </c>
      <c r="Q1134">
        <v>2</v>
      </c>
      <c r="R1134">
        <v>332</v>
      </c>
      <c r="S1134">
        <v>11.575193038362544</v>
      </c>
      <c r="T1134">
        <v>0.96296296517054236</v>
      </c>
    </row>
    <row r="1135" spans="1:20" x14ac:dyDescent="0.25">
      <c r="A1135" t="s">
        <v>106</v>
      </c>
      <c r="B1135">
        <v>5</v>
      </c>
      <c r="C1135">
        <v>3</v>
      </c>
      <c r="D1135">
        <v>0</v>
      </c>
      <c r="E1135" t="s">
        <v>227</v>
      </c>
      <c r="F1135">
        <v>251404</v>
      </c>
      <c r="G1135">
        <v>591279106.84615386</v>
      </c>
      <c r="H1135">
        <v>0.97196581730475795</v>
      </c>
      <c r="I1135">
        <v>0.96974358974358976</v>
      </c>
      <c r="J1135">
        <v>35895815.92307692</v>
      </c>
      <c r="K1135">
        <v>250255</v>
      </c>
      <c r="L1135">
        <v>2</v>
      </c>
      <c r="M1135">
        <v>335</v>
      </c>
      <c r="N1135">
        <v>0.96649572649572646</v>
      </c>
      <c r="O1135">
        <v>35068918.153846152</v>
      </c>
      <c r="P1135">
        <v>251674</v>
      </c>
      <c r="Q1135">
        <v>2</v>
      </c>
      <c r="R1135">
        <v>336</v>
      </c>
      <c r="S1135">
        <v>11.577980527830507</v>
      </c>
      <c r="T1135">
        <v>0.9635802457729975</v>
      </c>
    </row>
    <row r="1136" spans="1:20" x14ac:dyDescent="0.25">
      <c r="A1136" t="s">
        <v>106</v>
      </c>
      <c r="B1136">
        <v>5</v>
      </c>
      <c r="C1136">
        <v>3</v>
      </c>
      <c r="D1136">
        <v>0</v>
      </c>
      <c r="E1136" t="s">
        <v>268</v>
      </c>
      <c r="F1136">
        <v>252709</v>
      </c>
      <c r="G1136">
        <v>702369533.5</v>
      </c>
      <c r="H1136">
        <v>0.97111110389232635</v>
      </c>
      <c r="I1136">
        <v>0.96888888888888891</v>
      </c>
      <c r="J1136">
        <v>34832458.25</v>
      </c>
      <c r="K1136">
        <v>251674</v>
      </c>
      <c r="L1136">
        <v>2</v>
      </c>
      <c r="M1136">
        <v>336</v>
      </c>
      <c r="N1136">
        <v>0.96444444444444444</v>
      </c>
      <c r="O1136">
        <v>35974635.75</v>
      </c>
      <c r="P1136">
        <v>253097</v>
      </c>
      <c r="Q1136">
        <v>2</v>
      </c>
      <c r="R1136">
        <v>337</v>
      </c>
      <c r="S1136">
        <v>11.579185797367616</v>
      </c>
      <c r="T1136">
        <v>0.96296296517054236</v>
      </c>
    </row>
    <row r="1137" spans="1:20" x14ac:dyDescent="0.25">
      <c r="A1137" t="s">
        <v>106</v>
      </c>
      <c r="B1137">
        <v>5</v>
      </c>
      <c r="C1137">
        <v>3</v>
      </c>
      <c r="D1137">
        <v>0</v>
      </c>
      <c r="E1137" t="s">
        <v>286</v>
      </c>
      <c r="F1137">
        <v>258789</v>
      </c>
      <c r="G1137">
        <v>556767634.89999998</v>
      </c>
      <c r="H1137">
        <v>0.97422221899032591</v>
      </c>
      <c r="I1137">
        <v>0.9662222222222222</v>
      </c>
      <c r="J1137">
        <v>35111680.700000003</v>
      </c>
      <c r="K1137">
        <v>257390</v>
      </c>
      <c r="L1137">
        <v>2</v>
      </c>
      <c r="M1137">
        <v>340</v>
      </c>
      <c r="N1137">
        <v>0.97177777777777785</v>
      </c>
      <c r="O1137">
        <v>36589160.799999997</v>
      </c>
      <c r="P1137">
        <v>258829</v>
      </c>
      <c r="Q1137">
        <v>2</v>
      </c>
      <c r="R1137">
        <v>341</v>
      </c>
      <c r="S1137">
        <v>11.580360966656469</v>
      </c>
      <c r="T1137">
        <v>0.96748969952265418</v>
      </c>
    </row>
    <row r="1138" spans="1:20" x14ac:dyDescent="0.25">
      <c r="A1138" t="s">
        <v>106</v>
      </c>
      <c r="B1138">
        <v>5</v>
      </c>
      <c r="C1138">
        <v>3</v>
      </c>
      <c r="D1138">
        <v>0</v>
      </c>
      <c r="E1138" t="s">
        <v>273</v>
      </c>
      <c r="F1138">
        <v>259659</v>
      </c>
      <c r="G1138">
        <v>597069142.5</v>
      </c>
      <c r="H1138">
        <v>0.97111111879348755</v>
      </c>
      <c r="I1138">
        <v>0.96944444444444444</v>
      </c>
      <c r="J1138">
        <v>36537005.75</v>
      </c>
      <c r="K1138">
        <v>258829</v>
      </c>
      <c r="L1138">
        <v>2</v>
      </c>
      <c r="M1138">
        <v>341</v>
      </c>
      <c r="N1138">
        <v>0.97277777777777774</v>
      </c>
      <c r="O1138">
        <v>36772981</v>
      </c>
      <c r="P1138">
        <v>260272</v>
      </c>
      <c r="Q1138">
        <v>2</v>
      </c>
      <c r="R1138">
        <v>342</v>
      </c>
      <c r="S1138">
        <v>11.580708300201847</v>
      </c>
      <c r="T1138">
        <v>0.97283951441446936</v>
      </c>
    </row>
    <row r="1139" spans="1:20" x14ac:dyDescent="0.25">
      <c r="A1139" t="s">
        <v>106</v>
      </c>
      <c r="B1139">
        <v>5</v>
      </c>
      <c r="C1139">
        <v>3</v>
      </c>
      <c r="D1139">
        <v>0</v>
      </c>
      <c r="E1139" t="s">
        <v>280</v>
      </c>
      <c r="F1139">
        <v>266609</v>
      </c>
      <c r="G1139">
        <v>680684445.28571427</v>
      </c>
      <c r="H1139">
        <v>0.96888888733727596</v>
      </c>
      <c r="I1139">
        <v>0.96571428571428575</v>
      </c>
      <c r="J1139">
        <v>36585670.714285716</v>
      </c>
      <c r="K1139">
        <v>266084</v>
      </c>
      <c r="L1139">
        <v>2</v>
      </c>
      <c r="M1139">
        <v>346</v>
      </c>
      <c r="N1139">
        <v>0.97396825396825393</v>
      </c>
      <c r="O1139">
        <v>36869682.571428575</v>
      </c>
      <c r="P1139">
        <v>267547</v>
      </c>
      <c r="Q1139">
        <v>2</v>
      </c>
      <c r="R1139">
        <v>347</v>
      </c>
      <c r="S1139">
        <v>11.581682562973832</v>
      </c>
      <c r="T1139">
        <v>0.9635802606741587</v>
      </c>
    </row>
    <row r="1140" spans="1:20" x14ac:dyDescent="0.25">
      <c r="A1140" t="s">
        <v>106</v>
      </c>
      <c r="B1140">
        <v>5</v>
      </c>
      <c r="C1140">
        <v>3</v>
      </c>
      <c r="D1140">
        <v>0</v>
      </c>
      <c r="E1140" t="s">
        <v>287</v>
      </c>
      <c r="F1140">
        <v>273559</v>
      </c>
      <c r="G1140">
        <v>643735882.71428573</v>
      </c>
      <c r="H1140">
        <v>0.97142856461661198</v>
      </c>
      <c r="I1140">
        <v>0.96476190476190471</v>
      </c>
      <c r="J1140">
        <v>37727257.714285716</v>
      </c>
      <c r="K1140">
        <v>273439</v>
      </c>
      <c r="L1140">
        <v>2</v>
      </c>
      <c r="M1140">
        <v>351</v>
      </c>
      <c r="N1140">
        <v>0.97206349206349207</v>
      </c>
      <c r="O1140">
        <v>37722273</v>
      </c>
      <c r="P1140">
        <v>274922</v>
      </c>
      <c r="Q1140">
        <v>2</v>
      </c>
      <c r="R1140">
        <v>352</v>
      </c>
      <c r="S1140">
        <v>11.5830837865917</v>
      </c>
      <c r="T1140">
        <v>0.97469135125478112</v>
      </c>
    </row>
    <row r="1141" spans="1:20" x14ac:dyDescent="0.25">
      <c r="A1141" t="s">
        <v>106</v>
      </c>
      <c r="B1141">
        <v>5</v>
      </c>
      <c r="C1141">
        <v>4</v>
      </c>
      <c r="D1141">
        <v>0</v>
      </c>
      <c r="E1141" t="s">
        <v>123</v>
      </c>
      <c r="F1141">
        <v>74650</v>
      </c>
      <c r="G1141">
        <v>531196612</v>
      </c>
      <c r="H1141">
        <v>0.95555555820465088</v>
      </c>
      <c r="I1141">
        <v>0.97055555555555562</v>
      </c>
      <c r="J1141">
        <v>34152810</v>
      </c>
      <c r="K1141">
        <v>73960</v>
      </c>
      <c r="L1141">
        <v>2</v>
      </c>
      <c r="M1141">
        <v>174</v>
      </c>
      <c r="N1141">
        <v>0.96833333333333327</v>
      </c>
      <c r="O1141">
        <v>31627541</v>
      </c>
      <c r="P1141">
        <v>74735</v>
      </c>
      <c r="Q1141">
        <v>2</v>
      </c>
      <c r="R1141">
        <v>175</v>
      </c>
      <c r="S1141">
        <v>11.583613368363169</v>
      </c>
      <c r="T1141">
        <v>0.96296296517054236</v>
      </c>
    </row>
    <row r="1142" spans="1:20" x14ac:dyDescent="0.25">
      <c r="A1142" t="s">
        <v>106</v>
      </c>
      <c r="B1142">
        <v>5</v>
      </c>
      <c r="C1142">
        <v>4</v>
      </c>
      <c r="D1142">
        <v>0</v>
      </c>
      <c r="E1142" t="s">
        <v>257</v>
      </c>
      <c r="F1142">
        <v>82425</v>
      </c>
      <c r="G1142">
        <v>92301187.5</v>
      </c>
      <c r="H1142">
        <v>0.94888888299465179</v>
      </c>
      <c r="I1142">
        <v>0.96833333333333338</v>
      </c>
      <c r="J1142">
        <v>20152899.25</v>
      </c>
      <c r="K1142">
        <v>81890</v>
      </c>
      <c r="L1142">
        <v>2</v>
      </c>
      <c r="M1142">
        <v>184</v>
      </c>
      <c r="N1142">
        <v>0.96888888888888891</v>
      </c>
      <c r="O1142">
        <v>20529336.5</v>
      </c>
      <c r="P1142">
        <v>82705</v>
      </c>
      <c r="Q1142">
        <v>2</v>
      </c>
      <c r="R1142">
        <v>185</v>
      </c>
      <c r="S1142">
        <v>11.583470771486164</v>
      </c>
      <c r="T1142">
        <v>0.96913578112920129</v>
      </c>
    </row>
    <row r="1143" spans="1:20" x14ac:dyDescent="0.25">
      <c r="A1143" t="s">
        <v>106</v>
      </c>
      <c r="B1143">
        <v>5</v>
      </c>
      <c r="C1143">
        <v>4</v>
      </c>
      <c r="D1143">
        <v>0</v>
      </c>
      <c r="E1143" t="s">
        <v>128</v>
      </c>
      <c r="F1143">
        <v>90200</v>
      </c>
      <c r="G1143">
        <v>95327554.25</v>
      </c>
      <c r="H1143">
        <v>0.95222222805023193</v>
      </c>
      <c r="I1143">
        <v>0.97</v>
      </c>
      <c r="J1143">
        <v>21248162.25</v>
      </c>
      <c r="K1143">
        <v>89369</v>
      </c>
      <c r="L1143">
        <v>2</v>
      </c>
      <c r="M1143">
        <v>193</v>
      </c>
      <c r="N1143">
        <v>0.96388888888888891</v>
      </c>
      <c r="O1143">
        <v>22228509</v>
      </c>
      <c r="P1143">
        <v>90220</v>
      </c>
      <c r="Q1143">
        <v>2</v>
      </c>
      <c r="R1143">
        <v>194</v>
      </c>
      <c r="S1143">
        <v>11.582900763358779</v>
      </c>
      <c r="T1143">
        <v>0.96296296517054236</v>
      </c>
    </row>
    <row r="1144" spans="1:20" x14ac:dyDescent="0.25">
      <c r="A1144" t="s">
        <v>106</v>
      </c>
      <c r="B1144">
        <v>5</v>
      </c>
      <c r="C1144">
        <v>4</v>
      </c>
      <c r="D1144">
        <v>0</v>
      </c>
      <c r="E1144" t="s">
        <v>258</v>
      </c>
      <c r="F1144">
        <v>97975</v>
      </c>
      <c r="G1144">
        <v>132122668</v>
      </c>
      <c r="H1144">
        <v>0.94722221791744232</v>
      </c>
      <c r="I1144">
        <v>0.97388888888888892</v>
      </c>
      <c r="J1144">
        <v>21324519.75</v>
      </c>
      <c r="K1144">
        <v>97172</v>
      </c>
      <c r="L1144">
        <v>2</v>
      </c>
      <c r="M1144">
        <v>202</v>
      </c>
      <c r="N1144">
        <v>0.96722222222222221</v>
      </c>
      <c r="O1144">
        <v>22163782.5</v>
      </c>
      <c r="P1144">
        <v>98059</v>
      </c>
      <c r="Q1144">
        <v>2</v>
      </c>
      <c r="R1144">
        <v>203</v>
      </c>
      <c r="S1144">
        <v>11.582636302582575</v>
      </c>
      <c r="T1144">
        <v>0.96419753630956018</v>
      </c>
    </row>
    <row r="1145" spans="1:20" x14ac:dyDescent="0.25">
      <c r="A1145" t="s">
        <v>106</v>
      </c>
      <c r="B1145">
        <v>5</v>
      </c>
      <c r="C1145">
        <v>4</v>
      </c>
      <c r="D1145">
        <v>0</v>
      </c>
      <c r="E1145" t="s">
        <v>192</v>
      </c>
      <c r="F1145">
        <v>105750</v>
      </c>
      <c r="G1145">
        <v>99415377.25</v>
      </c>
      <c r="H1145">
        <v>0.95722222328186035</v>
      </c>
      <c r="I1145">
        <v>0.97</v>
      </c>
      <c r="J1145">
        <v>22756690.75</v>
      </c>
      <c r="K1145">
        <v>105299</v>
      </c>
      <c r="L1145">
        <v>2</v>
      </c>
      <c r="M1145">
        <v>211</v>
      </c>
      <c r="N1145">
        <v>0.96611111111111114</v>
      </c>
      <c r="O1145">
        <v>22120236</v>
      </c>
      <c r="P1145">
        <v>106222</v>
      </c>
      <c r="Q1145">
        <v>2</v>
      </c>
      <c r="R1145">
        <v>212</v>
      </c>
      <c r="S1145">
        <v>11.582066776536655</v>
      </c>
      <c r="T1145">
        <v>0.9592592716217041</v>
      </c>
    </row>
    <row r="1146" spans="1:20" x14ac:dyDescent="0.25">
      <c r="A1146" t="s">
        <v>106</v>
      </c>
      <c r="B1146">
        <v>5</v>
      </c>
      <c r="C1146">
        <v>4</v>
      </c>
      <c r="D1146">
        <v>0</v>
      </c>
      <c r="E1146" t="s">
        <v>292</v>
      </c>
      <c r="F1146">
        <v>113525</v>
      </c>
      <c r="G1146">
        <v>107368156.5</v>
      </c>
      <c r="H1146">
        <v>0.95500001311302185</v>
      </c>
      <c r="I1146">
        <v>0.97055555555555562</v>
      </c>
      <c r="J1146">
        <v>23854748.25</v>
      </c>
      <c r="K1146">
        <v>112795</v>
      </c>
      <c r="L1146">
        <v>2</v>
      </c>
      <c r="M1146">
        <v>219</v>
      </c>
      <c r="N1146">
        <v>0.96722222222222221</v>
      </c>
      <c r="O1146">
        <v>23842158</v>
      </c>
      <c r="P1146">
        <v>113750</v>
      </c>
      <c r="Q1146">
        <v>2</v>
      </c>
      <c r="R1146">
        <v>220</v>
      </c>
      <c r="S1146">
        <v>11.581497528528711</v>
      </c>
      <c r="T1146">
        <v>0.96172839403152466</v>
      </c>
    </row>
    <row r="1147" spans="1:20" x14ac:dyDescent="0.25">
      <c r="A1147" t="s">
        <v>106</v>
      </c>
      <c r="B1147">
        <v>5</v>
      </c>
      <c r="C1147">
        <v>4</v>
      </c>
      <c r="D1147">
        <v>0</v>
      </c>
      <c r="E1147" t="s">
        <v>243</v>
      </c>
      <c r="F1147">
        <v>121300</v>
      </c>
      <c r="G1147">
        <v>135962524.75</v>
      </c>
      <c r="H1147">
        <v>0.95722223818302155</v>
      </c>
      <c r="I1147">
        <v>0.96722222222222221</v>
      </c>
      <c r="J1147">
        <v>24740033.5</v>
      </c>
      <c r="K1147">
        <v>120547</v>
      </c>
      <c r="L1147">
        <v>2</v>
      </c>
      <c r="M1147">
        <v>227</v>
      </c>
      <c r="N1147">
        <v>0.96666666666666667</v>
      </c>
      <c r="O1147">
        <v>24111265</v>
      </c>
      <c r="P1147">
        <v>121534</v>
      </c>
      <c r="Q1147">
        <v>2</v>
      </c>
      <c r="R1147">
        <v>228</v>
      </c>
      <c r="S1147">
        <v>11.581355621987676</v>
      </c>
      <c r="T1147">
        <v>0.97037037213643396</v>
      </c>
    </row>
    <row r="1148" spans="1:20" x14ac:dyDescent="0.25">
      <c r="A1148" t="s">
        <v>106</v>
      </c>
      <c r="B1148">
        <v>5</v>
      </c>
      <c r="C1148">
        <v>4</v>
      </c>
      <c r="D1148">
        <v>0</v>
      </c>
      <c r="E1148" t="s">
        <v>293</v>
      </c>
      <c r="F1148">
        <v>129075</v>
      </c>
      <c r="G1148">
        <v>143225580.75</v>
      </c>
      <c r="H1148">
        <v>0.96166665852069855</v>
      </c>
      <c r="I1148">
        <v>0.97055555555555562</v>
      </c>
      <c r="J1148">
        <v>24262314.5</v>
      </c>
      <c r="K1148">
        <v>128555</v>
      </c>
      <c r="L1148">
        <v>2</v>
      </c>
      <c r="M1148">
        <v>235</v>
      </c>
      <c r="N1148">
        <v>0.96499999999999997</v>
      </c>
      <c r="O1148">
        <v>24881095.25</v>
      </c>
      <c r="P1148">
        <v>129574</v>
      </c>
      <c r="Q1148">
        <v>2</v>
      </c>
      <c r="R1148">
        <v>236</v>
      </c>
      <c r="S1148">
        <v>11.581091796279354</v>
      </c>
      <c r="T1148">
        <v>0.97037037213643396</v>
      </c>
    </row>
    <row r="1149" spans="1:20" x14ac:dyDescent="0.25">
      <c r="A1149" t="s">
        <v>106</v>
      </c>
      <c r="B1149">
        <v>5</v>
      </c>
      <c r="C1149">
        <v>4</v>
      </c>
      <c r="D1149">
        <v>0</v>
      </c>
      <c r="E1149" t="s">
        <v>248</v>
      </c>
      <c r="F1149">
        <v>136850</v>
      </c>
      <c r="G1149">
        <v>157279302.5</v>
      </c>
      <c r="H1149">
        <v>0.96333332359790802</v>
      </c>
      <c r="I1149">
        <v>0.97111111111111115</v>
      </c>
      <c r="J1149">
        <v>26269845</v>
      </c>
      <c r="K1149">
        <v>136819</v>
      </c>
      <c r="L1149">
        <v>2</v>
      </c>
      <c r="M1149">
        <v>243</v>
      </c>
      <c r="N1149">
        <v>0.96444444444444444</v>
      </c>
      <c r="O1149">
        <v>24704182.75</v>
      </c>
      <c r="P1149">
        <v>137870</v>
      </c>
      <c r="Q1149">
        <v>2</v>
      </c>
      <c r="R1149">
        <v>244</v>
      </c>
      <c r="S1149">
        <v>11.580950057930362</v>
      </c>
      <c r="T1149">
        <v>0.97530863682428992</v>
      </c>
    </row>
    <row r="1150" spans="1:20" x14ac:dyDescent="0.25">
      <c r="A1150" t="s">
        <v>106</v>
      </c>
      <c r="B1150">
        <v>5</v>
      </c>
      <c r="C1150">
        <v>4</v>
      </c>
      <c r="D1150">
        <v>0</v>
      </c>
      <c r="E1150" t="s">
        <v>294</v>
      </c>
      <c r="F1150">
        <v>144625</v>
      </c>
      <c r="G1150">
        <v>174118925.5</v>
      </c>
      <c r="H1150">
        <v>0.96111111342906952</v>
      </c>
      <c r="I1150">
        <v>0.96777777777777774</v>
      </c>
      <c r="J1150">
        <v>26661128</v>
      </c>
      <c r="K1150">
        <v>144260</v>
      </c>
      <c r="L1150">
        <v>2</v>
      </c>
      <c r="M1150">
        <v>250</v>
      </c>
      <c r="N1150">
        <v>0.97222222222222221</v>
      </c>
      <c r="O1150">
        <v>25241959.25</v>
      </c>
      <c r="P1150">
        <v>145339</v>
      </c>
      <c r="Q1150">
        <v>2</v>
      </c>
      <c r="R1150">
        <v>251</v>
      </c>
      <c r="S1150">
        <v>11.580442601963055</v>
      </c>
      <c r="T1150">
        <v>0.96666663885116577</v>
      </c>
    </row>
    <row r="1151" spans="1:20" x14ac:dyDescent="0.25">
      <c r="A1151" t="s">
        <v>106</v>
      </c>
      <c r="B1151">
        <v>5</v>
      </c>
      <c r="C1151">
        <v>4</v>
      </c>
      <c r="D1151">
        <v>0</v>
      </c>
      <c r="E1151" t="s">
        <v>253</v>
      </c>
      <c r="F1151">
        <v>152400</v>
      </c>
      <c r="G1151">
        <v>171865136.5</v>
      </c>
      <c r="H1151">
        <v>0.96333333849906921</v>
      </c>
      <c r="I1151">
        <v>0.97</v>
      </c>
      <c r="J1151">
        <v>26746946.5</v>
      </c>
      <c r="K1151">
        <v>151897</v>
      </c>
      <c r="L1151">
        <v>2</v>
      </c>
      <c r="M1151">
        <v>257</v>
      </c>
      <c r="N1151">
        <v>0.96722222222222221</v>
      </c>
      <c r="O1151">
        <v>26333077.75</v>
      </c>
      <c r="P1151">
        <v>153004</v>
      </c>
      <c r="Q1151">
        <v>2</v>
      </c>
      <c r="R1151">
        <v>258</v>
      </c>
      <c r="S1151">
        <v>11.579569695861522</v>
      </c>
      <c r="T1151">
        <v>0.96666665871938073</v>
      </c>
    </row>
    <row r="1152" spans="1:20" x14ac:dyDescent="0.25">
      <c r="A1152" t="s">
        <v>106</v>
      </c>
      <c r="B1152">
        <v>5</v>
      </c>
      <c r="C1152">
        <v>4</v>
      </c>
      <c r="D1152">
        <v>0</v>
      </c>
      <c r="E1152" t="s">
        <v>254</v>
      </c>
      <c r="F1152">
        <v>160175</v>
      </c>
      <c r="G1152">
        <v>159383962.75</v>
      </c>
      <c r="H1152">
        <v>0.95944446325302124</v>
      </c>
      <c r="I1152">
        <v>0.96777777777777785</v>
      </c>
      <c r="J1152">
        <v>27726401.5</v>
      </c>
      <c r="K1152">
        <v>159730</v>
      </c>
      <c r="L1152">
        <v>2</v>
      </c>
      <c r="M1152">
        <v>264</v>
      </c>
      <c r="N1152">
        <v>0.97444444444444445</v>
      </c>
      <c r="O1152">
        <v>28343737.75</v>
      </c>
      <c r="P1152">
        <v>160865</v>
      </c>
      <c r="Q1152">
        <v>2</v>
      </c>
      <c r="R1152">
        <v>265</v>
      </c>
      <c r="S1152">
        <v>11.578758150021327</v>
      </c>
      <c r="T1152">
        <v>0.95555555820465088</v>
      </c>
    </row>
    <row r="1153" spans="1:20" x14ac:dyDescent="0.25">
      <c r="A1153" t="s">
        <v>106</v>
      </c>
      <c r="B1153">
        <v>5</v>
      </c>
      <c r="C1153">
        <v>4</v>
      </c>
      <c r="D1153">
        <v>0</v>
      </c>
      <c r="E1153" t="s">
        <v>111</v>
      </c>
      <c r="F1153">
        <v>167950</v>
      </c>
      <c r="G1153">
        <v>168834655.5</v>
      </c>
      <c r="H1153">
        <v>0.96111111342906952</v>
      </c>
      <c r="I1153">
        <v>0.97222222222222221</v>
      </c>
      <c r="J1153">
        <v>28593967.5</v>
      </c>
      <c r="K1153">
        <v>167759</v>
      </c>
      <c r="L1153">
        <v>2</v>
      </c>
      <c r="M1153">
        <v>271</v>
      </c>
      <c r="N1153">
        <v>0.97055555555555562</v>
      </c>
      <c r="O1153">
        <v>29631824.5</v>
      </c>
      <c r="P1153">
        <v>168922</v>
      </c>
      <c r="Q1153">
        <v>2</v>
      </c>
      <c r="R1153">
        <v>272</v>
      </c>
      <c r="S1153">
        <v>11.578190679256778</v>
      </c>
      <c r="T1153">
        <v>0.96666665871938073</v>
      </c>
    </row>
    <row r="1154" spans="1:20" x14ac:dyDescent="0.25">
      <c r="A1154" t="s">
        <v>106</v>
      </c>
      <c r="B1154">
        <v>5</v>
      </c>
      <c r="C1154">
        <v>4</v>
      </c>
      <c r="D1154">
        <v>0</v>
      </c>
      <c r="E1154" t="s">
        <v>255</v>
      </c>
      <c r="F1154">
        <v>175725</v>
      </c>
      <c r="G1154">
        <v>174893437.75</v>
      </c>
      <c r="H1154">
        <v>0.96333332359790802</v>
      </c>
      <c r="I1154">
        <v>0.96944444444444444</v>
      </c>
      <c r="J1154">
        <v>29965005</v>
      </c>
      <c r="K1154">
        <v>174797</v>
      </c>
      <c r="L1154">
        <v>2</v>
      </c>
      <c r="M1154">
        <v>277</v>
      </c>
      <c r="N1154">
        <v>0.96722222222222221</v>
      </c>
      <c r="O1154">
        <v>29511369.5</v>
      </c>
      <c r="P1154">
        <v>175984</v>
      </c>
      <c r="Q1154">
        <v>2</v>
      </c>
      <c r="R1154">
        <v>278</v>
      </c>
      <c r="S1154">
        <v>11.577501674888849</v>
      </c>
      <c r="T1154">
        <v>0.96296296517054236</v>
      </c>
    </row>
    <row r="1155" spans="1:20" x14ac:dyDescent="0.25">
      <c r="A1155" t="s">
        <v>106</v>
      </c>
      <c r="B1155">
        <v>5</v>
      </c>
      <c r="C1155">
        <v>4</v>
      </c>
      <c r="D1155">
        <v>0</v>
      </c>
      <c r="E1155" t="s">
        <v>116</v>
      </c>
      <c r="F1155">
        <v>183500</v>
      </c>
      <c r="G1155">
        <v>202471875</v>
      </c>
      <c r="H1155">
        <v>0.96166665852069855</v>
      </c>
      <c r="I1155">
        <v>0.97</v>
      </c>
      <c r="J1155">
        <v>30461550</v>
      </c>
      <c r="K1155">
        <v>183190</v>
      </c>
      <c r="L1155">
        <v>2</v>
      </c>
      <c r="M1155">
        <v>284</v>
      </c>
      <c r="N1155">
        <v>0.97222222222222221</v>
      </c>
      <c r="O1155">
        <v>31155866.75</v>
      </c>
      <c r="P1155">
        <v>184405</v>
      </c>
      <c r="Q1155">
        <v>2</v>
      </c>
      <c r="R1155">
        <v>285</v>
      </c>
      <c r="S1155">
        <v>11.577056567009681</v>
      </c>
      <c r="T1155">
        <v>0.96913578112920129</v>
      </c>
    </row>
    <row r="1156" spans="1:20" x14ac:dyDescent="0.25">
      <c r="A1156" t="s">
        <v>106</v>
      </c>
      <c r="B1156">
        <v>5</v>
      </c>
      <c r="C1156">
        <v>4</v>
      </c>
      <c r="D1156">
        <v>0</v>
      </c>
      <c r="E1156" t="s">
        <v>147</v>
      </c>
      <c r="F1156">
        <v>185610</v>
      </c>
      <c r="G1156">
        <v>249936688.75</v>
      </c>
      <c r="H1156">
        <v>0.95277775824069977</v>
      </c>
      <c r="I1156">
        <v>0.97222222222222232</v>
      </c>
      <c r="J1156">
        <v>31969099.25</v>
      </c>
      <c r="K1156">
        <v>184405</v>
      </c>
      <c r="L1156">
        <v>2</v>
      </c>
      <c r="M1156">
        <v>285</v>
      </c>
      <c r="N1156">
        <v>0.97</v>
      </c>
      <c r="O1156">
        <v>31686116.75</v>
      </c>
      <c r="P1156">
        <v>185624</v>
      </c>
      <c r="Q1156">
        <v>2</v>
      </c>
      <c r="R1156">
        <v>286</v>
      </c>
      <c r="S1156">
        <v>11.576550800511352</v>
      </c>
      <c r="T1156">
        <v>0.95679012934366858</v>
      </c>
    </row>
    <row r="1157" spans="1:20" x14ac:dyDescent="0.25">
      <c r="A1157" t="s">
        <v>106</v>
      </c>
      <c r="B1157">
        <v>5</v>
      </c>
      <c r="C1157">
        <v>4</v>
      </c>
      <c r="D1157">
        <v>0</v>
      </c>
      <c r="E1157" t="s">
        <v>256</v>
      </c>
      <c r="F1157">
        <v>191275</v>
      </c>
      <c r="G1157">
        <v>350503398.75</v>
      </c>
      <c r="H1157">
        <v>0.94555555284023285</v>
      </c>
      <c r="I1157">
        <v>0.97166666666666668</v>
      </c>
      <c r="J1157">
        <v>31204682.5</v>
      </c>
      <c r="K1157">
        <v>190540</v>
      </c>
      <c r="L1157">
        <v>2</v>
      </c>
      <c r="M1157">
        <v>290</v>
      </c>
      <c r="N1157">
        <v>0.96777777777777785</v>
      </c>
      <c r="O1157">
        <v>32289597.5</v>
      </c>
      <c r="P1157">
        <v>191779</v>
      </c>
      <c r="Q1157">
        <v>2</v>
      </c>
      <c r="R1157">
        <v>291</v>
      </c>
      <c r="S1157">
        <v>11.576653885947294</v>
      </c>
      <c r="T1157">
        <v>0.94691359996795654</v>
      </c>
    </row>
    <row r="1158" spans="1:20" x14ac:dyDescent="0.25">
      <c r="A1158" t="s">
        <v>106</v>
      </c>
      <c r="B1158">
        <v>5</v>
      </c>
      <c r="C1158">
        <v>4</v>
      </c>
      <c r="D1158">
        <v>0</v>
      </c>
      <c r="E1158" t="s">
        <v>262</v>
      </c>
      <c r="F1158">
        <v>193385</v>
      </c>
      <c r="G1158">
        <v>374131386.4285714</v>
      </c>
      <c r="H1158">
        <v>0.95428571530750816</v>
      </c>
      <c r="I1158">
        <v>0.9676190476190476</v>
      </c>
      <c r="J1158">
        <v>32701326.571428571</v>
      </c>
      <c r="K1158">
        <v>193022</v>
      </c>
      <c r="L1158">
        <v>2</v>
      </c>
      <c r="M1158">
        <v>292</v>
      </c>
      <c r="N1158">
        <v>0.97111111111111115</v>
      </c>
      <c r="O1158">
        <v>31734785.285714287</v>
      </c>
      <c r="P1158">
        <v>194269</v>
      </c>
      <c r="Q1158">
        <v>2</v>
      </c>
      <c r="R1158">
        <v>293</v>
      </c>
      <c r="S1158">
        <v>11.577442511254411</v>
      </c>
      <c r="T1158">
        <v>0.95617283384005225</v>
      </c>
    </row>
    <row r="1159" spans="1:20" x14ac:dyDescent="0.25">
      <c r="A1159" t="s">
        <v>106</v>
      </c>
      <c r="B1159">
        <v>5</v>
      </c>
      <c r="C1159">
        <v>4</v>
      </c>
      <c r="D1159">
        <v>0</v>
      </c>
      <c r="E1159" t="s">
        <v>201</v>
      </c>
      <c r="F1159">
        <v>196366</v>
      </c>
      <c r="G1159">
        <v>482419189</v>
      </c>
      <c r="H1159">
        <v>0.94333332777023315</v>
      </c>
      <c r="I1159">
        <v>0.96388888888888891</v>
      </c>
      <c r="J1159">
        <v>32933406.25</v>
      </c>
      <c r="K1159">
        <v>195520</v>
      </c>
      <c r="L1159">
        <v>2</v>
      </c>
      <c r="M1159">
        <v>294</v>
      </c>
      <c r="N1159">
        <v>0.96611111111111114</v>
      </c>
      <c r="O1159">
        <v>31174356.25</v>
      </c>
      <c r="P1159">
        <v>196775</v>
      </c>
      <c r="Q1159">
        <v>2</v>
      </c>
      <c r="R1159">
        <v>295</v>
      </c>
      <c r="S1159">
        <v>11.578579248266633</v>
      </c>
      <c r="T1159">
        <v>0.95308641592661536</v>
      </c>
    </row>
    <row r="1160" spans="1:20" x14ac:dyDescent="0.25">
      <c r="A1160" t="s">
        <v>106</v>
      </c>
      <c r="B1160">
        <v>5</v>
      </c>
      <c r="C1160">
        <v>4</v>
      </c>
      <c r="D1160">
        <v>0</v>
      </c>
      <c r="E1160" t="s">
        <v>121</v>
      </c>
      <c r="F1160">
        <v>199050</v>
      </c>
      <c r="G1160">
        <v>439629116.5</v>
      </c>
      <c r="H1160">
        <v>0.95500001311302185</v>
      </c>
      <c r="I1160">
        <v>0.96611111111111114</v>
      </c>
      <c r="J1160">
        <v>31209732</v>
      </c>
      <c r="K1160">
        <v>198034</v>
      </c>
      <c r="L1160">
        <v>2</v>
      </c>
      <c r="M1160">
        <v>296</v>
      </c>
      <c r="N1160">
        <v>0.96333333333333337</v>
      </c>
      <c r="O1160">
        <v>31692377.5</v>
      </c>
      <c r="P1160">
        <v>199297</v>
      </c>
      <c r="Q1160">
        <v>2</v>
      </c>
      <c r="R1160">
        <v>297</v>
      </c>
      <c r="S1160">
        <v>11.579411407029065</v>
      </c>
      <c r="T1160">
        <v>0.95185184478759766</v>
      </c>
    </row>
    <row r="1161" spans="1:20" x14ac:dyDescent="0.25">
      <c r="A1161" t="s">
        <v>106</v>
      </c>
      <c r="B1161">
        <v>5</v>
      </c>
      <c r="C1161">
        <v>4</v>
      </c>
      <c r="D1161">
        <v>0</v>
      </c>
      <c r="E1161" t="s">
        <v>152</v>
      </c>
      <c r="F1161">
        <v>201160</v>
      </c>
      <c r="G1161">
        <v>407181574.14285713</v>
      </c>
      <c r="H1161">
        <v>0.96190476417541504</v>
      </c>
      <c r="I1161">
        <v>0.96857142857142853</v>
      </c>
      <c r="J1161">
        <v>32409343.428571429</v>
      </c>
      <c r="K1161">
        <v>200564</v>
      </c>
      <c r="L1161">
        <v>2</v>
      </c>
      <c r="M1161">
        <v>298</v>
      </c>
      <c r="N1161">
        <v>0.96634920634920629</v>
      </c>
      <c r="O1161">
        <v>33499392.285714287</v>
      </c>
      <c r="P1161">
        <v>201835</v>
      </c>
      <c r="Q1161">
        <v>2</v>
      </c>
      <c r="R1161">
        <v>299</v>
      </c>
      <c r="S1161">
        <v>11.580380477724427</v>
      </c>
      <c r="T1161">
        <v>0.96234566966692603</v>
      </c>
    </row>
    <row r="1162" spans="1:20" x14ac:dyDescent="0.25">
      <c r="A1162" t="s">
        <v>106</v>
      </c>
      <c r="B1162">
        <v>5</v>
      </c>
      <c r="C1162">
        <v>4</v>
      </c>
      <c r="D1162">
        <v>0</v>
      </c>
      <c r="E1162" t="s">
        <v>274</v>
      </c>
      <c r="F1162">
        <v>204561</v>
      </c>
      <c r="G1162">
        <v>525276713</v>
      </c>
      <c r="H1162">
        <v>0.94253967489515034</v>
      </c>
      <c r="I1162">
        <v>0.95809523809523811</v>
      </c>
      <c r="J1162">
        <v>32008512.142857142</v>
      </c>
      <c r="K1162">
        <v>204389</v>
      </c>
      <c r="L1162">
        <v>2</v>
      </c>
      <c r="M1162">
        <v>301</v>
      </c>
      <c r="N1162">
        <v>0.95936507936507931</v>
      </c>
      <c r="O1162">
        <v>31954171.714285713</v>
      </c>
      <c r="P1162">
        <v>205672</v>
      </c>
      <c r="Q1162">
        <v>2</v>
      </c>
      <c r="R1162">
        <v>302</v>
      </c>
      <c r="S1162">
        <v>11.58280680437424</v>
      </c>
      <c r="T1162">
        <v>0.96234568953514099</v>
      </c>
    </row>
    <row r="1163" spans="1:20" x14ac:dyDescent="0.25">
      <c r="A1163" t="s">
        <v>106</v>
      </c>
      <c r="B1163">
        <v>5</v>
      </c>
      <c r="C1163">
        <v>4</v>
      </c>
      <c r="D1163">
        <v>0</v>
      </c>
      <c r="E1163" t="s">
        <v>185</v>
      </c>
      <c r="F1163">
        <v>206958</v>
      </c>
      <c r="G1163">
        <v>465763950</v>
      </c>
      <c r="H1163">
        <v>0.94055555760860443</v>
      </c>
      <c r="I1163">
        <v>0.95777777777777784</v>
      </c>
      <c r="J1163">
        <v>32934552.75</v>
      </c>
      <c r="K1163">
        <v>205672</v>
      </c>
      <c r="L1163">
        <v>2</v>
      </c>
      <c r="M1163">
        <v>302</v>
      </c>
      <c r="N1163">
        <v>0.96111111111111103</v>
      </c>
      <c r="O1163">
        <v>31905862.5</v>
      </c>
      <c r="P1163">
        <v>206959</v>
      </c>
      <c r="Q1163">
        <v>2</v>
      </c>
      <c r="R1163">
        <v>303</v>
      </c>
      <c r="S1163">
        <v>11.583515549076774</v>
      </c>
      <c r="T1163">
        <v>0.95925925175348914</v>
      </c>
    </row>
    <row r="1164" spans="1:20" x14ac:dyDescent="0.25">
      <c r="A1164" t="s">
        <v>106</v>
      </c>
      <c r="B1164">
        <v>5</v>
      </c>
      <c r="C1164">
        <v>4</v>
      </c>
      <c r="D1164">
        <v>0</v>
      </c>
      <c r="E1164" t="s">
        <v>234</v>
      </c>
      <c r="F1164">
        <v>207122</v>
      </c>
      <c r="G1164">
        <v>494872105</v>
      </c>
      <c r="H1164">
        <v>0.95444443821907043</v>
      </c>
      <c r="I1164">
        <v>0.96777777777777785</v>
      </c>
      <c r="J1164">
        <v>33015710</v>
      </c>
      <c r="K1164">
        <v>206959</v>
      </c>
      <c r="L1164">
        <v>2</v>
      </c>
      <c r="M1164">
        <v>303</v>
      </c>
      <c r="N1164">
        <v>0.96277777777777773</v>
      </c>
      <c r="O1164">
        <v>34095734.75</v>
      </c>
      <c r="P1164">
        <v>208250</v>
      </c>
      <c r="Q1164">
        <v>2</v>
      </c>
      <c r="R1164">
        <v>304</v>
      </c>
      <c r="S1164">
        <v>11.584709740102015</v>
      </c>
      <c r="T1164">
        <v>0.94691358009974158</v>
      </c>
    </row>
    <row r="1165" spans="1:20" x14ac:dyDescent="0.25">
      <c r="A1165" t="s">
        <v>106</v>
      </c>
      <c r="B1165">
        <v>5</v>
      </c>
      <c r="C1165">
        <v>4</v>
      </c>
      <c r="D1165">
        <v>0</v>
      </c>
      <c r="E1165" t="s">
        <v>263</v>
      </c>
      <c r="F1165">
        <v>208935</v>
      </c>
      <c r="G1165">
        <v>551251415.5</v>
      </c>
      <c r="H1165">
        <v>0.94555555284023285</v>
      </c>
      <c r="I1165">
        <v>0.95777777777777784</v>
      </c>
      <c r="J1165">
        <v>33616524.25</v>
      </c>
      <c r="K1165">
        <v>208250</v>
      </c>
      <c r="L1165">
        <v>2</v>
      </c>
      <c r="M1165">
        <v>304</v>
      </c>
      <c r="N1165">
        <v>0.96499999999999997</v>
      </c>
      <c r="O1165">
        <v>32412813.25</v>
      </c>
      <c r="P1165">
        <v>209545</v>
      </c>
      <c r="Q1165">
        <v>2</v>
      </c>
      <c r="R1165">
        <v>305</v>
      </c>
      <c r="S1165">
        <v>11.585842642059252</v>
      </c>
      <c r="T1165">
        <v>0.95185184478759766</v>
      </c>
    </row>
    <row r="1166" spans="1:20" x14ac:dyDescent="0.25">
      <c r="A1166" t="s">
        <v>106</v>
      </c>
      <c r="B1166">
        <v>5</v>
      </c>
      <c r="C1166">
        <v>4</v>
      </c>
      <c r="D1166">
        <v>0</v>
      </c>
      <c r="E1166" t="s">
        <v>281</v>
      </c>
      <c r="F1166">
        <v>210149</v>
      </c>
      <c r="G1166">
        <v>519505907.5</v>
      </c>
      <c r="H1166">
        <v>0.93333332240581512</v>
      </c>
      <c r="I1166">
        <v>0.96611111111111114</v>
      </c>
      <c r="J1166">
        <v>32528508</v>
      </c>
      <c r="K1166">
        <v>209545</v>
      </c>
      <c r="L1166">
        <v>2</v>
      </c>
      <c r="M1166">
        <v>305</v>
      </c>
      <c r="N1166">
        <v>0.96722222222222221</v>
      </c>
      <c r="O1166">
        <v>31642140</v>
      </c>
      <c r="P1166">
        <v>210844</v>
      </c>
      <c r="Q1166">
        <v>2</v>
      </c>
      <c r="R1166">
        <v>306</v>
      </c>
      <c r="S1166">
        <v>11.586671522214129</v>
      </c>
      <c r="T1166">
        <v>0.96296296517054236</v>
      </c>
    </row>
    <row r="1167" spans="1:20" x14ac:dyDescent="0.25">
      <c r="A1167" t="s">
        <v>106</v>
      </c>
      <c r="B1167">
        <v>5</v>
      </c>
      <c r="C1167">
        <v>4</v>
      </c>
      <c r="D1167">
        <v>0</v>
      </c>
      <c r="E1167" t="s">
        <v>205</v>
      </c>
      <c r="F1167">
        <v>212756</v>
      </c>
      <c r="G1167">
        <v>423575936.25</v>
      </c>
      <c r="H1167">
        <v>0.94388888776302338</v>
      </c>
      <c r="I1167">
        <v>0.96</v>
      </c>
      <c r="J1167">
        <v>33058398.25</v>
      </c>
      <c r="K1167">
        <v>212147</v>
      </c>
      <c r="L1167">
        <v>2</v>
      </c>
      <c r="M1167">
        <v>307</v>
      </c>
      <c r="N1167">
        <v>0.9588888888888889</v>
      </c>
      <c r="O1167">
        <v>30500410.25</v>
      </c>
      <c r="P1167">
        <v>213454</v>
      </c>
      <c r="Q1167">
        <v>2</v>
      </c>
      <c r="R1167">
        <v>308</v>
      </c>
      <c r="S1167">
        <v>11.587196601941747</v>
      </c>
      <c r="T1167">
        <v>0.97901233037312829</v>
      </c>
    </row>
    <row r="1168" spans="1:20" x14ac:dyDescent="0.25">
      <c r="A1168" t="s">
        <v>106</v>
      </c>
      <c r="B1168">
        <v>5</v>
      </c>
      <c r="C1168">
        <v>4</v>
      </c>
      <c r="D1168">
        <v>0</v>
      </c>
      <c r="E1168" t="s">
        <v>269</v>
      </c>
      <c r="F1168">
        <v>214943</v>
      </c>
      <c r="G1168">
        <v>420845479</v>
      </c>
      <c r="H1168">
        <v>0.95500001311302185</v>
      </c>
      <c r="I1168">
        <v>0.96055555555555561</v>
      </c>
      <c r="J1168">
        <v>34428186.5</v>
      </c>
      <c r="K1168">
        <v>214765</v>
      </c>
      <c r="L1168">
        <v>2</v>
      </c>
      <c r="M1168">
        <v>309</v>
      </c>
      <c r="N1168">
        <v>0.95555555555555549</v>
      </c>
      <c r="O1168">
        <v>33174611.25</v>
      </c>
      <c r="P1168">
        <v>216080</v>
      </c>
      <c r="Q1168">
        <v>2</v>
      </c>
      <c r="R1168">
        <v>310</v>
      </c>
      <c r="S1168">
        <v>11.587721426838145</v>
      </c>
      <c r="T1168">
        <v>0.96296294530232751</v>
      </c>
    </row>
    <row r="1169" spans="1:20" x14ac:dyDescent="0.25">
      <c r="A1169" t="s">
        <v>106</v>
      </c>
      <c r="B1169">
        <v>5</v>
      </c>
      <c r="C1169">
        <v>4</v>
      </c>
      <c r="D1169">
        <v>0</v>
      </c>
      <c r="E1169" t="s">
        <v>157</v>
      </c>
      <c r="F1169">
        <v>216710</v>
      </c>
      <c r="G1169">
        <v>670263071.71428573</v>
      </c>
      <c r="H1169">
        <v>0.95206350088119507</v>
      </c>
      <c r="I1169">
        <v>0.96031746031746035</v>
      </c>
      <c r="J1169">
        <v>33703126.142857142</v>
      </c>
      <c r="K1169">
        <v>216080</v>
      </c>
      <c r="L1169">
        <v>2</v>
      </c>
      <c r="M1169">
        <v>310</v>
      </c>
      <c r="N1169">
        <v>0.96063492063492062</v>
      </c>
      <c r="O1169">
        <v>34688916.857142858</v>
      </c>
      <c r="P1169">
        <v>217399</v>
      </c>
      <c r="Q1169">
        <v>2</v>
      </c>
      <c r="R1169">
        <v>311</v>
      </c>
      <c r="S1169">
        <v>11.591534776544782</v>
      </c>
      <c r="T1169">
        <v>0.94506173332532251</v>
      </c>
    </row>
    <row r="1170" spans="1:20" x14ac:dyDescent="0.25">
      <c r="A1170" t="s">
        <v>106</v>
      </c>
      <c r="B1170">
        <v>5</v>
      </c>
      <c r="C1170">
        <v>4</v>
      </c>
      <c r="D1170">
        <v>0</v>
      </c>
      <c r="E1170" t="s">
        <v>222</v>
      </c>
      <c r="F1170">
        <v>218554</v>
      </c>
      <c r="G1170">
        <v>500101265</v>
      </c>
      <c r="H1170">
        <v>0.93777778744697571</v>
      </c>
      <c r="I1170">
        <v>0.96333333333333337</v>
      </c>
      <c r="J1170">
        <v>34124581.75</v>
      </c>
      <c r="K1170">
        <v>217399</v>
      </c>
      <c r="L1170">
        <v>2</v>
      </c>
      <c r="M1170">
        <v>311</v>
      </c>
      <c r="N1170">
        <v>0.95944444444444443</v>
      </c>
      <c r="O1170">
        <v>34446221.75</v>
      </c>
      <c r="P1170">
        <v>218722</v>
      </c>
      <c r="Q1170">
        <v>2</v>
      </c>
      <c r="R1170">
        <v>312</v>
      </c>
      <c r="S1170">
        <v>11.592118823886025</v>
      </c>
      <c r="T1170">
        <v>0.94567900896072388</v>
      </c>
    </row>
    <row r="1171" spans="1:20" x14ac:dyDescent="0.25">
      <c r="A1171" t="s">
        <v>106</v>
      </c>
      <c r="B1171">
        <v>5</v>
      </c>
      <c r="C1171">
        <v>4</v>
      </c>
      <c r="D1171">
        <v>0</v>
      </c>
      <c r="E1171" t="s">
        <v>275</v>
      </c>
      <c r="F1171">
        <v>220951</v>
      </c>
      <c r="G1171">
        <v>381485496</v>
      </c>
      <c r="H1171">
        <v>0.94555555284023285</v>
      </c>
      <c r="I1171">
        <v>0.95666666666666667</v>
      </c>
      <c r="J1171">
        <v>33181875</v>
      </c>
      <c r="K1171">
        <v>220049</v>
      </c>
      <c r="L1171">
        <v>2</v>
      </c>
      <c r="M1171">
        <v>313</v>
      </c>
      <c r="N1171">
        <v>0.9588888888888889</v>
      </c>
      <c r="O1171">
        <v>33197845.75</v>
      </c>
      <c r="P1171">
        <v>221380</v>
      </c>
      <c r="Q1171">
        <v>2</v>
      </c>
      <c r="R1171">
        <v>314</v>
      </c>
      <c r="S1171">
        <v>11.592157100430329</v>
      </c>
      <c r="T1171">
        <v>0.97037037213643396</v>
      </c>
    </row>
    <row r="1172" spans="1:20" x14ac:dyDescent="0.25">
      <c r="A1172" t="s">
        <v>106</v>
      </c>
      <c r="B1172">
        <v>5</v>
      </c>
      <c r="C1172">
        <v>4</v>
      </c>
      <c r="D1172">
        <v>0</v>
      </c>
      <c r="E1172" t="s">
        <v>186</v>
      </c>
      <c r="F1172">
        <v>222928</v>
      </c>
      <c r="G1172">
        <v>357855188</v>
      </c>
      <c r="H1172">
        <v>0.95555554330348969</v>
      </c>
      <c r="I1172">
        <v>0.95499999999999996</v>
      </c>
      <c r="J1172">
        <v>33722030.75</v>
      </c>
      <c r="K1172">
        <v>222715</v>
      </c>
      <c r="L1172">
        <v>2</v>
      </c>
      <c r="M1172">
        <v>315</v>
      </c>
      <c r="N1172">
        <v>0.9588888888888889</v>
      </c>
      <c r="O1172">
        <v>34684687.75</v>
      </c>
      <c r="P1172">
        <v>224054</v>
      </c>
      <c r="Q1172">
        <v>2</v>
      </c>
      <c r="R1172">
        <v>316</v>
      </c>
      <c r="S1172">
        <v>11.592437738592983</v>
      </c>
      <c r="T1172">
        <v>0.97037037213643396</v>
      </c>
    </row>
    <row r="1173" spans="1:20" x14ac:dyDescent="0.25">
      <c r="A1173" t="s">
        <v>106</v>
      </c>
      <c r="B1173">
        <v>5</v>
      </c>
      <c r="C1173">
        <v>4</v>
      </c>
      <c r="D1173">
        <v>0</v>
      </c>
      <c r="E1173" t="s">
        <v>264</v>
      </c>
      <c r="F1173">
        <v>224485</v>
      </c>
      <c r="G1173">
        <v>508623327</v>
      </c>
      <c r="H1173">
        <v>0.95388889312744141</v>
      </c>
      <c r="I1173">
        <v>0.96333333333333337</v>
      </c>
      <c r="J1173">
        <v>34345845.25</v>
      </c>
      <c r="K1173">
        <v>224054</v>
      </c>
      <c r="L1173">
        <v>2</v>
      </c>
      <c r="M1173">
        <v>316</v>
      </c>
      <c r="N1173">
        <v>0.97111111111111115</v>
      </c>
      <c r="O1173">
        <v>34096770.25</v>
      </c>
      <c r="P1173">
        <v>225397</v>
      </c>
      <c r="Q1173">
        <v>2</v>
      </c>
      <c r="R1173">
        <v>317</v>
      </c>
      <c r="S1173">
        <v>11.593021142545586</v>
      </c>
      <c r="T1173">
        <v>0.94567900896072388</v>
      </c>
    </row>
    <row r="1174" spans="1:20" x14ac:dyDescent="0.25">
      <c r="A1174" t="s">
        <v>106</v>
      </c>
      <c r="B1174">
        <v>5</v>
      </c>
      <c r="C1174">
        <v>4</v>
      </c>
      <c r="D1174">
        <v>0</v>
      </c>
      <c r="E1174" t="s">
        <v>282</v>
      </c>
      <c r="F1174">
        <v>226959</v>
      </c>
      <c r="G1174">
        <v>539282827.85714281</v>
      </c>
      <c r="H1174">
        <v>0.95206349236624577</v>
      </c>
      <c r="I1174">
        <v>0.96253968253968258</v>
      </c>
      <c r="J1174">
        <v>35001293.285714284</v>
      </c>
      <c r="K1174">
        <v>226744</v>
      </c>
      <c r="L1174">
        <v>2</v>
      </c>
      <c r="M1174">
        <v>318</v>
      </c>
      <c r="N1174">
        <v>0.95523809523809522</v>
      </c>
      <c r="O1174">
        <v>34654611.571428575</v>
      </c>
      <c r="P1174">
        <v>228095</v>
      </c>
      <c r="Q1174">
        <v>2</v>
      </c>
      <c r="R1174">
        <v>319</v>
      </c>
      <c r="S1174">
        <v>11.594828630253119</v>
      </c>
      <c r="T1174">
        <v>0.96666665871938073</v>
      </c>
    </row>
    <row r="1175" spans="1:20" x14ac:dyDescent="0.25">
      <c r="A1175" t="s">
        <v>106</v>
      </c>
      <c r="B1175">
        <v>5</v>
      </c>
      <c r="C1175">
        <v>4</v>
      </c>
      <c r="D1175">
        <v>0</v>
      </c>
      <c r="E1175" t="s">
        <v>208</v>
      </c>
      <c r="F1175">
        <v>229146</v>
      </c>
      <c r="G1175">
        <v>414884059.75</v>
      </c>
      <c r="H1175">
        <v>0.95111110806465149</v>
      </c>
      <c r="I1175">
        <v>0.9622222222222222</v>
      </c>
      <c r="J1175">
        <v>32230037.25</v>
      </c>
      <c r="K1175">
        <v>228095</v>
      </c>
      <c r="L1175">
        <v>2</v>
      </c>
      <c r="M1175">
        <v>319</v>
      </c>
      <c r="N1175">
        <v>0.95777777777777773</v>
      </c>
      <c r="O1175">
        <v>32619151</v>
      </c>
      <c r="P1175">
        <v>229450</v>
      </c>
      <c r="Q1175">
        <v>2</v>
      </c>
      <c r="R1175">
        <v>320</v>
      </c>
      <c r="S1175">
        <v>11.594987286596441</v>
      </c>
      <c r="T1175">
        <v>0.96666665871938073</v>
      </c>
    </row>
    <row r="1176" spans="1:20" x14ac:dyDescent="0.25">
      <c r="A1176" t="s">
        <v>106</v>
      </c>
      <c r="B1176">
        <v>5</v>
      </c>
      <c r="C1176">
        <v>4</v>
      </c>
      <c r="D1176">
        <v>0</v>
      </c>
      <c r="E1176" t="s">
        <v>270</v>
      </c>
      <c r="F1176">
        <v>230913</v>
      </c>
      <c r="G1176">
        <v>433177905.25</v>
      </c>
      <c r="H1176">
        <v>0.93333335220813751</v>
      </c>
      <c r="I1176">
        <v>0.9588888888888889</v>
      </c>
      <c r="J1176">
        <v>33718184.5</v>
      </c>
      <c r="K1176">
        <v>230809</v>
      </c>
      <c r="L1176">
        <v>2</v>
      </c>
      <c r="M1176">
        <v>321</v>
      </c>
      <c r="N1176">
        <v>0.96611111111111114</v>
      </c>
      <c r="O1176">
        <v>33799517.75</v>
      </c>
      <c r="P1176">
        <v>232172</v>
      </c>
      <c r="Q1176">
        <v>2</v>
      </c>
      <c r="R1176">
        <v>322</v>
      </c>
      <c r="S1176">
        <v>11.595085340757777</v>
      </c>
      <c r="T1176">
        <v>0.93827160199483239</v>
      </c>
    </row>
    <row r="1177" spans="1:20" x14ac:dyDescent="0.25">
      <c r="A1177" t="s">
        <v>106</v>
      </c>
      <c r="B1177">
        <v>5</v>
      </c>
      <c r="C1177">
        <v>4</v>
      </c>
      <c r="D1177">
        <v>0</v>
      </c>
      <c r="E1177" t="s">
        <v>162</v>
      </c>
      <c r="F1177">
        <v>232260</v>
      </c>
      <c r="G1177">
        <v>506993016</v>
      </c>
      <c r="H1177">
        <v>0.95222222805023193</v>
      </c>
      <c r="I1177">
        <v>0.96611111111111114</v>
      </c>
      <c r="J1177">
        <v>33803288</v>
      </c>
      <c r="K1177">
        <v>232172</v>
      </c>
      <c r="L1177">
        <v>2</v>
      </c>
      <c r="M1177">
        <v>322</v>
      </c>
      <c r="N1177">
        <v>0.97111111111111115</v>
      </c>
      <c r="O1177">
        <v>35920999.25</v>
      </c>
      <c r="P1177">
        <v>233539</v>
      </c>
      <c r="Q1177">
        <v>2</v>
      </c>
      <c r="R1177">
        <v>323</v>
      </c>
      <c r="S1177">
        <v>11.595546411714874</v>
      </c>
      <c r="T1177">
        <v>0.94691358009974158</v>
      </c>
    </row>
    <row r="1178" spans="1:20" x14ac:dyDescent="0.25">
      <c r="A1178" t="s">
        <v>106</v>
      </c>
      <c r="B1178">
        <v>5</v>
      </c>
      <c r="C1178">
        <v>4</v>
      </c>
      <c r="D1178">
        <v>0</v>
      </c>
      <c r="E1178" t="s">
        <v>223</v>
      </c>
      <c r="F1178">
        <v>235364</v>
      </c>
      <c r="G1178">
        <v>443456880.4285714</v>
      </c>
      <c r="H1178">
        <v>0.96380951574870521</v>
      </c>
      <c r="I1178">
        <v>0.96666666666666667</v>
      </c>
      <c r="J1178">
        <v>34517831</v>
      </c>
      <c r="K1178">
        <v>234910</v>
      </c>
      <c r="L1178">
        <v>2</v>
      </c>
      <c r="M1178">
        <v>324</v>
      </c>
      <c r="N1178">
        <v>0.96349206349206351</v>
      </c>
      <c r="O1178">
        <v>35386745.142857142</v>
      </c>
      <c r="P1178">
        <v>236285</v>
      </c>
      <c r="Q1178">
        <v>2</v>
      </c>
      <c r="R1178">
        <v>325</v>
      </c>
      <c r="S1178">
        <v>11.596503961773422</v>
      </c>
      <c r="T1178">
        <v>0.96666666865348816</v>
      </c>
    </row>
    <row r="1179" spans="1:20" x14ac:dyDescent="0.25">
      <c r="A1179" t="s">
        <v>106</v>
      </c>
      <c r="B1179">
        <v>5</v>
      </c>
      <c r="C1179">
        <v>4</v>
      </c>
      <c r="D1179">
        <v>0</v>
      </c>
      <c r="E1179" t="s">
        <v>276</v>
      </c>
      <c r="F1179">
        <v>237341</v>
      </c>
      <c r="G1179">
        <v>440656517</v>
      </c>
      <c r="H1179">
        <v>0.94944442808628082</v>
      </c>
      <c r="I1179">
        <v>0.95499999999999996</v>
      </c>
      <c r="J1179">
        <v>34246476.75</v>
      </c>
      <c r="K1179">
        <v>236285</v>
      </c>
      <c r="L1179">
        <v>2</v>
      </c>
      <c r="M1179">
        <v>325</v>
      </c>
      <c r="N1179">
        <v>0.96111111111111114</v>
      </c>
      <c r="O1179">
        <v>33357285.5</v>
      </c>
      <c r="P1179">
        <v>237664</v>
      </c>
      <c r="Q1179">
        <v>2</v>
      </c>
      <c r="R1179">
        <v>326</v>
      </c>
      <c r="S1179">
        <v>11.597266735199854</v>
      </c>
      <c r="T1179">
        <v>0.96666665871938073</v>
      </c>
    </row>
    <row r="1180" spans="1:20" x14ac:dyDescent="0.25">
      <c r="A1180" t="s">
        <v>106</v>
      </c>
      <c r="B1180">
        <v>5</v>
      </c>
      <c r="C1180">
        <v>4</v>
      </c>
      <c r="D1180">
        <v>0</v>
      </c>
      <c r="E1180" t="s">
        <v>189</v>
      </c>
      <c r="F1180">
        <v>238898</v>
      </c>
      <c r="G1180">
        <v>478938143.75</v>
      </c>
      <c r="H1180">
        <v>0.96555554866790771</v>
      </c>
      <c r="I1180">
        <v>0.9588888888888889</v>
      </c>
      <c r="J1180">
        <v>34703232.75</v>
      </c>
      <c r="K1180">
        <v>237664</v>
      </c>
      <c r="L1180">
        <v>2</v>
      </c>
      <c r="M1180">
        <v>326</v>
      </c>
      <c r="N1180">
        <v>0.9572222222222222</v>
      </c>
      <c r="O1180">
        <v>35971010.25</v>
      </c>
      <c r="P1180">
        <v>239047</v>
      </c>
      <c r="Q1180">
        <v>2</v>
      </c>
      <c r="R1180">
        <v>327</v>
      </c>
      <c r="S1180">
        <v>11.598150051387462</v>
      </c>
      <c r="T1180">
        <v>0.97530865669250488</v>
      </c>
    </row>
    <row r="1181" spans="1:20" x14ac:dyDescent="0.25">
      <c r="A1181" t="s">
        <v>106</v>
      </c>
      <c r="B1181">
        <v>5</v>
      </c>
      <c r="C1181">
        <v>4</v>
      </c>
      <c r="D1181">
        <v>0</v>
      </c>
      <c r="E1181" t="s">
        <v>265</v>
      </c>
      <c r="F1181">
        <v>240035</v>
      </c>
      <c r="G1181">
        <v>439490770.75</v>
      </c>
      <c r="H1181">
        <v>0.95666667819023132</v>
      </c>
      <c r="I1181">
        <v>0.96333333333333337</v>
      </c>
      <c r="J1181">
        <v>35728217</v>
      </c>
      <c r="K1181">
        <v>239047</v>
      </c>
      <c r="L1181">
        <v>2</v>
      </c>
      <c r="M1181">
        <v>327</v>
      </c>
      <c r="N1181">
        <v>0.96722222222222221</v>
      </c>
      <c r="O1181">
        <v>36264804.5</v>
      </c>
      <c r="P1181">
        <v>240434</v>
      </c>
      <c r="Q1181">
        <v>2</v>
      </c>
      <c r="R1181">
        <v>328</v>
      </c>
      <c r="S1181">
        <v>11.598549410698096</v>
      </c>
      <c r="T1181">
        <v>0.9592592716217041</v>
      </c>
    </row>
    <row r="1182" spans="1:20" x14ac:dyDescent="0.25">
      <c r="A1182" t="s">
        <v>106</v>
      </c>
      <c r="B1182">
        <v>5</v>
      </c>
      <c r="C1182">
        <v>4</v>
      </c>
      <c r="D1182">
        <v>0</v>
      </c>
      <c r="E1182" t="s">
        <v>239</v>
      </c>
      <c r="F1182">
        <v>241582</v>
      </c>
      <c r="G1182">
        <v>498959870</v>
      </c>
      <c r="H1182">
        <v>0.95000000298023224</v>
      </c>
      <c r="I1182">
        <v>0.96277777777777773</v>
      </c>
      <c r="J1182">
        <v>35408382.75</v>
      </c>
      <c r="K1182">
        <v>240434</v>
      </c>
      <c r="L1182">
        <v>2</v>
      </c>
      <c r="M1182">
        <v>328</v>
      </c>
      <c r="N1182">
        <v>0.96444444444444444</v>
      </c>
      <c r="O1182">
        <v>35684050.75</v>
      </c>
      <c r="P1182">
        <v>241825</v>
      </c>
      <c r="Q1182">
        <v>2</v>
      </c>
      <c r="R1182">
        <v>329</v>
      </c>
      <c r="S1182">
        <v>11.598586017282011</v>
      </c>
      <c r="T1182">
        <v>0.95308643579483032</v>
      </c>
    </row>
    <row r="1183" spans="1:20" x14ac:dyDescent="0.25">
      <c r="A1183" t="s">
        <v>106</v>
      </c>
      <c r="B1183">
        <v>5</v>
      </c>
      <c r="C1183">
        <v>4</v>
      </c>
      <c r="D1183">
        <v>0</v>
      </c>
      <c r="E1183" t="s">
        <v>283</v>
      </c>
      <c r="F1183">
        <v>243769</v>
      </c>
      <c r="G1183">
        <v>467771022.5</v>
      </c>
      <c r="H1183">
        <v>0.94388888776302338</v>
      </c>
      <c r="I1183">
        <v>0.96</v>
      </c>
      <c r="J1183">
        <v>34212918.25</v>
      </c>
      <c r="K1183">
        <v>243220</v>
      </c>
      <c r="L1183">
        <v>2</v>
      </c>
      <c r="M1183">
        <v>330</v>
      </c>
      <c r="N1183">
        <v>0.9588888888888889</v>
      </c>
      <c r="O1183">
        <v>35514667.25</v>
      </c>
      <c r="P1183">
        <v>244619</v>
      </c>
      <c r="Q1183">
        <v>2</v>
      </c>
      <c r="R1183">
        <v>331</v>
      </c>
      <c r="S1183">
        <v>11.59904549024346</v>
      </c>
      <c r="T1183">
        <v>0.95432096719741821</v>
      </c>
    </row>
    <row r="1184" spans="1:20" x14ac:dyDescent="0.25">
      <c r="A1184" t="s">
        <v>106</v>
      </c>
      <c r="B1184">
        <v>5</v>
      </c>
      <c r="C1184">
        <v>4</v>
      </c>
      <c r="D1184">
        <v>0</v>
      </c>
      <c r="E1184" t="s">
        <v>209</v>
      </c>
      <c r="F1184">
        <v>245536</v>
      </c>
      <c r="G1184">
        <v>483433008.25</v>
      </c>
      <c r="H1184">
        <v>0.95722222328186035</v>
      </c>
      <c r="I1184">
        <v>0.9588888888888889</v>
      </c>
      <c r="J1184">
        <v>33886013.5</v>
      </c>
      <c r="K1184">
        <v>244619</v>
      </c>
      <c r="L1184">
        <v>2</v>
      </c>
      <c r="M1184">
        <v>331</v>
      </c>
      <c r="N1184">
        <v>0.95500000000000007</v>
      </c>
      <c r="O1184">
        <v>34220488.75</v>
      </c>
      <c r="P1184">
        <v>246022</v>
      </c>
      <c r="Q1184">
        <v>2</v>
      </c>
      <c r="R1184">
        <v>332</v>
      </c>
      <c r="S1184">
        <v>11.599867125687021</v>
      </c>
      <c r="T1184">
        <v>0.96419751644134521</v>
      </c>
    </row>
    <row r="1185" spans="1:20" x14ac:dyDescent="0.25">
      <c r="A1185" t="s">
        <v>106</v>
      </c>
      <c r="B1185">
        <v>5</v>
      </c>
      <c r="C1185">
        <v>4</v>
      </c>
      <c r="D1185">
        <v>0</v>
      </c>
      <c r="E1185" t="s">
        <v>271</v>
      </c>
      <c r="F1185">
        <v>246883</v>
      </c>
      <c r="G1185">
        <v>461603977.75</v>
      </c>
      <c r="H1185">
        <v>0.95000000298023224</v>
      </c>
      <c r="I1185">
        <v>0.9588888888888889</v>
      </c>
      <c r="J1185">
        <v>34643545.5</v>
      </c>
      <c r="K1185">
        <v>246022</v>
      </c>
      <c r="L1185">
        <v>2</v>
      </c>
      <c r="M1185">
        <v>332</v>
      </c>
      <c r="N1185">
        <v>0.95500000000000007</v>
      </c>
      <c r="O1185">
        <v>35183629</v>
      </c>
      <c r="P1185">
        <v>247429</v>
      </c>
      <c r="Q1185">
        <v>2</v>
      </c>
      <c r="R1185">
        <v>333</v>
      </c>
      <c r="S1185">
        <v>11.600265684439345</v>
      </c>
      <c r="T1185">
        <v>0.96419751644134521</v>
      </c>
    </row>
    <row r="1186" spans="1:20" x14ac:dyDescent="0.25">
      <c r="A1186" t="s">
        <v>106</v>
      </c>
      <c r="B1186">
        <v>5</v>
      </c>
      <c r="C1186">
        <v>4</v>
      </c>
      <c r="D1186">
        <v>0</v>
      </c>
      <c r="E1186" t="s">
        <v>134</v>
      </c>
      <c r="F1186">
        <v>247810</v>
      </c>
      <c r="G1186">
        <v>418387283.5</v>
      </c>
      <c r="H1186">
        <v>0.9677777886390686</v>
      </c>
      <c r="I1186">
        <v>0.96888888888888891</v>
      </c>
      <c r="J1186">
        <v>34703019</v>
      </c>
      <c r="K1186">
        <v>247429</v>
      </c>
      <c r="L1186">
        <v>2</v>
      </c>
      <c r="M1186">
        <v>333</v>
      </c>
      <c r="N1186">
        <v>0.96388888888888891</v>
      </c>
      <c r="O1186">
        <v>36831187</v>
      </c>
      <c r="P1186">
        <v>248840</v>
      </c>
      <c r="Q1186">
        <v>2</v>
      </c>
      <c r="R1186">
        <v>334</v>
      </c>
      <c r="S1186">
        <v>11.600724418955629</v>
      </c>
      <c r="T1186">
        <v>0.95679012934366858</v>
      </c>
    </row>
    <row r="1187" spans="1:20" x14ac:dyDescent="0.25">
      <c r="A1187" t="s">
        <v>106</v>
      </c>
      <c r="B1187">
        <v>5</v>
      </c>
      <c r="C1187">
        <v>4</v>
      </c>
      <c r="D1187">
        <v>0</v>
      </c>
      <c r="E1187" t="s">
        <v>290</v>
      </c>
      <c r="F1187">
        <v>250197</v>
      </c>
      <c r="G1187">
        <v>522866860</v>
      </c>
      <c r="H1187">
        <v>0.95944444835186005</v>
      </c>
      <c r="I1187">
        <v>0.96388888888888891</v>
      </c>
      <c r="J1187">
        <v>36737007.75</v>
      </c>
      <c r="K1187">
        <v>248840</v>
      </c>
      <c r="L1187">
        <v>2</v>
      </c>
      <c r="M1187">
        <v>334</v>
      </c>
      <c r="N1187">
        <v>0.96888888888888891</v>
      </c>
      <c r="O1187">
        <v>35959784.5</v>
      </c>
      <c r="P1187">
        <v>250255</v>
      </c>
      <c r="Q1187">
        <v>2</v>
      </c>
      <c r="R1187">
        <v>335</v>
      </c>
      <c r="S1187">
        <v>11.601001870963849</v>
      </c>
      <c r="T1187">
        <v>0.95925925175348914</v>
      </c>
    </row>
    <row r="1188" spans="1:20" x14ac:dyDescent="0.25">
      <c r="A1188" t="s">
        <v>106</v>
      </c>
      <c r="B1188">
        <v>5</v>
      </c>
      <c r="C1188">
        <v>4</v>
      </c>
      <c r="D1188">
        <v>0</v>
      </c>
      <c r="E1188" t="s">
        <v>224</v>
      </c>
      <c r="F1188">
        <v>252174</v>
      </c>
      <c r="G1188">
        <v>592486233.75</v>
      </c>
      <c r="H1188">
        <v>0.94277778267860413</v>
      </c>
      <c r="I1188">
        <v>0.96055555555555561</v>
      </c>
      <c r="J1188">
        <v>36695698.5</v>
      </c>
      <c r="K1188">
        <v>251674</v>
      </c>
      <c r="L1188">
        <v>2</v>
      </c>
      <c r="M1188">
        <v>336</v>
      </c>
      <c r="N1188">
        <v>0.95833333333333326</v>
      </c>
      <c r="O1188">
        <v>35616457.5</v>
      </c>
      <c r="P1188">
        <v>253097</v>
      </c>
      <c r="Q1188">
        <v>2</v>
      </c>
      <c r="R1188">
        <v>337</v>
      </c>
      <c r="S1188">
        <v>11.602063597417485</v>
      </c>
      <c r="T1188">
        <v>0.9308641950289408</v>
      </c>
    </row>
    <row r="1189" spans="1:20" x14ac:dyDescent="0.25">
      <c r="A1189" t="s">
        <v>106</v>
      </c>
      <c r="B1189">
        <v>5</v>
      </c>
      <c r="C1189">
        <v>4</v>
      </c>
      <c r="D1189">
        <v>0</v>
      </c>
      <c r="E1189" t="s">
        <v>277</v>
      </c>
      <c r="F1189">
        <v>253731</v>
      </c>
      <c r="G1189">
        <v>519056087.5</v>
      </c>
      <c r="H1189">
        <v>0.9349999874830246</v>
      </c>
      <c r="I1189">
        <v>0.96055555555555561</v>
      </c>
      <c r="J1189">
        <v>34630102.25</v>
      </c>
      <c r="K1189">
        <v>253097</v>
      </c>
      <c r="L1189">
        <v>2</v>
      </c>
      <c r="M1189">
        <v>337</v>
      </c>
      <c r="N1189">
        <v>0.95833333333333326</v>
      </c>
      <c r="O1189">
        <v>35013005.25</v>
      </c>
      <c r="P1189">
        <v>254524</v>
      </c>
      <c r="Q1189">
        <v>2</v>
      </c>
      <c r="R1189">
        <v>338</v>
      </c>
      <c r="S1189">
        <v>11.602461241479158</v>
      </c>
      <c r="T1189">
        <v>0.94567898909250891</v>
      </c>
    </row>
    <row r="1190" spans="1:20" x14ac:dyDescent="0.25">
      <c r="A1190" t="s">
        <v>106</v>
      </c>
      <c r="B1190">
        <v>5</v>
      </c>
      <c r="C1190">
        <v>4</v>
      </c>
      <c r="D1190">
        <v>0</v>
      </c>
      <c r="E1190" t="s">
        <v>259</v>
      </c>
      <c r="F1190">
        <v>255585</v>
      </c>
      <c r="G1190">
        <v>445921143</v>
      </c>
      <c r="H1190">
        <v>0.92222222685813904</v>
      </c>
      <c r="I1190">
        <v>0.95833333333333326</v>
      </c>
      <c r="J1190">
        <v>34917794.5</v>
      </c>
      <c r="K1190">
        <v>254524</v>
      </c>
      <c r="L1190">
        <v>2</v>
      </c>
      <c r="M1190">
        <v>338</v>
      </c>
      <c r="N1190">
        <v>0.95611111111111113</v>
      </c>
      <c r="O1190">
        <v>35350664.75</v>
      </c>
      <c r="P1190">
        <v>255955</v>
      </c>
      <c r="Q1190">
        <v>2</v>
      </c>
      <c r="R1190">
        <v>339</v>
      </c>
      <c r="S1190">
        <v>11.602557143718714</v>
      </c>
      <c r="T1190">
        <v>0.95308641592661536</v>
      </c>
    </row>
    <row r="1191" spans="1:20" x14ac:dyDescent="0.25">
      <c r="A1191" t="s">
        <v>106</v>
      </c>
      <c r="B1191">
        <v>5</v>
      </c>
      <c r="C1191">
        <v>4</v>
      </c>
      <c r="D1191">
        <v>0</v>
      </c>
      <c r="E1191" t="s">
        <v>240</v>
      </c>
      <c r="F1191">
        <v>258812</v>
      </c>
      <c r="G1191">
        <v>620274028.42857146</v>
      </c>
      <c r="H1191">
        <v>0.95174603802817204</v>
      </c>
      <c r="I1191">
        <v>0.96888888888888891</v>
      </c>
      <c r="J1191">
        <v>38122628.285714284</v>
      </c>
      <c r="K1191">
        <v>257390</v>
      </c>
      <c r="L1191">
        <v>2</v>
      </c>
      <c r="M1191">
        <v>340</v>
      </c>
      <c r="N1191">
        <v>0.96825396825396826</v>
      </c>
      <c r="O1191">
        <v>36434258.142857142</v>
      </c>
      <c r="P1191">
        <v>258829</v>
      </c>
      <c r="Q1191">
        <v>2</v>
      </c>
      <c r="R1191">
        <v>341</v>
      </c>
      <c r="S1191">
        <v>11.604292259464673</v>
      </c>
      <c r="T1191">
        <v>0.95679012934366858</v>
      </c>
    </row>
    <row r="1192" spans="1:20" x14ac:dyDescent="0.25">
      <c r="A1192" t="s">
        <v>106</v>
      </c>
      <c r="B1192">
        <v>5</v>
      </c>
      <c r="C1192">
        <v>4</v>
      </c>
      <c r="D1192">
        <v>0</v>
      </c>
      <c r="E1192" t="s">
        <v>284</v>
      </c>
      <c r="F1192">
        <v>260579</v>
      </c>
      <c r="G1192">
        <v>585802049</v>
      </c>
      <c r="H1192">
        <v>0.94777777791023254</v>
      </c>
      <c r="I1192">
        <v>0.96</v>
      </c>
      <c r="J1192">
        <v>37253916.25</v>
      </c>
      <c r="K1192">
        <v>260272</v>
      </c>
      <c r="L1192">
        <v>2</v>
      </c>
      <c r="M1192">
        <v>342</v>
      </c>
      <c r="N1192">
        <v>0.96277777777777773</v>
      </c>
      <c r="O1192">
        <v>35086460.5</v>
      </c>
      <c r="P1192">
        <v>261719</v>
      </c>
      <c r="Q1192">
        <v>2</v>
      </c>
      <c r="R1192">
        <v>343</v>
      </c>
      <c r="S1192">
        <v>11.604869816779171</v>
      </c>
      <c r="T1192">
        <v>0.96172841389973962</v>
      </c>
    </row>
    <row r="1193" spans="1:20" x14ac:dyDescent="0.25">
      <c r="A1193" t="s">
        <v>106</v>
      </c>
      <c r="B1193">
        <v>5</v>
      </c>
      <c r="C1193">
        <v>4</v>
      </c>
      <c r="D1193">
        <v>0</v>
      </c>
      <c r="E1193" t="s">
        <v>266</v>
      </c>
      <c r="F1193">
        <v>262853</v>
      </c>
      <c r="G1193">
        <v>549712651.75</v>
      </c>
      <c r="H1193">
        <v>0.94555555284023285</v>
      </c>
      <c r="I1193">
        <v>0.9622222222222222</v>
      </c>
      <c r="J1193">
        <v>37367445</v>
      </c>
      <c r="K1193">
        <v>261719</v>
      </c>
      <c r="L1193">
        <v>2</v>
      </c>
      <c r="M1193">
        <v>343</v>
      </c>
      <c r="N1193">
        <v>0.95833333333333326</v>
      </c>
      <c r="O1193">
        <v>36932238</v>
      </c>
      <c r="P1193">
        <v>263170</v>
      </c>
      <c r="Q1193">
        <v>2</v>
      </c>
      <c r="R1193">
        <v>344</v>
      </c>
      <c r="S1193">
        <v>11.605507351168956</v>
      </c>
      <c r="T1193">
        <v>0.95679010947545373</v>
      </c>
    </row>
    <row r="1194" spans="1:20" x14ac:dyDescent="0.25">
      <c r="A1194" t="s">
        <v>106</v>
      </c>
      <c r="B1194">
        <v>5</v>
      </c>
      <c r="C1194">
        <v>4</v>
      </c>
      <c r="D1194">
        <v>0</v>
      </c>
      <c r="E1194" t="s">
        <v>139</v>
      </c>
      <c r="F1194">
        <v>263360</v>
      </c>
      <c r="G1194">
        <v>468078132.4285714</v>
      </c>
      <c r="H1194">
        <v>0.95809522696903771</v>
      </c>
      <c r="I1194">
        <v>0.96253968253968258</v>
      </c>
      <c r="J1194">
        <v>36481254.714285716</v>
      </c>
      <c r="K1194">
        <v>263170</v>
      </c>
      <c r="L1194">
        <v>2</v>
      </c>
      <c r="M1194">
        <v>344</v>
      </c>
      <c r="N1194">
        <v>0.96190476190476193</v>
      </c>
      <c r="O1194">
        <v>36848100.142857142</v>
      </c>
      <c r="P1194">
        <v>264625</v>
      </c>
      <c r="Q1194">
        <v>2</v>
      </c>
      <c r="R1194">
        <v>345</v>
      </c>
      <c r="S1194">
        <v>11.605974823827019</v>
      </c>
      <c r="T1194">
        <v>0.97160493334134423</v>
      </c>
    </row>
    <row r="1195" spans="1:20" x14ac:dyDescent="0.25">
      <c r="A1195" t="s">
        <v>106</v>
      </c>
      <c r="B1195">
        <v>5</v>
      </c>
      <c r="C1195">
        <v>4</v>
      </c>
      <c r="D1195">
        <v>0</v>
      </c>
      <c r="E1195" t="s">
        <v>291</v>
      </c>
      <c r="F1195">
        <v>267427</v>
      </c>
      <c r="G1195">
        <v>683693608.75</v>
      </c>
      <c r="H1195">
        <v>0.9605555534362793</v>
      </c>
      <c r="I1195">
        <v>0.9655555555555555</v>
      </c>
      <c r="J1195">
        <v>37751654.5</v>
      </c>
      <c r="K1195">
        <v>266084</v>
      </c>
      <c r="L1195">
        <v>2</v>
      </c>
      <c r="M1195">
        <v>346</v>
      </c>
      <c r="N1195">
        <v>0.96666666666666667</v>
      </c>
      <c r="O1195">
        <v>38158773</v>
      </c>
      <c r="P1195">
        <v>267547</v>
      </c>
      <c r="Q1195">
        <v>2</v>
      </c>
      <c r="R1195">
        <v>347</v>
      </c>
      <c r="S1195">
        <v>11.606852532064792</v>
      </c>
      <c r="T1195">
        <v>0.95185184478759766</v>
      </c>
    </row>
    <row r="1196" spans="1:20" x14ac:dyDescent="0.25">
      <c r="A1196" t="s">
        <v>106</v>
      </c>
      <c r="B1196">
        <v>5</v>
      </c>
      <c r="C1196">
        <v>4</v>
      </c>
      <c r="D1196">
        <v>0</v>
      </c>
      <c r="E1196" t="s">
        <v>211</v>
      </c>
      <c r="F1196">
        <v>268984</v>
      </c>
      <c r="G1196">
        <v>790246645.5</v>
      </c>
      <c r="H1196">
        <v>0.93999999761581421</v>
      </c>
      <c r="I1196">
        <v>0.95444444444444443</v>
      </c>
      <c r="J1196">
        <v>37615132.75</v>
      </c>
      <c r="K1196">
        <v>267547</v>
      </c>
      <c r="L1196">
        <v>2</v>
      </c>
      <c r="M1196">
        <v>347</v>
      </c>
      <c r="N1196">
        <v>0.9588888888888889</v>
      </c>
      <c r="O1196">
        <v>37047605.25</v>
      </c>
      <c r="P1196">
        <v>269014</v>
      </c>
      <c r="Q1196">
        <v>2</v>
      </c>
      <c r="R1196">
        <v>348</v>
      </c>
      <c r="S1196">
        <v>11.608331828306543</v>
      </c>
      <c r="T1196">
        <v>0.95432098706563318</v>
      </c>
    </row>
    <row r="1197" spans="1:20" x14ac:dyDescent="0.25">
      <c r="A1197" t="s">
        <v>106</v>
      </c>
      <c r="B1197">
        <v>5</v>
      </c>
      <c r="C1197">
        <v>4</v>
      </c>
      <c r="D1197">
        <v>0</v>
      </c>
      <c r="E1197" t="s">
        <v>272</v>
      </c>
      <c r="F1197">
        <v>270121</v>
      </c>
      <c r="G1197">
        <v>624049445.25</v>
      </c>
      <c r="H1197">
        <v>0.94277778267860413</v>
      </c>
      <c r="I1197">
        <v>0.95833333333333326</v>
      </c>
      <c r="J1197">
        <v>36116732.5</v>
      </c>
      <c r="K1197">
        <v>269014</v>
      </c>
      <c r="L1197">
        <v>2</v>
      </c>
      <c r="M1197">
        <v>348</v>
      </c>
      <c r="N1197">
        <v>0.96111111111111114</v>
      </c>
      <c r="O1197">
        <v>37513665</v>
      </c>
      <c r="P1197">
        <v>270485</v>
      </c>
      <c r="Q1197">
        <v>2</v>
      </c>
      <c r="R1197">
        <v>349</v>
      </c>
      <c r="S1197">
        <v>11.609208546494132</v>
      </c>
      <c r="T1197">
        <v>0.95061727364857995</v>
      </c>
    </row>
    <row r="1198" spans="1:20" x14ac:dyDescent="0.25">
      <c r="A1198" t="s">
        <v>106</v>
      </c>
      <c r="B1198">
        <v>5</v>
      </c>
      <c r="C1198">
        <v>4</v>
      </c>
      <c r="D1198">
        <v>0</v>
      </c>
      <c r="E1198" t="s">
        <v>260</v>
      </c>
      <c r="F1198">
        <v>271135</v>
      </c>
      <c r="G1198">
        <v>509094179.5</v>
      </c>
      <c r="H1198">
        <v>0.9422222226858139</v>
      </c>
      <c r="I1198">
        <v>0.96166666666666667</v>
      </c>
      <c r="J1198">
        <v>36873042.75</v>
      </c>
      <c r="K1198">
        <v>270485</v>
      </c>
      <c r="L1198">
        <v>2</v>
      </c>
      <c r="M1198">
        <v>349</v>
      </c>
      <c r="N1198">
        <v>0.9655555555555555</v>
      </c>
      <c r="O1198">
        <v>36866032.5</v>
      </c>
      <c r="P1198">
        <v>271960</v>
      </c>
      <c r="Q1198">
        <v>2</v>
      </c>
      <c r="R1198">
        <v>350</v>
      </c>
      <c r="S1198">
        <v>11.609723810096877</v>
      </c>
      <c r="T1198">
        <v>0.95308641592661536</v>
      </c>
    </row>
    <row r="1199" spans="1:20" x14ac:dyDescent="0.25">
      <c r="A1199" t="s">
        <v>106</v>
      </c>
      <c r="B1199">
        <v>5</v>
      </c>
      <c r="C1199">
        <v>4</v>
      </c>
      <c r="D1199">
        <v>0</v>
      </c>
      <c r="E1199" t="s">
        <v>226</v>
      </c>
      <c r="F1199">
        <v>276042</v>
      </c>
      <c r="G1199">
        <v>506541291.28571427</v>
      </c>
      <c r="H1199">
        <v>0.95587302105767391</v>
      </c>
      <c r="I1199">
        <v>0.9622222222222222</v>
      </c>
      <c r="J1199">
        <v>36398354.714285716</v>
      </c>
      <c r="K1199">
        <v>274922</v>
      </c>
      <c r="L1199">
        <v>2</v>
      </c>
      <c r="M1199">
        <v>352</v>
      </c>
      <c r="N1199">
        <v>0.96666666666666667</v>
      </c>
      <c r="O1199">
        <v>35654727.428571425</v>
      </c>
      <c r="P1199">
        <v>276409</v>
      </c>
      <c r="Q1199">
        <v>2</v>
      </c>
      <c r="R1199">
        <v>353</v>
      </c>
      <c r="S1199">
        <v>11.609767833513773</v>
      </c>
      <c r="T1199">
        <v>0.95679011940956116</v>
      </c>
    </row>
    <row r="1200" spans="1:20" x14ac:dyDescent="0.25">
      <c r="A1200" t="s">
        <v>106</v>
      </c>
      <c r="B1200">
        <v>5</v>
      </c>
      <c r="C1200">
        <v>4</v>
      </c>
      <c r="D1200">
        <v>0</v>
      </c>
      <c r="E1200" t="s">
        <v>278</v>
      </c>
      <c r="F1200">
        <v>277389</v>
      </c>
      <c r="G1200">
        <v>487100796.75</v>
      </c>
      <c r="H1200">
        <v>0.94388888776302338</v>
      </c>
      <c r="I1200">
        <v>0.9605555555555555</v>
      </c>
      <c r="J1200">
        <v>37629607.25</v>
      </c>
      <c r="K1200">
        <v>276409</v>
      </c>
      <c r="L1200">
        <v>2</v>
      </c>
      <c r="M1200">
        <v>353</v>
      </c>
      <c r="N1200">
        <v>0.95833333333333337</v>
      </c>
      <c r="O1200">
        <v>38147848.25</v>
      </c>
      <c r="P1200">
        <v>277900</v>
      </c>
      <c r="Q1200">
        <v>2</v>
      </c>
      <c r="R1200">
        <v>354</v>
      </c>
      <c r="S1200">
        <v>11.610042092603727</v>
      </c>
      <c r="T1200">
        <v>0.95432096719741821</v>
      </c>
    </row>
    <row r="1201" spans="1:20" x14ac:dyDescent="0.25">
      <c r="A1201" t="s">
        <v>106</v>
      </c>
      <c r="B1201">
        <v>5</v>
      </c>
      <c r="C1201">
        <v>4</v>
      </c>
      <c r="D1201">
        <v>0</v>
      </c>
      <c r="E1201" t="s">
        <v>144</v>
      </c>
      <c r="F1201">
        <v>278910</v>
      </c>
      <c r="G1201">
        <v>583456254.75</v>
      </c>
      <c r="H1201">
        <v>0.9422222375869751</v>
      </c>
      <c r="I1201">
        <v>0.9622222222222222</v>
      </c>
      <c r="J1201">
        <v>38181857.5</v>
      </c>
      <c r="K1201">
        <v>277900</v>
      </c>
      <c r="L1201">
        <v>2</v>
      </c>
      <c r="M1201">
        <v>354</v>
      </c>
      <c r="N1201">
        <v>0.9622222222222222</v>
      </c>
      <c r="O1201">
        <v>37824345.5</v>
      </c>
      <c r="P1201">
        <v>279395</v>
      </c>
      <c r="Q1201">
        <v>2</v>
      </c>
      <c r="R1201">
        <v>355</v>
      </c>
      <c r="S1201">
        <v>11.610556691114585</v>
      </c>
      <c r="T1201">
        <v>0.95802468061447144</v>
      </c>
    </row>
    <row r="1202" spans="1:20" x14ac:dyDescent="0.25">
      <c r="A1202" t="s">
        <v>106</v>
      </c>
      <c r="B1202">
        <v>5</v>
      </c>
      <c r="C1202">
        <v>4</v>
      </c>
      <c r="D1202">
        <v>0</v>
      </c>
      <c r="E1202" t="s">
        <v>285</v>
      </c>
      <c r="F1202">
        <v>284657</v>
      </c>
      <c r="G1202">
        <v>582276477.70000005</v>
      </c>
      <c r="H1202">
        <v>0.95311111211776733</v>
      </c>
      <c r="I1202">
        <v>0.9642222222222222</v>
      </c>
      <c r="J1202">
        <v>37100883.100000001</v>
      </c>
      <c r="K1202">
        <v>283904</v>
      </c>
      <c r="L1202">
        <v>2</v>
      </c>
      <c r="M1202">
        <v>358</v>
      </c>
      <c r="N1202">
        <v>0.9602222222222222</v>
      </c>
      <c r="O1202">
        <v>36925168.5</v>
      </c>
      <c r="P1202">
        <v>285415</v>
      </c>
      <c r="Q1202">
        <v>2</v>
      </c>
      <c r="R1202">
        <v>359</v>
      </c>
      <c r="S1202">
        <v>11.612172554674357</v>
      </c>
      <c r="T1202">
        <v>0.96460904015435112</v>
      </c>
    </row>
    <row r="1203" spans="1:20" x14ac:dyDescent="0.25">
      <c r="A1203" t="s">
        <v>106</v>
      </c>
      <c r="B1203">
        <v>5</v>
      </c>
      <c r="C1203">
        <v>4</v>
      </c>
      <c r="D1203">
        <v>0</v>
      </c>
      <c r="E1203" t="s">
        <v>261</v>
      </c>
      <c r="F1203">
        <v>286685</v>
      </c>
      <c r="G1203">
        <v>573549034</v>
      </c>
      <c r="H1203">
        <v>0.95388889312744141</v>
      </c>
      <c r="I1203">
        <v>0.9555555555555556</v>
      </c>
      <c r="J1203">
        <v>39436060.25</v>
      </c>
      <c r="K1203">
        <v>285415</v>
      </c>
      <c r="L1203">
        <v>2</v>
      </c>
      <c r="M1203">
        <v>359</v>
      </c>
      <c r="N1203">
        <v>0.95166666666666666</v>
      </c>
      <c r="O1203">
        <v>38725682.75</v>
      </c>
      <c r="P1203">
        <v>286930</v>
      </c>
      <c r="Q1203">
        <v>2</v>
      </c>
      <c r="R1203">
        <v>360</v>
      </c>
      <c r="S1203">
        <v>11.612025468524747</v>
      </c>
      <c r="T1203">
        <v>0.96296296517054236</v>
      </c>
    </row>
    <row r="1204" spans="1:20" x14ac:dyDescent="0.25">
      <c r="A1204" t="s">
        <v>106</v>
      </c>
      <c r="B1204">
        <v>5</v>
      </c>
      <c r="C1204">
        <v>4</v>
      </c>
      <c r="D1204">
        <v>0</v>
      </c>
      <c r="E1204" t="s">
        <v>279</v>
      </c>
      <c r="F1204">
        <v>294199</v>
      </c>
      <c r="G1204">
        <v>605400812.23076928</v>
      </c>
      <c r="H1204">
        <v>0.95247862430719232</v>
      </c>
      <c r="I1204">
        <v>0.96239316239316242</v>
      </c>
      <c r="J1204">
        <v>38643178.153846152</v>
      </c>
      <c r="K1204">
        <v>293030</v>
      </c>
      <c r="L1204">
        <v>2</v>
      </c>
      <c r="M1204">
        <v>364</v>
      </c>
      <c r="N1204">
        <v>0.95641025641025645</v>
      </c>
      <c r="O1204">
        <v>37240987.153846152</v>
      </c>
      <c r="P1204">
        <v>294565</v>
      </c>
      <c r="Q1204">
        <v>2</v>
      </c>
      <c r="R1204">
        <v>365</v>
      </c>
      <c r="S1204">
        <v>11.613108456875338</v>
      </c>
      <c r="T1204">
        <v>0.96203702191511786</v>
      </c>
    </row>
    <row r="1205" spans="1:20" x14ac:dyDescent="0.25">
      <c r="A1205" t="s">
        <v>106</v>
      </c>
      <c r="B1205">
        <v>5</v>
      </c>
      <c r="C1205">
        <v>4</v>
      </c>
      <c r="D1205">
        <v>0</v>
      </c>
      <c r="E1205" t="s">
        <v>268</v>
      </c>
      <c r="F1205">
        <v>294793</v>
      </c>
      <c r="G1205">
        <v>616120384.14285719</v>
      </c>
      <c r="H1205">
        <v>0.95523809535162785</v>
      </c>
      <c r="I1205">
        <v>0.95841269841269838</v>
      </c>
      <c r="J1205">
        <v>38642462.428571425</v>
      </c>
      <c r="K1205">
        <v>294565</v>
      </c>
      <c r="L1205">
        <v>2</v>
      </c>
      <c r="M1205">
        <v>365</v>
      </c>
      <c r="N1205">
        <v>0.95650793650793653</v>
      </c>
      <c r="O1205">
        <v>39246490.714285716</v>
      </c>
      <c r="P1205">
        <v>296104</v>
      </c>
      <c r="Q1205">
        <v>2</v>
      </c>
      <c r="R1205">
        <v>366</v>
      </c>
      <c r="S1205">
        <v>11.614530837532998</v>
      </c>
      <c r="T1205">
        <v>0.95617283384005225</v>
      </c>
    </row>
    <row r="1206" spans="1:20" x14ac:dyDescent="0.25">
      <c r="A1206" t="s">
        <v>106</v>
      </c>
      <c r="B1206">
        <v>5</v>
      </c>
      <c r="C1206">
        <v>4</v>
      </c>
      <c r="D1206">
        <v>0</v>
      </c>
      <c r="E1206" t="s">
        <v>286</v>
      </c>
      <c r="F1206">
        <v>301887</v>
      </c>
      <c r="G1206">
        <v>565992231.28571427</v>
      </c>
      <c r="H1206">
        <v>0.95650792121887207</v>
      </c>
      <c r="I1206">
        <v>0.96253968253968258</v>
      </c>
      <c r="J1206">
        <v>38360599.142857142</v>
      </c>
      <c r="K1206">
        <v>300745</v>
      </c>
      <c r="L1206">
        <v>2</v>
      </c>
      <c r="M1206">
        <v>369</v>
      </c>
      <c r="N1206">
        <v>0.95968253968253969</v>
      </c>
      <c r="O1206">
        <v>37714506.857142858</v>
      </c>
      <c r="P1206">
        <v>302300</v>
      </c>
      <c r="Q1206">
        <v>2</v>
      </c>
      <c r="R1206">
        <v>370</v>
      </c>
      <c r="S1206">
        <v>11.615112443778111</v>
      </c>
      <c r="T1206">
        <v>0.96728395422299707</v>
      </c>
    </row>
    <row r="1207" spans="1:20" x14ac:dyDescent="0.25">
      <c r="A1207" t="s">
        <v>106</v>
      </c>
      <c r="B1207">
        <v>5</v>
      </c>
      <c r="C1207">
        <v>4</v>
      </c>
      <c r="D1207">
        <v>0</v>
      </c>
      <c r="E1207" t="s">
        <v>273</v>
      </c>
      <c r="F1207">
        <v>302901</v>
      </c>
      <c r="G1207">
        <v>691537344.75</v>
      </c>
      <c r="H1207">
        <v>0.93833333253860474</v>
      </c>
      <c r="I1207">
        <v>0.95944444444444443</v>
      </c>
      <c r="J1207">
        <v>38911983</v>
      </c>
      <c r="K1207">
        <v>302300</v>
      </c>
      <c r="L1207">
        <v>2</v>
      </c>
      <c r="M1207">
        <v>370</v>
      </c>
      <c r="N1207">
        <v>0.96500000000000008</v>
      </c>
      <c r="O1207">
        <v>39308295.25</v>
      </c>
      <c r="P1207">
        <v>303859</v>
      </c>
      <c r="Q1207">
        <v>2</v>
      </c>
      <c r="R1207">
        <v>371</v>
      </c>
      <c r="S1207">
        <v>11.61520474848612</v>
      </c>
      <c r="T1207">
        <v>0.95432096719741821</v>
      </c>
    </row>
    <row r="1208" spans="1:20" x14ac:dyDescent="0.25">
      <c r="A1208" t="s">
        <v>106</v>
      </c>
      <c r="B1208">
        <v>5</v>
      </c>
      <c r="C1208">
        <v>4</v>
      </c>
      <c r="D1208">
        <v>0</v>
      </c>
      <c r="E1208" t="s">
        <v>280</v>
      </c>
      <c r="F1208">
        <v>311009</v>
      </c>
      <c r="G1208">
        <v>822781097.85714281</v>
      </c>
      <c r="H1208">
        <v>0.93936508042471745</v>
      </c>
      <c r="I1208">
        <v>0.95746031746031746</v>
      </c>
      <c r="J1208">
        <v>39947589.714285716</v>
      </c>
      <c r="K1208">
        <v>310135</v>
      </c>
      <c r="L1208">
        <v>2</v>
      </c>
      <c r="M1208">
        <v>375</v>
      </c>
      <c r="N1208">
        <v>0.96031746031746035</v>
      </c>
      <c r="O1208">
        <v>38454319.714285716</v>
      </c>
      <c r="P1208">
        <v>311714</v>
      </c>
      <c r="Q1208">
        <v>2</v>
      </c>
      <c r="R1208">
        <v>376</v>
      </c>
      <c r="S1208">
        <v>11.616984298214073</v>
      </c>
      <c r="T1208">
        <v>0.94691358009974158</v>
      </c>
    </row>
    <row r="1209" spans="1:20" x14ac:dyDescent="0.25">
      <c r="A1209" t="s">
        <v>106</v>
      </c>
      <c r="B1209">
        <v>5</v>
      </c>
      <c r="C1209">
        <v>4</v>
      </c>
      <c r="D1209">
        <v>0</v>
      </c>
      <c r="E1209" t="s">
        <v>287</v>
      </c>
      <c r="F1209">
        <v>319117</v>
      </c>
      <c r="G1209">
        <v>683775474</v>
      </c>
      <c r="H1209">
        <v>0.9466666579246521</v>
      </c>
      <c r="I1209">
        <v>0.96793650793650787</v>
      </c>
      <c r="J1209">
        <v>41462184.142857142</v>
      </c>
      <c r="K1209">
        <v>318070</v>
      </c>
      <c r="L1209">
        <v>2</v>
      </c>
      <c r="M1209">
        <v>380</v>
      </c>
      <c r="N1209">
        <v>0.96253968253968258</v>
      </c>
      <c r="O1209">
        <v>39059026.285714284</v>
      </c>
      <c r="P1209">
        <v>319669</v>
      </c>
      <c r="Q1209">
        <v>2</v>
      </c>
      <c r="R1209">
        <v>381</v>
      </c>
      <c r="S1209">
        <v>11.617624153836937</v>
      </c>
      <c r="T1209">
        <v>0.94444443782170617</v>
      </c>
    </row>
    <row r="1210" spans="1:20" x14ac:dyDescent="0.25">
      <c r="A1210" t="s">
        <v>106</v>
      </c>
      <c r="B1210">
        <v>5</v>
      </c>
      <c r="C1210">
        <v>5</v>
      </c>
      <c r="D1210">
        <v>0</v>
      </c>
      <c r="E1210" t="s">
        <v>123</v>
      </c>
      <c r="F1210">
        <v>85306</v>
      </c>
      <c r="G1210">
        <v>628405653.75</v>
      </c>
      <c r="H1210">
        <v>0.93777778744697571</v>
      </c>
      <c r="I1210">
        <v>0.97944444444444445</v>
      </c>
      <c r="J1210">
        <v>36609946.25</v>
      </c>
      <c r="K1210">
        <v>85174</v>
      </c>
      <c r="L1210">
        <v>2</v>
      </c>
      <c r="M1210">
        <v>188</v>
      </c>
      <c r="N1210">
        <v>0.97888888888888892</v>
      </c>
      <c r="O1210">
        <v>35194054.25</v>
      </c>
      <c r="P1210">
        <v>86005</v>
      </c>
      <c r="Q1210">
        <v>2</v>
      </c>
      <c r="R1210">
        <v>189</v>
      </c>
      <c r="S1210">
        <v>11.617775648320057</v>
      </c>
      <c r="T1210">
        <v>0.95432098706563318</v>
      </c>
    </row>
    <row r="1211" spans="1:20" x14ac:dyDescent="0.25">
      <c r="A1211" t="s">
        <v>106</v>
      </c>
      <c r="B1211">
        <v>5</v>
      </c>
      <c r="C1211">
        <v>5</v>
      </c>
      <c r="D1211">
        <v>0</v>
      </c>
      <c r="E1211" t="s">
        <v>257</v>
      </c>
      <c r="F1211">
        <v>94191</v>
      </c>
      <c r="G1211">
        <v>125569837.5</v>
      </c>
      <c r="H1211">
        <v>0.95888888835906982</v>
      </c>
      <c r="I1211">
        <v>0.98111111111111104</v>
      </c>
      <c r="J1211">
        <v>21981603.25</v>
      </c>
      <c r="K1211">
        <v>93664</v>
      </c>
      <c r="L1211">
        <v>2</v>
      </c>
      <c r="M1211">
        <v>198</v>
      </c>
      <c r="N1211">
        <v>0.98055555555555551</v>
      </c>
      <c r="O1211">
        <v>21766632.25</v>
      </c>
      <c r="P1211">
        <v>94535</v>
      </c>
      <c r="Q1211">
        <v>2</v>
      </c>
      <c r="R1211">
        <v>199</v>
      </c>
      <c r="S1211">
        <v>11.617148673732112</v>
      </c>
      <c r="T1211">
        <v>0.95679010947545373</v>
      </c>
    </row>
    <row r="1212" spans="1:20" x14ac:dyDescent="0.25">
      <c r="A1212" t="s">
        <v>106</v>
      </c>
      <c r="B1212">
        <v>5</v>
      </c>
      <c r="C1212">
        <v>5</v>
      </c>
      <c r="D1212">
        <v>0</v>
      </c>
      <c r="E1212" t="s">
        <v>128</v>
      </c>
      <c r="F1212">
        <v>103076</v>
      </c>
      <c r="G1212">
        <v>153009457</v>
      </c>
      <c r="H1212">
        <v>0.96499998867511749</v>
      </c>
      <c r="I1212">
        <v>0.97944444444444445</v>
      </c>
      <c r="J1212">
        <v>23560629</v>
      </c>
      <c r="K1212">
        <v>102554</v>
      </c>
      <c r="L1212">
        <v>2</v>
      </c>
      <c r="M1212">
        <v>208</v>
      </c>
      <c r="N1212">
        <v>0.97833333333333328</v>
      </c>
      <c r="O1212">
        <v>23749660.25</v>
      </c>
      <c r="P1212">
        <v>103465</v>
      </c>
      <c r="Q1212">
        <v>2</v>
      </c>
      <c r="R1212">
        <v>209</v>
      </c>
      <c r="S1212">
        <v>11.616701586351391</v>
      </c>
      <c r="T1212">
        <v>0.96049382289250695</v>
      </c>
    </row>
    <row r="1213" spans="1:20" x14ac:dyDescent="0.25">
      <c r="A1213" t="s">
        <v>106</v>
      </c>
      <c r="B1213">
        <v>5</v>
      </c>
      <c r="C1213">
        <v>5</v>
      </c>
      <c r="D1213">
        <v>0</v>
      </c>
      <c r="E1213" t="s">
        <v>258</v>
      </c>
      <c r="F1213">
        <v>111961</v>
      </c>
      <c r="G1213">
        <v>140118842.75</v>
      </c>
      <c r="H1213">
        <v>0.95333333313465118</v>
      </c>
      <c r="I1213">
        <v>0.97722222222222221</v>
      </c>
      <c r="J1213">
        <v>23794582.25</v>
      </c>
      <c r="K1213">
        <v>111844</v>
      </c>
      <c r="L1213">
        <v>2</v>
      </c>
      <c r="M1213">
        <v>218</v>
      </c>
      <c r="N1213">
        <v>0.97722222222222221</v>
      </c>
      <c r="O1213">
        <v>25145811.75</v>
      </c>
      <c r="P1213">
        <v>112795</v>
      </c>
      <c r="Q1213">
        <v>2</v>
      </c>
      <c r="R1213">
        <v>219</v>
      </c>
      <c r="S1213">
        <v>11.616135017056676</v>
      </c>
      <c r="T1213">
        <v>0.95432096719741821</v>
      </c>
    </row>
    <row r="1214" spans="1:20" x14ac:dyDescent="0.25">
      <c r="A1214" t="s">
        <v>106</v>
      </c>
      <c r="B1214">
        <v>5</v>
      </c>
      <c r="C1214">
        <v>5</v>
      </c>
      <c r="D1214">
        <v>0</v>
      </c>
      <c r="E1214" t="s">
        <v>192</v>
      </c>
      <c r="F1214">
        <v>120846</v>
      </c>
      <c r="G1214">
        <v>173161402.5</v>
      </c>
      <c r="H1214">
        <v>0.95722220838069916</v>
      </c>
      <c r="I1214">
        <v>0.97833333333333328</v>
      </c>
      <c r="J1214">
        <v>23902085.5</v>
      </c>
      <c r="K1214">
        <v>120547</v>
      </c>
      <c r="L1214">
        <v>2</v>
      </c>
      <c r="M1214">
        <v>227</v>
      </c>
      <c r="N1214">
        <v>0.97888888888888892</v>
      </c>
      <c r="O1214">
        <v>25361181</v>
      </c>
      <c r="P1214">
        <v>121534</v>
      </c>
      <c r="Q1214">
        <v>2</v>
      </c>
      <c r="R1214">
        <v>228</v>
      </c>
      <c r="S1214">
        <v>11.616107221923054</v>
      </c>
      <c r="T1214">
        <v>0.95308641592661536</v>
      </c>
    </row>
    <row r="1215" spans="1:20" x14ac:dyDescent="0.25">
      <c r="A1215" t="s">
        <v>106</v>
      </c>
      <c r="B1215">
        <v>5</v>
      </c>
      <c r="C1215">
        <v>5</v>
      </c>
      <c r="D1215">
        <v>0</v>
      </c>
      <c r="E1215" t="s">
        <v>292</v>
      </c>
      <c r="F1215">
        <v>129731</v>
      </c>
      <c r="G1215">
        <v>206393957</v>
      </c>
      <c r="H1215">
        <v>0.95055556297302246</v>
      </c>
      <c r="I1215">
        <v>0.97611111111111115</v>
      </c>
      <c r="J1215">
        <v>24180226.5</v>
      </c>
      <c r="K1215">
        <v>129574</v>
      </c>
      <c r="L1215">
        <v>2</v>
      </c>
      <c r="M1215">
        <v>236</v>
      </c>
      <c r="N1215">
        <v>0.97722222222222221</v>
      </c>
      <c r="O1215">
        <v>24929832.5</v>
      </c>
      <c r="P1215">
        <v>130597</v>
      </c>
      <c r="Q1215">
        <v>2</v>
      </c>
      <c r="R1215">
        <v>237</v>
      </c>
      <c r="S1215">
        <v>11.616139259436501</v>
      </c>
      <c r="T1215">
        <v>0.95802468061447144</v>
      </c>
    </row>
    <row r="1216" spans="1:20" x14ac:dyDescent="0.25">
      <c r="A1216" t="s">
        <v>106</v>
      </c>
      <c r="B1216">
        <v>5</v>
      </c>
      <c r="C1216">
        <v>5</v>
      </c>
      <c r="D1216">
        <v>0</v>
      </c>
      <c r="E1216" t="s">
        <v>243</v>
      </c>
      <c r="F1216">
        <v>138616</v>
      </c>
      <c r="G1216">
        <v>191389628</v>
      </c>
      <c r="H1216">
        <v>0.96611110866069794</v>
      </c>
      <c r="I1216">
        <v>0.97</v>
      </c>
      <c r="J1216">
        <v>26507267.5</v>
      </c>
      <c r="K1216">
        <v>137870</v>
      </c>
      <c r="L1216">
        <v>2</v>
      </c>
      <c r="M1216">
        <v>244</v>
      </c>
      <c r="N1216">
        <v>0.97833333333333328</v>
      </c>
      <c r="O1216">
        <v>26207621.5</v>
      </c>
      <c r="P1216">
        <v>138925</v>
      </c>
      <c r="Q1216">
        <v>2</v>
      </c>
      <c r="R1216">
        <v>245</v>
      </c>
      <c r="S1216">
        <v>11.615872256443993</v>
      </c>
      <c r="T1216">
        <v>0.96049384276072181</v>
      </c>
    </row>
    <row r="1217" spans="1:20" x14ac:dyDescent="0.25">
      <c r="A1217" t="s">
        <v>106</v>
      </c>
      <c r="B1217">
        <v>5</v>
      </c>
      <c r="C1217">
        <v>5</v>
      </c>
      <c r="D1217">
        <v>0</v>
      </c>
      <c r="E1217" t="s">
        <v>293</v>
      </c>
      <c r="F1217">
        <v>147501</v>
      </c>
      <c r="G1217">
        <v>201081845.75</v>
      </c>
      <c r="H1217">
        <v>0.95388887822628021</v>
      </c>
      <c r="I1217">
        <v>0.97666666666666668</v>
      </c>
      <c r="J1217">
        <v>27270872.5</v>
      </c>
      <c r="K1217">
        <v>146422</v>
      </c>
      <c r="L1217">
        <v>2</v>
      </c>
      <c r="M1217">
        <v>252</v>
      </c>
      <c r="N1217">
        <v>0.97944444444444445</v>
      </c>
      <c r="O1217">
        <v>27208314.25</v>
      </c>
      <c r="P1217">
        <v>147509</v>
      </c>
      <c r="Q1217">
        <v>2</v>
      </c>
      <c r="R1217">
        <v>253</v>
      </c>
      <c r="S1217">
        <v>11.6152466367713</v>
      </c>
      <c r="T1217">
        <v>0.95432098706563318</v>
      </c>
    </row>
    <row r="1218" spans="1:20" x14ac:dyDescent="0.25">
      <c r="A1218" t="s">
        <v>106</v>
      </c>
      <c r="B1218">
        <v>5</v>
      </c>
      <c r="C1218">
        <v>5</v>
      </c>
      <c r="D1218">
        <v>0</v>
      </c>
      <c r="E1218" t="s">
        <v>248</v>
      </c>
      <c r="F1218">
        <v>156386</v>
      </c>
      <c r="G1218">
        <v>220275809.5</v>
      </c>
      <c r="H1218">
        <v>0.94611109793186188</v>
      </c>
      <c r="I1218">
        <v>0.98166666666666669</v>
      </c>
      <c r="J1218">
        <v>27584248.75</v>
      </c>
      <c r="K1218">
        <v>156349</v>
      </c>
      <c r="L1218">
        <v>2</v>
      </c>
      <c r="M1218">
        <v>261</v>
      </c>
      <c r="N1218">
        <v>0.97722222222222221</v>
      </c>
      <c r="O1218">
        <v>28317442.5</v>
      </c>
      <c r="P1218">
        <v>157472</v>
      </c>
      <c r="Q1218">
        <v>2</v>
      </c>
      <c r="R1218">
        <v>262</v>
      </c>
      <c r="S1218">
        <v>11.614800645585511</v>
      </c>
      <c r="T1218">
        <v>0.95555555820465088</v>
      </c>
    </row>
    <row r="1219" spans="1:20" x14ac:dyDescent="0.25">
      <c r="A1219" t="s">
        <v>106</v>
      </c>
      <c r="B1219">
        <v>5</v>
      </c>
      <c r="C1219">
        <v>5</v>
      </c>
      <c r="D1219">
        <v>0</v>
      </c>
      <c r="E1219" t="s">
        <v>294</v>
      </c>
      <c r="F1219">
        <v>165271</v>
      </c>
      <c r="G1219">
        <v>219385689.5</v>
      </c>
      <c r="H1219">
        <v>0.95999999344348907</v>
      </c>
      <c r="I1219">
        <v>0.98111111111111104</v>
      </c>
      <c r="J1219">
        <v>29151654</v>
      </c>
      <c r="K1219">
        <v>164294</v>
      </c>
      <c r="L1219">
        <v>2</v>
      </c>
      <c r="M1219">
        <v>268</v>
      </c>
      <c r="N1219">
        <v>0.98388888888888892</v>
      </c>
      <c r="O1219">
        <v>29641624</v>
      </c>
      <c r="P1219">
        <v>165445</v>
      </c>
      <c r="Q1219">
        <v>2</v>
      </c>
      <c r="R1219">
        <v>269</v>
      </c>
      <c r="S1219">
        <v>11.614354867626846</v>
      </c>
      <c r="T1219">
        <v>0.95679012934366858</v>
      </c>
    </row>
    <row r="1220" spans="1:20" x14ac:dyDescent="0.25">
      <c r="A1220" t="s">
        <v>106</v>
      </c>
      <c r="B1220">
        <v>5</v>
      </c>
      <c r="C1220">
        <v>5</v>
      </c>
      <c r="D1220">
        <v>0</v>
      </c>
      <c r="E1220" t="s">
        <v>253</v>
      </c>
      <c r="F1220">
        <v>174156</v>
      </c>
      <c r="G1220">
        <v>227053037.25</v>
      </c>
      <c r="H1220">
        <v>0.96500000357627869</v>
      </c>
      <c r="I1220">
        <v>0.98166666666666669</v>
      </c>
      <c r="J1220">
        <v>30744111.5</v>
      </c>
      <c r="K1220">
        <v>173614</v>
      </c>
      <c r="L1220">
        <v>2</v>
      </c>
      <c r="M1220">
        <v>276</v>
      </c>
      <c r="N1220">
        <v>0.97944444444444445</v>
      </c>
      <c r="O1220">
        <v>30968115</v>
      </c>
      <c r="P1220">
        <v>174797</v>
      </c>
      <c r="Q1220">
        <v>2</v>
      </c>
      <c r="R1220">
        <v>277</v>
      </c>
      <c r="S1220">
        <v>11.613789807014399</v>
      </c>
      <c r="T1220">
        <v>0.9617283741633097</v>
      </c>
    </row>
    <row r="1221" spans="1:20" x14ac:dyDescent="0.25">
      <c r="A1221" t="s">
        <v>106</v>
      </c>
      <c r="B1221">
        <v>5</v>
      </c>
      <c r="C1221">
        <v>5</v>
      </c>
      <c r="D1221">
        <v>0</v>
      </c>
      <c r="E1221" t="s">
        <v>254</v>
      </c>
      <c r="F1221">
        <v>183041</v>
      </c>
      <c r="G1221">
        <v>250965016.5</v>
      </c>
      <c r="H1221">
        <v>0.95444442331790924</v>
      </c>
      <c r="I1221">
        <v>0.97555555555555551</v>
      </c>
      <c r="J1221">
        <v>31547649.25</v>
      </c>
      <c r="K1221">
        <v>181979</v>
      </c>
      <c r="L1221">
        <v>2</v>
      </c>
      <c r="M1221">
        <v>283</v>
      </c>
      <c r="N1221">
        <v>0.98055555555555562</v>
      </c>
      <c r="O1221">
        <v>31310254.5</v>
      </c>
      <c r="P1221">
        <v>183190</v>
      </c>
      <c r="Q1221">
        <v>2</v>
      </c>
      <c r="R1221">
        <v>284</v>
      </c>
      <c r="S1221">
        <v>11.613463950779524</v>
      </c>
      <c r="T1221">
        <v>0.95802468061447144</v>
      </c>
    </row>
    <row r="1222" spans="1:20" x14ac:dyDescent="0.25">
      <c r="A1222" t="s">
        <v>106</v>
      </c>
      <c r="B1222">
        <v>5</v>
      </c>
      <c r="C1222">
        <v>5</v>
      </c>
      <c r="D1222">
        <v>0</v>
      </c>
      <c r="E1222" t="s">
        <v>111</v>
      </c>
      <c r="F1222">
        <v>191926</v>
      </c>
      <c r="G1222">
        <v>274815753.75</v>
      </c>
      <c r="H1222">
        <v>0.96111111342906952</v>
      </c>
      <c r="I1222">
        <v>0.97333333333333338</v>
      </c>
      <c r="J1222">
        <v>32471803</v>
      </c>
      <c r="K1222">
        <v>191779</v>
      </c>
      <c r="L1222">
        <v>2</v>
      </c>
      <c r="M1222">
        <v>291</v>
      </c>
      <c r="N1222">
        <v>0.97499999999999998</v>
      </c>
      <c r="O1222">
        <v>32162964.25</v>
      </c>
      <c r="P1222">
        <v>193022</v>
      </c>
      <c r="Q1222">
        <v>2</v>
      </c>
      <c r="R1222">
        <v>292</v>
      </c>
      <c r="S1222">
        <v>11.613138250223948</v>
      </c>
      <c r="T1222">
        <v>0.95185184478759766</v>
      </c>
    </row>
    <row r="1223" spans="1:20" x14ac:dyDescent="0.25">
      <c r="A1223" t="s">
        <v>106</v>
      </c>
      <c r="B1223">
        <v>5</v>
      </c>
      <c r="C1223">
        <v>5</v>
      </c>
      <c r="D1223">
        <v>0</v>
      </c>
      <c r="E1223" t="s">
        <v>255</v>
      </c>
      <c r="F1223">
        <v>200811</v>
      </c>
      <c r="G1223">
        <v>304118028.75</v>
      </c>
      <c r="H1223">
        <v>0.95333333313465118</v>
      </c>
      <c r="I1223">
        <v>0.97388888888888892</v>
      </c>
      <c r="J1223">
        <v>32364928.25</v>
      </c>
      <c r="K1223">
        <v>200564</v>
      </c>
      <c r="L1223">
        <v>2</v>
      </c>
      <c r="M1223">
        <v>298</v>
      </c>
      <c r="N1223">
        <v>0.97666666666666668</v>
      </c>
      <c r="O1223">
        <v>32879129.75</v>
      </c>
      <c r="P1223">
        <v>201835</v>
      </c>
      <c r="Q1223">
        <v>2</v>
      </c>
      <c r="R1223">
        <v>299</v>
      </c>
      <c r="S1223">
        <v>11.612693295122098</v>
      </c>
      <c r="T1223">
        <v>0.95555553833643592</v>
      </c>
    </row>
    <row r="1224" spans="1:20" x14ac:dyDescent="0.25">
      <c r="A1224" t="s">
        <v>106</v>
      </c>
      <c r="B1224">
        <v>5</v>
      </c>
      <c r="C1224">
        <v>5</v>
      </c>
      <c r="D1224">
        <v>0</v>
      </c>
      <c r="E1224" t="s">
        <v>116</v>
      </c>
      <c r="F1224">
        <v>209696</v>
      </c>
      <c r="G1224">
        <v>330589794</v>
      </c>
      <c r="H1224">
        <v>0.9561111181974411</v>
      </c>
      <c r="I1224">
        <v>0.97888888888888892</v>
      </c>
      <c r="J1224">
        <v>32462457.75</v>
      </c>
      <c r="K1224">
        <v>209545</v>
      </c>
      <c r="L1224">
        <v>2</v>
      </c>
      <c r="M1224">
        <v>305</v>
      </c>
      <c r="N1224">
        <v>0.97499999999999998</v>
      </c>
      <c r="O1224">
        <v>32100637.75</v>
      </c>
      <c r="P1224">
        <v>210844</v>
      </c>
      <c r="Q1224">
        <v>2</v>
      </c>
      <c r="R1224">
        <v>306</v>
      </c>
      <c r="S1224">
        <v>11.612427624903003</v>
      </c>
      <c r="T1224">
        <v>0.96172839403152466</v>
      </c>
    </row>
    <row r="1225" spans="1:20" x14ac:dyDescent="0.25">
      <c r="A1225" t="s">
        <v>106</v>
      </c>
      <c r="B1225">
        <v>5</v>
      </c>
      <c r="C1225">
        <v>5</v>
      </c>
      <c r="D1225">
        <v>0</v>
      </c>
      <c r="E1225" t="s">
        <v>147</v>
      </c>
      <c r="F1225">
        <v>212106</v>
      </c>
      <c r="G1225">
        <v>411621830.75</v>
      </c>
      <c r="H1225">
        <v>0.93777778744697571</v>
      </c>
      <c r="I1225">
        <v>0.97555555555555551</v>
      </c>
      <c r="J1225">
        <v>32896220.75</v>
      </c>
      <c r="K1225">
        <v>210844</v>
      </c>
      <c r="L1225">
        <v>2</v>
      </c>
      <c r="M1225">
        <v>306</v>
      </c>
      <c r="N1225">
        <v>0.97722222222222221</v>
      </c>
      <c r="O1225">
        <v>34012216.25</v>
      </c>
      <c r="P1225">
        <v>212147</v>
      </c>
      <c r="Q1225">
        <v>2</v>
      </c>
      <c r="R1225">
        <v>307</v>
      </c>
      <c r="S1225">
        <v>11.612758847048994</v>
      </c>
      <c r="T1225">
        <v>0.94320988655090332</v>
      </c>
    </row>
    <row r="1226" spans="1:20" x14ac:dyDescent="0.25">
      <c r="A1226" t="s">
        <v>106</v>
      </c>
      <c r="B1226">
        <v>5</v>
      </c>
      <c r="C1226">
        <v>5</v>
      </c>
      <c r="D1226">
        <v>0</v>
      </c>
      <c r="E1226" t="s">
        <v>256</v>
      </c>
      <c r="F1226">
        <v>218581</v>
      </c>
      <c r="G1226">
        <v>483320259.25</v>
      </c>
      <c r="H1226">
        <v>0.90222223103046417</v>
      </c>
      <c r="I1226">
        <v>0.97277777777777774</v>
      </c>
      <c r="J1226">
        <v>34444894.5</v>
      </c>
      <c r="K1226">
        <v>217399</v>
      </c>
      <c r="L1226">
        <v>2</v>
      </c>
      <c r="M1226">
        <v>311</v>
      </c>
      <c r="N1226">
        <v>0.97666666666666668</v>
      </c>
      <c r="O1226">
        <v>32720134.5</v>
      </c>
      <c r="P1226">
        <v>218722</v>
      </c>
      <c r="Q1226">
        <v>2</v>
      </c>
      <c r="R1226">
        <v>312</v>
      </c>
      <c r="S1226">
        <v>11.613268898037109</v>
      </c>
      <c r="T1226">
        <v>0.91358025868733728</v>
      </c>
    </row>
    <row r="1227" spans="1:20" x14ac:dyDescent="0.25">
      <c r="A1227" t="s">
        <v>106</v>
      </c>
      <c r="B1227">
        <v>5</v>
      </c>
      <c r="C1227">
        <v>5</v>
      </c>
      <c r="D1227">
        <v>0</v>
      </c>
      <c r="E1227" t="s">
        <v>262</v>
      </c>
      <c r="F1227">
        <v>220991</v>
      </c>
      <c r="G1227">
        <v>637753624.42857146</v>
      </c>
      <c r="H1227">
        <v>0.90761905908584595</v>
      </c>
      <c r="I1227">
        <v>0.9676190476190476</v>
      </c>
      <c r="J1227">
        <v>38803932.428571425</v>
      </c>
      <c r="K1227">
        <v>220049</v>
      </c>
      <c r="L1227">
        <v>2</v>
      </c>
      <c r="M1227">
        <v>313</v>
      </c>
      <c r="N1227">
        <v>0.96571428571428575</v>
      </c>
      <c r="O1227">
        <v>37858839.714285716</v>
      </c>
      <c r="P1227">
        <v>221380</v>
      </c>
      <c r="Q1227">
        <v>2</v>
      </c>
      <c r="R1227">
        <v>314</v>
      </c>
      <c r="S1227">
        <v>11.614265267175572</v>
      </c>
      <c r="T1227">
        <v>0.89753085374832153</v>
      </c>
    </row>
    <row r="1228" spans="1:20" x14ac:dyDescent="0.25">
      <c r="A1228" t="s">
        <v>106</v>
      </c>
      <c r="B1228">
        <v>5</v>
      </c>
      <c r="C1228">
        <v>5</v>
      </c>
      <c r="D1228">
        <v>0</v>
      </c>
      <c r="E1228" t="s">
        <v>201</v>
      </c>
      <c r="F1228">
        <v>224398</v>
      </c>
      <c r="G1228">
        <v>711174117.25</v>
      </c>
      <c r="H1228">
        <v>0.9005555659532547</v>
      </c>
      <c r="I1228">
        <v>0.97333333333333338</v>
      </c>
      <c r="J1228">
        <v>34433697</v>
      </c>
      <c r="K1228">
        <v>224054</v>
      </c>
      <c r="L1228">
        <v>2</v>
      </c>
      <c r="M1228">
        <v>316</v>
      </c>
      <c r="N1228">
        <v>0.97555555555555551</v>
      </c>
      <c r="O1228">
        <v>33600469.5</v>
      </c>
      <c r="P1228">
        <v>225397</v>
      </c>
      <c r="Q1228">
        <v>2</v>
      </c>
      <c r="R1228">
        <v>317</v>
      </c>
      <c r="S1228">
        <v>11.615728595277844</v>
      </c>
      <c r="T1228">
        <v>0.86790122588475549</v>
      </c>
    </row>
    <row r="1229" spans="1:20" x14ac:dyDescent="0.25">
      <c r="A1229" t="s">
        <v>106</v>
      </c>
      <c r="B1229">
        <v>5</v>
      </c>
      <c r="C1229">
        <v>5</v>
      </c>
      <c r="D1229">
        <v>0</v>
      </c>
      <c r="E1229" t="s">
        <v>121</v>
      </c>
      <c r="F1229">
        <v>227466</v>
      </c>
      <c r="G1229">
        <v>556955692</v>
      </c>
      <c r="H1229">
        <v>0.90611110627651215</v>
      </c>
      <c r="I1229">
        <v>0.96833333333333338</v>
      </c>
      <c r="J1229">
        <v>35331474.5</v>
      </c>
      <c r="K1229">
        <v>226744</v>
      </c>
      <c r="L1229">
        <v>2</v>
      </c>
      <c r="M1229">
        <v>318</v>
      </c>
      <c r="N1229">
        <v>0.96833333333333327</v>
      </c>
      <c r="O1229">
        <v>33756430</v>
      </c>
      <c r="P1229">
        <v>228095</v>
      </c>
      <c r="Q1229">
        <v>2</v>
      </c>
      <c r="R1229">
        <v>319</v>
      </c>
      <c r="S1229">
        <v>11.616356700047687</v>
      </c>
      <c r="T1229">
        <v>0.91728395223617554</v>
      </c>
    </row>
    <row r="1230" spans="1:20" x14ac:dyDescent="0.25">
      <c r="A1230" t="s">
        <v>106</v>
      </c>
      <c r="B1230">
        <v>5</v>
      </c>
      <c r="C1230">
        <v>5</v>
      </c>
      <c r="D1230">
        <v>0</v>
      </c>
      <c r="E1230" t="s">
        <v>152</v>
      </c>
      <c r="F1230">
        <v>229876</v>
      </c>
      <c r="G1230">
        <v>662625763.57142854</v>
      </c>
      <c r="H1230">
        <v>0.9228571483067104</v>
      </c>
      <c r="I1230">
        <v>0.96603174603174602</v>
      </c>
      <c r="J1230">
        <v>37966119.285714284</v>
      </c>
      <c r="K1230">
        <v>229450</v>
      </c>
      <c r="L1230">
        <v>2</v>
      </c>
      <c r="M1230">
        <v>320</v>
      </c>
      <c r="N1230">
        <v>0.96920634920634918</v>
      </c>
      <c r="O1230">
        <v>38395063.857142858</v>
      </c>
      <c r="P1230">
        <v>230809</v>
      </c>
      <c r="Q1230">
        <v>2</v>
      </c>
      <c r="R1230">
        <v>321</v>
      </c>
      <c r="S1230">
        <v>11.6174104748853</v>
      </c>
      <c r="T1230">
        <v>0.93456790844599402</v>
      </c>
    </row>
    <row r="1231" spans="1:20" x14ac:dyDescent="0.25">
      <c r="A1231" t="s">
        <v>106</v>
      </c>
      <c r="B1231">
        <v>5</v>
      </c>
      <c r="C1231">
        <v>5</v>
      </c>
      <c r="D1231">
        <v>0</v>
      </c>
      <c r="E1231" t="s">
        <v>274</v>
      </c>
      <c r="F1231">
        <v>233763</v>
      </c>
      <c r="G1231">
        <v>724291541.5</v>
      </c>
      <c r="H1231">
        <v>0.88800000548362734</v>
      </c>
      <c r="I1231">
        <v>0.96288888888888891</v>
      </c>
      <c r="J1231">
        <v>30740248</v>
      </c>
      <c r="K1231">
        <v>233539</v>
      </c>
      <c r="L1231">
        <v>2</v>
      </c>
      <c r="M1231">
        <v>323</v>
      </c>
      <c r="N1231">
        <v>0.96688888888888891</v>
      </c>
      <c r="O1231">
        <v>30711871.5</v>
      </c>
      <c r="P1231">
        <v>234910</v>
      </c>
      <c r="Q1231">
        <v>2</v>
      </c>
      <c r="R1231">
        <v>324</v>
      </c>
      <c r="S1231">
        <v>11.623057226225212</v>
      </c>
      <c r="T1231">
        <v>0.89341934063169692</v>
      </c>
    </row>
    <row r="1232" spans="1:20" x14ac:dyDescent="0.25">
      <c r="A1232" t="s">
        <v>106</v>
      </c>
      <c r="B1232">
        <v>5</v>
      </c>
      <c r="C1232">
        <v>5</v>
      </c>
      <c r="D1232">
        <v>0</v>
      </c>
      <c r="E1232" t="s">
        <v>234</v>
      </c>
      <c r="F1232">
        <v>236690</v>
      </c>
      <c r="G1232">
        <v>783621384.5</v>
      </c>
      <c r="H1232">
        <v>0.9027777761220932</v>
      </c>
      <c r="I1232">
        <v>0.96777777777777774</v>
      </c>
      <c r="J1232">
        <v>33521981.25</v>
      </c>
      <c r="K1232">
        <v>236285</v>
      </c>
      <c r="L1232">
        <v>2</v>
      </c>
      <c r="M1232">
        <v>325</v>
      </c>
      <c r="N1232">
        <v>0.96833333333333338</v>
      </c>
      <c r="O1232">
        <v>33790873.25</v>
      </c>
      <c r="P1232">
        <v>237664</v>
      </c>
      <c r="Q1232">
        <v>2</v>
      </c>
      <c r="R1232">
        <v>326</v>
      </c>
      <c r="S1232">
        <v>11.625290230398285</v>
      </c>
      <c r="T1232">
        <v>0.9074074228604635</v>
      </c>
    </row>
    <row r="1233" spans="1:20" x14ac:dyDescent="0.25">
      <c r="A1233" t="s">
        <v>106</v>
      </c>
      <c r="B1233">
        <v>5</v>
      </c>
      <c r="C1233">
        <v>5</v>
      </c>
      <c r="D1233">
        <v>0</v>
      </c>
      <c r="E1233" t="s">
        <v>263</v>
      </c>
      <c r="F1233">
        <v>238761</v>
      </c>
      <c r="G1233">
        <v>598327972.58333337</v>
      </c>
      <c r="H1233">
        <v>0.89555555582046509</v>
      </c>
      <c r="I1233">
        <v>0.96018518518518525</v>
      </c>
      <c r="J1233">
        <v>34022842.916666664</v>
      </c>
      <c r="K1233">
        <v>237664</v>
      </c>
      <c r="L1233">
        <v>2</v>
      </c>
      <c r="M1233">
        <v>326</v>
      </c>
      <c r="N1233">
        <v>0.96203703703703702</v>
      </c>
      <c r="O1233">
        <v>34192620.583333336</v>
      </c>
      <c r="P1233">
        <v>239047</v>
      </c>
      <c r="Q1233">
        <v>2</v>
      </c>
      <c r="R1233">
        <v>327</v>
      </c>
      <c r="S1233">
        <v>11.629246237134868</v>
      </c>
      <c r="T1233">
        <v>0.90841684123819522</v>
      </c>
    </row>
    <row r="1234" spans="1:20" x14ac:dyDescent="0.25">
      <c r="A1234" t="s">
        <v>106</v>
      </c>
      <c r="B1234">
        <v>5</v>
      </c>
      <c r="C1234">
        <v>5</v>
      </c>
      <c r="D1234">
        <v>0</v>
      </c>
      <c r="E1234" t="s">
        <v>281</v>
      </c>
      <c r="F1234">
        <v>240149</v>
      </c>
      <c r="G1234">
        <v>845115240.75</v>
      </c>
      <c r="H1234">
        <v>0.88777777552604675</v>
      </c>
      <c r="I1234">
        <v>0.97333333333333338</v>
      </c>
      <c r="J1234">
        <v>37266528.25</v>
      </c>
      <c r="K1234">
        <v>239047</v>
      </c>
      <c r="L1234">
        <v>2</v>
      </c>
      <c r="M1234">
        <v>327</v>
      </c>
      <c r="N1234">
        <v>0.97833333333333328</v>
      </c>
      <c r="O1234">
        <v>36078063.5</v>
      </c>
      <c r="P1234">
        <v>240434</v>
      </c>
      <c r="Q1234">
        <v>2</v>
      </c>
      <c r="R1234">
        <v>328</v>
      </c>
      <c r="S1234">
        <v>11.63088086599655</v>
      </c>
      <c r="T1234">
        <v>0.88396048161188756</v>
      </c>
    </row>
    <row r="1235" spans="1:20" x14ac:dyDescent="0.25">
      <c r="A1235" t="s">
        <v>106</v>
      </c>
      <c r="B1235">
        <v>5</v>
      </c>
      <c r="C1235">
        <v>5</v>
      </c>
      <c r="D1235">
        <v>0</v>
      </c>
      <c r="E1235" t="s">
        <v>205</v>
      </c>
      <c r="F1235">
        <v>243128</v>
      </c>
      <c r="G1235">
        <v>470124941.5714286</v>
      </c>
      <c r="H1235">
        <v>0.87174602065767559</v>
      </c>
      <c r="I1235">
        <v>0.95968253968253969</v>
      </c>
      <c r="J1235">
        <v>31774165.142857142</v>
      </c>
      <c r="K1235">
        <v>241825</v>
      </c>
      <c r="L1235">
        <v>2</v>
      </c>
      <c r="M1235">
        <v>329</v>
      </c>
      <c r="N1235">
        <v>0.95873015873015877</v>
      </c>
      <c r="O1235">
        <v>31272251.142857142</v>
      </c>
      <c r="P1235">
        <v>243220</v>
      </c>
      <c r="Q1235">
        <v>2</v>
      </c>
      <c r="R1235">
        <v>330</v>
      </c>
      <c r="S1235">
        <v>11.632045184304399</v>
      </c>
      <c r="T1235">
        <v>0.87469630049069724</v>
      </c>
    </row>
    <row r="1236" spans="1:20" x14ac:dyDescent="0.25">
      <c r="A1236" t="s">
        <v>106</v>
      </c>
      <c r="B1236">
        <v>5</v>
      </c>
      <c r="C1236">
        <v>5</v>
      </c>
      <c r="D1236">
        <v>0</v>
      </c>
      <c r="E1236" t="s">
        <v>269</v>
      </c>
      <c r="F1236">
        <v>245627</v>
      </c>
      <c r="G1236">
        <v>691952092.5</v>
      </c>
      <c r="H1236">
        <v>0.85333333909511566</v>
      </c>
      <c r="I1236">
        <v>0.96500000000000008</v>
      </c>
      <c r="J1236">
        <v>36827460.5</v>
      </c>
      <c r="K1236">
        <v>244619</v>
      </c>
      <c r="L1236">
        <v>2</v>
      </c>
      <c r="M1236">
        <v>331</v>
      </c>
      <c r="N1236">
        <v>0.96111111111111114</v>
      </c>
      <c r="O1236">
        <v>36209590.5</v>
      </c>
      <c r="P1236">
        <v>246022</v>
      </c>
      <c r="Q1236">
        <v>2</v>
      </c>
      <c r="R1236">
        <v>332</v>
      </c>
      <c r="S1236">
        <v>11.6330242510699</v>
      </c>
      <c r="T1236">
        <v>0.83580247561136878</v>
      </c>
    </row>
    <row r="1237" spans="1:20" x14ac:dyDescent="0.25">
      <c r="A1237" t="s">
        <v>106</v>
      </c>
      <c r="B1237">
        <v>5</v>
      </c>
      <c r="C1237">
        <v>5</v>
      </c>
      <c r="D1237">
        <v>0</v>
      </c>
      <c r="E1237" t="s">
        <v>288</v>
      </c>
      <c r="F1237">
        <v>246535</v>
      </c>
      <c r="G1237">
        <v>884810720</v>
      </c>
      <c r="H1237">
        <v>0.90944443643093109</v>
      </c>
      <c r="I1237">
        <v>0.95777777777777784</v>
      </c>
      <c r="J1237">
        <v>39571160</v>
      </c>
      <c r="K1237">
        <v>246022</v>
      </c>
      <c r="L1237">
        <v>2</v>
      </c>
      <c r="M1237">
        <v>332</v>
      </c>
      <c r="N1237">
        <v>0.95777777777777784</v>
      </c>
      <c r="O1237">
        <v>42526001.5</v>
      </c>
      <c r="P1237">
        <v>247429</v>
      </c>
      <c r="Q1237">
        <v>2</v>
      </c>
      <c r="R1237">
        <v>333</v>
      </c>
      <c r="S1237">
        <v>11.634121701925363</v>
      </c>
      <c r="T1237">
        <v>0.91728395223617554</v>
      </c>
    </row>
    <row r="1238" spans="1:20" x14ac:dyDescent="0.25">
      <c r="A1238" t="s">
        <v>106</v>
      </c>
      <c r="B1238">
        <v>5</v>
      </c>
      <c r="C1238">
        <v>5</v>
      </c>
      <c r="D1238">
        <v>0</v>
      </c>
      <c r="E1238" t="s">
        <v>157</v>
      </c>
      <c r="F1238">
        <v>247646</v>
      </c>
      <c r="G1238">
        <v>451737856.14285713</v>
      </c>
      <c r="H1238">
        <v>0.90825396776199341</v>
      </c>
      <c r="I1238">
        <v>0.96412698412698417</v>
      </c>
      <c r="J1238">
        <v>29483074.142857142</v>
      </c>
      <c r="K1238">
        <v>247429</v>
      </c>
      <c r="L1238">
        <v>2</v>
      </c>
      <c r="M1238">
        <v>333</v>
      </c>
      <c r="N1238">
        <v>0.96476190476190482</v>
      </c>
      <c r="O1238">
        <v>30634538.428571429</v>
      </c>
      <c r="P1238">
        <v>248840</v>
      </c>
      <c r="Q1238">
        <v>2</v>
      </c>
      <c r="R1238">
        <v>334</v>
      </c>
      <c r="S1238">
        <v>11.635699435699436</v>
      </c>
      <c r="T1238">
        <v>0.91851851344108582</v>
      </c>
    </row>
    <row r="1239" spans="1:20" x14ac:dyDescent="0.25">
      <c r="A1239" t="s">
        <v>106</v>
      </c>
      <c r="B1239">
        <v>5</v>
      </c>
      <c r="C1239">
        <v>5</v>
      </c>
      <c r="D1239">
        <v>0</v>
      </c>
      <c r="E1239" t="s">
        <v>222</v>
      </c>
      <c r="F1239">
        <v>249754</v>
      </c>
      <c r="G1239">
        <v>817628966.75</v>
      </c>
      <c r="H1239">
        <v>0.89722223579883575</v>
      </c>
      <c r="I1239">
        <v>0.97777777777777786</v>
      </c>
      <c r="J1239">
        <v>36665008.5</v>
      </c>
      <c r="K1239">
        <v>248840</v>
      </c>
      <c r="L1239">
        <v>2</v>
      </c>
      <c r="M1239">
        <v>334</v>
      </c>
      <c r="N1239">
        <v>0.9655555555555555</v>
      </c>
      <c r="O1239">
        <v>35921261</v>
      </c>
      <c r="P1239">
        <v>250255</v>
      </c>
      <c r="Q1239">
        <v>2</v>
      </c>
      <c r="R1239">
        <v>335</v>
      </c>
      <c r="S1239">
        <v>11.636973692024467</v>
      </c>
      <c r="T1239">
        <v>0.89629135920206704</v>
      </c>
    </row>
    <row r="1240" spans="1:20" x14ac:dyDescent="0.25">
      <c r="A1240" t="s">
        <v>106</v>
      </c>
      <c r="B1240">
        <v>5</v>
      </c>
      <c r="C1240">
        <v>5</v>
      </c>
      <c r="D1240">
        <v>0</v>
      </c>
      <c r="E1240" t="s">
        <v>275</v>
      </c>
      <c r="F1240">
        <v>252493</v>
      </c>
      <c r="G1240">
        <v>617617519.57142854</v>
      </c>
      <c r="H1240">
        <v>0.90412698473249165</v>
      </c>
      <c r="I1240">
        <v>0.95714285714285718</v>
      </c>
      <c r="J1240">
        <v>31462987.285714287</v>
      </c>
      <c r="K1240">
        <v>251674</v>
      </c>
      <c r="L1240">
        <v>2</v>
      </c>
      <c r="M1240">
        <v>336</v>
      </c>
      <c r="N1240">
        <v>0.95873015873015877</v>
      </c>
      <c r="O1240">
        <v>29918075.428571429</v>
      </c>
      <c r="P1240">
        <v>253097</v>
      </c>
      <c r="Q1240">
        <v>2</v>
      </c>
      <c r="R1240">
        <v>337</v>
      </c>
      <c r="S1240">
        <v>11.639617713403775</v>
      </c>
      <c r="T1240">
        <v>0.92037037809689837</v>
      </c>
    </row>
    <row r="1241" spans="1:20" x14ac:dyDescent="0.25">
      <c r="A1241" t="s">
        <v>106</v>
      </c>
      <c r="B1241">
        <v>5</v>
      </c>
      <c r="C1241">
        <v>5</v>
      </c>
      <c r="D1241">
        <v>0</v>
      </c>
      <c r="E1241" t="s">
        <v>186</v>
      </c>
      <c r="F1241">
        <v>254752</v>
      </c>
      <c r="G1241">
        <v>826004298.5</v>
      </c>
      <c r="H1241">
        <v>0.89722222089767456</v>
      </c>
      <c r="I1241">
        <v>0.96777777777777774</v>
      </c>
      <c r="J1241">
        <v>35881815</v>
      </c>
      <c r="K1241">
        <v>254524</v>
      </c>
      <c r="L1241">
        <v>2</v>
      </c>
      <c r="M1241">
        <v>338</v>
      </c>
      <c r="N1241">
        <v>0.96388888888888891</v>
      </c>
      <c r="O1241">
        <v>36934513.5</v>
      </c>
      <c r="P1241">
        <v>255955</v>
      </c>
      <c r="Q1241">
        <v>2</v>
      </c>
      <c r="R1241">
        <v>339</v>
      </c>
      <c r="S1241">
        <v>11.641483679525223</v>
      </c>
      <c r="T1241">
        <v>0.91604936122894287</v>
      </c>
    </row>
    <row r="1242" spans="1:20" x14ac:dyDescent="0.25">
      <c r="A1242" t="s">
        <v>106</v>
      </c>
      <c r="B1242">
        <v>5</v>
      </c>
      <c r="C1242">
        <v>5</v>
      </c>
      <c r="D1242">
        <v>0</v>
      </c>
      <c r="E1242" t="s">
        <v>236</v>
      </c>
      <c r="F1242">
        <v>256380</v>
      </c>
      <c r="G1242">
        <v>665418231.25</v>
      </c>
      <c r="H1242">
        <v>0.86055554449558258</v>
      </c>
      <c r="I1242">
        <v>0.96166666666666667</v>
      </c>
      <c r="J1242">
        <v>41901531.75</v>
      </c>
      <c r="K1242">
        <v>255955</v>
      </c>
      <c r="L1242">
        <v>2</v>
      </c>
      <c r="M1242">
        <v>339</v>
      </c>
      <c r="N1242">
        <v>0.96166666666666667</v>
      </c>
      <c r="O1242">
        <v>41280660.75</v>
      </c>
      <c r="P1242">
        <v>257390</v>
      </c>
      <c r="Q1242">
        <v>2</v>
      </c>
      <c r="R1242">
        <v>340</v>
      </c>
      <c r="S1242">
        <v>11.642340097306278</v>
      </c>
      <c r="T1242">
        <v>0.88641975323359168</v>
      </c>
    </row>
    <row r="1243" spans="1:20" x14ac:dyDescent="0.25">
      <c r="A1243" t="s">
        <v>106</v>
      </c>
      <c r="B1243">
        <v>5</v>
      </c>
      <c r="C1243">
        <v>5</v>
      </c>
      <c r="D1243">
        <v>0</v>
      </c>
      <c r="E1243" t="s">
        <v>282</v>
      </c>
      <c r="F1243">
        <v>259359</v>
      </c>
      <c r="G1243">
        <v>643255498.70000005</v>
      </c>
      <c r="H1243">
        <v>0.90777778029441836</v>
      </c>
      <c r="I1243">
        <v>0.96644444444444444</v>
      </c>
      <c r="J1243">
        <v>33245949.600000001</v>
      </c>
      <c r="K1243">
        <v>258829</v>
      </c>
      <c r="L1243">
        <v>2</v>
      </c>
      <c r="M1243">
        <v>341</v>
      </c>
      <c r="N1243">
        <v>0.96777777777777774</v>
      </c>
      <c r="O1243">
        <v>32574891.399999999</v>
      </c>
      <c r="P1243">
        <v>260272</v>
      </c>
      <c r="Q1243">
        <v>2</v>
      </c>
      <c r="R1243">
        <v>342</v>
      </c>
      <c r="S1243">
        <v>11.646821631878558</v>
      </c>
      <c r="T1243">
        <v>0.92551070910559763</v>
      </c>
    </row>
    <row r="1244" spans="1:20" x14ac:dyDescent="0.25">
      <c r="A1244" t="s">
        <v>106</v>
      </c>
      <c r="B1244">
        <v>5</v>
      </c>
      <c r="C1244">
        <v>5</v>
      </c>
      <c r="D1244">
        <v>0</v>
      </c>
      <c r="E1244" t="s">
        <v>208</v>
      </c>
      <c r="F1244">
        <v>261858</v>
      </c>
      <c r="G1244">
        <v>575902349.57142854</v>
      </c>
      <c r="H1244">
        <v>0.90222223315920147</v>
      </c>
      <c r="I1244">
        <v>0.95523809523809522</v>
      </c>
      <c r="J1244">
        <v>31241510</v>
      </c>
      <c r="K1244">
        <v>261719</v>
      </c>
      <c r="L1244">
        <v>2</v>
      </c>
      <c r="M1244">
        <v>343</v>
      </c>
      <c r="N1244">
        <v>0.96031746031746035</v>
      </c>
      <c r="O1244">
        <v>32513444.714285713</v>
      </c>
      <c r="P1244">
        <v>263170</v>
      </c>
      <c r="Q1244">
        <v>2</v>
      </c>
      <c r="R1244">
        <v>344</v>
      </c>
      <c r="S1244">
        <v>11.648509276272895</v>
      </c>
      <c r="T1244">
        <v>0.90431791838010156</v>
      </c>
    </row>
    <row r="1245" spans="1:20" x14ac:dyDescent="0.25">
      <c r="A1245" t="s">
        <v>106</v>
      </c>
      <c r="B1245">
        <v>5</v>
      </c>
      <c r="C1245">
        <v>5</v>
      </c>
      <c r="D1245">
        <v>0</v>
      </c>
      <c r="E1245" t="s">
        <v>270</v>
      </c>
      <c r="F1245">
        <v>263877</v>
      </c>
      <c r="G1245">
        <v>572217788.42857146</v>
      </c>
      <c r="H1245">
        <v>0.87555554934910362</v>
      </c>
      <c r="I1245">
        <v>0.95714285714285718</v>
      </c>
      <c r="J1245">
        <v>31733433.571428571</v>
      </c>
      <c r="K1245">
        <v>263170</v>
      </c>
      <c r="L1245">
        <v>2</v>
      </c>
      <c r="M1245">
        <v>344</v>
      </c>
      <c r="N1245">
        <v>0.95936507936507942</v>
      </c>
      <c r="O1245">
        <v>32214347.857142858</v>
      </c>
      <c r="P1245">
        <v>264625</v>
      </c>
      <c r="Q1245">
        <v>2</v>
      </c>
      <c r="R1245">
        <v>345</v>
      </c>
      <c r="S1245">
        <v>11.650254769522455</v>
      </c>
      <c r="T1245">
        <v>0.89691357811292016</v>
      </c>
    </row>
    <row r="1246" spans="1:20" x14ac:dyDescent="0.25">
      <c r="A1246" t="s">
        <v>106</v>
      </c>
      <c r="B1246">
        <v>5</v>
      </c>
      <c r="C1246">
        <v>5</v>
      </c>
      <c r="D1246">
        <v>0</v>
      </c>
      <c r="E1246" t="s">
        <v>162</v>
      </c>
      <c r="F1246">
        <v>265416</v>
      </c>
      <c r="G1246">
        <v>832309540</v>
      </c>
      <c r="H1246">
        <v>0.8911111056804657</v>
      </c>
      <c r="I1246">
        <v>0.95833333333333337</v>
      </c>
      <c r="J1246">
        <v>42013613.75</v>
      </c>
      <c r="K1246">
        <v>264625</v>
      </c>
      <c r="L1246">
        <v>2</v>
      </c>
      <c r="M1246">
        <v>345</v>
      </c>
      <c r="N1246">
        <v>0.96833333333333338</v>
      </c>
      <c r="O1246">
        <v>42481827.5</v>
      </c>
      <c r="P1246">
        <v>266084</v>
      </c>
      <c r="Q1246">
        <v>2</v>
      </c>
      <c r="R1246">
        <v>346</v>
      </c>
      <c r="S1246">
        <v>11.650989219286814</v>
      </c>
      <c r="T1246">
        <v>0.8975308736165365</v>
      </c>
    </row>
    <row r="1247" spans="1:20" x14ac:dyDescent="0.25">
      <c r="A1247" t="s">
        <v>106</v>
      </c>
      <c r="B1247">
        <v>5</v>
      </c>
      <c r="C1247">
        <v>5</v>
      </c>
      <c r="D1247">
        <v>0</v>
      </c>
      <c r="E1247" t="s">
        <v>289</v>
      </c>
      <c r="F1247">
        <v>266225</v>
      </c>
      <c r="G1247">
        <v>872239437.75</v>
      </c>
      <c r="H1247">
        <v>0.87444445490837097</v>
      </c>
      <c r="I1247">
        <v>0.97333333333333338</v>
      </c>
      <c r="J1247">
        <v>36552053.5</v>
      </c>
      <c r="K1247">
        <v>266084</v>
      </c>
      <c r="L1247">
        <v>2</v>
      </c>
      <c r="M1247">
        <v>346</v>
      </c>
      <c r="N1247">
        <v>0.98055555555555551</v>
      </c>
      <c r="O1247">
        <v>38525747.75</v>
      </c>
      <c r="P1247">
        <v>267547</v>
      </c>
      <c r="Q1247">
        <v>2</v>
      </c>
      <c r="R1247">
        <v>347</v>
      </c>
      <c r="S1247">
        <v>11.652907734217695</v>
      </c>
      <c r="T1247">
        <v>0.87530865271886193</v>
      </c>
    </row>
    <row r="1248" spans="1:20" x14ac:dyDescent="0.25">
      <c r="A1248" t="s">
        <v>106</v>
      </c>
      <c r="B1248">
        <v>5</v>
      </c>
      <c r="C1248">
        <v>5</v>
      </c>
      <c r="D1248">
        <v>0</v>
      </c>
      <c r="E1248" t="s">
        <v>223</v>
      </c>
      <c r="F1248">
        <v>268964</v>
      </c>
      <c r="G1248">
        <v>550062646.85714281</v>
      </c>
      <c r="H1248">
        <v>0.85365079130445209</v>
      </c>
      <c r="I1248">
        <v>0.96349206349206351</v>
      </c>
      <c r="J1248">
        <v>30585465.428571429</v>
      </c>
      <c r="K1248">
        <v>267547</v>
      </c>
      <c r="L1248">
        <v>2</v>
      </c>
      <c r="M1248">
        <v>347</v>
      </c>
      <c r="N1248">
        <v>0.96571428571428575</v>
      </c>
      <c r="O1248">
        <v>31078647.142857142</v>
      </c>
      <c r="P1248">
        <v>269014</v>
      </c>
      <c r="Q1248">
        <v>2</v>
      </c>
      <c r="R1248">
        <v>348</v>
      </c>
      <c r="S1248">
        <v>11.655005031669923</v>
      </c>
      <c r="T1248">
        <v>0.88271852933565775</v>
      </c>
    </row>
    <row r="1249" spans="1:20" x14ac:dyDescent="0.25">
      <c r="A1249" t="s">
        <v>106</v>
      </c>
      <c r="B1249">
        <v>5</v>
      </c>
      <c r="C1249">
        <v>5</v>
      </c>
      <c r="D1249">
        <v>0</v>
      </c>
      <c r="E1249" t="s">
        <v>276</v>
      </c>
      <c r="F1249">
        <v>271223</v>
      </c>
      <c r="G1249">
        <v>533198814.14285713</v>
      </c>
      <c r="H1249">
        <v>0.87809523514338905</v>
      </c>
      <c r="I1249">
        <v>0.96253968253968258</v>
      </c>
      <c r="J1249">
        <v>31442193.428571429</v>
      </c>
      <c r="K1249">
        <v>270485</v>
      </c>
      <c r="L1249">
        <v>2</v>
      </c>
      <c r="M1249">
        <v>349</v>
      </c>
      <c r="N1249">
        <v>0.95365079365079364</v>
      </c>
      <c r="O1249">
        <v>32624919.571428571</v>
      </c>
      <c r="P1249">
        <v>271960</v>
      </c>
      <c r="Q1249">
        <v>2</v>
      </c>
      <c r="R1249">
        <v>350</v>
      </c>
      <c r="S1249">
        <v>11.656272189349112</v>
      </c>
      <c r="T1249">
        <v>0.90308025272687276</v>
      </c>
    </row>
    <row r="1250" spans="1:20" x14ac:dyDescent="0.25">
      <c r="A1250" t="s">
        <v>106</v>
      </c>
      <c r="B1250">
        <v>5</v>
      </c>
      <c r="C1250">
        <v>5</v>
      </c>
      <c r="D1250">
        <v>0</v>
      </c>
      <c r="E1250" t="s">
        <v>189</v>
      </c>
      <c r="F1250">
        <v>273002</v>
      </c>
      <c r="G1250">
        <v>622493256.85714281</v>
      </c>
      <c r="H1250">
        <v>0.90698414189474919</v>
      </c>
      <c r="I1250">
        <v>0.95777777777777773</v>
      </c>
      <c r="J1250">
        <v>32346450.571428571</v>
      </c>
      <c r="K1250">
        <v>271960</v>
      </c>
      <c r="L1250">
        <v>2</v>
      </c>
      <c r="M1250">
        <v>350</v>
      </c>
      <c r="N1250">
        <v>0.95936507936507942</v>
      </c>
      <c r="O1250">
        <v>32383856.857142858</v>
      </c>
      <c r="P1250">
        <v>273439</v>
      </c>
      <c r="Q1250">
        <v>2</v>
      </c>
      <c r="R1250">
        <v>351</v>
      </c>
      <c r="S1250">
        <v>11.658839533920862</v>
      </c>
      <c r="T1250">
        <v>0.91049383083979285</v>
      </c>
    </row>
    <row r="1251" spans="1:20" x14ac:dyDescent="0.25">
      <c r="A1251" t="s">
        <v>106</v>
      </c>
      <c r="B1251">
        <v>5</v>
      </c>
      <c r="C1251">
        <v>5</v>
      </c>
      <c r="D1251">
        <v>0</v>
      </c>
      <c r="E1251" t="s">
        <v>265</v>
      </c>
      <c r="F1251">
        <v>274301</v>
      </c>
      <c r="G1251">
        <v>867301938</v>
      </c>
      <c r="H1251">
        <v>0.89444445073604584</v>
      </c>
      <c r="I1251">
        <v>0.9655555555555555</v>
      </c>
      <c r="J1251">
        <v>38499616.25</v>
      </c>
      <c r="K1251">
        <v>273439</v>
      </c>
      <c r="L1251">
        <v>2</v>
      </c>
      <c r="M1251">
        <v>351</v>
      </c>
      <c r="N1251">
        <v>0.96722222222222221</v>
      </c>
      <c r="O1251">
        <v>40262000.25</v>
      </c>
      <c r="P1251">
        <v>274922</v>
      </c>
      <c r="Q1251">
        <v>2</v>
      </c>
      <c r="R1251">
        <v>352</v>
      </c>
      <c r="S1251">
        <v>11.660043758500384</v>
      </c>
      <c r="T1251">
        <v>0.90493826071421302</v>
      </c>
    </row>
    <row r="1252" spans="1:20" x14ac:dyDescent="0.25">
      <c r="A1252" t="s">
        <v>106</v>
      </c>
      <c r="B1252">
        <v>5</v>
      </c>
      <c r="C1252">
        <v>5</v>
      </c>
      <c r="D1252">
        <v>0</v>
      </c>
      <c r="E1252" t="s">
        <v>239</v>
      </c>
      <c r="F1252">
        <v>276070</v>
      </c>
      <c r="G1252">
        <v>800082946.75</v>
      </c>
      <c r="H1252">
        <v>0.89277778565883636</v>
      </c>
      <c r="I1252">
        <v>0.9738888888888888</v>
      </c>
      <c r="J1252">
        <v>37506229</v>
      </c>
      <c r="K1252">
        <v>274922</v>
      </c>
      <c r="L1252">
        <v>2</v>
      </c>
      <c r="M1252">
        <v>352</v>
      </c>
      <c r="N1252">
        <v>0.97888888888888892</v>
      </c>
      <c r="O1252">
        <v>37144631.25</v>
      </c>
      <c r="P1252">
        <v>276409</v>
      </c>
      <c r="Q1252">
        <v>2</v>
      </c>
      <c r="R1252">
        <v>353</v>
      </c>
      <c r="S1252">
        <v>11.661129175288206</v>
      </c>
      <c r="T1252">
        <v>0.88888887564341224</v>
      </c>
    </row>
    <row r="1253" spans="1:20" x14ac:dyDescent="0.25">
      <c r="A1253" t="s">
        <v>106</v>
      </c>
      <c r="B1253">
        <v>5</v>
      </c>
      <c r="C1253">
        <v>5</v>
      </c>
      <c r="D1253">
        <v>0</v>
      </c>
      <c r="E1253" t="s">
        <v>283</v>
      </c>
      <c r="F1253">
        <v>278569</v>
      </c>
      <c r="G1253">
        <v>555191426.71428573</v>
      </c>
      <c r="H1253">
        <v>0.90000001873288837</v>
      </c>
      <c r="I1253">
        <v>0.96063492063492062</v>
      </c>
      <c r="J1253">
        <v>32135906.857142858</v>
      </c>
      <c r="K1253">
        <v>277900</v>
      </c>
      <c r="L1253">
        <v>2</v>
      </c>
      <c r="M1253">
        <v>354</v>
      </c>
      <c r="N1253">
        <v>0.96</v>
      </c>
      <c r="O1253">
        <v>31025710.714285713</v>
      </c>
      <c r="P1253">
        <v>279395</v>
      </c>
      <c r="Q1253">
        <v>2</v>
      </c>
      <c r="R1253">
        <v>355</v>
      </c>
      <c r="S1253">
        <v>11.663101288263798</v>
      </c>
      <c r="T1253">
        <v>0.92284198207855228</v>
      </c>
    </row>
    <row r="1254" spans="1:20" x14ac:dyDescent="0.25">
      <c r="A1254" t="s">
        <v>106</v>
      </c>
      <c r="B1254">
        <v>5</v>
      </c>
      <c r="C1254">
        <v>5</v>
      </c>
      <c r="D1254">
        <v>0</v>
      </c>
      <c r="E1254" t="s">
        <v>209</v>
      </c>
      <c r="F1254">
        <v>280588</v>
      </c>
      <c r="G1254">
        <v>597208105.85714281</v>
      </c>
      <c r="H1254">
        <v>0.90952381065913612</v>
      </c>
      <c r="I1254">
        <v>0.95904761904761904</v>
      </c>
      <c r="J1254">
        <v>33290840.857142858</v>
      </c>
      <c r="K1254">
        <v>279395</v>
      </c>
      <c r="L1254">
        <v>2</v>
      </c>
      <c r="M1254">
        <v>355</v>
      </c>
      <c r="N1254">
        <v>0.96031746031746035</v>
      </c>
      <c r="O1254">
        <v>31799834.714285713</v>
      </c>
      <c r="P1254">
        <v>280894</v>
      </c>
      <c r="Q1254">
        <v>2</v>
      </c>
      <c r="R1254">
        <v>356</v>
      </c>
      <c r="S1254">
        <v>11.665071770334928</v>
      </c>
      <c r="T1254">
        <v>0.91050123581886289</v>
      </c>
    </row>
    <row r="1255" spans="1:20" x14ac:dyDescent="0.25">
      <c r="A1255" t="s">
        <v>106</v>
      </c>
      <c r="B1255">
        <v>5</v>
      </c>
      <c r="C1255">
        <v>5</v>
      </c>
      <c r="D1255">
        <v>0</v>
      </c>
      <c r="E1255" t="s">
        <v>271</v>
      </c>
      <c r="F1255">
        <v>282127</v>
      </c>
      <c r="G1255">
        <v>571549105.42857146</v>
      </c>
      <c r="H1255">
        <v>0.90380953890936711</v>
      </c>
      <c r="I1255">
        <v>0.95714285714285718</v>
      </c>
      <c r="J1255">
        <v>32287829.142857142</v>
      </c>
      <c r="K1255">
        <v>280894</v>
      </c>
      <c r="L1255">
        <v>2</v>
      </c>
      <c r="M1255">
        <v>356</v>
      </c>
      <c r="N1255">
        <v>0.96349206349206351</v>
      </c>
      <c r="O1255">
        <v>31882539.428571429</v>
      </c>
      <c r="P1255">
        <v>282397</v>
      </c>
      <c r="Q1255">
        <v>2</v>
      </c>
      <c r="R1255">
        <v>357</v>
      </c>
      <c r="S1255">
        <v>11.667099669343411</v>
      </c>
      <c r="T1255">
        <v>0.91358023881912231</v>
      </c>
    </row>
    <row r="1256" spans="1:20" x14ac:dyDescent="0.25">
      <c r="A1256" t="s">
        <v>106</v>
      </c>
      <c r="B1256">
        <v>5</v>
      </c>
      <c r="C1256">
        <v>5</v>
      </c>
      <c r="D1256">
        <v>0</v>
      </c>
      <c r="E1256" t="s">
        <v>134</v>
      </c>
      <c r="F1256">
        <v>283186</v>
      </c>
      <c r="G1256">
        <v>810058046</v>
      </c>
      <c r="H1256">
        <v>0.90944445133209229</v>
      </c>
      <c r="I1256">
        <v>0.9655555555555555</v>
      </c>
      <c r="J1256">
        <v>38520621.75</v>
      </c>
      <c r="K1256">
        <v>282397</v>
      </c>
      <c r="L1256">
        <v>2</v>
      </c>
      <c r="M1256">
        <v>357</v>
      </c>
      <c r="N1256">
        <v>0.96722222222222221</v>
      </c>
      <c r="O1256">
        <v>35512533.5</v>
      </c>
      <c r="P1256">
        <v>283904</v>
      </c>
      <c r="Q1256">
        <v>2</v>
      </c>
      <c r="R1256">
        <v>358</v>
      </c>
      <c r="S1256">
        <v>11.668476977567886</v>
      </c>
      <c r="T1256">
        <v>0.90617283185323083</v>
      </c>
    </row>
    <row r="1257" spans="1:20" x14ac:dyDescent="0.25">
      <c r="A1257" t="s">
        <v>106</v>
      </c>
      <c r="B1257">
        <v>5</v>
      </c>
      <c r="C1257">
        <v>5</v>
      </c>
      <c r="D1257">
        <v>0</v>
      </c>
      <c r="E1257" t="s">
        <v>290</v>
      </c>
      <c r="F1257">
        <v>285915</v>
      </c>
      <c r="G1257">
        <v>994771775.75</v>
      </c>
      <c r="H1257">
        <v>0.89944444596767426</v>
      </c>
      <c r="I1257">
        <v>0.9705555555555555</v>
      </c>
      <c r="J1257">
        <v>42307086.75</v>
      </c>
      <c r="K1257">
        <v>285415</v>
      </c>
      <c r="L1257">
        <v>2</v>
      </c>
      <c r="M1257">
        <v>359</v>
      </c>
      <c r="N1257">
        <v>0.96444444444444444</v>
      </c>
      <c r="O1257">
        <v>42175323</v>
      </c>
      <c r="P1257">
        <v>286930</v>
      </c>
      <c r="Q1257">
        <v>2</v>
      </c>
      <c r="R1257">
        <v>360</v>
      </c>
      <c r="S1257">
        <v>11.669912653446648</v>
      </c>
      <c r="T1257">
        <v>0.91975309451421106</v>
      </c>
    </row>
    <row r="1258" spans="1:20" x14ac:dyDescent="0.25">
      <c r="A1258" t="s">
        <v>106</v>
      </c>
      <c r="B1258">
        <v>5</v>
      </c>
      <c r="C1258">
        <v>5</v>
      </c>
      <c r="D1258">
        <v>0</v>
      </c>
      <c r="E1258" t="s">
        <v>224</v>
      </c>
      <c r="F1258">
        <v>288174</v>
      </c>
      <c r="G1258">
        <v>723272898</v>
      </c>
      <c r="H1258">
        <v>0.86925926804542542</v>
      </c>
      <c r="I1258">
        <v>0.96259259259259256</v>
      </c>
      <c r="J1258">
        <v>32923834.5</v>
      </c>
      <c r="K1258">
        <v>286930</v>
      </c>
      <c r="L1258">
        <v>2</v>
      </c>
      <c r="M1258">
        <v>360</v>
      </c>
      <c r="N1258">
        <v>0.96259259259259267</v>
      </c>
      <c r="O1258">
        <v>34735128.833333336</v>
      </c>
      <c r="P1258">
        <v>288449</v>
      </c>
      <c r="Q1258">
        <v>2</v>
      </c>
      <c r="R1258">
        <v>361</v>
      </c>
      <c r="S1258">
        <v>11.672566371681416</v>
      </c>
      <c r="T1258">
        <v>0.90888444894790654</v>
      </c>
    </row>
    <row r="1259" spans="1:20" x14ac:dyDescent="0.25">
      <c r="A1259" t="s">
        <v>106</v>
      </c>
      <c r="B1259">
        <v>5</v>
      </c>
      <c r="C1259">
        <v>5</v>
      </c>
      <c r="D1259">
        <v>0</v>
      </c>
      <c r="E1259" t="s">
        <v>277</v>
      </c>
      <c r="F1259">
        <v>289953</v>
      </c>
      <c r="G1259">
        <v>580535331</v>
      </c>
      <c r="H1259">
        <v>0.89269841568810604</v>
      </c>
      <c r="I1259">
        <v>0.96158730158730166</v>
      </c>
      <c r="J1259">
        <v>33459397</v>
      </c>
      <c r="K1259">
        <v>288449</v>
      </c>
      <c r="L1259">
        <v>2</v>
      </c>
      <c r="M1259">
        <v>361</v>
      </c>
      <c r="N1259">
        <v>0.95365079365079364</v>
      </c>
      <c r="O1259">
        <v>33326219.571428571</v>
      </c>
      <c r="P1259">
        <v>289972</v>
      </c>
      <c r="Q1259">
        <v>2</v>
      </c>
      <c r="R1259">
        <v>362</v>
      </c>
      <c r="S1259">
        <v>11.673880993100195</v>
      </c>
      <c r="T1259">
        <v>0.91481481790542607</v>
      </c>
    </row>
    <row r="1260" spans="1:20" x14ac:dyDescent="0.25">
      <c r="A1260" t="s">
        <v>106</v>
      </c>
      <c r="B1260">
        <v>5</v>
      </c>
      <c r="C1260">
        <v>5</v>
      </c>
      <c r="D1260">
        <v>0</v>
      </c>
      <c r="E1260" t="s">
        <v>168</v>
      </c>
      <c r="F1260">
        <v>291252</v>
      </c>
      <c r="G1260">
        <v>549101532.71428573</v>
      </c>
      <c r="H1260">
        <v>0.89079365559986656</v>
      </c>
      <c r="I1260">
        <v>0.95904761904761904</v>
      </c>
      <c r="J1260">
        <v>31732513.285714287</v>
      </c>
      <c r="K1260">
        <v>289972</v>
      </c>
      <c r="L1260">
        <v>2</v>
      </c>
      <c r="M1260">
        <v>362</v>
      </c>
      <c r="N1260">
        <v>0.95841269841269838</v>
      </c>
      <c r="O1260">
        <v>32010136.285714287</v>
      </c>
      <c r="P1260">
        <v>291499</v>
      </c>
      <c r="Q1260">
        <v>2</v>
      </c>
      <c r="R1260">
        <v>363</v>
      </c>
      <c r="S1260">
        <v>11.675194529592078</v>
      </c>
      <c r="T1260">
        <v>0.90987655520439148</v>
      </c>
    </row>
    <row r="1261" spans="1:20" x14ac:dyDescent="0.25">
      <c r="A1261" t="s">
        <v>106</v>
      </c>
      <c r="B1261">
        <v>5</v>
      </c>
      <c r="C1261">
        <v>5</v>
      </c>
      <c r="D1261">
        <v>0</v>
      </c>
      <c r="E1261" t="s">
        <v>259</v>
      </c>
      <c r="F1261">
        <v>292071</v>
      </c>
      <c r="G1261">
        <v>1016109318.5</v>
      </c>
      <c r="H1261">
        <v>0.89666667580604553</v>
      </c>
      <c r="I1261">
        <v>0.96055555555555561</v>
      </c>
      <c r="J1261">
        <v>38905083.5</v>
      </c>
      <c r="K1261">
        <v>291499</v>
      </c>
      <c r="L1261">
        <v>2</v>
      </c>
      <c r="M1261">
        <v>363</v>
      </c>
      <c r="N1261">
        <v>0.96277777777777773</v>
      </c>
      <c r="O1261">
        <v>39598966.5</v>
      </c>
      <c r="P1261">
        <v>293030</v>
      </c>
      <c r="Q1261">
        <v>2</v>
      </c>
      <c r="R1261">
        <v>364</v>
      </c>
      <c r="S1261">
        <v>11.676744460160302</v>
      </c>
      <c r="T1261">
        <v>0.89259258906046546</v>
      </c>
    </row>
    <row r="1262" spans="1:20" x14ac:dyDescent="0.25">
      <c r="A1262" t="s">
        <v>106</v>
      </c>
      <c r="B1262">
        <v>5</v>
      </c>
      <c r="C1262">
        <v>5</v>
      </c>
      <c r="D1262">
        <v>0</v>
      </c>
      <c r="E1262" t="s">
        <v>240</v>
      </c>
      <c r="F1262">
        <v>295760</v>
      </c>
      <c r="G1262">
        <v>1126862637.75</v>
      </c>
      <c r="H1262">
        <v>0.88111111521720886</v>
      </c>
      <c r="I1262">
        <v>0.95777777777777784</v>
      </c>
      <c r="J1262">
        <v>44212021.75</v>
      </c>
      <c r="K1262">
        <v>294565</v>
      </c>
      <c r="L1262">
        <v>2</v>
      </c>
      <c r="M1262">
        <v>365</v>
      </c>
      <c r="N1262">
        <v>0.96388888888888891</v>
      </c>
      <c r="O1262">
        <v>44802382.75</v>
      </c>
      <c r="P1262">
        <v>296104</v>
      </c>
      <c r="Q1262">
        <v>2</v>
      </c>
      <c r="R1262">
        <v>366</v>
      </c>
      <c r="S1262">
        <v>11.677763374970541</v>
      </c>
      <c r="T1262">
        <v>0.92098766565322876</v>
      </c>
    </row>
    <row r="1263" spans="1:20" x14ac:dyDescent="0.25">
      <c r="A1263" t="s">
        <v>106</v>
      </c>
      <c r="B1263">
        <v>5</v>
      </c>
      <c r="C1263">
        <v>5</v>
      </c>
      <c r="D1263">
        <v>0</v>
      </c>
      <c r="E1263" t="s">
        <v>284</v>
      </c>
      <c r="F1263">
        <v>297779</v>
      </c>
      <c r="G1263">
        <v>618917096</v>
      </c>
      <c r="H1263">
        <v>0.90000000596046448</v>
      </c>
      <c r="I1263">
        <v>0.96722222222222221</v>
      </c>
      <c r="J1263">
        <v>37427673</v>
      </c>
      <c r="K1263">
        <v>297647</v>
      </c>
      <c r="L1263">
        <v>2</v>
      </c>
      <c r="M1263">
        <v>367</v>
      </c>
      <c r="N1263">
        <v>0.96888888888888891</v>
      </c>
      <c r="O1263">
        <v>39737514.75</v>
      </c>
      <c r="P1263">
        <v>299194</v>
      </c>
      <c r="Q1263">
        <v>2</v>
      </c>
      <c r="R1263">
        <v>368</v>
      </c>
      <c r="S1263">
        <v>11.67825164938737</v>
      </c>
      <c r="T1263">
        <v>0.92963703880310056</v>
      </c>
    </row>
    <row r="1264" spans="1:20" x14ac:dyDescent="0.25">
      <c r="A1264" t="s">
        <v>106</v>
      </c>
      <c r="B1264">
        <v>5</v>
      </c>
      <c r="C1264">
        <v>5</v>
      </c>
      <c r="D1264">
        <v>0</v>
      </c>
      <c r="E1264" t="s">
        <v>266</v>
      </c>
      <c r="F1264">
        <v>300377</v>
      </c>
      <c r="G1264">
        <v>647731473.28571427</v>
      </c>
      <c r="H1264">
        <v>0.89619048152651104</v>
      </c>
      <c r="I1264">
        <v>0.95904761904761904</v>
      </c>
      <c r="J1264">
        <v>33201146.142857142</v>
      </c>
      <c r="K1264">
        <v>299194</v>
      </c>
      <c r="L1264">
        <v>2</v>
      </c>
      <c r="M1264">
        <v>368</v>
      </c>
      <c r="N1264">
        <v>0.95492063492063495</v>
      </c>
      <c r="O1264">
        <v>32831494.714285713</v>
      </c>
      <c r="P1264">
        <v>300745</v>
      </c>
      <c r="Q1264">
        <v>2</v>
      </c>
      <c r="R1264">
        <v>369</v>
      </c>
      <c r="S1264">
        <v>11.680209621386092</v>
      </c>
      <c r="T1264">
        <v>0.90739877014160153</v>
      </c>
    </row>
    <row r="1265" spans="1:20" x14ac:dyDescent="0.25">
      <c r="A1265" t="s">
        <v>106</v>
      </c>
      <c r="B1265">
        <v>5</v>
      </c>
      <c r="C1265">
        <v>5</v>
      </c>
      <c r="D1265">
        <v>0</v>
      </c>
      <c r="E1265" t="s">
        <v>139</v>
      </c>
      <c r="F1265">
        <v>300956</v>
      </c>
      <c r="G1265">
        <v>761775046.875</v>
      </c>
      <c r="H1265">
        <v>0.90638888627290726</v>
      </c>
      <c r="I1265">
        <v>0.95944444444444443</v>
      </c>
      <c r="J1265">
        <v>34962654.25</v>
      </c>
      <c r="K1265">
        <v>300745</v>
      </c>
      <c r="L1265">
        <v>2</v>
      </c>
      <c r="M1265">
        <v>369</v>
      </c>
      <c r="N1265">
        <v>0.9572222222222222</v>
      </c>
      <c r="O1265">
        <v>34220409.125</v>
      </c>
      <c r="P1265">
        <v>302300</v>
      </c>
      <c r="Q1265">
        <v>2</v>
      </c>
      <c r="R1265">
        <v>370</v>
      </c>
      <c r="S1265">
        <v>11.682478959449121</v>
      </c>
      <c r="T1265">
        <v>0.89947090830121723</v>
      </c>
    </row>
    <row r="1266" spans="1:20" x14ac:dyDescent="0.25">
      <c r="A1266" t="s">
        <v>106</v>
      </c>
      <c r="B1266">
        <v>5</v>
      </c>
      <c r="C1266">
        <v>5</v>
      </c>
      <c r="D1266">
        <v>0</v>
      </c>
      <c r="E1266" t="s">
        <v>291</v>
      </c>
      <c r="F1266">
        <v>305605</v>
      </c>
      <c r="G1266">
        <v>1138411410</v>
      </c>
      <c r="H1266">
        <v>0.8911111056804657</v>
      </c>
      <c r="I1266">
        <v>0.95944444444444443</v>
      </c>
      <c r="J1266">
        <v>45929520.5</v>
      </c>
      <c r="K1266">
        <v>305422</v>
      </c>
      <c r="L1266">
        <v>2</v>
      </c>
      <c r="M1266">
        <v>372</v>
      </c>
      <c r="N1266">
        <v>0.96166666666666667</v>
      </c>
      <c r="O1266">
        <v>43136016.25</v>
      </c>
      <c r="P1266">
        <v>306989</v>
      </c>
      <c r="Q1266">
        <v>2</v>
      </c>
      <c r="R1266">
        <v>373</v>
      </c>
      <c r="S1266">
        <v>11.683612827302147</v>
      </c>
      <c r="T1266">
        <v>0.90246913830439246</v>
      </c>
    </row>
    <row r="1267" spans="1:20" x14ac:dyDescent="0.25">
      <c r="A1267" t="s">
        <v>106</v>
      </c>
      <c r="B1267">
        <v>5</v>
      </c>
      <c r="C1267">
        <v>5</v>
      </c>
      <c r="D1267">
        <v>0</v>
      </c>
      <c r="E1267" t="s">
        <v>211</v>
      </c>
      <c r="F1267">
        <v>307384</v>
      </c>
      <c r="G1267">
        <v>733442497</v>
      </c>
      <c r="H1267">
        <v>0.86944444477558136</v>
      </c>
      <c r="I1267">
        <v>0.96722222222222221</v>
      </c>
      <c r="J1267">
        <v>39745341</v>
      </c>
      <c r="K1267">
        <v>306989</v>
      </c>
      <c r="L1267">
        <v>2</v>
      </c>
      <c r="M1267">
        <v>373</v>
      </c>
      <c r="N1267">
        <v>0.96888888888888891</v>
      </c>
      <c r="O1267">
        <v>37452169.75</v>
      </c>
      <c r="P1267">
        <v>308560</v>
      </c>
      <c r="Q1267">
        <v>2</v>
      </c>
      <c r="R1267">
        <v>374</v>
      </c>
      <c r="S1267">
        <v>11.684687334549091</v>
      </c>
      <c r="T1267">
        <v>0.89136050148010249</v>
      </c>
    </row>
    <row r="1268" spans="1:20" x14ac:dyDescent="0.25">
      <c r="A1268" t="s">
        <v>106</v>
      </c>
      <c r="B1268">
        <v>5</v>
      </c>
      <c r="C1268">
        <v>5</v>
      </c>
      <c r="D1268">
        <v>0</v>
      </c>
      <c r="E1268" t="s">
        <v>260</v>
      </c>
      <c r="F1268">
        <v>309841</v>
      </c>
      <c r="G1268">
        <v>1014904665.2857143</v>
      </c>
      <c r="H1268">
        <v>0.88507935830524986</v>
      </c>
      <c r="I1268">
        <v>0.95650793650793653</v>
      </c>
      <c r="J1268">
        <v>35468491.571428575</v>
      </c>
      <c r="K1268">
        <v>308560</v>
      </c>
      <c r="L1268">
        <v>2</v>
      </c>
      <c r="M1268">
        <v>374</v>
      </c>
      <c r="N1268">
        <v>0.9555555555555556</v>
      </c>
      <c r="O1268">
        <v>34498436</v>
      </c>
      <c r="P1268">
        <v>310135</v>
      </c>
      <c r="Q1268">
        <v>2</v>
      </c>
      <c r="R1268">
        <v>375</v>
      </c>
      <c r="S1268">
        <v>11.688345289897683</v>
      </c>
      <c r="T1268">
        <v>0.90493827859560649</v>
      </c>
    </row>
    <row r="1269" spans="1:20" x14ac:dyDescent="0.25">
      <c r="A1269" t="s">
        <v>106</v>
      </c>
      <c r="B1269">
        <v>5</v>
      </c>
      <c r="C1269">
        <v>5</v>
      </c>
      <c r="D1269">
        <v>0</v>
      </c>
      <c r="E1269" t="s">
        <v>226</v>
      </c>
      <c r="F1269">
        <v>315450</v>
      </c>
      <c r="G1269">
        <v>883574708.60000002</v>
      </c>
      <c r="H1269">
        <v>0.90111110806465144</v>
      </c>
      <c r="I1269">
        <v>0.95911111111111114</v>
      </c>
      <c r="J1269">
        <v>37367914.200000003</v>
      </c>
      <c r="K1269">
        <v>314884</v>
      </c>
      <c r="L1269">
        <v>2</v>
      </c>
      <c r="M1269">
        <v>378</v>
      </c>
      <c r="N1269">
        <v>0.9602222222222222</v>
      </c>
      <c r="O1269">
        <v>37808633.299999997</v>
      </c>
      <c r="P1269">
        <v>316475</v>
      </c>
      <c r="Q1269">
        <v>2</v>
      </c>
      <c r="R1269">
        <v>379</v>
      </c>
      <c r="S1269">
        <v>11.691701927597554</v>
      </c>
      <c r="T1269">
        <v>0.9209876457850138</v>
      </c>
    </row>
    <row r="1270" spans="1:20" x14ac:dyDescent="0.25">
      <c r="A1270" t="s">
        <v>106</v>
      </c>
      <c r="B1270">
        <v>5</v>
      </c>
      <c r="C1270">
        <v>5</v>
      </c>
      <c r="D1270">
        <v>0</v>
      </c>
      <c r="E1270" t="s">
        <v>278</v>
      </c>
      <c r="F1270">
        <v>316989</v>
      </c>
      <c r="G1270">
        <v>819111849.75</v>
      </c>
      <c r="H1270">
        <v>0.89388889074325562</v>
      </c>
      <c r="I1270">
        <v>0.96611111111111114</v>
      </c>
      <c r="J1270">
        <v>39592955.25</v>
      </c>
      <c r="K1270">
        <v>316475</v>
      </c>
      <c r="L1270">
        <v>2</v>
      </c>
      <c r="M1270">
        <v>379</v>
      </c>
      <c r="N1270">
        <v>0.96777777777777785</v>
      </c>
      <c r="O1270">
        <v>39700243.75</v>
      </c>
      <c r="P1270">
        <v>318070</v>
      </c>
      <c r="Q1270">
        <v>2</v>
      </c>
      <c r="R1270">
        <v>380</v>
      </c>
      <c r="S1270">
        <v>11.692949471210341</v>
      </c>
      <c r="T1270">
        <v>0.9271555582046509</v>
      </c>
    </row>
    <row r="1271" spans="1:20" x14ac:dyDescent="0.25">
      <c r="A1271" t="s">
        <v>106</v>
      </c>
      <c r="B1271">
        <v>5</v>
      </c>
      <c r="C1271">
        <v>5</v>
      </c>
      <c r="D1271">
        <v>0</v>
      </c>
      <c r="E1271" t="s">
        <v>144</v>
      </c>
      <c r="F1271">
        <v>318726</v>
      </c>
      <c r="G1271">
        <v>742858595.29999995</v>
      </c>
      <c r="H1271">
        <v>0.88377777934074397</v>
      </c>
      <c r="I1271">
        <v>0.95711111111111113</v>
      </c>
      <c r="J1271">
        <v>32205024.5</v>
      </c>
      <c r="K1271">
        <v>318070</v>
      </c>
      <c r="L1271">
        <v>2</v>
      </c>
      <c r="M1271">
        <v>380</v>
      </c>
      <c r="N1271">
        <v>0.95333333333333337</v>
      </c>
      <c r="O1271">
        <v>33737141.700000003</v>
      </c>
      <c r="P1271">
        <v>319669</v>
      </c>
      <c r="Q1271">
        <v>2</v>
      </c>
      <c r="R1271">
        <v>381</v>
      </c>
      <c r="S1271">
        <v>11.696241926012918</v>
      </c>
      <c r="T1271">
        <v>0.89383004046546088</v>
      </c>
    </row>
    <row r="1272" spans="1:20" x14ac:dyDescent="0.25">
      <c r="A1272" t="s">
        <v>106</v>
      </c>
      <c r="B1272">
        <v>5</v>
      </c>
      <c r="C1272">
        <v>5</v>
      </c>
      <c r="D1272">
        <v>0</v>
      </c>
      <c r="E1272" t="s">
        <v>285</v>
      </c>
      <c r="F1272">
        <v>325295</v>
      </c>
      <c r="G1272">
        <v>1045655432.2857143</v>
      </c>
      <c r="H1272">
        <v>0.88761904409953529</v>
      </c>
      <c r="I1272">
        <v>0.96412698412698417</v>
      </c>
      <c r="J1272">
        <v>43623097.857142858</v>
      </c>
      <c r="K1272">
        <v>324490</v>
      </c>
      <c r="L1272">
        <v>2</v>
      </c>
      <c r="M1272">
        <v>384</v>
      </c>
      <c r="N1272">
        <v>0.96317460317460324</v>
      </c>
      <c r="O1272">
        <v>42897434.285714284</v>
      </c>
      <c r="P1272">
        <v>326105</v>
      </c>
      <c r="Q1272">
        <v>2</v>
      </c>
      <c r="R1272">
        <v>385</v>
      </c>
      <c r="S1272">
        <v>11.697775429946587</v>
      </c>
      <c r="T1272">
        <v>0.88703703880310059</v>
      </c>
    </row>
    <row r="1273" spans="1:20" x14ac:dyDescent="0.25">
      <c r="A1273" t="s">
        <v>106</v>
      </c>
      <c r="B1273">
        <v>5</v>
      </c>
      <c r="C1273">
        <v>5</v>
      </c>
      <c r="D1273">
        <v>0</v>
      </c>
      <c r="E1273" t="s">
        <v>261</v>
      </c>
      <c r="F1273">
        <v>327611</v>
      </c>
      <c r="G1273">
        <v>952967031.25</v>
      </c>
      <c r="H1273">
        <v>0.89722220599651337</v>
      </c>
      <c r="I1273">
        <v>0.96722222222222221</v>
      </c>
      <c r="J1273">
        <v>41376941.25</v>
      </c>
      <c r="K1273">
        <v>326105</v>
      </c>
      <c r="L1273">
        <v>2</v>
      </c>
      <c r="M1273">
        <v>385</v>
      </c>
      <c r="N1273">
        <v>0.96611111111111114</v>
      </c>
      <c r="O1273">
        <v>42536124.75</v>
      </c>
      <c r="P1273">
        <v>327724</v>
      </c>
      <c r="Q1273">
        <v>2</v>
      </c>
      <c r="R1273">
        <v>386</v>
      </c>
      <c r="S1273">
        <v>11.698726600551611</v>
      </c>
      <c r="T1273">
        <v>0.9111110965410868</v>
      </c>
    </row>
    <row r="1274" spans="1:20" x14ac:dyDescent="0.25">
      <c r="A1274" t="s">
        <v>106</v>
      </c>
      <c r="B1274">
        <v>5</v>
      </c>
      <c r="C1274">
        <v>5</v>
      </c>
      <c r="D1274">
        <v>0</v>
      </c>
      <c r="E1274" t="s">
        <v>177</v>
      </c>
      <c r="F1274">
        <v>327752</v>
      </c>
      <c r="G1274">
        <v>884979834.38461542</v>
      </c>
      <c r="H1274">
        <v>0.90871794865681577</v>
      </c>
      <c r="I1274">
        <v>0.95829059829059826</v>
      </c>
      <c r="J1274">
        <v>36909546.230769232</v>
      </c>
      <c r="K1274">
        <v>327724</v>
      </c>
      <c r="L1274">
        <v>2</v>
      </c>
      <c r="M1274">
        <v>386</v>
      </c>
      <c r="N1274">
        <v>0.95572649572649571</v>
      </c>
      <c r="O1274">
        <v>36046678.92307692</v>
      </c>
      <c r="P1274">
        <v>329347</v>
      </c>
      <c r="Q1274">
        <v>2</v>
      </c>
      <c r="R1274">
        <v>387</v>
      </c>
      <c r="S1274">
        <v>11.701594933739885</v>
      </c>
      <c r="T1274">
        <v>0.92190833432674402</v>
      </c>
    </row>
    <row r="1275" spans="1:20" x14ac:dyDescent="0.25">
      <c r="A1275" t="s">
        <v>106</v>
      </c>
      <c r="B1275">
        <v>5</v>
      </c>
      <c r="C1275">
        <v>5</v>
      </c>
      <c r="D1275">
        <v>0</v>
      </c>
      <c r="E1275" t="s">
        <v>227</v>
      </c>
      <c r="F1275">
        <v>335140</v>
      </c>
      <c r="G1275">
        <v>1347027965.5</v>
      </c>
      <c r="H1275">
        <v>0.88500000536441803</v>
      </c>
      <c r="I1275">
        <v>0.96888888888888891</v>
      </c>
      <c r="J1275">
        <v>43152265.75</v>
      </c>
      <c r="K1275">
        <v>334240</v>
      </c>
      <c r="L1275">
        <v>2</v>
      </c>
      <c r="M1275">
        <v>390</v>
      </c>
      <c r="N1275">
        <v>0.96944444444444444</v>
      </c>
      <c r="O1275">
        <v>38732997.75</v>
      </c>
      <c r="P1275">
        <v>335879</v>
      </c>
      <c r="Q1275">
        <v>2</v>
      </c>
      <c r="R1275">
        <v>391</v>
      </c>
      <c r="S1275">
        <v>11.704009848751319</v>
      </c>
      <c r="T1275">
        <v>0.9209876457850138</v>
      </c>
    </row>
    <row r="1276" spans="1:20" x14ac:dyDescent="0.25">
      <c r="A1276" t="s">
        <v>106</v>
      </c>
      <c r="B1276">
        <v>5</v>
      </c>
      <c r="C1276">
        <v>5</v>
      </c>
      <c r="D1276">
        <v>0</v>
      </c>
      <c r="E1276" t="s">
        <v>268</v>
      </c>
      <c r="F1276">
        <v>336877</v>
      </c>
      <c r="G1276">
        <v>883124596.5</v>
      </c>
      <c r="H1276">
        <v>0.88944445550441742</v>
      </c>
      <c r="I1276">
        <v>0.97833333333333328</v>
      </c>
      <c r="J1276">
        <v>39639992</v>
      </c>
      <c r="K1276">
        <v>335879</v>
      </c>
      <c r="L1276">
        <v>2</v>
      </c>
      <c r="M1276">
        <v>391</v>
      </c>
      <c r="N1276">
        <v>0.9655555555555555</v>
      </c>
      <c r="O1276">
        <v>40225790</v>
      </c>
      <c r="P1276">
        <v>337522</v>
      </c>
      <c r="Q1276">
        <v>2</v>
      </c>
      <c r="R1276">
        <v>392</v>
      </c>
      <c r="S1276">
        <v>11.704958387058962</v>
      </c>
      <c r="T1276">
        <v>0.91481480995814002</v>
      </c>
    </row>
    <row r="1277" spans="1:20" x14ac:dyDescent="0.25">
      <c r="A1277" t="s">
        <v>106</v>
      </c>
      <c r="B1277">
        <v>5</v>
      </c>
      <c r="C1277">
        <v>5</v>
      </c>
      <c r="D1277">
        <v>0</v>
      </c>
      <c r="E1277" t="s">
        <v>286</v>
      </c>
      <c r="F1277">
        <v>344985</v>
      </c>
      <c r="G1277">
        <v>921588385.76923072</v>
      </c>
      <c r="H1277">
        <v>0.89230769414168143</v>
      </c>
      <c r="I1277">
        <v>0.95863247863247869</v>
      </c>
      <c r="J1277">
        <v>34498224.92307692</v>
      </c>
      <c r="K1277">
        <v>344134</v>
      </c>
      <c r="L1277">
        <v>2</v>
      </c>
      <c r="M1277">
        <v>396</v>
      </c>
      <c r="N1277">
        <v>0.95811965811965816</v>
      </c>
      <c r="O1277">
        <v>34712820.307692304</v>
      </c>
      <c r="P1277">
        <v>345797</v>
      </c>
      <c r="Q1277">
        <v>2</v>
      </c>
      <c r="R1277">
        <v>397</v>
      </c>
      <c r="S1277">
        <v>11.710512445095169</v>
      </c>
      <c r="T1277">
        <v>0.90184752637545262</v>
      </c>
    </row>
    <row r="1278" spans="1:20" x14ac:dyDescent="0.25">
      <c r="A1278" t="s">
        <v>106</v>
      </c>
      <c r="B1278">
        <v>5</v>
      </c>
      <c r="C1278">
        <v>5</v>
      </c>
      <c r="D1278">
        <v>0</v>
      </c>
      <c r="E1278" t="s">
        <v>214</v>
      </c>
      <c r="F1278">
        <v>345804</v>
      </c>
      <c r="G1278">
        <v>1265345629.75</v>
      </c>
      <c r="H1278">
        <v>0.90888889133930206</v>
      </c>
      <c r="I1278">
        <v>0.97166666666666668</v>
      </c>
      <c r="J1278">
        <v>40704640.75</v>
      </c>
      <c r="K1278">
        <v>345797</v>
      </c>
      <c r="L1278">
        <v>2</v>
      </c>
      <c r="M1278">
        <v>397</v>
      </c>
      <c r="N1278">
        <v>0.96722222222222221</v>
      </c>
      <c r="O1278">
        <v>40603405.5</v>
      </c>
      <c r="P1278">
        <v>347464</v>
      </c>
      <c r="Q1278">
        <v>2</v>
      </c>
      <c r="R1278">
        <v>398</v>
      </c>
      <c r="S1278">
        <v>11.712805199367644</v>
      </c>
      <c r="T1278">
        <v>0.92468517812093098</v>
      </c>
    </row>
    <row r="1279" spans="1:20" x14ac:dyDescent="0.25">
      <c r="A1279" t="s">
        <v>106</v>
      </c>
      <c r="B1279">
        <v>5</v>
      </c>
      <c r="C1279">
        <v>5</v>
      </c>
      <c r="D1279">
        <v>0</v>
      </c>
      <c r="E1279" t="s">
        <v>280</v>
      </c>
      <c r="F1279">
        <v>355409</v>
      </c>
      <c r="G1279">
        <v>698810626.89999998</v>
      </c>
      <c r="H1279">
        <v>0.8860000014305115</v>
      </c>
      <c r="I1279">
        <v>0.9588888888888889</v>
      </c>
      <c r="J1279">
        <v>33239186</v>
      </c>
      <c r="K1279">
        <v>354172</v>
      </c>
      <c r="L1279">
        <v>2</v>
      </c>
      <c r="M1279">
        <v>402</v>
      </c>
      <c r="N1279">
        <v>0.95799999999999996</v>
      </c>
      <c r="O1279">
        <v>33981216.799999997</v>
      </c>
      <c r="P1279">
        <v>355859</v>
      </c>
      <c r="Q1279">
        <v>2</v>
      </c>
      <c r="R1279">
        <v>403</v>
      </c>
      <c r="S1279">
        <v>11.715255427467962</v>
      </c>
      <c r="T1279">
        <v>0.90246666401757136</v>
      </c>
    </row>
    <row r="1280" spans="1:20" x14ac:dyDescent="0.25">
      <c r="A1280" t="s">
        <v>106</v>
      </c>
      <c r="B1280">
        <v>5</v>
      </c>
      <c r="C1280">
        <v>5</v>
      </c>
      <c r="D1280">
        <v>0</v>
      </c>
      <c r="E1280" t="s">
        <v>287</v>
      </c>
      <c r="F1280">
        <v>364675</v>
      </c>
      <c r="G1280">
        <v>868361452.16666663</v>
      </c>
      <c r="H1280">
        <v>0.90851852794488275</v>
      </c>
      <c r="I1280">
        <v>0.96259259259259256</v>
      </c>
      <c r="J1280">
        <v>37685841.916666664</v>
      </c>
      <c r="K1280">
        <v>364354</v>
      </c>
      <c r="L1280">
        <v>2</v>
      </c>
      <c r="M1280">
        <v>408</v>
      </c>
      <c r="N1280">
        <v>0.96388888888888891</v>
      </c>
      <c r="O1280">
        <v>38005306.666666664</v>
      </c>
      <c r="P1280">
        <v>366065</v>
      </c>
      <c r="Q1280">
        <v>2</v>
      </c>
      <c r="R1280">
        <v>409</v>
      </c>
      <c r="S1280">
        <v>11.718145137711245</v>
      </c>
      <c r="T1280">
        <v>0.92154847979112109</v>
      </c>
    </row>
    <row r="1281" spans="1:20" x14ac:dyDescent="0.25">
      <c r="A1281" t="s">
        <v>106</v>
      </c>
      <c r="B1281">
        <v>9</v>
      </c>
      <c r="C1281">
        <v>2</v>
      </c>
      <c r="D1281">
        <v>0</v>
      </c>
      <c r="E1281" t="s">
        <v>123</v>
      </c>
      <c r="F1281">
        <v>67546</v>
      </c>
      <c r="G1281">
        <v>840517909</v>
      </c>
      <c r="H1281">
        <v>0.92277778685092926</v>
      </c>
      <c r="I1281">
        <v>0.97</v>
      </c>
      <c r="J1281">
        <v>35435495.25</v>
      </c>
      <c r="K1281">
        <v>67165</v>
      </c>
      <c r="L1281">
        <v>2</v>
      </c>
      <c r="M1281">
        <v>165</v>
      </c>
      <c r="N1281">
        <v>0.97166666666666668</v>
      </c>
      <c r="O1281">
        <v>34114181</v>
      </c>
      <c r="P1281">
        <v>67904</v>
      </c>
      <c r="Q1281">
        <v>2</v>
      </c>
      <c r="R1281">
        <v>166</v>
      </c>
      <c r="S1281">
        <v>11.719263373282667</v>
      </c>
      <c r="T1281">
        <v>0.94197531541188562</v>
      </c>
    </row>
    <row r="1282" spans="1:20" x14ac:dyDescent="0.25">
      <c r="A1282" t="s">
        <v>106</v>
      </c>
      <c r="B1282">
        <v>9</v>
      </c>
      <c r="C1282">
        <v>2</v>
      </c>
      <c r="D1282">
        <v>0</v>
      </c>
      <c r="E1282" t="s">
        <v>257</v>
      </c>
      <c r="F1282">
        <v>74581</v>
      </c>
      <c r="G1282">
        <v>71763932</v>
      </c>
      <c r="H1282">
        <v>0.95388887822628021</v>
      </c>
      <c r="I1282">
        <v>0.96944444444444444</v>
      </c>
      <c r="J1282">
        <v>17254305.25</v>
      </c>
      <c r="K1282">
        <v>73960</v>
      </c>
      <c r="L1282">
        <v>2</v>
      </c>
      <c r="M1282">
        <v>174</v>
      </c>
      <c r="N1282">
        <v>0.96722222222222221</v>
      </c>
      <c r="O1282">
        <v>16805645.75</v>
      </c>
      <c r="P1282">
        <v>74735</v>
      </c>
      <c r="Q1282">
        <v>2</v>
      </c>
      <c r="R1282">
        <v>175</v>
      </c>
      <c r="S1282">
        <v>11.718802969197498</v>
      </c>
      <c r="T1282">
        <v>0.95555555820465088</v>
      </c>
    </row>
    <row r="1283" spans="1:20" x14ac:dyDescent="0.25">
      <c r="A1283" t="s">
        <v>106</v>
      </c>
      <c r="B1283">
        <v>9</v>
      </c>
      <c r="C1283">
        <v>2</v>
      </c>
      <c r="D1283">
        <v>0</v>
      </c>
      <c r="E1283" t="s">
        <v>128</v>
      </c>
      <c r="F1283">
        <v>81616</v>
      </c>
      <c r="G1283">
        <v>80223742.75</v>
      </c>
      <c r="H1283">
        <v>0.95555555820465088</v>
      </c>
      <c r="I1283">
        <v>0.97</v>
      </c>
      <c r="J1283">
        <v>19445047</v>
      </c>
      <c r="K1283">
        <v>81079</v>
      </c>
      <c r="L1283">
        <v>2</v>
      </c>
      <c r="M1283">
        <v>183</v>
      </c>
      <c r="N1283">
        <v>0.96944444444444444</v>
      </c>
      <c r="O1283">
        <v>18883183.75</v>
      </c>
      <c r="P1283">
        <v>81890</v>
      </c>
      <c r="Q1283">
        <v>2</v>
      </c>
      <c r="R1283">
        <v>184</v>
      </c>
      <c r="S1283">
        <v>11.718225910126804</v>
      </c>
      <c r="T1283">
        <v>0.95679012934366858</v>
      </c>
    </row>
    <row r="1284" spans="1:20" x14ac:dyDescent="0.25">
      <c r="A1284" t="s">
        <v>106</v>
      </c>
      <c r="B1284">
        <v>9</v>
      </c>
      <c r="C1284">
        <v>2</v>
      </c>
      <c r="D1284">
        <v>0</v>
      </c>
      <c r="E1284" t="s">
        <v>258</v>
      </c>
      <c r="F1284">
        <v>88651</v>
      </c>
      <c r="G1284">
        <v>84670434.5</v>
      </c>
      <c r="H1284">
        <v>0.96055556833744049</v>
      </c>
      <c r="I1284">
        <v>0.97333333333333338</v>
      </c>
      <c r="J1284">
        <v>20270866.25</v>
      </c>
      <c r="K1284">
        <v>88522</v>
      </c>
      <c r="L1284">
        <v>2</v>
      </c>
      <c r="M1284">
        <v>192</v>
      </c>
      <c r="N1284">
        <v>0.96888888888888891</v>
      </c>
      <c r="O1284">
        <v>18488127.25</v>
      </c>
      <c r="P1284">
        <v>89369</v>
      </c>
      <c r="Q1284">
        <v>2</v>
      </c>
      <c r="R1284">
        <v>193</v>
      </c>
      <c r="S1284">
        <v>11.717590699304784</v>
      </c>
      <c r="T1284">
        <v>0.95555555820465088</v>
      </c>
    </row>
    <row r="1285" spans="1:20" x14ac:dyDescent="0.25">
      <c r="A1285" t="s">
        <v>106</v>
      </c>
      <c r="B1285">
        <v>9</v>
      </c>
      <c r="C1285">
        <v>2</v>
      </c>
      <c r="D1285">
        <v>0</v>
      </c>
      <c r="E1285" t="s">
        <v>192</v>
      </c>
      <c r="F1285">
        <v>95686</v>
      </c>
      <c r="G1285">
        <v>91140271</v>
      </c>
      <c r="H1285">
        <v>0.96166665852069855</v>
      </c>
      <c r="I1285">
        <v>0.97666666666666668</v>
      </c>
      <c r="J1285">
        <v>21034560.5</v>
      </c>
      <c r="K1285">
        <v>95410</v>
      </c>
      <c r="L1285">
        <v>2</v>
      </c>
      <c r="M1285">
        <v>200</v>
      </c>
      <c r="N1285">
        <v>0.97333333333333338</v>
      </c>
      <c r="O1285">
        <v>18671075.75</v>
      </c>
      <c r="P1285">
        <v>96289</v>
      </c>
      <c r="Q1285">
        <v>2</v>
      </c>
      <c r="R1285">
        <v>201</v>
      </c>
      <c r="S1285">
        <v>11.717131008702763</v>
      </c>
      <c r="T1285">
        <v>0.96049382289250695</v>
      </c>
    </row>
    <row r="1286" spans="1:20" x14ac:dyDescent="0.25">
      <c r="A1286" t="s">
        <v>106</v>
      </c>
      <c r="B1286">
        <v>9</v>
      </c>
      <c r="C1286">
        <v>2</v>
      </c>
      <c r="D1286">
        <v>0</v>
      </c>
      <c r="E1286" t="s">
        <v>292</v>
      </c>
      <c r="F1286">
        <v>102721</v>
      </c>
      <c r="G1286">
        <v>99534569.25</v>
      </c>
      <c r="H1286">
        <v>0.9583333283662796</v>
      </c>
      <c r="I1286">
        <v>0.97777777777777775</v>
      </c>
      <c r="J1286">
        <v>22894556.75</v>
      </c>
      <c r="K1286">
        <v>102554</v>
      </c>
      <c r="L1286">
        <v>2</v>
      </c>
      <c r="M1286">
        <v>208</v>
      </c>
      <c r="N1286">
        <v>0.96388888888888891</v>
      </c>
      <c r="O1286">
        <v>20062725.25</v>
      </c>
      <c r="P1286">
        <v>103465</v>
      </c>
      <c r="Q1286">
        <v>2</v>
      </c>
      <c r="R1286">
        <v>209</v>
      </c>
      <c r="S1286">
        <v>11.716788321167883</v>
      </c>
      <c r="T1286">
        <v>0.9592592716217041</v>
      </c>
    </row>
    <row r="1287" spans="1:20" x14ac:dyDescent="0.25">
      <c r="A1287" t="s">
        <v>106</v>
      </c>
      <c r="B1287">
        <v>9</v>
      </c>
      <c r="C1287">
        <v>2</v>
      </c>
      <c r="D1287">
        <v>0</v>
      </c>
      <c r="E1287" t="s">
        <v>243</v>
      </c>
      <c r="F1287">
        <v>109756</v>
      </c>
      <c r="G1287">
        <v>103802188</v>
      </c>
      <c r="H1287">
        <v>0.95166666805744171</v>
      </c>
      <c r="I1287">
        <v>0.97555555555555551</v>
      </c>
      <c r="J1287">
        <v>22173179.5</v>
      </c>
      <c r="K1287">
        <v>109015</v>
      </c>
      <c r="L1287">
        <v>2</v>
      </c>
      <c r="M1287">
        <v>215</v>
      </c>
      <c r="N1287">
        <v>0.97222222222222221</v>
      </c>
      <c r="O1287">
        <v>22277813.25</v>
      </c>
      <c r="P1287">
        <v>109954</v>
      </c>
      <c r="Q1287">
        <v>2</v>
      </c>
      <c r="R1287">
        <v>216</v>
      </c>
      <c r="S1287">
        <v>11.716153891061941</v>
      </c>
      <c r="T1287">
        <v>0.96296296517054236</v>
      </c>
    </row>
    <row r="1288" spans="1:20" x14ac:dyDescent="0.25">
      <c r="A1288" t="s">
        <v>106</v>
      </c>
      <c r="B1288">
        <v>9</v>
      </c>
      <c r="C1288">
        <v>2</v>
      </c>
      <c r="D1288">
        <v>0</v>
      </c>
      <c r="E1288" t="s">
        <v>293</v>
      </c>
      <c r="F1288">
        <v>116791</v>
      </c>
      <c r="G1288">
        <v>109777643.75</v>
      </c>
      <c r="H1288">
        <v>0.95888888835906982</v>
      </c>
      <c r="I1288">
        <v>0.97333333333333338</v>
      </c>
      <c r="J1288">
        <v>23783233.75</v>
      </c>
      <c r="K1288">
        <v>116639</v>
      </c>
      <c r="L1288">
        <v>2</v>
      </c>
      <c r="M1288">
        <v>223</v>
      </c>
      <c r="N1288">
        <v>0.97611111111111115</v>
      </c>
      <c r="O1288">
        <v>22580187.75</v>
      </c>
      <c r="P1288">
        <v>117610</v>
      </c>
      <c r="Q1288">
        <v>2</v>
      </c>
      <c r="R1288">
        <v>224</v>
      </c>
      <c r="S1288">
        <v>11.715578124088017</v>
      </c>
      <c r="T1288">
        <v>0.9592592716217041</v>
      </c>
    </row>
    <row r="1289" spans="1:20" x14ac:dyDescent="0.25">
      <c r="A1289" t="s">
        <v>106</v>
      </c>
      <c r="B1289">
        <v>9</v>
      </c>
      <c r="C1289">
        <v>2</v>
      </c>
      <c r="D1289">
        <v>0</v>
      </c>
      <c r="E1289" t="s">
        <v>248</v>
      </c>
      <c r="F1289">
        <v>123826</v>
      </c>
      <c r="G1289">
        <v>108172579.75</v>
      </c>
      <c r="H1289">
        <v>0.96111111342906952</v>
      </c>
      <c r="I1289">
        <v>0.97500000000000009</v>
      </c>
      <c r="J1289">
        <v>24648501.25</v>
      </c>
      <c r="K1289">
        <v>123520</v>
      </c>
      <c r="L1289">
        <v>2</v>
      </c>
      <c r="M1289">
        <v>230</v>
      </c>
      <c r="N1289">
        <v>0.97499999999999998</v>
      </c>
      <c r="O1289">
        <v>24024130.75</v>
      </c>
      <c r="P1289">
        <v>124519</v>
      </c>
      <c r="Q1289">
        <v>2</v>
      </c>
      <c r="R1289">
        <v>231</v>
      </c>
      <c r="S1289">
        <v>11.714944272626481</v>
      </c>
      <c r="T1289">
        <v>0.96172839403152466</v>
      </c>
    </row>
    <row r="1290" spans="1:20" x14ac:dyDescent="0.25">
      <c r="A1290" t="s">
        <v>106</v>
      </c>
      <c r="B1290">
        <v>9</v>
      </c>
      <c r="C1290">
        <v>2</v>
      </c>
      <c r="D1290">
        <v>0</v>
      </c>
      <c r="E1290" t="s">
        <v>294</v>
      </c>
      <c r="F1290">
        <v>130861</v>
      </c>
      <c r="G1290">
        <v>119332925.5</v>
      </c>
      <c r="H1290">
        <v>0.96499998867511749</v>
      </c>
      <c r="I1290">
        <v>0.97722222222222221</v>
      </c>
      <c r="J1290">
        <v>24598682.25</v>
      </c>
      <c r="K1290">
        <v>130597</v>
      </c>
      <c r="L1290">
        <v>2</v>
      </c>
      <c r="M1290">
        <v>237</v>
      </c>
      <c r="N1290">
        <v>0.9605555555555555</v>
      </c>
      <c r="O1290">
        <v>23464285</v>
      </c>
      <c r="P1290">
        <v>131624</v>
      </c>
      <c r="Q1290">
        <v>2</v>
      </c>
      <c r="R1290">
        <v>238</v>
      </c>
      <c r="S1290">
        <v>11.714310716994341</v>
      </c>
      <c r="T1290">
        <v>0.96049382289250695</v>
      </c>
    </row>
    <row r="1291" spans="1:20" x14ac:dyDescent="0.25">
      <c r="A1291" t="s">
        <v>106</v>
      </c>
      <c r="B1291">
        <v>9</v>
      </c>
      <c r="C1291">
        <v>2</v>
      </c>
      <c r="D1291">
        <v>0</v>
      </c>
      <c r="E1291" t="s">
        <v>253</v>
      </c>
      <c r="F1291">
        <v>137896</v>
      </c>
      <c r="G1291">
        <v>135946991.75</v>
      </c>
      <c r="H1291">
        <v>0.96555554866790771</v>
      </c>
      <c r="I1291">
        <v>0.97055555555555562</v>
      </c>
      <c r="J1291">
        <v>25387403.25</v>
      </c>
      <c r="K1291">
        <v>137870</v>
      </c>
      <c r="L1291">
        <v>2</v>
      </c>
      <c r="M1291">
        <v>244</v>
      </c>
      <c r="N1291">
        <v>0.96666666666666667</v>
      </c>
      <c r="O1291">
        <v>24824455</v>
      </c>
      <c r="P1291">
        <v>138925</v>
      </c>
      <c r="Q1291">
        <v>2</v>
      </c>
      <c r="R1291">
        <v>245</v>
      </c>
      <c r="S1291">
        <v>11.713735783027122</v>
      </c>
      <c r="T1291">
        <v>0.9592592716217041</v>
      </c>
    </row>
    <row r="1292" spans="1:20" x14ac:dyDescent="0.25">
      <c r="A1292" t="s">
        <v>106</v>
      </c>
      <c r="B1292">
        <v>9</v>
      </c>
      <c r="C1292">
        <v>2</v>
      </c>
      <c r="D1292">
        <v>0</v>
      </c>
      <c r="E1292" t="s">
        <v>254</v>
      </c>
      <c r="F1292">
        <v>144931</v>
      </c>
      <c r="G1292">
        <v>130217395.75</v>
      </c>
      <c r="H1292">
        <v>0.96666666865348816</v>
      </c>
      <c r="I1292">
        <v>0.96944444444444444</v>
      </c>
      <c r="J1292">
        <v>24918595.75</v>
      </c>
      <c r="K1292">
        <v>144260</v>
      </c>
      <c r="L1292">
        <v>2</v>
      </c>
      <c r="M1292">
        <v>250</v>
      </c>
      <c r="N1292">
        <v>0.97666666666666668</v>
      </c>
      <c r="O1292">
        <v>25947031.25</v>
      </c>
      <c r="P1292">
        <v>145339</v>
      </c>
      <c r="Q1292">
        <v>2</v>
      </c>
      <c r="R1292">
        <v>251</v>
      </c>
      <c r="S1292">
        <v>11.713102804828269</v>
      </c>
      <c r="T1292">
        <v>0.96172841389973962</v>
      </c>
    </row>
    <row r="1293" spans="1:20" x14ac:dyDescent="0.25">
      <c r="A1293" t="s">
        <v>106</v>
      </c>
      <c r="B1293">
        <v>9</v>
      </c>
      <c r="C1293">
        <v>2</v>
      </c>
      <c r="D1293">
        <v>0</v>
      </c>
      <c r="E1293" t="s">
        <v>111</v>
      </c>
      <c r="F1293">
        <v>151966</v>
      </c>
      <c r="G1293">
        <v>140448686</v>
      </c>
      <c r="H1293">
        <v>0.9677777886390686</v>
      </c>
      <c r="I1293">
        <v>0.96944444444444444</v>
      </c>
      <c r="J1293">
        <v>25360330</v>
      </c>
      <c r="K1293">
        <v>151897</v>
      </c>
      <c r="L1293">
        <v>2</v>
      </c>
      <c r="M1293">
        <v>257</v>
      </c>
      <c r="N1293">
        <v>0.97888888888888892</v>
      </c>
      <c r="O1293">
        <v>25672047</v>
      </c>
      <c r="P1293">
        <v>153004</v>
      </c>
      <c r="Q1293">
        <v>2</v>
      </c>
      <c r="R1293">
        <v>258</v>
      </c>
      <c r="S1293">
        <v>11.712470121844575</v>
      </c>
      <c r="T1293">
        <v>0.96790122985839844</v>
      </c>
    </row>
    <row r="1294" spans="1:20" x14ac:dyDescent="0.25">
      <c r="A1294" t="s">
        <v>106</v>
      </c>
      <c r="B1294">
        <v>9</v>
      </c>
      <c r="C1294">
        <v>2</v>
      </c>
      <c r="D1294">
        <v>0</v>
      </c>
      <c r="E1294" t="s">
        <v>255</v>
      </c>
      <c r="F1294">
        <v>159001</v>
      </c>
      <c r="G1294">
        <v>160266743.25</v>
      </c>
      <c r="H1294">
        <v>0.95722222328186035</v>
      </c>
      <c r="I1294">
        <v>0.96944444444444444</v>
      </c>
      <c r="J1294">
        <v>26635878.25</v>
      </c>
      <c r="K1294">
        <v>158599</v>
      </c>
      <c r="L1294">
        <v>2</v>
      </c>
      <c r="M1294">
        <v>263</v>
      </c>
      <c r="N1294">
        <v>0.97222222222222221</v>
      </c>
      <c r="O1294">
        <v>27032834.25</v>
      </c>
      <c r="P1294">
        <v>159730</v>
      </c>
      <c r="Q1294">
        <v>2</v>
      </c>
      <c r="R1294">
        <v>264</v>
      </c>
      <c r="S1294">
        <v>11.712070874861572</v>
      </c>
      <c r="T1294">
        <v>0.96296296517054236</v>
      </c>
    </row>
    <row r="1295" spans="1:20" x14ac:dyDescent="0.25">
      <c r="A1295" t="s">
        <v>106</v>
      </c>
      <c r="B1295">
        <v>9</v>
      </c>
      <c r="C1295">
        <v>2</v>
      </c>
      <c r="D1295">
        <v>0</v>
      </c>
      <c r="E1295" t="s">
        <v>116</v>
      </c>
      <c r="F1295">
        <v>166036</v>
      </c>
      <c r="G1295">
        <v>210097497</v>
      </c>
      <c r="H1295">
        <v>0.95037039120992028</v>
      </c>
      <c r="I1295">
        <v>0.96962962962962962</v>
      </c>
      <c r="J1295">
        <v>27131387.333333332</v>
      </c>
      <c r="K1295">
        <v>165445</v>
      </c>
      <c r="L1295">
        <v>2</v>
      </c>
      <c r="M1295">
        <v>269</v>
      </c>
      <c r="N1295">
        <v>0.96740740740740738</v>
      </c>
      <c r="O1295">
        <v>27995784.333333332</v>
      </c>
      <c r="P1295">
        <v>166600</v>
      </c>
      <c r="Q1295">
        <v>2</v>
      </c>
      <c r="R1295">
        <v>270</v>
      </c>
      <c r="S1295">
        <v>11.712062937062937</v>
      </c>
      <c r="T1295">
        <v>0.96296298503875732</v>
      </c>
    </row>
    <row r="1296" spans="1:20" x14ac:dyDescent="0.25">
      <c r="A1296" t="s">
        <v>106</v>
      </c>
      <c r="B1296">
        <v>9</v>
      </c>
      <c r="C1296">
        <v>2</v>
      </c>
      <c r="D1296">
        <v>0</v>
      </c>
      <c r="E1296" t="s">
        <v>147</v>
      </c>
      <c r="F1296">
        <v>167946</v>
      </c>
      <c r="G1296">
        <v>326135695.75</v>
      </c>
      <c r="H1296">
        <v>0.93166667222976685</v>
      </c>
      <c r="I1296">
        <v>0.9622222222222222</v>
      </c>
      <c r="J1296">
        <v>27268516</v>
      </c>
      <c r="K1296">
        <v>167759</v>
      </c>
      <c r="L1296">
        <v>2</v>
      </c>
      <c r="M1296">
        <v>271</v>
      </c>
      <c r="N1296">
        <v>0.96944444444444444</v>
      </c>
      <c r="O1296">
        <v>28580190.5</v>
      </c>
      <c r="P1296">
        <v>168922</v>
      </c>
      <c r="Q1296">
        <v>2</v>
      </c>
      <c r="R1296">
        <v>272</v>
      </c>
      <c r="S1296">
        <v>11.712304824050339</v>
      </c>
      <c r="T1296">
        <v>0.93703703085581458</v>
      </c>
    </row>
    <row r="1297" spans="1:20" x14ac:dyDescent="0.25">
      <c r="A1297" t="s">
        <v>106</v>
      </c>
      <c r="B1297">
        <v>9</v>
      </c>
      <c r="C1297">
        <v>2</v>
      </c>
      <c r="D1297">
        <v>0</v>
      </c>
      <c r="E1297" t="s">
        <v>256</v>
      </c>
      <c r="F1297">
        <v>173071</v>
      </c>
      <c r="G1297">
        <v>509539815</v>
      </c>
      <c r="H1297">
        <v>0.89555554091930389</v>
      </c>
      <c r="I1297">
        <v>0.96111111111111114</v>
      </c>
      <c r="J1297">
        <v>28382976.75</v>
      </c>
      <c r="K1297">
        <v>172435</v>
      </c>
      <c r="L1297">
        <v>2</v>
      </c>
      <c r="M1297">
        <v>275</v>
      </c>
      <c r="N1297">
        <v>0.96333333333333337</v>
      </c>
      <c r="O1297">
        <v>28880194.5</v>
      </c>
      <c r="P1297">
        <v>173614</v>
      </c>
      <c r="Q1297">
        <v>2</v>
      </c>
      <c r="R1297">
        <v>276</v>
      </c>
      <c r="S1297">
        <v>11.714002795899347</v>
      </c>
      <c r="T1297">
        <v>0.90246913830439246</v>
      </c>
    </row>
    <row r="1298" spans="1:20" x14ac:dyDescent="0.25">
      <c r="A1298" t="s">
        <v>106</v>
      </c>
      <c r="B1298">
        <v>9</v>
      </c>
      <c r="C1298">
        <v>2</v>
      </c>
      <c r="D1298">
        <v>0</v>
      </c>
      <c r="E1298" t="s">
        <v>262</v>
      </c>
      <c r="F1298">
        <v>174981</v>
      </c>
      <c r="G1298">
        <v>440279970.4285714</v>
      </c>
      <c r="H1298">
        <v>0.91206348793847225</v>
      </c>
      <c r="I1298">
        <v>0.96444444444444444</v>
      </c>
      <c r="J1298">
        <v>28821724.571428571</v>
      </c>
      <c r="K1298">
        <v>174797</v>
      </c>
      <c r="L1298">
        <v>2</v>
      </c>
      <c r="M1298">
        <v>277</v>
      </c>
      <c r="N1298">
        <v>0.95904761904761904</v>
      </c>
      <c r="O1298">
        <v>29219728.285714287</v>
      </c>
      <c r="P1298">
        <v>175984</v>
      </c>
      <c r="Q1298">
        <v>2</v>
      </c>
      <c r="R1298">
        <v>278</v>
      </c>
      <c r="S1298">
        <v>11.716331877729258</v>
      </c>
      <c r="T1298">
        <v>0.91913580894470215</v>
      </c>
    </row>
    <row r="1299" spans="1:20" x14ac:dyDescent="0.25">
      <c r="A1299" t="s">
        <v>106</v>
      </c>
      <c r="B1299">
        <v>9</v>
      </c>
      <c r="C1299">
        <v>2</v>
      </c>
      <c r="D1299">
        <v>0</v>
      </c>
      <c r="E1299" t="s">
        <v>201</v>
      </c>
      <c r="F1299">
        <v>177678</v>
      </c>
      <c r="G1299">
        <v>725871819</v>
      </c>
      <c r="H1299">
        <v>0.83277775347232819</v>
      </c>
      <c r="I1299">
        <v>0.96333333333333337</v>
      </c>
      <c r="J1299">
        <v>28824200</v>
      </c>
      <c r="K1299">
        <v>177175</v>
      </c>
      <c r="L1299">
        <v>2</v>
      </c>
      <c r="M1299">
        <v>279</v>
      </c>
      <c r="N1299">
        <v>0.96277777777777773</v>
      </c>
      <c r="O1299">
        <v>29343036</v>
      </c>
      <c r="P1299">
        <v>178370</v>
      </c>
      <c r="Q1299">
        <v>2</v>
      </c>
      <c r="R1299">
        <v>280</v>
      </c>
      <c r="S1299">
        <v>11.719715932242854</v>
      </c>
      <c r="T1299">
        <v>0.85925924777984619</v>
      </c>
    </row>
    <row r="1300" spans="1:20" x14ac:dyDescent="0.25">
      <c r="A1300" t="s">
        <v>106</v>
      </c>
      <c r="B1300">
        <v>9</v>
      </c>
      <c r="C1300">
        <v>2</v>
      </c>
      <c r="D1300">
        <v>0</v>
      </c>
      <c r="E1300" t="s">
        <v>121</v>
      </c>
      <c r="F1300">
        <v>180106</v>
      </c>
      <c r="G1300">
        <v>486278974.5</v>
      </c>
      <c r="H1300">
        <v>0.86444444954395294</v>
      </c>
      <c r="I1300">
        <v>0.96611111111111114</v>
      </c>
      <c r="J1300">
        <v>30246944.75</v>
      </c>
      <c r="K1300">
        <v>179569</v>
      </c>
      <c r="L1300">
        <v>2</v>
      </c>
      <c r="M1300">
        <v>281</v>
      </c>
      <c r="N1300">
        <v>0.96388888888888891</v>
      </c>
      <c r="O1300">
        <v>28538388.25</v>
      </c>
      <c r="P1300">
        <v>180772</v>
      </c>
      <c r="Q1300">
        <v>2</v>
      </c>
      <c r="R1300">
        <v>282</v>
      </c>
      <c r="S1300">
        <v>11.721352499563523</v>
      </c>
      <c r="T1300">
        <v>0.89876542488733924</v>
      </c>
    </row>
    <row r="1301" spans="1:20" x14ac:dyDescent="0.25">
      <c r="A1301" t="s">
        <v>106</v>
      </c>
      <c r="B1301">
        <v>9</v>
      </c>
      <c r="C1301">
        <v>2</v>
      </c>
      <c r="D1301">
        <v>0</v>
      </c>
      <c r="E1301" t="s">
        <v>152</v>
      </c>
      <c r="F1301">
        <v>182016</v>
      </c>
      <c r="G1301">
        <v>548036355.14285719</v>
      </c>
      <c r="H1301">
        <v>0.91015873636518208</v>
      </c>
      <c r="I1301">
        <v>0.96539682539682536</v>
      </c>
      <c r="J1301">
        <v>29686797.857142858</v>
      </c>
      <c r="K1301">
        <v>181979</v>
      </c>
      <c r="L1301">
        <v>2</v>
      </c>
      <c r="M1301">
        <v>283</v>
      </c>
      <c r="N1301">
        <v>0.96539682539682536</v>
      </c>
      <c r="O1301">
        <v>30644000.571428571</v>
      </c>
      <c r="P1301">
        <v>183190</v>
      </c>
      <c r="Q1301">
        <v>2</v>
      </c>
      <c r="R1301">
        <v>284</v>
      </c>
      <c r="S1301">
        <v>11.724840023269342</v>
      </c>
      <c r="T1301">
        <v>0.92222222685813904</v>
      </c>
    </row>
    <row r="1302" spans="1:20" x14ac:dyDescent="0.25">
      <c r="A1302" t="s">
        <v>106</v>
      </c>
      <c r="B1302">
        <v>9</v>
      </c>
      <c r="C1302">
        <v>2</v>
      </c>
      <c r="D1302">
        <v>0</v>
      </c>
      <c r="E1302" t="s">
        <v>274</v>
      </c>
      <c r="F1302">
        <v>185093</v>
      </c>
      <c r="G1302">
        <v>802704033.14285719</v>
      </c>
      <c r="H1302">
        <v>0.84888889108385357</v>
      </c>
      <c r="I1302">
        <v>0.96158730158730155</v>
      </c>
      <c r="J1302">
        <v>30185698.428571429</v>
      </c>
      <c r="K1302">
        <v>184405</v>
      </c>
      <c r="L1302">
        <v>2</v>
      </c>
      <c r="M1302">
        <v>285</v>
      </c>
      <c r="N1302">
        <v>0.95968253968253969</v>
      </c>
      <c r="O1302">
        <v>31167041</v>
      </c>
      <c r="P1302">
        <v>185624</v>
      </c>
      <c r="Q1302">
        <v>2</v>
      </c>
      <c r="R1302">
        <v>286</v>
      </c>
      <c r="S1302">
        <v>11.731697389079491</v>
      </c>
      <c r="T1302">
        <v>0.82345677415529883</v>
      </c>
    </row>
    <row r="1303" spans="1:20" x14ac:dyDescent="0.25">
      <c r="A1303" t="s">
        <v>106</v>
      </c>
      <c r="B1303">
        <v>9</v>
      </c>
      <c r="C1303">
        <v>2</v>
      </c>
      <c r="D1303">
        <v>0</v>
      </c>
      <c r="E1303" t="s">
        <v>185</v>
      </c>
      <c r="F1303">
        <v>187262</v>
      </c>
      <c r="G1303">
        <v>460113651.75</v>
      </c>
      <c r="H1303">
        <v>0.84611110389232635</v>
      </c>
      <c r="I1303">
        <v>0.96666666666666667</v>
      </c>
      <c r="J1303">
        <v>31740404.25</v>
      </c>
      <c r="K1303">
        <v>186847</v>
      </c>
      <c r="L1303">
        <v>2</v>
      </c>
      <c r="M1303">
        <v>287</v>
      </c>
      <c r="N1303">
        <v>0.9572222222222222</v>
      </c>
      <c r="O1303">
        <v>31461393</v>
      </c>
      <c r="P1303">
        <v>188074</v>
      </c>
      <c r="Q1303">
        <v>2</v>
      </c>
      <c r="R1303">
        <v>288</v>
      </c>
      <c r="S1303">
        <v>11.732922504505552</v>
      </c>
      <c r="T1303">
        <v>0.8802469174067179</v>
      </c>
    </row>
    <row r="1304" spans="1:20" x14ac:dyDescent="0.25">
      <c r="A1304" t="s">
        <v>106</v>
      </c>
      <c r="B1304">
        <v>9</v>
      </c>
      <c r="C1304">
        <v>2</v>
      </c>
      <c r="D1304">
        <v>0</v>
      </c>
      <c r="E1304" t="s">
        <v>263</v>
      </c>
      <c r="F1304">
        <v>189051</v>
      </c>
      <c r="G1304">
        <v>713624144.57142854</v>
      </c>
      <c r="H1304">
        <v>0.87047618627548218</v>
      </c>
      <c r="I1304">
        <v>0.95904761904761904</v>
      </c>
      <c r="J1304">
        <v>30504176.428571429</v>
      </c>
      <c r="K1304">
        <v>188074</v>
      </c>
      <c r="L1304">
        <v>2</v>
      </c>
      <c r="M1304">
        <v>288</v>
      </c>
      <c r="N1304">
        <v>0.95904761904761904</v>
      </c>
      <c r="O1304">
        <v>29513509.714285713</v>
      </c>
      <c r="P1304">
        <v>189305</v>
      </c>
      <c r="Q1304">
        <v>2</v>
      </c>
      <c r="R1304">
        <v>289</v>
      </c>
      <c r="S1304">
        <v>11.738958623895863</v>
      </c>
      <c r="T1304">
        <v>0.87160494923591614</v>
      </c>
    </row>
    <row r="1305" spans="1:20" x14ac:dyDescent="0.25">
      <c r="A1305" t="s">
        <v>106</v>
      </c>
      <c r="B1305">
        <v>9</v>
      </c>
      <c r="C1305">
        <v>2</v>
      </c>
      <c r="D1305">
        <v>0</v>
      </c>
      <c r="E1305" t="s">
        <v>281</v>
      </c>
      <c r="F1305">
        <v>190149</v>
      </c>
      <c r="G1305">
        <v>889935859.5</v>
      </c>
      <c r="H1305">
        <v>0.86888889968395233</v>
      </c>
      <c r="I1305">
        <v>0.96666666666666667</v>
      </c>
      <c r="J1305">
        <v>29877170.75</v>
      </c>
      <c r="K1305">
        <v>189305</v>
      </c>
      <c r="L1305">
        <v>2</v>
      </c>
      <c r="M1305">
        <v>289</v>
      </c>
      <c r="N1305">
        <v>0.9588888888888889</v>
      </c>
      <c r="O1305">
        <v>30332300.5</v>
      </c>
      <c r="P1305">
        <v>190540</v>
      </c>
      <c r="Q1305">
        <v>2</v>
      </c>
      <c r="R1305">
        <v>290</v>
      </c>
      <c r="S1305">
        <v>11.74297002091564</v>
      </c>
      <c r="T1305">
        <v>0.88641977310180664</v>
      </c>
    </row>
    <row r="1306" spans="1:20" x14ac:dyDescent="0.25">
      <c r="A1306" t="s">
        <v>106</v>
      </c>
      <c r="B1306">
        <v>9</v>
      </c>
      <c r="C1306">
        <v>2</v>
      </c>
      <c r="D1306">
        <v>0</v>
      </c>
      <c r="E1306" t="s">
        <v>205</v>
      </c>
      <c r="F1306">
        <v>192508</v>
      </c>
      <c r="G1306">
        <v>726350654.5</v>
      </c>
      <c r="H1306">
        <v>0.86777776479721069</v>
      </c>
      <c r="I1306">
        <v>0.9622222222222222</v>
      </c>
      <c r="J1306">
        <v>30380764.75</v>
      </c>
      <c r="K1306">
        <v>191779</v>
      </c>
      <c r="L1306">
        <v>2</v>
      </c>
      <c r="M1306">
        <v>291</v>
      </c>
      <c r="N1306">
        <v>0.9572222222222222</v>
      </c>
      <c r="O1306">
        <v>31718982.5</v>
      </c>
      <c r="P1306">
        <v>193022</v>
      </c>
      <c r="Q1306">
        <v>2</v>
      </c>
      <c r="R1306">
        <v>292</v>
      </c>
      <c r="S1306">
        <v>11.746514869888475</v>
      </c>
      <c r="T1306">
        <v>0.85185186068216956</v>
      </c>
    </row>
    <row r="1307" spans="1:20" x14ac:dyDescent="0.25">
      <c r="A1307" t="s">
        <v>106</v>
      </c>
      <c r="B1307">
        <v>9</v>
      </c>
      <c r="C1307">
        <v>2</v>
      </c>
      <c r="D1307">
        <v>0</v>
      </c>
      <c r="E1307" t="s">
        <v>269</v>
      </c>
      <c r="F1307">
        <v>194487</v>
      </c>
      <c r="G1307">
        <v>867008816.5</v>
      </c>
      <c r="H1307">
        <v>0.82000000774860382</v>
      </c>
      <c r="I1307">
        <v>0.96388888888888891</v>
      </c>
      <c r="J1307">
        <v>31867865.25</v>
      </c>
      <c r="K1307">
        <v>194269</v>
      </c>
      <c r="L1307">
        <v>2</v>
      </c>
      <c r="M1307">
        <v>293</v>
      </c>
      <c r="N1307">
        <v>0.96277777777777773</v>
      </c>
      <c r="O1307">
        <v>31437372</v>
      </c>
      <c r="P1307">
        <v>195520</v>
      </c>
      <c r="Q1307">
        <v>2</v>
      </c>
      <c r="R1307">
        <v>294</v>
      </c>
      <c r="S1307">
        <v>11.750871080139373</v>
      </c>
      <c r="T1307">
        <v>0.80740741888682044</v>
      </c>
    </row>
    <row r="1308" spans="1:20" x14ac:dyDescent="0.25">
      <c r="A1308" t="s">
        <v>106</v>
      </c>
      <c r="B1308">
        <v>9</v>
      </c>
      <c r="C1308">
        <v>2</v>
      </c>
      <c r="D1308">
        <v>0</v>
      </c>
      <c r="E1308" t="s">
        <v>157</v>
      </c>
      <c r="F1308">
        <v>196086</v>
      </c>
      <c r="G1308">
        <v>729819897.28571427</v>
      </c>
      <c r="H1308">
        <v>0.85111111402511597</v>
      </c>
      <c r="I1308">
        <v>0.95968253968253969</v>
      </c>
      <c r="J1308">
        <v>31141859.714285713</v>
      </c>
      <c r="K1308">
        <v>195520</v>
      </c>
      <c r="L1308">
        <v>2</v>
      </c>
      <c r="M1308">
        <v>294</v>
      </c>
      <c r="N1308">
        <v>0.95873015873015877</v>
      </c>
      <c r="O1308">
        <v>30776349.428571429</v>
      </c>
      <c r="P1308">
        <v>196775</v>
      </c>
      <c r="Q1308">
        <v>2</v>
      </c>
      <c r="R1308">
        <v>295</v>
      </c>
      <c r="S1308">
        <v>11.756661055320137</v>
      </c>
      <c r="T1308">
        <v>0.87407407164573669</v>
      </c>
    </row>
    <row r="1309" spans="1:20" x14ac:dyDescent="0.25">
      <c r="A1309" t="s">
        <v>106</v>
      </c>
      <c r="B1309">
        <v>9</v>
      </c>
      <c r="C1309">
        <v>2</v>
      </c>
      <c r="D1309">
        <v>0</v>
      </c>
      <c r="E1309" t="s">
        <v>222</v>
      </c>
      <c r="F1309">
        <v>197754</v>
      </c>
      <c r="G1309">
        <v>631134198.5</v>
      </c>
      <c r="H1309">
        <v>0.89055556058883667</v>
      </c>
      <c r="I1309">
        <v>0.9622222222222222</v>
      </c>
      <c r="J1309">
        <v>31407528.75</v>
      </c>
      <c r="K1309">
        <v>196775</v>
      </c>
      <c r="L1309">
        <v>2</v>
      </c>
      <c r="M1309">
        <v>295</v>
      </c>
      <c r="N1309">
        <v>0.96166666666666667</v>
      </c>
      <c r="O1309">
        <v>30938397.25</v>
      </c>
      <c r="P1309">
        <v>198034</v>
      </c>
      <c r="Q1309">
        <v>2</v>
      </c>
      <c r="R1309">
        <v>296</v>
      </c>
      <c r="S1309">
        <v>11.75880680169462</v>
      </c>
      <c r="T1309">
        <v>0.89135801792144775</v>
      </c>
    </row>
    <row r="1310" spans="1:20" x14ac:dyDescent="0.25">
      <c r="A1310" t="s">
        <v>106</v>
      </c>
      <c r="B1310">
        <v>9</v>
      </c>
      <c r="C1310">
        <v>2</v>
      </c>
      <c r="D1310">
        <v>0</v>
      </c>
      <c r="E1310" t="s">
        <v>275</v>
      </c>
      <c r="F1310">
        <v>199923</v>
      </c>
      <c r="G1310">
        <v>715126925.5</v>
      </c>
      <c r="H1310">
        <v>0.83444444835186005</v>
      </c>
      <c r="I1310">
        <v>0.96111111111111114</v>
      </c>
      <c r="J1310">
        <v>32406636.75</v>
      </c>
      <c r="K1310">
        <v>199297</v>
      </c>
      <c r="L1310">
        <v>2</v>
      </c>
      <c r="M1310">
        <v>297</v>
      </c>
      <c r="N1310">
        <v>0.9588888888888889</v>
      </c>
      <c r="O1310">
        <v>32381914.25</v>
      </c>
      <c r="P1310">
        <v>200564</v>
      </c>
      <c r="Q1310">
        <v>2</v>
      </c>
      <c r="R1310">
        <v>298</v>
      </c>
      <c r="S1310">
        <v>11.761879895561357</v>
      </c>
      <c r="T1310">
        <v>0.80864197015762329</v>
      </c>
    </row>
    <row r="1311" spans="1:20" x14ac:dyDescent="0.25">
      <c r="A1311" t="s">
        <v>106</v>
      </c>
      <c r="B1311">
        <v>9</v>
      </c>
      <c r="C1311">
        <v>2</v>
      </c>
      <c r="D1311">
        <v>0</v>
      </c>
      <c r="E1311" t="s">
        <v>186</v>
      </c>
      <c r="F1311">
        <v>201712</v>
      </c>
      <c r="G1311">
        <v>976831611</v>
      </c>
      <c r="H1311">
        <v>0.84666667878627777</v>
      </c>
      <c r="I1311">
        <v>0.95944444444444443</v>
      </c>
      <c r="J1311">
        <v>32287162</v>
      </c>
      <c r="K1311">
        <v>200564</v>
      </c>
      <c r="L1311">
        <v>2</v>
      </c>
      <c r="M1311">
        <v>298</v>
      </c>
      <c r="N1311">
        <v>0.96388888888888891</v>
      </c>
      <c r="O1311">
        <v>31824786.25</v>
      </c>
      <c r="P1311">
        <v>201835</v>
      </c>
      <c r="Q1311">
        <v>2</v>
      </c>
      <c r="R1311">
        <v>299</v>
      </c>
      <c r="S1311">
        <v>11.766807819479087</v>
      </c>
      <c r="T1311">
        <v>0.8604938189188639</v>
      </c>
    </row>
    <row r="1312" spans="1:20" x14ac:dyDescent="0.25">
      <c r="A1312" t="s">
        <v>106</v>
      </c>
      <c r="B1312">
        <v>9</v>
      </c>
      <c r="C1312">
        <v>2</v>
      </c>
      <c r="D1312">
        <v>0</v>
      </c>
      <c r="E1312" t="s">
        <v>236</v>
      </c>
      <c r="F1312">
        <v>203000</v>
      </c>
      <c r="G1312">
        <v>734411323</v>
      </c>
      <c r="H1312">
        <v>0.86833333969116211</v>
      </c>
      <c r="I1312">
        <v>0.95666666666666667</v>
      </c>
      <c r="J1312">
        <v>31333490.75</v>
      </c>
      <c r="K1312">
        <v>201835</v>
      </c>
      <c r="L1312">
        <v>2</v>
      </c>
      <c r="M1312">
        <v>299</v>
      </c>
      <c r="N1312">
        <v>0.9622222222222222</v>
      </c>
      <c r="O1312">
        <v>31934089.5</v>
      </c>
      <c r="P1312">
        <v>203110</v>
      </c>
      <c r="Q1312">
        <v>2</v>
      </c>
      <c r="R1312">
        <v>300</v>
      </c>
      <c r="S1312">
        <v>11.769935626051151</v>
      </c>
      <c r="T1312">
        <v>0.8604938189188639</v>
      </c>
    </row>
    <row r="1313" spans="1:20" x14ac:dyDescent="0.25">
      <c r="A1313" t="s">
        <v>106</v>
      </c>
      <c r="B1313">
        <v>9</v>
      </c>
      <c r="C1313">
        <v>2</v>
      </c>
      <c r="D1313">
        <v>0</v>
      </c>
      <c r="E1313" t="s">
        <v>264</v>
      </c>
      <c r="F1313">
        <v>203121</v>
      </c>
      <c r="G1313">
        <v>611838595.5</v>
      </c>
      <c r="H1313">
        <v>0.85944443941116333</v>
      </c>
      <c r="I1313">
        <v>0.95444444444444443</v>
      </c>
      <c r="J1313">
        <v>30996341</v>
      </c>
      <c r="K1313">
        <v>203110</v>
      </c>
      <c r="L1313">
        <v>2</v>
      </c>
      <c r="M1313">
        <v>300</v>
      </c>
      <c r="N1313">
        <v>0.95777777777777784</v>
      </c>
      <c r="O1313">
        <v>29775248.5</v>
      </c>
      <c r="P1313">
        <v>204389</v>
      </c>
      <c r="Q1313">
        <v>2</v>
      </c>
      <c r="R1313">
        <v>301</v>
      </c>
      <c r="S1313">
        <v>11.772192265321506</v>
      </c>
      <c r="T1313">
        <v>0.84197531143824256</v>
      </c>
    </row>
    <row r="1314" spans="1:20" x14ac:dyDescent="0.25">
      <c r="A1314" t="s">
        <v>106</v>
      </c>
      <c r="B1314">
        <v>9</v>
      </c>
      <c r="C1314">
        <v>2</v>
      </c>
      <c r="D1314">
        <v>0</v>
      </c>
      <c r="E1314" t="s">
        <v>282</v>
      </c>
      <c r="F1314">
        <v>205359</v>
      </c>
      <c r="G1314">
        <v>825263574.25</v>
      </c>
      <c r="H1314">
        <v>0.89499999582767487</v>
      </c>
      <c r="I1314">
        <v>0.9622222222222222</v>
      </c>
      <c r="J1314">
        <v>32301750.75</v>
      </c>
      <c r="K1314">
        <v>204389</v>
      </c>
      <c r="L1314">
        <v>2</v>
      </c>
      <c r="M1314">
        <v>301</v>
      </c>
      <c r="N1314">
        <v>0.96722222222222221</v>
      </c>
      <c r="O1314">
        <v>30403816.75</v>
      </c>
      <c r="P1314">
        <v>205672</v>
      </c>
      <c r="Q1314">
        <v>2</v>
      </c>
      <c r="R1314">
        <v>302</v>
      </c>
      <c r="S1314">
        <v>11.775433308214017</v>
      </c>
      <c r="T1314">
        <v>0.86296296119689941</v>
      </c>
    </row>
    <row r="1315" spans="1:20" x14ac:dyDescent="0.25">
      <c r="A1315" t="s">
        <v>106</v>
      </c>
      <c r="B1315">
        <v>9</v>
      </c>
      <c r="C1315">
        <v>2</v>
      </c>
      <c r="D1315">
        <v>0</v>
      </c>
      <c r="E1315" t="s">
        <v>208</v>
      </c>
      <c r="F1315">
        <v>207338</v>
      </c>
      <c r="G1315">
        <v>837052287</v>
      </c>
      <c r="H1315">
        <v>0.9050000011920929</v>
      </c>
      <c r="I1315">
        <v>0.96277777777777773</v>
      </c>
      <c r="J1315">
        <v>32495350</v>
      </c>
      <c r="K1315">
        <v>206959</v>
      </c>
      <c r="L1315">
        <v>2</v>
      </c>
      <c r="M1315">
        <v>303</v>
      </c>
      <c r="N1315">
        <v>0.95833333333333326</v>
      </c>
      <c r="O1315">
        <v>32890777</v>
      </c>
      <c r="P1315">
        <v>208250</v>
      </c>
      <c r="Q1315">
        <v>2</v>
      </c>
      <c r="R1315">
        <v>304</v>
      </c>
      <c r="S1315">
        <v>11.779194436395247</v>
      </c>
      <c r="T1315">
        <v>0.88148146867752075</v>
      </c>
    </row>
    <row r="1316" spans="1:20" x14ac:dyDescent="0.25">
      <c r="A1316" t="s">
        <v>106</v>
      </c>
      <c r="B1316">
        <v>9</v>
      </c>
      <c r="C1316">
        <v>2</v>
      </c>
      <c r="D1316">
        <v>0</v>
      </c>
      <c r="E1316" t="s">
        <v>270</v>
      </c>
      <c r="F1316">
        <v>208937</v>
      </c>
      <c r="G1316">
        <v>739852047.5</v>
      </c>
      <c r="H1316">
        <v>0.90833334624767303</v>
      </c>
      <c r="I1316">
        <v>0.9655555555555555</v>
      </c>
      <c r="J1316">
        <v>31332235.75</v>
      </c>
      <c r="K1316">
        <v>208250</v>
      </c>
      <c r="L1316">
        <v>2</v>
      </c>
      <c r="M1316">
        <v>304</v>
      </c>
      <c r="N1316">
        <v>0.96888888888888891</v>
      </c>
      <c r="O1316">
        <v>31733978.5</v>
      </c>
      <c r="P1316">
        <v>209545</v>
      </c>
      <c r="Q1316">
        <v>2</v>
      </c>
      <c r="R1316">
        <v>305</v>
      </c>
      <c r="S1316">
        <v>11.782142650211483</v>
      </c>
      <c r="T1316">
        <v>0.88271605968475342</v>
      </c>
    </row>
    <row r="1317" spans="1:20" x14ac:dyDescent="0.25">
      <c r="A1317" t="s">
        <v>106</v>
      </c>
      <c r="B1317">
        <v>9</v>
      </c>
      <c r="C1317">
        <v>2</v>
      </c>
      <c r="D1317">
        <v>0</v>
      </c>
      <c r="E1317" t="s">
        <v>162</v>
      </c>
      <c r="F1317">
        <v>210156</v>
      </c>
      <c r="G1317">
        <v>767703335</v>
      </c>
      <c r="H1317">
        <v>0.91499999165534973</v>
      </c>
      <c r="I1317">
        <v>0.96388888888888891</v>
      </c>
      <c r="J1317">
        <v>31518430.75</v>
      </c>
      <c r="K1317">
        <v>209545</v>
      </c>
      <c r="L1317">
        <v>2</v>
      </c>
      <c r="M1317">
        <v>305</v>
      </c>
      <c r="N1317">
        <v>0.96833333333333338</v>
      </c>
      <c r="O1317">
        <v>33023673.25</v>
      </c>
      <c r="P1317">
        <v>210844</v>
      </c>
      <c r="Q1317">
        <v>2</v>
      </c>
      <c r="R1317">
        <v>306</v>
      </c>
      <c r="S1317">
        <v>11.784915715692522</v>
      </c>
      <c r="T1317">
        <v>0.91604938109715783</v>
      </c>
    </row>
    <row r="1318" spans="1:20" x14ac:dyDescent="0.25">
      <c r="A1318" t="s">
        <v>106</v>
      </c>
      <c r="B1318">
        <v>9</v>
      </c>
      <c r="C1318">
        <v>2</v>
      </c>
      <c r="D1318">
        <v>0</v>
      </c>
      <c r="E1318" t="s">
        <v>223</v>
      </c>
      <c r="F1318">
        <v>212964</v>
      </c>
      <c r="G1318">
        <v>704034108.14285719</v>
      </c>
      <c r="H1318">
        <v>0.88952380418777466</v>
      </c>
      <c r="I1318">
        <v>0.95873015873015877</v>
      </c>
      <c r="J1318">
        <v>31111271.142857142</v>
      </c>
      <c r="K1318">
        <v>212147</v>
      </c>
      <c r="L1318">
        <v>2</v>
      </c>
      <c r="M1318">
        <v>307</v>
      </c>
      <c r="N1318">
        <v>0.96190476190476193</v>
      </c>
      <c r="O1318">
        <v>31151464.285714287</v>
      </c>
      <c r="P1318">
        <v>213454</v>
      </c>
      <c r="Q1318">
        <v>2</v>
      </c>
      <c r="R1318">
        <v>308</v>
      </c>
      <c r="S1318">
        <v>11.789114070642732</v>
      </c>
      <c r="T1318">
        <v>0.87592593828837073</v>
      </c>
    </row>
    <row r="1319" spans="1:20" x14ac:dyDescent="0.25">
      <c r="A1319" t="s">
        <v>106</v>
      </c>
      <c r="B1319">
        <v>9</v>
      </c>
      <c r="C1319">
        <v>2</v>
      </c>
      <c r="D1319">
        <v>0</v>
      </c>
      <c r="E1319" t="s">
        <v>276</v>
      </c>
      <c r="F1319">
        <v>214753</v>
      </c>
      <c r="G1319">
        <v>688545651.75</v>
      </c>
      <c r="H1319">
        <v>0.86000001430511475</v>
      </c>
      <c r="I1319">
        <v>0.95833333333333326</v>
      </c>
      <c r="J1319">
        <v>34378079.25</v>
      </c>
      <c r="K1319">
        <v>213454</v>
      </c>
      <c r="L1319">
        <v>2</v>
      </c>
      <c r="M1319">
        <v>308</v>
      </c>
      <c r="N1319">
        <v>0.9622222222222222</v>
      </c>
      <c r="O1319">
        <v>32716365.75</v>
      </c>
      <c r="P1319">
        <v>214765</v>
      </c>
      <c r="Q1319">
        <v>2</v>
      </c>
      <c r="R1319">
        <v>309</v>
      </c>
      <c r="S1319">
        <v>11.791478522635174</v>
      </c>
      <c r="T1319">
        <v>0.84074072043100989</v>
      </c>
    </row>
    <row r="1320" spans="1:20" x14ac:dyDescent="0.25">
      <c r="A1320" t="s">
        <v>106</v>
      </c>
      <c r="B1320">
        <v>9</v>
      </c>
      <c r="C1320">
        <v>2</v>
      </c>
      <c r="D1320">
        <v>0</v>
      </c>
      <c r="E1320" t="s">
        <v>265</v>
      </c>
      <c r="F1320">
        <v>217191</v>
      </c>
      <c r="G1320">
        <v>1106699745.75</v>
      </c>
      <c r="H1320">
        <v>0.85000000894069672</v>
      </c>
      <c r="I1320">
        <v>0.96388888888888891</v>
      </c>
      <c r="J1320">
        <v>33515655</v>
      </c>
      <c r="K1320">
        <v>216080</v>
      </c>
      <c r="L1320">
        <v>2</v>
      </c>
      <c r="M1320">
        <v>310</v>
      </c>
      <c r="N1320">
        <v>0.9655555555555555</v>
      </c>
      <c r="O1320">
        <v>35272568.75</v>
      </c>
      <c r="P1320">
        <v>217399</v>
      </c>
      <c r="Q1320">
        <v>2</v>
      </c>
      <c r="R1320">
        <v>311</v>
      </c>
      <c r="S1320">
        <v>11.796504225026045</v>
      </c>
      <c r="T1320">
        <v>0.87283951044082642</v>
      </c>
    </row>
    <row r="1321" spans="1:20" x14ac:dyDescent="0.25">
      <c r="A1321" t="s">
        <v>106</v>
      </c>
      <c r="B1321">
        <v>9</v>
      </c>
      <c r="C1321">
        <v>2</v>
      </c>
      <c r="D1321">
        <v>0</v>
      </c>
      <c r="E1321" t="s">
        <v>239</v>
      </c>
      <c r="F1321">
        <v>218590</v>
      </c>
      <c r="G1321">
        <v>838057221.28571427</v>
      </c>
      <c r="H1321">
        <v>0.89650792734963558</v>
      </c>
      <c r="I1321">
        <v>0.9676190476190476</v>
      </c>
      <c r="J1321">
        <v>32292295.857142858</v>
      </c>
      <c r="K1321">
        <v>217399</v>
      </c>
      <c r="L1321">
        <v>2</v>
      </c>
      <c r="M1321">
        <v>311</v>
      </c>
      <c r="N1321">
        <v>0.96126984126984127</v>
      </c>
      <c r="O1321">
        <v>33373375.142857142</v>
      </c>
      <c r="P1321">
        <v>218722</v>
      </c>
      <c r="Q1321">
        <v>2</v>
      </c>
      <c r="R1321">
        <v>312</v>
      </c>
      <c r="S1321">
        <v>11.801793462539774</v>
      </c>
      <c r="T1321">
        <v>0.91358024875322974</v>
      </c>
    </row>
    <row r="1322" spans="1:20" x14ac:dyDescent="0.25">
      <c r="A1322" t="s">
        <v>106</v>
      </c>
      <c r="B1322">
        <v>9</v>
      </c>
      <c r="C1322">
        <v>2</v>
      </c>
      <c r="D1322">
        <v>0</v>
      </c>
      <c r="E1322" t="s">
        <v>283</v>
      </c>
      <c r="F1322">
        <v>220569</v>
      </c>
      <c r="G1322">
        <v>582435596.5</v>
      </c>
      <c r="H1322">
        <v>0.87888887524604797</v>
      </c>
      <c r="I1322">
        <v>0.95611111111111113</v>
      </c>
      <c r="J1322">
        <v>31740212</v>
      </c>
      <c r="K1322">
        <v>220049</v>
      </c>
      <c r="L1322">
        <v>2</v>
      </c>
      <c r="M1322">
        <v>313</v>
      </c>
      <c r="N1322">
        <v>0.9588888888888889</v>
      </c>
      <c r="O1322">
        <v>31017983.5</v>
      </c>
      <c r="P1322">
        <v>221380</v>
      </c>
      <c r="Q1322">
        <v>2</v>
      </c>
      <c r="R1322">
        <v>314</v>
      </c>
      <c r="S1322">
        <v>11.803690207646481</v>
      </c>
      <c r="T1322">
        <v>0.8703703681627909</v>
      </c>
    </row>
    <row r="1323" spans="1:20" x14ac:dyDescent="0.25">
      <c r="A1323" t="s">
        <v>106</v>
      </c>
      <c r="B1323">
        <v>9</v>
      </c>
      <c r="C1323">
        <v>2</v>
      </c>
      <c r="D1323">
        <v>0</v>
      </c>
      <c r="E1323" t="s">
        <v>209</v>
      </c>
      <c r="F1323">
        <v>222168</v>
      </c>
      <c r="G1323">
        <v>664640679.75</v>
      </c>
      <c r="H1323">
        <v>0.85944442451000214</v>
      </c>
      <c r="I1323">
        <v>0.9588888888888889</v>
      </c>
      <c r="J1323">
        <v>33265634.75</v>
      </c>
      <c r="K1323">
        <v>221380</v>
      </c>
      <c r="L1323">
        <v>2</v>
      </c>
      <c r="M1323">
        <v>314</v>
      </c>
      <c r="N1323">
        <v>0.96444444444444444</v>
      </c>
      <c r="O1323">
        <v>34802775.25</v>
      </c>
      <c r="P1323">
        <v>222715</v>
      </c>
      <c r="Q1323">
        <v>2</v>
      </c>
      <c r="R1323">
        <v>315</v>
      </c>
      <c r="S1323">
        <v>11.805643902156943</v>
      </c>
      <c r="T1323">
        <v>0.82716049750645959</v>
      </c>
    </row>
    <row r="1324" spans="1:20" x14ac:dyDescent="0.25">
      <c r="A1324" t="s">
        <v>106</v>
      </c>
      <c r="B1324">
        <v>9</v>
      </c>
      <c r="C1324">
        <v>2</v>
      </c>
      <c r="D1324">
        <v>0</v>
      </c>
      <c r="E1324" t="s">
        <v>271</v>
      </c>
      <c r="F1324">
        <v>223387</v>
      </c>
      <c r="G1324">
        <v>730952782.5</v>
      </c>
      <c r="H1324">
        <v>0.84999999403953552</v>
      </c>
      <c r="I1324">
        <v>0.96666666666666667</v>
      </c>
      <c r="J1324">
        <v>33171045.75</v>
      </c>
      <c r="K1324">
        <v>222715</v>
      </c>
      <c r="L1324">
        <v>2</v>
      </c>
      <c r="M1324">
        <v>315</v>
      </c>
      <c r="N1324">
        <v>0.96944444444444444</v>
      </c>
      <c r="O1324">
        <v>33976367.25</v>
      </c>
      <c r="P1324">
        <v>224054</v>
      </c>
      <c r="Q1324">
        <v>2</v>
      </c>
      <c r="R1324">
        <v>316</v>
      </c>
      <c r="S1324">
        <v>11.808001387523849</v>
      </c>
      <c r="T1324">
        <v>0.83456790447235107</v>
      </c>
    </row>
    <row r="1325" spans="1:20" x14ac:dyDescent="0.25">
      <c r="A1325" t="s">
        <v>106</v>
      </c>
      <c r="B1325">
        <v>9</v>
      </c>
      <c r="C1325">
        <v>2</v>
      </c>
      <c r="D1325">
        <v>0</v>
      </c>
      <c r="E1325" t="s">
        <v>134</v>
      </c>
      <c r="F1325">
        <v>224226</v>
      </c>
      <c r="G1325">
        <v>942187668</v>
      </c>
      <c r="H1325">
        <v>0.86333334445953369</v>
      </c>
      <c r="I1325">
        <v>0.96499999999999997</v>
      </c>
      <c r="J1325">
        <v>33779309.75</v>
      </c>
      <c r="K1325">
        <v>224054</v>
      </c>
      <c r="L1325">
        <v>2</v>
      </c>
      <c r="M1325">
        <v>316</v>
      </c>
      <c r="N1325">
        <v>0.9655555555555555</v>
      </c>
      <c r="O1325">
        <v>32952191</v>
      </c>
      <c r="P1325">
        <v>225397</v>
      </c>
      <c r="Q1325">
        <v>2</v>
      </c>
      <c r="R1325">
        <v>317</v>
      </c>
      <c r="S1325">
        <v>11.811513785330328</v>
      </c>
      <c r="T1325">
        <v>0.88641975323359168</v>
      </c>
    </row>
    <row r="1326" spans="1:20" x14ac:dyDescent="0.25">
      <c r="A1326" t="s">
        <v>106</v>
      </c>
      <c r="B1326">
        <v>9</v>
      </c>
      <c r="C1326">
        <v>2</v>
      </c>
      <c r="D1326">
        <v>0</v>
      </c>
      <c r="E1326" t="s">
        <v>290</v>
      </c>
      <c r="F1326">
        <v>226385</v>
      </c>
      <c r="G1326">
        <v>969465673</v>
      </c>
      <c r="H1326">
        <v>0.83777777850627899</v>
      </c>
      <c r="I1326">
        <v>0.96333333333333326</v>
      </c>
      <c r="J1326">
        <v>32696730.75</v>
      </c>
      <c r="K1326">
        <v>225397</v>
      </c>
      <c r="L1326">
        <v>2</v>
      </c>
      <c r="M1326">
        <v>317</v>
      </c>
      <c r="N1326">
        <v>0.95944444444444443</v>
      </c>
      <c r="O1326">
        <v>31981786.75</v>
      </c>
      <c r="P1326">
        <v>226744</v>
      </c>
      <c r="Q1326">
        <v>2</v>
      </c>
      <c r="R1326">
        <v>318</v>
      </c>
      <c r="S1326">
        <v>11.815140132909564</v>
      </c>
      <c r="T1326">
        <v>0.85061728954315186</v>
      </c>
    </row>
    <row r="1327" spans="1:20" x14ac:dyDescent="0.25">
      <c r="A1327" t="s">
        <v>106</v>
      </c>
      <c r="B1327">
        <v>9</v>
      </c>
      <c r="C1327">
        <v>2</v>
      </c>
      <c r="D1327">
        <v>0</v>
      </c>
      <c r="E1327" t="s">
        <v>224</v>
      </c>
      <c r="F1327">
        <v>228174</v>
      </c>
      <c r="G1327">
        <v>909194030.5</v>
      </c>
      <c r="H1327">
        <v>0.85833334922790527</v>
      </c>
      <c r="I1327">
        <v>0.95944444444444443</v>
      </c>
      <c r="J1327">
        <v>33528060</v>
      </c>
      <c r="K1327">
        <v>228095</v>
      </c>
      <c r="L1327">
        <v>2</v>
      </c>
      <c r="M1327">
        <v>319</v>
      </c>
      <c r="N1327">
        <v>0.94777777777777783</v>
      </c>
      <c r="O1327">
        <v>32125042.75</v>
      </c>
      <c r="P1327">
        <v>229450</v>
      </c>
      <c r="Q1327">
        <v>2</v>
      </c>
      <c r="R1327">
        <v>320</v>
      </c>
      <c r="S1327">
        <v>11.819111444913052</v>
      </c>
      <c r="T1327">
        <v>0.89629628260930383</v>
      </c>
    </row>
    <row r="1328" spans="1:20" x14ac:dyDescent="0.25">
      <c r="A1328" t="s">
        <v>106</v>
      </c>
      <c r="B1328">
        <v>9</v>
      </c>
      <c r="C1328">
        <v>2</v>
      </c>
      <c r="D1328">
        <v>0</v>
      </c>
      <c r="E1328" t="s">
        <v>168</v>
      </c>
      <c r="F1328">
        <v>230612</v>
      </c>
      <c r="G1328">
        <v>969234157.75</v>
      </c>
      <c r="H1328">
        <v>0.88833333551883698</v>
      </c>
      <c r="I1328">
        <v>0.96</v>
      </c>
      <c r="J1328">
        <v>35636528</v>
      </c>
      <c r="K1328">
        <v>229450</v>
      </c>
      <c r="L1328">
        <v>2</v>
      </c>
      <c r="M1328">
        <v>320</v>
      </c>
      <c r="N1328">
        <v>0.96333333333333337</v>
      </c>
      <c r="O1328">
        <v>33773807.5</v>
      </c>
      <c r="P1328">
        <v>230809</v>
      </c>
      <c r="Q1328">
        <v>2</v>
      </c>
      <c r="R1328">
        <v>321</v>
      </c>
      <c r="S1328">
        <v>11.82296540172125</v>
      </c>
      <c r="T1328">
        <v>0.89135801792144775</v>
      </c>
    </row>
    <row r="1329" spans="1:20" x14ac:dyDescent="0.25">
      <c r="A1329" t="s">
        <v>106</v>
      </c>
      <c r="B1329">
        <v>9</v>
      </c>
      <c r="C1329">
        <v>2</v>
      </c>
      <c r="D1329">
        <v>0</v>
      </c>
      <c r="E1329" t="s">
        <v>259</v>
      </c>
      <c r="F1329">
        <v>231261</v>
      </c>
      <c r="G1329">
        <v>879790121.28571427</v>
      </c>
      <c r="H1329">
        <v>0.87904762370245793</v>
      </c>
      <c r="I1329">
        <v>0.96349206349206351</v>
      </c>
      <c r="J1329">
        <v>34604291.285714284</v>
      </c>
      <c r="K1329">
        <v>230809</v>
      </c>
      <c r="L1329">
        <v>2</v>
      </c>
      <c r="M1329">
        <v>321</v>
      </c>
      <c r="N1329">
        <v>0.9676190476190476</v>
      </c>
      <c r="O1329">
        <v>33917412.571428575</v>
      </c>
      <c r="P1329">
        <v>232172</v>
      </c>
      <c r="Q1329">
        <v>2</v>
      </c>
      <c r="R1329">
        <v>322</v>
      </c>
      <c r="S1329">
        <v>11.828464203233256</v>
      </c>
      <c r="T1329">
        <v>0.87654321392377221</v>
      </c>
    </row>
    <row r="1330" spans="1:20" x14ac:dyDescent="0.25">
      <c r="A1330" t="s">
        <v>106</v>
      </c>
      <c r="B1330">
        <v>9</v>
      </c>
      <c r="C1330">
        <v>2</v>
      </c>
      <c r="D1330">
        <v>0</v>
      </c>
      <c r="E1330" t="s">
        <v>240</v>
      </c>
      <c r="F1330">
        <v>234180</v>
      </c>
      <c r="G1330">
        <v>789005684.25</v>
      </c>
      <c r="H1330">
        <v>0.89166668057441711</v>
      </c>
      <c r="I1330">
        <v>0.9622222222222222</v>
      </c>
      <c r="J1330">
        <v>33374997.75</v>
      </c>
      <c r="K1330">
        <v>233539</v>
      </c>
      <c r="L1330">
        <v>2</v>
      </c>
      <c r="M1330">
        <v>323</v>
      </c>
      <c r="N1330">
        <v>0.96611111111111114</v>
      </c>
      <c r="O1330">
        <v>31933657.75</v>
      </c>
      <c r="P1330">
        <v>234910</v>
      </c>
      <c r="Q1330">
        <v>2</v>
      </c>
      <c r="R1330">
        <v>324</v>
      </c>
      <c r="S1330">
        <v>11.830755021934888</v>
      </c>
      <c r="T1330">
        <v>0.89259260892868042</v>
      </c>
    </row>
    <row r="1331" spans="1:20" x14ac:dyDescent="0.25">
      <c r="A1331" t="s">
        <v>106</v>
      </c>
      <c r="B1331">
        <v>9</v>
      </c>
      <c r="C1331">
        <v>2</v>
      </c>
      <c r="D1331">
        <v>0</v>
      </c>
      <c r="E1331" t="s">
        <v>284</v>
      </c>
      <c r="F1331">
        <v>235779</v>
      </c>
      <c r="G1331">
        <v>797185946</v>
      </c>
      <c r="H1331">
        <v>0.89000000059604645</v>
      </c>
      <c r="I1331">
        <v>0.95777777777777773</v>
      </c>
      <c r="J1331">
        <v>32189771</v>
      </c>
      <c r="K1331">
        <v>234910</v>
      </c>
      <c r="L1331">
        <v>2</v>
      </c>
      <c r="M1331">
        <v>324</v>
      </c>
      <c r="N1331">
        <v>0.96</v>
      </c>
      <c r="O1331">
        <v>31641254.5</v>
      </c>
      <c r="P1331">
        <v>236285</v>
      </c>
      <c r="Q1331">
        <v>2</v>
      </c>
      <c r="R1331">
        <v>325</v>
      </c>
      <c r="S1331">
        <v>11.833852723915051</v>
      </c>
      <c r="T1331">
        <v>0.87407408157984412</v>
      </c>
    </row>
    <row r="1332" spans="1:20" x14ac:dyDescent="0.25">
      <c r="A1332" t="s">
        <v>106</v>
      </c>
      <c r="B1332">
        <v>9</v>
      </c>
      <c r="C1332">
        <v>2</v>
      </c>
      <c r="D1332">
        <v>0</v>
      </c>
      <c r="E1332" t="s">
        <v>195</v>
      </c>
      <c r="F1332">
        <v>236998</v>
      </c>
      <c r="G1332">
        <v>1126148129</v>
      </c>
      <c r="H1332">
        <v>0.86722223460674286</v>
      </c>
      <c r="I1332">
        <v>0.96</v>
      </c>
      <c r="J1332">
        <v>35344827.5</v>
      </c>
      <c r="K1332">
        <v>236285</v>
      </c>
      <c r="L1332">
        <v>2</v>
      </c>
      <c r="M1332">
        <v>325</v>
      </c>
      <c r="N1332">
        <v>0.96333333333333337</v>
      </c>
      <c r="O1332">
        <v>33762488.25</v>
      </c>
      <c r="P1332">
        <v>237664</v>
      </c>
      <c r="Q1332">
        <v>2</v>
      </c>
      <c r="R1332">
        <v>326</v>
      </c>
      <c r="S1332">
        <v>11.838506808216017</v>
      </c>
      <c r="T1332">
        <v>0.86419753233591712</v>
      </c>
    </row>
    <row r="1333" spans="1:20" x14ac:dyDescent="0.25">
      <c r="A1333" t="s">
        <v>106</v>
      </c>
      <c r="B1333">
        <v>9</v>
      </c>
      <c r="C1333">
        <v>2</v>
      </c>
      <c r="D1333">
        <v>0</v>
      </c>
      <c r="E1333" t="s">
        <v>139</v>
      </c>
      <c r="F1333">
        <v>238296</v>
      </c>
      <c r="G1333">
        <v>1079741531.25</v>
      </c>
      <c r="H1333">
        <v>0.89000000059604645</v>
      </c>
      <c r="I1333">
        <v>0.96666666666666667</v>
      </c>
      <c r="J1333">
        <v>34895133.5</v>
      </c>
      <c r="K1333">
        <v>237664</v>
      </c>
      <c r="L1333">
        <v>2</v>
      </c>
      <c r="M1333">
        <v>326</v>
      </c>
      <c r="N1333">
        <v>0.9622222222222222</v>
      </c>
      <c r="O1333">
        <v>33413571</v>
      </c>
      <c r="P1333">
        <v>239047</v>
      </c>
      <c r="Q1333">
        <v>2</v>
      </c>
      <c r="R1333">
        <v>327</v>
      </c>
      <c r="S1333">
        <v>11.842639593908629</v>
      </c>
      <c r="T1333">
        <v>0.88518518209457397</v>
      </c>
    </row>
    <row r="1334" spans="1:20" x14ac:dyDescent="0.25">
      <c r="A1334" t="s">
        <v>106</v>
      </c>
      <c r="B1334">
        <v>9</v>
      </c>
      <c r="C1334">
        <v>2</v>
      </c>
      <c r="D1334">
        <v>0</v>
      </c>
      <c r="E1334" t="s">
        <v>291</v>
      </c>
      <c r="F1334">
        <v>241975</v>
      </c>
      <c r="G1334">
        <v>1112029936.5714285</v>
      </c>
      <c r="H1334">
        <v>0.8990476131439209</v>
      </c>
      <c r="I1334">
        <v>0.96349206349206351</v>
      </c>
      <c r="J1334">
        <v>34538583.285714284</v>
      </c>
      <c r="K1334">
        <v>241825</v>
      </c>
      <c r="L1334">
        <v>2</v>
      </c>
      <c r="M1334">
        <v>329</v>
      </c>
      <c r="N1334">
        <v>0.95968253968253969</v>
      </c>
      <c r="O1334">
        <v>35399586.714285716</v>
      </c>
      <c r="P1334">
        <v>243220</v>
      </c>
      <c r="Q1334">
        <v>2</v>
      </c>
      <c r="R1334">
        <v>330</v>
      </c>
      <c r="S1334">
        <v>11.849679986161563</v>
      </c>
      <c r="T1334">
        <v>0.89876543482144677</v>
      </c>
    </row>
    <row r="1335" spans="1:20" x14ac:dyDescent="0.25">
      <c r="A1335" t="s">
        <v>106</v>
      </c>
      <c r="B1335">
        <v>9</v>
      </c>
      <c r="C1335">
        <v>2</v>
      </c>
      <c r="D1335">
        <v>0</v>
      </c>
      <c r="E1335" t="s">
        <v>272</v>
      </c>
      <c r="F1335">
        <v>244413</v>
      </c>
      <c r="G1335">
        <v>960648987.5</v>
      </c>
      <c r="H1335">
        <v>0.87111109495162964</v>
      </c>
      <c r="I1335">
        <v>0.95833333333333337</v>
      </c>
      <c r="J1335">
        <v>33098659</v>
      </c>
      <c r="K1335">
        <v>243220</v>
      </c>
      <c r="L1335">
        <v>2</v>
      </c>
      <c r="M1335">
        <v>330</v>
      </c>
      <c r="N1335">
        <v>0.95333333333333337</v>
      </c>
      <c r="O1335">
        <v>32898478.75</v>
      </c>
      <c r="P1335">
        <v>244619</v>
      </c>
      <c r="Q1335">
        <v>2</v>
      </c>
      <c r="R1335">
        <v>331</v>
      </c>
      <c r="S1335">
        <v>11.853749927941431</v>
      </c>
      <c r="T1335">
        <v>0.88148148854573571</v>
      </c>
    </row>
    <row r="1336" spans="1:20" x14ac:dyDescent="0.25">
      <c r="A1336" t="s">
        <v>106</v>
      </c>
      <c r="B1336">
        <v>9</v>
      </c>
      <c r="C1336">
        <v>2</v>
      </c>
      <c r="D1336">
        <v>0</v>
      </c>
      <c r="E1336" t="s">
        <v>260</v>
      </c>
      <c r="F1336">
        <v>245331</v>
      </c>
      <c r="G1336">
        <v>1090285276.1428571</v>
      </c>
      <c r="H1336">
        <v>0.8968253902026585</v>
      </c>
      <c r="I1336">
        <v>0.96317460317460313</v>
      </c>
      <c r="J1336">
        <v>33683307.142857142</v>
      </c>
      <c r="K1336">
        <v>244619</v>
      </c>
      <c r="L1336">
        <v>2</v>
      </c>
      <c r="M1336">
        <v>331</v>
      </c>
      <c r="N1336">
        <v>0.96031746031746035</v>
      </c>
      <c r="O1336">
        <v>34739183</v>
      </c>
      <c r="P1336">
        <v>246022</v>
      </c>
      <c r="Q1336">
        <v>2</v>
      </c>
      <c r="R1336">
        <v>332</v>
      </c>
      <c r="S1336">
        <v>11.860723752449003</v>
      </c>
      <c r="T1336">
        <v>0.89938271045684814</v>
      </c>
    </row>
    <row r="1337" spans="1:20" x14ac:dyDescent="0.25">
      <c r="A1337" t="s">
        <v>106</v>
      </c>
      <c r="B1337">
        <v>9</v>
      </c>
      <c r="C1337">
        <v>2</v>
      </c>
      <c r="D1337">
        <v>0</v>
      </c>
      <c r="E1337" t="s">
        <v>226</v>
      </c>
      <c r="F1337">
        <v>249770</v>
      </c>
      <c r="G1337">
        <v>924834103.71428573</v>
      </c>
      <c r="H1337">
        <v>0.87841270651136127</v>
      </c>
      <c r="I1337">
        <v>0.9663492063492064</v>
      </c>
      <c r="J1337">
        <v>34867176.857142858</v>
      </c>
      <c r="K1337">
        <v>248840</v>
      </c>
      <c r="L1337">
        <v>2</v>
      </c>
      <c r="M1337">
        <v>334</v>
      </c>
      <c r="N1337">
        <v>0.96412698412698417</v>
      </c>
      <c r="O1337">
        <v>34043594</v>
      </c>
      <c r="P1337">
        <v>250255</v>
      </c>
      <c r="Q1337">
        <v>2</v>
      </c>
      <c r="R1337">
        <v>335</v>
      </c>
      <c r="S1337">
        <v>11.865445538851448</v>
      </c>
      <c r="T1337">
        <v>0.89691357811292016</v>
      </c>
    </row>
    <row r="1338" spans="1:20" x14ac:dyDescent="0.25">
      <c r="A1338" t="s">
        <v>106</v>
      </c>
      <c r="B1338">
        <v>9</v>
      </c>
      <c r="C1338">
        <v>2</v>
      </c>
      <c r="D1338">
        <v>0</v>
      </c>
      <c r="E1338" t="s">
        <v>278</v>
      </c>
      <c r="F1338">
        <v>250989</v>
      </c>
      <c r="G1338">
        <v>1056113462.75</v>
      </c>
      <c r="H1338">
        <v>0.89444446563720703</v>
      </c>
      <c r="I1338">
        <v>0.95833333333333326</v>
      </c>
      <c r="J1338">
        <v>34578853.25</v>
      </c>
      <c r="K1338">
        <v>250255</v>
      </c>
      <c r="L1338">
        <v>2</v>
      </c>
      <c r="M1338">
        <v>335</v>
      </c>
      <c r="N1338">
        <v>0.95944444444444443</v>
      </c>
      <c r="O1338">
        <v>34229052.75</v>
      </c>
      <c r="P1338">
        <v>251674</v>
      </c>
      <c r="Q1338">
        <v>2</v>
      </c>
      <c r="R1338">
        <v>336</v>
      </c>
      <c r="S1338">
        <v>11.86996832709473</v>
      </c>
      <c r="T1338">
        <v>0.90987656513849891</v>
      </c>
    </row>
    <row r="1339" spans="1:20" x14ac:dyDescent="0.25">
      <c r="A1339" t="s">
        <v>106</v>
      </c>
      <c r="B1339">
        <v>9</v>
      </c>
      <c r="C1339">
        <v>2</v>
      </c>
      <c r="D1339">
        <v>0</v>
      </c>
      <c r="E1339" t="s">
        <v>144</v>
      </c>
      <c r="F1339">
        <v>252366</v>
      </c>
      <c r="G1339">
        <v>1111793235.75</v>
      </c>
      <c r="H1339">
        <v>0.89555557072162628</v>
      </c>
      <c r="I1339">
        <v>0.96166666666666667</v>
      </c>
      <c r="J1339">
        <v>34063209.75</v>
      </c>
      <c r="K1339">
        <v>251674</v>
      </c>
      <c r="L1339">
        <v>2</v>
      </c>
      <c r="M1339">
        <v>336</v>
      </c>
      <c r="N1339">
        <v>0.96333333333333337</v>
      </c>
      <c r="O1339">
        <v>34475310.25</v>
      </c>
      <c r="P1339">
        <v>253097</v>
      </c>
      <c r="Q1339">
        <v>2</v>
      </c>
      <c r="R1339">
        <v>337</v>
      </c>
      <c r="S1339">
        <v>11.873682998445506</v>
      </c>
      <c r="T1339">
        <v>0.90123456716537476</v>
      </c>
    </row>
    <row r="1340" spans="1:20" x14ac:dyDescent="0.25">
      <c r="A1340" t="s">
        <v>106</v>
      </c>
      <c r="B1340">
        <v>9</v>
      </c>
      <c r="C1340">
        <v>2</v>
      </c>
      <c r="D1340">
        <v>0</v>
      </c>
      <c r="E1340" t="s">
        <v>212</v>
      </c>
      <c r="F1340">
        <v>258594</v>
      </c>
      <c r="G1340">
        <v>1089482530</v>
      </c>
      <c r="H1340">
        <v>0.89133333563804629</v>
      </c>
      <c r="I1340">
        <v>0.96733333333333338</v>
      </c>
      <c r="J1340">
        <v>35656713.799999997</v>
      </c>
      <c r="K1340">
        <v>257390</v>
      </c>
      <c r="L1340">
        <v>2</v>
      </c>
      <c r="M1340">
        <v>340</v>
      </c>
      <c r="N1340">
        <v>0.96311111111111114</v>
      </c>
      <c r="O1340">
        <v>36020018.299999997</v>
      </c>
      <c r="P1340">
        <v>258829</v>
      </c>
      <c r="Q1340">
        <v>2</v>
      </c>
      <c r="R1340">
        <v>341</v>
      </c>
      <c r="S1340">
        <v>11.882099085102711</v>
      </c>
      <c r="T1340">
        <v>0.88559670580757988</v>
      </c>
    </row>
    <row r="1341" spans="1:20" x14ac:dyDescent="0.25">
      <c r="A1341" t="s">
        <v>106</v>
      </c>
      <c r="B1341">
        <v>9</v>
      </c>
      <c r="C1341">
        <v>2</v>
      </c>
      <c r="D1341">
        <v>0</v>
      </c>
      <c r="E1341" t="s">
        <v>261</v>
      </c>
      <c r="F1341">
        <v>259401</v>
      </c>
      <c r="G1341">
        <v>924624363.42857146</v>
      </c>
      <c r="H1341">
        <v>0.90539682762963436</v>
      </c>
      <c r="I1341">
        <v>0.95936507936507942</v>
      </c>
      <c r="J1341">
        <v>34243963.857142858</v>
      </c>
      <c r="K1341">
        <v>258829</v>
      </c>
      <c r="L1341">
        <v>2</v>
      </c>
      <c r="M1341">
        <v>341</v>
      </c>
      <c r="N1341">
        <v>0.95873015873015877</v>
      </c>
      <c r="O1341">
        <v>35050954.428571425</v>
      </c>
      <c r="P1341">
        <v>260272</v>
      </c>
      <c r="Q1341">
        <v>2</v>
      </c>
      <c r="R1341">
        <v>342</v>
      </c>
      <c r="S1341">
        <v>11.886920510755781</v>
      </c>
      <c r="T1341">
        <v>0.91234566768010461</v>
      </c>
    </row>
    <row r="1342" spans="1:20" x14ac:dyDescent="0.25">
      <c r="A1342" t="s">
        <v>106</v>
      </c>
      <c r="B1342">
        <v>9</v>
      </c>
      <c r="C1342">
        <v>2</v>
      </c>
      <c r="D1342">
        <v>0</v>
      </c>
      <c r="E1342" t="s">
        <v>227</v>
      </c>
      <c r="F1342">
        <v>265360</v>
      </c>
      <c r="G1342">
        <v>1151250075.3</v>
      </c>
      <c r="H1342">
        <v>0.87955556511878963</v>
      </c>
      <c r="I1342">
        <v>0.9635555555555555</v>
      </c>
      <c r="J1342">
        <v>36651497.299999997</v>
      </c>
      <c r="K1342">
        <v>264625</v>
      </c>
      <c r="L1342">
        <v>2</v>
      </c>
      <c r="M1342">
        <v>345</v>
      </c>
      <c r="N1342">
        <v>0.96288888888888891</v>
      </c>
      <c r="O1342">
        <v>37738188</v>
      </c>
      <c r="P1342">
        <v>266084</v>
      </c>
      <c r="Q1342">
        <v>2</v>
      </c>
      <c r="R1342">
        <v>346</v>
      </c>
      <c r="S1342">
        <v>11.895378247873074</v>
      </c>
      <c r="T1342">
        <v>0.88765431774987114</v>
      </c>
    </row>
    <row r="1343" spans="1:20" x14ac:dyDescent="0.25">
      <c r="A1343" t="s">
        <v>106</v>
      </c>
      <c r="B1343">
        <v>9</v>
      </c>
      <c r="C1343">
        <v>2</v>
      </c>
      <c r="D1343">
        <v>0</v>
      </c>
      <c r="E1343" t="s">
        <v>268</v>
      </c>
      <c r="F1343">
        <v>266737</v>
      </c>
      <c r="G1343">
        <v>1175398887.25</v>
      </c>
      <c r="H1343">
        <v>0.89388887584209442</v>
      </c>
      <c r="I1343">
        <v>0.95944444444444443</v>
      </c>
      <c r="J1343">
        <v>35889817.25</v>
      </c>
      <c r="K1343">
        <v>266084</v>
      </c>
      <c r="L1343">
        <v>2</v>
      </c>
      <c r="M1343">
        <v>346</v>
      </c>
      <c r="N1343">
        <v>0.96111111111111114</v>
      </c>
      <c r="O1343">
        <v>35605079.5</v>
      </c>
      <c r="P1343">
        <v>267547</v>
      </c>
      <c r="Q1343">
        <v>2</v>
      </c>
      <c r="R1343">
        <v>347</v>
      </c>
      <c r="S1343">
        <v>11.899425287356323</v>
      </c>
      <c r="T1343">
        <v>0.89135801792144775</v>
      </c>
    </row>
    <row r="1344" spans="1:20" x14ac:dyDescent="0.25">
      <c r="A1344" t="s">
        <v>106</v>
      </c>
      <c r="B1344">
        <v>9</v>
      </c>
      <c r="C1344">
        <v>2</v>
      </c>
      <c r="D1344">
        <v>0</v>
      </c>
      <c r="E1344" t="s">
        <v>286</v>
      </c>
      <c r="F1344">
        <v>273155</v>
      </c>
      <c r="G1344">
        <v>1223876392.9000001</v>
      </c>
      <c r="H1344">
        <v>0.89577778577804568</v>
      </c>
      <c r="I1344">
        <v>0.96333333333333337</v>
      </c>
      <c r="J1344">
        <v>37617415.299999997</v>
      </c>
      <c r="K1344">
        <v>271960</v>
      </c>
      <c r="L1344">
        <v>2</v>
      </c>
      <c r="M1344">
        <v>350</v>
      </c>
      <c r="N1344">
        <v>0.9635555555555555</v>
      </c>
      <c r="O1344">
        <v>37429876.299999997</v>
      </c>
      <c r="P1344">
        <v>273439</v>
      </c>
      <c r="Q1344">
        <v>2</v>
      </c>
      <c r="R1344">
        <v>351</v>
      </c>
      <c r="S1344">
        <v>11.907237219988513</v>
      </c>
      <c r="T1344">
        <v>0.88106996483272981</v>
      </c>
    </row>
    <row r="1345" spans="1:20" x14ac:dyDescent="0.25">
      <c r="A1345" t="s">
        <v>106</v>
      </c>
      <c r="B1345">
        <v>9</v>
      </c>
      <c r="C1345">
        <v>2</v>
      </c>
      <c r="D1345">
        <v>0</v>
      </c>
      <c r="E1345" t="s">
        <v>273</v>
      </c>
      <c r="F1345">
        <v>274073</v>
      </c>
      <c r="G1345">
        <v>1173773019.5</v>
      </c>
      <c r="H1345">
        <v>0.90555554628372192</v>
      </c>
      <c r="I1345">
        <v>0.9588888888888889</v>
      </c>
      <c r="J1345">
        <v>33810334.5</v>
      </c>
      <c r="K1345">
        <v>273439</v>
      </c>
      <c r="L1345">
        <v>2</v>
      </c>
      <c r="M1345">
        <v>351</v>
      </c>
      <c r="N1345">
        <v>0.95944444444444443</v>
      </c>
      <c r="O1345">
        <v>36844880.25</v>
      </c>
      <c r="P1345">
        <v>274922</v>
      </c>
      <c r="Q1345">
        <v>2</v>
      </c>
      <c r="R1345">
        <v>352</v>
      </c>
      <c r="S1345">
        <v>11.910933731480418</v>
      </c>
      <c r="T1345">
        <v>0.90864197413126624</v>
      </c>
    </row>
    <row r="1346" spans="1:20" x14ac:dyDescent="0.25">
      <c r="A1346" t="s">
        <v>106</v>
      </c>
      <c r="B1346">
        <v>9</v>
      </c>
      <c r="C1346">
        <v>2</v>
      </c>
      <c r="D1346">
        <v>0</v>
      </c>
      <c r="E1346" t="s">
        <v>280</v>
      </c>
      <c r="F1346">
        <v>281409</v>
      </c>
      <c r="G1346">
        <v>1453526481.7142856</v>
      </c>
      <c r="H1346">
        <v>0.90158729893820622</v>
      </c>
      <c r="I1346">
        <v>0.9622222222222222</v>
      </c>
      <c r="J1346">
        <v>37332345</v>
      </c>
      <c r="K1346">
        <v>280894</v>
      </c>
      <c r="L1346">
        <v>2</v>
      </c>
      <c r="M1346">
        <v>356</v>
      </c>
      <c r="N1346">
        <v>0.95936507936507942</v>
      </c>
      <c r="O1346">
        <v>39893792.428571425</v>
      </c>
      <c r="P1346">
        <v>282397</v>
      </c>
      <c r="Q1346">
        <v>2</v>
      </c>
      <c r="R1346">
        <v>357</v>
      </c>
      <c r="S1346">
        <v>11.916537512197921</v>
      </c>
      <c r="T1346">
        <v>0.88333332538604736</v>
      </c>
    </row>
    <row r="1347" spans="1:20" x14ac:dyDescent="0.25">
      <c r="A1347" t="s">
        <v>106</v>
      </c>
      <c r="B1347">
        <v>9</v>
      </c>
      <c r="C1347">
        <v>2</v>
      </c>
      <c r="D1347">
        <v>0</v>
      </c>
      <c r="E1347" t="s">
        <v>287</v>
      </c>
      <c r="F1347">
        <v>288745</v>
      </c>
      <c r="G1347">
        <v>1128195305.8571429</v>
      </c>
      <c r="H1347">
        <v>0.90253967898232601</v>
      </c>
      <c r="I1347">
        <v>0.95492063492063495</v>
      </c>
      <c r="J1347">
        <v>35642087.714285716</v>
      </c>
      <c r="K1347">
        <v>288449</v>
      </c>
      <c r="L1347">
        <v>2</v>
      </c>
      <c r="M1347">
        <v>361</v>
      </c>
      <c r="N1347">
        <v>0.9568253968253968</v>
      </c>
      <c r="O1347">
        <v>36331096.857142858</v>
      </c>
      <c r="P1347">
        <v>289972</v>
      </c>
      <c r="Q1347">
        <v>2</v>
      </c>
      <c r="R1347">
        <v>362</v>
      </c>
      <c r="S1347">
        <v>11.921161349552444</v>
      </c>
      <c r="T1347">
        <v>0.91666668653488159</v>
      </c>
    </row>
    <row r="1348" spans="1:20" x14ac:dyDescent="0.25">
      <c r="A1348" t="s">
        <v>106</v>
      </c>
      <c r="B1348">
        <v>9</v>
      </c>
      <c r="C1348">
        <v>3</v>
      </c>
      <c r="D1348">
        <v>0</v>
      </c>
      <c r="E1348" t="s">
        <v>123</v>
      </c>
      <c r="F1348">
        <v>78202</v>
      </c>
      <c r="G1348">
        <v>1030495523.75</v>
      </c>
      <c r="H1348">
        <v>0.89611111581325531</v>
      </c>
      <c r="I1348">
        <v>0.9538888888888889</v>
      </c>
      <c r="J1348">
        <v>33339737.75</v>
      </c>
      <c r="K1348">
        <v>77875</v>
      </c>
      <c r="L1348">
        <v>2</v>
      </c>
      <c r="M1348">
        <v>179</v>
      </c>
      <c r="N1348">
        <v>0.94777777777777783</v>
      </c>
      <c r="O1348">
        <v>34117275</v>
      </c>
      <c r="P1348">
        <v>78670</v>
      </c>
      <c r="Q1348">
        <v>2</v>
      </c>
      <c r="R1348">
        <v>180</v>
      </c>
      <c r="S1348">
        <v>11.92341670491051</v>
      </c>
      <c r="T1348">
        <v>0.91851852337519324</v>
      </c>
    </row>
    <row r="1349" spans="1:20" x14ac:dyDescent="0.25">
      <c r="A1349" t="s">
        <v>106</v>
      </c>
      <c r="B1349">
        <v>9</v>
      </c>
      <c r="C1349">
        <v>3</v>
      </c>
      <c r="D1349">
        <v>0</v>
      </c>
      <c r="E1349" t="s">
        <v>257</v>
      </c>
      <c r="F1349">
        <v>86347</v>
      </c>
      <c r="G1349">
        <v>98891031</v>
      </c>
      <c r="H1349">
        <v>0.94500000774860382</v>
      </c>
      <c r="I1349">
        <v>0.95777777777777784</v>
      </c>
      <c r="J1349">
        <v>22262088.25</v>
      </c>
      <c r="K1349">
        <v>86005</v>
      </c>
      <c r="L1349">
        <v>2</v>
      </c>
      <c r="M1349">
        <v>189</v>
      </c>
      <c r="N1349">
        <v>0.95166666666666666</v>
      </c>
      <c r="O1349">
        <v>20666469.75</v>
      </c>
      <c r="P1349">
        <v>86840</v>
      </c>
      <c r="Q1349">
        <v>2</v>
      </c>
      <c r="R1349">
        <v>190</v>
      </c>
      <c r="S1349">
        <v>11.923204863500803</v>
      </c>
      <c r="T1349">
        <v>0.96666665871938073</v>
      </c>
    </row>
    <row r="1350" spans="1:20" x14ac:dyDescent="0.25">
      <c r="A1350" t="s">
        <v>106</v>
      </c>
      <c r="B1350">
        <v>9</v>
      </c>
      <c r="C1350">
        <v>3</v>
      </c>
      <c r="D1350">
        <v>0</v>
      </c>
      <c r="E1350" t="s">
        <v>128</v>
      </c>
      <c r="F1350">
        <v>94492</v>
      </c>
      <c r="G1350">
        <v>110373593.5</v>
      </c>
      <c r="H1350">
        <v>0.95055554807186127</v>
      </c>
      <c r="I1350">
        <v>0.95166666666666666</v>
      </c>
      <c r="J1350">
        <v>21985708.5</v>
      </c>
      <c r="K1350">
        <v>93664</v>
      </c>
      <c r="L1350">
        <v>2</v>
      </c>
      <c r="M1350">
        <v>198</v>
      </c>
      <c r="N1350">
        <v>0.95666666666666667</v>
      </c>
      <c r="O1350">
        <v>22124690</v>
      </c>
      <c r="P1350">
        <v>94535</v>
      </c>
      <c r="Q1350">
        <v>2</v>
      </c>
      <c r="R1350">
        <v>199</v>
      </c>
      <c r="S1350">
        <v>11.922993119266055</v>
      </c>
      <c r="T1350">
        <v>0.96543208758036292</v>
      </c>
    </row>
    <row r="1351" spans="1:20" x14ac:dyDescent="0.25">
      <c r="A1351" t="s">
        <v>106</v>
      </c>
      <c r="B1351">
        <v>9</v>
      </c>
      <c r="C1351">
        <v>3</v>
      </c>
      <c r="D1351">
        <v>0</v>
      </c>
      <c r="E1351" t="s">
        <v>258</v>
      </c>
      <c r="F1351">
        <v>102637</v>
      </c>
      <c r="G1351">
        <v>125638719.75</v>
      </c>
      <c r="H1351">
        <v>0.94888888299465179</v>
      </c>
      <c r="I1351">
        <v>0.95499999999999996</v>
      </c>
      <c r="J1351">
        <v>22496763</v>
      </c>
      <c r="K1351">
        <v>102554</v>
      </c>
      <c r="L1351">
        <v>2</v>
      </c>
      <c r="M1351">
        <v>208</v>
      </c>
      <c r="N1351">
        <v>0.95222222222222219</v>
      </c>
      <c r="O1351">
        <v>22876999</v>
      </c>
      <c r="P1351">
        <v>103465</v>
      </c>
      <c r="Q1351">
        <v>2</v>
      </c>
      <c r="R1351">
        <v>209</v>
      </c>
      <c r="S1351">
        <v>11.923010777344645</v>
      </c>
      <c r="T1351">
        <v>0.96296298503875732</v>
      </c>
    </row>
    <row r="1352" spans="1:20" x14ac:dyDescent="0.25">
      <c r="A1352" t="s">
        <v>106</v>
      </c>
      <c r="B1352">
        <v>9</v>
      </c>
      <c r="C1352">
        <v>3</v>
      </c>
      <c r="D1352">
        <v>0</v>
      </c>
      <c r="E1352" t="s">
        <v>192</v>
      </c>
      <c r="F1352">
        <v>110782</v>
      </c>
      <c r="G1352">
        <v>133926868.25</v>
      </c>
      <c r="H1352">
        <v>0.95444445312023163</v>
      </c>
      <c r="I1352">
        <v>0.95333333333333337</v>
      </c>
      <c r="J1352">
        <v>23533892</v>
      </c>
      <c r="K1352">
        <v>109954</v>
      </c>
      <c r="L1352">
        <v>2</v>
      </c>
      <c r="M1352">
        <v>216</v>
      </c>
      <c r="N1352">
        <v>0.94888888888888889</v>
      </c>
      <c r="O1352">
        <v>22854040.5</v>
      </c>
      <c r="P1352">
        <v>110897</v>
      </c>
      <c r="Q1352">
        <v>2</v>
      </c>
      <c r="R1352">
        <v>217</v>
      </c>
      <c r="S1352">
        <v>11.922512608895003</v>
      </c>
      <c r="T1352">
        <v>0.96913578112920129</v>
      </c>
    </row>
    <row r="1353" spans="1:20" x14ac:dyDescent="0.25">
      <c r="A1353" t="s">
        <v>106</v>
      </c>
      <c r="B1353">
        <v>9</v>
      </c>
      <c r="C1353">
        <v>3</v>
      </c>
      <c r="D1353">
        <v>0</v>
      </c>
      <c r="E1353" t="s">
        <v>292</v>
      </c>
      <c r="F1353">
        <v>118927</v>
      </c>
      <c r="G1353">
        <v>135821704.75</v>
      </c>
      <c r="H1353">
        <v>0.95777776837348938</v>
      </c>
      <c r="I1353">
        <v>0.9572222222222222</v>
      </c>
      <c r="J1353">
        <v>22880035.5</v>
      </c>
      <c r="K1353">
        <v>118585</v>
      </c>
      <c r="L1353">
        <v>2</v>
      </c>
      <c r="M1353">
        <v>225</v>
      </c>
      <c r="N1353">
        <v>0.96277777777777773</v>
      </c>
      <c r="O1353">
        <v>25613072.5</v>
      </c>
      <c r="P1353">
        <v>119564</v>
      </c>
      <c r="Q1353">
        <v>2</v>
      </c>
      <c r="R1353">
        <v>226</v>
      </c>
      <c r="S1353">
        <v>11.922014668805868</v>
      </c>
      <c r="T1353">
        <v>0.96419751644134521</v>
      </c>
    </row>
    <row r="1354" spans="1:20" x14ac:dyDescent="0.25">
      <c r="A1354" t="s">
        <v>106</v>
      </c>
      <c r="B1354">
        <v>9</v>
      </c>
      <c r="C1354">
        <v>3</v>
      </c>
      <c r="D1354">
        <v>0</v>
      </c>
      <c r="E1354" t="s">
        <v>243</v>
      </c>
      <c r="F1354">
        <v>127072</v>
      </c>
      <c r="G1354">
        <v>163959214.5</v>
      </c>
      <c r="H1354">
        <v>0.94777779281139374</v>
      </c>
      <c r="I1354">
        <v>0.96111111111111114</v>
      </c>
      <c r="J1354">
        <v>24386173.75</v>
      </c>
      <c r="K1354">
        <v>126529</v>
      </c>
      <c r="L1354">
        <v>2</v>
      </c>
      <c r="M1354">
        <v>233</v>
      </c>
      <c r="N1354">
        <v>0.95666666666666667</v>
      </c>
      <c r="O1354">
        <v>25479906.5</v>
      </c>
      <c r="P1354">
        <v>127540</v>
      </c>
      <c r="Q1354">
        <v>2</v>
      </c>
      <c r="R1354">
        <v>234</v>
      </c>
      <c r="S1354">
        <v>11.921459670027497</v>
      </c>
      <c r="T1354">
        <v>0.96419753630956018</v>
      </c>
    </row>
    <row r="1355" spans="1:20" x14ac:dyDescent="0.25">
      <c r="A1355" t="s">
        <v>106</v>
      </c>
      <c r="B1355">
        <v>9</v>
      </c>
      <c r="C1355">
        <v>3</v>
      </c>
      <c r="D1355">
        <v>0</v>
      </c>
      <c r="E1355" t="s">
        <v>293</v>
      </c>
      <c r="F1355">
        <v>135217</v>
      </c>
      <c r="G1355">
        <v>172114864.25</v>
      </c>
      <c r="H1355">
        <v>0.95222222805023193</v>
      </c>
      <c r="I1355">
        <v>0.9588888888888889</v>
      </c>
      <c r="J1355">
        <v>27022173.75</v>
      </c>
      <c r="K1355">
        <v>134729</v>
      </c>
      <c r="L1355">
        <v>2</v>
      </c>
      <c r="M1355">
        <v>241</v>
      </c>
      <c r="N1355">
        <v>0.95111111111111113</v>
      </c>
      <c r="O1355">
        <v>25967464.5</v>
      </c>
      <c r="P1355">
        <v>135772</v>
      </c>
      <c r="Q1355">
        <v>2</v>
      </c>
      <c r="R1355">
        <v>242</v>
      </c>
      <c r="S1355">
        <v>11.920675830469644</v>
      </c>
      <c r="T1355">
        <v>0.96296296517054236</v>
      </c>
    </row>
    <row r="1356" spans="1:20" x14ac:dyDescent="0.25">
      <c r="A1356" t="s">
        <v>106</v>
      </c>
      <c r="B1356">
        <v>9</v>
      </c>
      <c r="C1356">
        <v>3</v>
      </c>
      <c r="D1356">
        <v>0</v>
      </c>
      <c r="E1356" t="s">
        <v>248</v>
      </c>
      <c r="F1356">
        <v>143362</v>
      </c>
      <c r="G1356">
        <v>171758596</v>
      </c>
      <c r="H1356">
        <v>0.95722223818302155</v>
      </c>
      <c r="I1356">
        <v>0.96444444444444444</v>
      </c>
      <c r="J1356">
        <v>26232335</v>
      </c>
      <c r="K1356">
        <v>143185</v>
      </c>
      <c r="L1356">
        <v>2</v>
      </c>
      <c r="M1356">
        <v>249</v>
      </c>
      <c r="N1356">
        <v>0.95277777777777783</v>
      </c>
      <c r="O1356">
        <v>26533521.25</v>
      </c>
      <c r="P1356">
        <v>144260</v>
      </c>
      <c r="Q1356">
        <v>2</v>
      </c>
      <c r="R1356">
        <v>250</v>
      </c>
      <c r="S1356">
        <v>11.919835089326615</v>
      </c>
      <c r="T1356">
        <v>0.96296298503875732</v>
      </c>
    </row>
    <row r="1357" spans="1:20" x14ac:dyDescent="0.25">
      <c r="A1357" t="s">
        <v>106</v>
      </c>
      <c r="B1357">
        <v>9</v>
      </c>
      <c r="C1357">
        <v>3</v>
      </c>
      <c r="D1357">
        <v>0</v>
      </c>
      <c r="E1357" t="s">
        <v>294</v>
      </c>
      <c r="F1357">
        <v>151507</v>
      </c>
      <c r="G1357">
        <v>185857761.5</v>
      </c>
      <c r="H1357">
        <v>0.95500001311302185</v>
      </c>
      <c r="I1357">
        <v>0.96166666666666667</v>
      </c>
      <c r="J1357">
        <v>27487600.25</v>
      </c>
      <c r="K1357">
        <v>150794</v>
      </c>
      <c r="L1357">
        <v>2</v>
      </c>
      <c r="M1357">
        <v>256</v>
      </c>
      <c r="N1357">
        <v>0.95333333333333337</v>
      </c>
      <c r="O1357">
        <v>28691084</v>
      </c>
      <c r="P1357">
        <v>151897</v>
      </c>
      <c r="Q1357">
        <v>2</v>
      </c>
      <c r="R1357">
        <v>257</v>
      </c>
      <c r="S1357">
        <v>11.919395465994961</v>
      </c>
      <c r="T1357">
        <v>0.96666665871938073</v>
      </c>
    </row>
    <row r="1358" spans="1:20" x14ac:dyDescent="0.25">
      <c r="A1358" t="s">
        <v>106</v>
      </c>
      <c r="B1358">
        <v>9</v>
      </c>
      <c r="C1358">
        <v>3</v>
      </c>
      <c r="D1358">
        <v>0</v>
      </c>
      <c r="E1358" t="s">
        <v>253</v>
      </c>
      <c r="F1358">
        <v>159652</v>
      </c>
      <c r="G1358">
        <v>269226115.25</v>
      </c>
      <c r="H1358">
        <v>0.95277780294418335</v>
      </c>
      <c r="I1358">
        <v>0.95277777777777772</v>
      </c>
      <c r="J1358">
        <v>27520402</v>
      </c>
      <c r="K1358">
        <v>158599</v>
      </c>
      <c r="L1358">
        <v>2</v>
      </c>
      <c r="M1358">
        <v>263</v>
      </c>
      <c r="N1358">
        <v>0.95555555555555549</v>
      </c>
      <c r="O1358">
        <v>29700427</v>
      </c>
      <c r="P1358">
        <v>159730</v>
      </c>
      <c r="Q1358">
        <v>2</v>
      </c>
      <c r="R1358">
        <v>264</v>
      </c>
      <c r="S1358">
        <v>11.91941391941392</v>
      </c>
      <c r="T1358">
        <v>0.96790122985839844</v>
      </c>
    </row>
    <row r="1359" spans="1:20" x14ac:dyDescent="0.25">
      <c r="A1359" t="s">
        <v>106</v>
      </c>
      <c r="B1359">
        <v>9</v>
      </c>
      <c r="C1359">
        <v>3</v>
      </c>
      <c r="D1359">
        <v>0</v>
      </c>
      <c r="E1359" t="s">
        <v>254</v>
      </c>
      <c r="F1359">
        <v>167797</v>
      </c>
      <c r="G1359">
        <v>269430331.75</v>
      </c>
      <c r="H1359">
        <v>0.95499999821186066</v>
      </c>
      <c r="I1359">
        <v>0.95499999999999996</v>
      </c>
      <c r="J1359">
        <v>30063572.5</v>
      </c>
      <c r="K1359">
        <v>167759</v>
      </c>
      <c r="L1359">
        <v>2</v>
      </c>
      <c r="M1359">
        <v>271</v>
      </c>
      <c r="N1359">
        <v>0.9572222222222222</v>
      </c>
      <c r="O1359">
        <v>29497563.75</v>
      </c>
      <c r="P1359">
        <v>168922</v>
      </c>
      <c r="Q1359">
        <v>2</v>
      </c>
      <c r="R1359">
        <v>272</v>
      </c>
      <c r="S1359">
        <v>11.918860151064317</v>
      </c>
      <c r="T1359">
        <v>0.97530863682428992</v>
      </c>
    </row>
    <row r="1360" spans="1:20" x14ac:dyDescent="0.25">
      <c r="A1360" t="s">
        <v>106</v>
      </c>
      <c r="B1360">
        <v>9</v>
      </c>
      <c r="C1360">
        <v>3</v>
      </c>
      <c r="D1360">
        <v>0</v>
      </c>
      <c r="E1360" t="s">
        <v>111</v>
      </c>
      <c r="F1360">
        <v>175942</v>
      </c>
      <c r="G1360">
        <v>234562091</v>
      </c>
      <c r="H1360">
        <v>0.95388889312744141</v>
      </c>
      <c r="I1360">
        <v>0.95833333333333337</v>
      </c>
      <c r="J1360">
        <v>31236694.5</v>
      </c>
      <c r="K1360">
        <v>174797</v>
      </c>
      <c r="L1360">
        <v>2</v>
      </c>
      <c r="M1360">
        <v>277</v>
      </c>
      <c r="N1360">
        <v>0.95500000000000007</v>
      </c>
      <c r="O1360">
        <v>30673809</v>
      </c>
      <c r="P1360">
        <v>175984</v>
      </c>
      <c r="Q1360">
        <v>2</v>
      </c>
      <c r="R1360">
        <v>278</v>
      </c>
      <c r="S1360">
        <v>11.918135011441647</v>
      </c>
      <c r="T1360">
        <v>0.96419751644134521</v>
      </c>
    </row>
    <row r="1361" spans="1:20" x14ac:dyDescent="0.25">
      <c r="A1361" t="s">
        <v>106</v>
      </c>
      <c r="B1361">
        <v>9</v>
      </c>
      <c r="C1361">
        <v>3</v>
      </c>
      <c r="D1361">
        <v>0</v>
      </c>
      <c r="E1361" t="s">
        <v>255</v>
      </c>
      <c r="F1361">
        <v>184087</v>
      </c>
      <c r="G1361">
        <v>306069265.75</v>
      </c>
      <c r="H1361">
        <v>0.95055554807186127</v>
      </c>
      <c r="I1361">
        <v>0.95500000000000007</v>
      </c>
      <c r="J1361">
        <v>32389326.25</v>
      </c>
      <c r="K1361">
        <v>183190</v>
      </c>
      <c r="L1361">
        <v>2</v>
      </c>
      <c r="M1361">
        <v>284</v>
      </c>
      <c r="N1361">
        <v>0.9555555555555556</v>
      </c>
      <c r="O1361">
        <v>32425172.25</v>
      </c>
      <c r="P1361">
        <v>184405</v>
      </c>
      <c r="Q1361">
        <v>2</v>
      </c>
      <c r="R1361">
        <v>285</v>
      </c>
      <c r="S1361">
        <v>11.917867764813543</v>
      </c>
      <c r="T1361">
        <v>0.96666667858759558</v>
      </c>
    </row>
    <row r="1362" spans="1:20" x14ac:dyDescent="0.25">
      <c r="A1362" t="s">
        <v>106</v>
      </c>
      <c r="B1362">
        <v>9</v>
      </c>
      <c r="C1362">
        <v>3</v>
      </c>
      <c r="D1362">
        <v>0</v>
      </c>
      <c r="E1362" t="s">
        <v>116</v>
      </c>
      <c r="F1362">
        <v>192232</v>
      </c>
      <c r="G1362">
        <v>370069790.75</v>
      </c>
      <c r="H1362">
        <v>0.96111111342906952</v>
      </c>
      <c r="I1362">
        <v>0.94944444444444442</v>
      </c>
      <c r="J1362">
        <v>31993894.25</v>
      </c>
      <c r="K1362">
        <v>191779</v>
      </c>
      <c r="L1362">
        <v>2</v>
      </c>
      <c r="M1362">
        <v>291</v>
      </c>
      <c r="N1362">
        <v>0.95333333333333337</v>
      </c>
      <c r="O1362">
        <v>32167301.25</v>
      </c>
      <c r="P1362">
        <v>193022</v>
      </c>
      <c r="Q1362">
        <v>2</v>
      </c>
      <c r="R1362">
        <v>292</v>
      </c>
      <c r="S1362">
        <v>11.918172461116194</v>
      </c>
      <c r="T1362">
        <v>0.9716049234072367</v>
      </c>
    </row>
    <row r="1363" spans="1:20" x14ac:dyDescent="0.25">
      <c r="A1363" t="s">
        <v>106</v>
      </c>
      <c r="B1363">
        <v>9</v>
      </c>
      <c r="C1363">
        <v>3</v>
      </c>
      <c r="D1363">
        <v>0</v>
      </c>
      <c r="E1363" t="s">
        <v>147</v>
      </c>
      <c r="F1363">
        <v>194442</v>
      </c>
      <c r="G1363">
        <v>417824540.75</v>
      </c>
      <c r="H1363">
        <v>0.94500000774860382</v>
      </c>
      <c r="I1363">
        <v>0.9572222222222222</v>
      </c>
      <c r="J1363">
        <v>33491784.25</v>
      </c>
      <c r="K1363">
        <v>194269</v>
      </c>
      <c r="L1363">
        <v>2</v>
      </c>
      <c r="M1363">
        <v>293</v>
      </c>
      <c r="N1363">
        <v>0.95277777777777772</v>
      </c>
      <c r="O1363">
        <v>33434937.75</v>
      </c>
      <c r="P1363">
        <v>195520</v>
      </c>
      <c r="Q1363">
        <v>2</v>
      </c>
      <c r="R1363">
        <v>294</v>
      </c>
      <c r="S1363">
        <v>11.918934369997713</v>
      </c>
      <c r="T1363">
        <v>0.96543208758036292</v>
      </c>
    </row>
    <row r="1364" spans="1:20" x14ac:dyDescent="0.25">
      <c r="A1364" t="s">
        <v>106</v>
      </c>
      <c r="B1364">
        <v>9</v>
      </c>
      <c r="C1364">
        <v>3</v>
      </c>
      <c r="D1364">
        <v>0</v>
      </c>
      <c r="E1364" t="s">
        <v>256</v>
      </c>
      <c r="F1364">
        <v>200377</v>
      </c>
      <c r="G1364">
        <v>583616155.75</v>
      </c>
      <c r="H1364">
        <v>0.92222222685813904</v>
      </c>
      <c r="I1364">
        <v>0.95666666666666667</v>
      </c>
      <c r="J1364">
        <v>31842071.5</v>
      </c>
      <c r="K1364">
        <v>199297</v>
      </c>
      <c r="L1364">
        <v>2</v>
      </c>
      <c r="M1364">
        <v>297</v>
      </c>
      <c r="N1364">
        <v>0.95166666666666666</v>
      </c>
      <c r="O1364">
        <v>31304944.5</v>
      </c>
      <c r="P1364">
        <v>200564</v>
      </c>
      <c r="Q1364">
        <v>2</v>
      </c>
      <c r="R1364">
        <v>298</v>
      </c>
      <c r="S1364">
        <v>11.920724737082761</v>
      </c>
      <c r="T1364">
        <v>0.95308641592661536</v>
      </c>
    </row>
    <row r="1365" spans="1:20" x14ac:dyDescent="0.25">
      <c r="A1365" t="s">
        <v>106</v>
      </c>
      <c r="B1365">
        <v>9</v>
      </c>
      <c r="C1365">
        <v>3</v>
      </c>
      <c r="D1365">
        <v>0</v>
      </c>
      <c r="E1365" t="s">
        <v>262</v>
      </c>
      <c r="F1365">
        <v>202587</v>
      </c>
      <c r="G1365">
        <v>558596252.42857146</v>
      </c>
      <c r="H1365">
        <v>0.94031746046883724</v>
      </c>
      <c r="I1365">
        <v>0.96</v>
      </c>
      <c r="J1365">
        <v>30994712.428571429</v>
      </c>
      <c r="K1365">
        <v>201835</v>
      </c>
      <c r="L1365">
        <v>2</v>
      </c>
      <c r="M1365">
        <v>299</v>
      </c>
      <c r="N1365">
        <v>0.95809523809523811</v>
      </c>
      <c r="O1365">
        <v>31542761.428571429</v>
      </c>
      <c r="P1365">
        <v>203110</v>
      </c>
      <c r="Q1365">
        <v>2</v>
      </c>
      <c r="R1365">
        <v>300</v>
      </c>
      <c r="S1365">
        <v>11.924127292464149</v>
      </c>
      <c r="T1365">
        <v>0.93580247958501184</v>
      </c>
    </row>
    <row r="1366" spans="1:20" x14ac:dyDescent="0.25">
      <c r="A1366" t="s">
        <v>106</v>
      </c>
      <c r="B1366">
        <v>9</v>
      </c>
      <c r="C1366">
        <v>3</v>
      </c>
      <c r="D1366">
        <v>0</v>
      </c>
      <c r="E1366" t="s">
        <v>201</v>
      </c>
      <c r="F1366">
        <v>205710</v>
      </c>
      <c r="G1366">
        <v>917206199.25</v>
      </c>
      <c r="H1366">
        <v>0.88555556535720825</v>
      </c>
      <c r="I1366">
        <v>0.96166666666666667</v>
      </c>
      <c r="J1366">
        <v>32349385.25</v>
      </c>
      <c r="K1366">
        <v>205672</v>
      </c>
      <c r="L1366">
        <v>2</v>
      </c>
      <c r="M1366">
        <v>302</v>
      </c>
      <c r="N1366">
        <v>0.96055555555555561</v>
      </c>
      <c r="O1366">
        <v>33545737</v>
      </c>
      <c r="P1366">
        <v>206959</v>
      </c>
      <c r="Q1366">
        <v>2</v>
      </c>
      <c r="R1366">
        <v>303</v>
      </c>
      <c r="S1366">
        <v>11.928371508539442</v>
      </c>
      <c r="T1366">
        <v>0.90864197413126624</v>
      </c>
    </row>
    <row r="1367" spans="1:20" x14ac:dyDescent="0.25">
      <c r="A1367" t="s">
        <v>106</v>
      </c>
      <c r="B1367">
        <v>9</v>
      </c>
      <c r="C1367">
        <v>3</v>
      </c>
      <c r="D1367">
        <v>0</v>
      </c>
      <c r="E1367" t="s">
        <v>121</v>
      </c>
      <c r="F1367">
        <v>208522</v>
      </c>
      <c r="G1367">
        <v>573012194.75</v>
      </c>
      <c r="H1367">
        <v>0.92055556178092957</v>
      </c>
      <c r="I1367">
        <v>0.96611111111111114</v>
      </c>
      <c r="J1367">
        <v>32989170.5</v>
      </c>
      <c r="K1367">
        <v>208250</v>
      </c>
      <c r="L1367">
        <v>2</v>
      </c>
      <c r="M1367">
        <v>304</v>
      </c>
      <c r="N1367">
        <v>0.96</v>
      </c>
      <c r="O1367">
        <v>32659074.75</v>
      </c>
      <c r="P1367">
        <v>209545</v>
      </c>
      <c r="Q1367">
        <v>2</v>
      </c>
      <c r="R1367">
        <v>305</v>
      </c>
      <c r="S1367">
        <v>11.930043972360231</v>
      </c>
      <c r="T1367">
        <v>0.92345678806304932</v>
      </c>
    </row>
    <row r="1368" spans="1:20" x14ac:dyDescent="0.25">
      <c r="A1368" t="s">
        <v>106</v>
      </c>
      <c r="B1368">
        <v>9</v>
      </c>
      <c r="C1368">
        <v>3</v>
      </c>
      <c r="D1368">
        <v>0</v>
      </c>
      <c r="E1368" t="s">
        <v>152</v>
      </c>
      <c r="F1368">
        <v>210732</v>
      </c>
      <c r="G1368">
        <v>554519076.42857146</v>
      </c>
      <c r="H1368">
        <v>0.92761904001235962</v>
      </c>
      <c r="I1368">
        <v>0.96190476190476193</v>
      </c>
      <c r="J1368">
        <v>31883832.714285713</v>
      </c>
      <c r="K1368">
        <v>209545</v>
      </c>
      <c r="L1368">
        <v>2</v>
      </c>
      <c r="M1368">
        <v>305</v>
      </c>
      <c r="N1368">
        <v>0.95333333333333337</v>
      </c>
      <c r="O1368">
        <v>31498047.571428571</v>
      </c>
      <c r="P1368">
        <v>210844</v>
      </c>
      <c r="Q1368">
        <v>2</v>
      </c>
      <c r="R1368">
        <v>306</v>
      </c>
      <c r="S1368">
        <v>11.933097385546295</v>
      </c>
      <c r="T1368">
        <v>0.92716048161188758</v>
      </c>
    </row>
    <row r="1369" spans="1:20" x14ac:dyDescent="0.25">
      <c r="A1369" t="s">
        <v>106</v>
      </c>
      <c r="B1369">
        <v>9</v>
      </c>
      <c r="C1369">
        <v>3</v>
      </c>
      <c r="D1369">
        <v>0</v>
      </c>
      <c r="E1369" t="s">
        <v>217</v>
      </c>
      <c r="F1369">
        <v>211344</v>
      </c>
      <c r="G1369">
        <v>846860998.5</v>
      </c>
      <c r="H1369">
        <v>0.87888889014720917</v>
      </c>
      <c r="I1369">
        <v>0.9588888888888889</v>
      </c>
      <c r="J1369">
        <v>32011901.25</v>
      </c>
      <c r="K1369">
        <v>210844</v>
      </c>
      <c r="L1369">
        <v>2</v>
      </c>
      <c r="M1369">
        <v>306</v>
      </c>
      <c r="N1369">
        <v>0.95444444444444443</v>
      </c>
      <c r="O1369">
        <v>31916867.5</v>
      </c>
      <c r="P1369">
        <v>212147</v>
      </c>
      <c r="Q1369">
        <v>2</v>
      </c>
      <c r="R1369">
        <v>307</v>
      </c>
      <c r="S1369">
        <v>11.936422782787353</v>
      </c>
      <c r="T1369">
        <v>0.91975307464599609</v>
      </c>
    </row>
    <row r="1370" spans="1:20" x14ac:dyDescent="0.25">
      <c r="A1370" t="s">
        <v>106</v>
      </c>
      <c r="B1370">
        <v>9</v>
      </c>
      <c r="C1370">
        <v>3</v>
      </c>
      <c r="D1370">
        <v>0</v>
      </c>
      <c r="E1370" t="s">
        <v>274</v>
      </c>
      <c r="F1370">
        <v>214295</v>
      </c>
      <c r="G1370">
        <v>632084490.5</v>
      </c>
      <c r="H1370">
        <v>0.90611112117767334</v>
      </c>
      <c r="I1370">
        <v>0.97222222222222221</v>
      </c>
      <c r="J1370">
        <v>34473374</v>
      </c>
      <c r="K1370">
        <v>213454</v>
      </c>
      <c r="L1370">
        <v>2</v>
      </c>
      <c r="M1370">
        <v>308</v>
      </c>
      <c r="N1370">
        <v>0.97555555555555551</v>
      </c>
      <c r="O1370">
        <v>34513290</v>
      </c>
      <c r="P1370">
        <v>214765</v>
      </c>
      <c r="Q1370">
        <v>2</v>
      </c>
      <c r="R1370">
        <v>309</v>
      </c>
      <c r="S1370">
        <v>11.938149035718361</v>
      </c>
      <c r="T1370">
        <v>0.92592593034108484</v>
      </c>
    </row>
    <row r="1371" spans="1:20" x14ac:dyDescent="0.25">
      <c r="A1371" t="s">
        <v>106</v>
      </c>
      <c r="B1371">
        <v>9</v>
      </c>
      <c r="C1371">
        <v>3</v>
      </c>
      <c r="D1371">
        <v>0</v>
      </c>
      <c r="E1371" t="s">
        <v>234</v>
      </c>
      <c r="F1371">
        <v>216978</v>
      </c>
      <c r="G1371">
        <v>659649340.25</v>
      </c>
      <c r="H1371">
        <v>0.90166667103767395</v>
      </c>
      <c r="I1371">
        <v>0.95833333333333326</v>
      </c>
      <c r="J1371">
        <v>33256204.5</v>
      </c>
      <c r="K1371">
        <v>216080</v>
      </c>
      <c r="L1371">
        <v>2</v>
      </c>
      <c r="M1371">
        <v>310</v>
      </c>
      <c r="N1371">
        <v>0.96166666666666667</v>
      </c>
      <c r="O1371">
        <v>34022038.75</v>
      </c>
      <c r="P1371">
        <v>217399</v>
      </c>
      <c r="Q1371">
        <v>2</v>
      </c>
      <c r="R1371">
        <v>311</v>
      </c>
      <c r="S1371">
        <v>11.940387906446093</v>
      </c>
      <c r="T1371">
        <v>0.92345184478759768</v>
      </c>
    </row>
    <row r="1372" spans="1:20" x14ac:dyDescent="0.25">
      <c r="A1372" t="s">
        <v>106</v>
      </c>
      <c r="B1372">
        <v>9</v>
      </c>
      <c r="C1372">
        <v>3</v>
      </c>
      <c r="D1372">
        <v>0</v>
      </c>
      <c r="E1372" t="s">
        <v>263</v>
      </c>
      <c r="F1372">
        <v>218877</v>
      </c>
      <c r="G1372">
        <v>717771442.92307687</v>
      </c>
      <c r="H1372">
        <v>0.89982906213173497</v>
      </c>
      <c r="I1372">
        <v>0.96136752136752135</v>
      </c>
      <c r="J1372">
        <v>32610146.615384616</v>
      </c>
      <c r="K1372">
        <v>218722</v>
      </c>
      <c r="L1372">
        <v>2</v>
      </c>
      <c r="M1372">
        <v>312</v>
      </c>
      <c r="N1372">
        <v>0.96188034188034188</v>
      </c>
      <c r="O1372">
        <v>33657955</v>
      </c>
      <c r="P1372">
        <v>220049</v>
      </c>
      <c r="Q1372">
        <v>2</v>
      </c>
      <c r="R1372">
        <v>313</v>
      </c>
      <c r="S1372">
        <v>11.949609530867013</v>
      </c>
      <c r="T1372">
        <v>0.92067561294237776</v>
      </c>
    </row>
    <row r="1373" spans="1:20" x14ac:dyDescent="0.25">
      <c r="A1373" t="s">
        <v>106</v>
      </c>
      <c r="B1373">
        <v>9</v>
      </c>
      <c r="C1373">
        <v>3</v>
      </c>
      <c r="D1373">
        <v>0</v>
      </c>
      <c r="E1373" t="s">
        <v>281</v>
      </c>
      <c r="F1373">
        <v>220149</v>
      </c>
      <c r="G1373">
        <v>1004570229.5</v>
      </c>
      <c r="H1373">
        <v>0.88833333551883698</v>
      </c>
      <c r="I1373">
        <v>0.96277777777777773</v>
      </c>
      <c r="J1373">
        <v>33119337.75</v>
      </c>
      <c r="K1373">
        <v>220049</v>
      </c>
      <c r="L1373">
        <v>2</v>
      </c>
      <c r="M1373">
        <v>313</v>
      </c>
      <c r="N1373">
        <v>0.95944444444444443</v>
      </c>
      <c r="O1373">
        <v>32957417.25</v>
      </c>
      <c r="P1373">
        <v>221380</v>
      </c>
      <c r="Q1373">
        <v>2</v>
      </c>
      <c r="R1373">
        <v>314</v>
      </c>
      <c r="S1373">
        <v>11.95400923234741</v>
      </c>
      <c r="T1373">
        <v>0.92345678806304932</v>
      </c>
    </row>
    <row r="1374" spans="1:20" x14ac:dyDescent="0.25">
      <c r="A1374" t="s">
        <v>106</v>
      </c>
      <c r="B1374">
        <v>9</v>
      </c>
      <c r="C1374">
        <v>3</v>
      </c>
      <c r="D1374">
        <v>0</v>
      </c>
      <c r="E1374" t="s">
        <v>205</v>
      </c>
      <c r="F1374">
        <v>222880</v>
      </c>
      <c r="G1374">
        <v>707504064.5</v>
      </c>
      <c r="H1374">
        <v>0.9072222113609314</v>
      </c>
      <c r="I1374">
        <v>0.97166666666666668</v>
      </c>
      <c r="J1374">
        <v>33176356.25</v>
      </c>
      <c r="K1374">
        <v>222715</v>
      </c>
      <c r="L1374">
        <v>2</v>
      </c>
      <c r="M1374">
        <v>315</v>
      </c>
      <c r="N1374">
        <v>0.97277777777777774</v>
      </c>
      <c r="O1374">
        <v>34423845.75</v>
      </c>
      <c r="P1374">
        <v>224054</v>
      </c>
      <c r="Q1374">
        <v>2</v>
      </c>
      <c r="R1374">
        <v>316</v>
      </c>
      <c r="S1374">
        <v>11.956127855962624</v>
      </c>
      <c r="T1374">
        <v>0.92469135920206702</v>
      </c>
    </row>
    <row r="1375" spans="1:20" x14ac:dyDescent="0.25">
      <c r="A1375" t="s">
        <v>106</v>
      </c>
      <c r="B1375">
        <v>9</v>
      </c>
      <c r="C1375">
        <v>3</v>
      </c>
      <c r="D1375">
        <v>0</v>
      </c>
      <c r="E1375" t="s">
        <v>269</v>
      </c>
      <c r="F1375">
        <v>225171</v>
      </c>
      <c r="G1375">
        <v>704840728.75</v>
      </c>
      <c r="H1375">
        <v>0.89333334565162659</v>
      </c>
      <c r="I1375">
        <v>0.96166666666666667</v>
      </c>
      <c r="J1375">
        <v>34211157.5</v>
      </c>
      <c r="K1375">
        <v>224054</v>
      </c>
      <c r="L1375">
        <v>2</v>
      </c>
      <c r="M1375">
        <v>316</v>
      </c>
      <c r="N1375">
        <v>0.96166666666666667</v>
      </c>
      <c r="O1375">
        <v>33017753.25</v>
      </c>
      <c r="P1375">
        <v>225397</v>
      </c>
      <c r="Q1375">
        <v>2</v>
      </c>
      <c r="R1375">
        <v>317</v>
      </c>
      <c r="S1375">
        <v>11.958644260894332</v>
      </c>
      <c r="T1375">
        <v>0.91481482982635498</v>
      </c>
    </row>
    <row r="1376" spans="1:20" x14ac:dyDescent="0.25">
      <c r="A1376" t="s">
        <v>106</v>
      </c>
      <c r="B1376">
        <v>9</v>
      </c>
      <c r="C1376">
        <v>3</v>
      </c>
      <c r="D1376">
        <v>0</v>
      </c>
      <c r="E1376" t="s">
        <v>288</v>
      </c>
      <c r="F1376">
        <v>226003</v>
      </c>
      <c r="G1376">
        <v>691813868.25</v>
      </c>
      <c r="H1376">
        <v>0.90944445133209229</v>
      </c>
      <c r="I1376">
        <v>0.96333333333333337</v>
      </c>
      <c r="J1376">
        <v>31866066.75</v>
      </c>
      <c r="K1376">
        <v>225397</v>
      </c>
      <c r="L1376">
        <v>2</v>
      </c>
      <c r="M1376">
        <v>317</v>
      </c>
      <c r="N1376">
        <v>0.96499999999999997</v>
      </c>
      <c r="O1376">
        <v>31878251.5</v>
      </c>
      <c r="P1376">
        <v>226744</v>
      </c>
      <c r="Q1376">
        <v>2</v>
      </c>
      <c r="R1376">
        <v>318</v>
      </c>
      <c r="S1376">
        <v>11.96133037188906</v>
      </c>
      <c r="T1376">
        <v>0.92097779102325439</v>
      </c>
    </row>
    <row r="1377" spans="1:20" x14ac:dyDescent="0.25">
      <c r="A1377" t="s">
        <v>106</v>
      </c>
      <c r="B1377">
        <v>9</v>
      </c>
      <c r="C1377">
        <v>3</v>
      </c>
      <c r="D1377">
        <v>0</v>
      </c>
      <c r="E1377" t="s">
        <v>157</v>
      </c>
      <c r="F1377">
        <v>227022</v>
      </c>
      <c r="G1377">
        <v>765680380.60000002</v>
      </c>
      <c r="H1377">
        <v>0.89244443774223325</v>
      </c>
      <c r="I1377">
        <v>0.96311111111111114</v>
      </c>
      <c r="J1377">
        <v>34841493.799999997</v>
      </c>
      <c r="K1377">
        <v>226744</v>
      </c>
      <c r="L1377">
        <v>2</v>
      </c>
      <c r="M1377">
        <v>318</v>
      </c>
      <c r="N1377">
        <v>0.96533333333333338</v>
      </c>
      <c r="O1377">
        <v>34406370.200000003</v>
      </c>
      <c r="P1377">
        <v>228095</v>
      </c>
      <c r="Q1377">
        <v>2</v>
      </c>
      <c r="R1377">
        <v>319</v>
      </c>
      <c r="S1377">
        <v>11.968410268085833</v>
      </c>
      <c r="T1377">
        <v>0.90616378640068906</v>
      </c>
    </row>
    <row r="1378" spans="1:20" x14ac:dyDescent="0.25">
      <c r="A1378" t="s">
        <v>106</v>
      </c>
      <c r="B1378">
        <v>9</v>
      </c>
      <c r="C1378">
        <v>3</v>
      </c>
      <c r="D1378">
        <v>0</v>
      </c>
      <c r="E1378" t="s">
        <v>222</v>
      </c>
      <c r="F1378">
        <v>228954</v>
      </c>
      <c r="G1378">
        <v>1152239170.5</v>
      </c>
      <c r="H1378">
        <v>0.90166667103767395</v>
      </c>
      <c r="I1378">
        <v>0.96611111111111114</v>
      </c>
      <c r="J1378">
        <v>34975228</v>
      </c>
      <c r="K1378">
        <v>228095</v>
      </c>
      <c r="L1378">
        <v>2</v>
      </c>
      <c r="M1378">
        <v>319</v>
      </c>
      <c r="N1378">
        <v>0.96166666666666667</v>
      </c>
      <c r="O1378">
        <v>35111022.25</v>
      </c>
      <c r="P1378">
        <v>229450</v>
      </c>
      <c r="Q1378">
        <v>2</v>
      </c>
      <c r="R1378">
        <v>320</v>
      </c>
      <c r="S1378">
        <v>11.973140613441075</v>
      </c>
      <c r="T1378">
        <v>0.92469135920206702</v>
      </c>
    </row>
    <row r="1379" spans="1:20" x14ac:dyDescent="0.25">
      <c r="A1379" t="s">
        <v>106</v>
      </c>
      <c r="B1379">
        <v>9</v>
      </c>
      <c r="C1379">
        <v>3</v>
      </c>
      <c r="D1379">
        <v>0</v>
      </c>
      <c r="E1379" t="s">
        <v>275</v>
      </c>
      <c r="F1379">
        <v>231465</v>
      </c>
      <c r="G1379">
        <v>1021957762.25</v>
      </c>
      <c r="H1379">
        <v>0.92166666686534882</v>
      </c>
      <c r="I1379">
        <v>0.97277777777777774</v>
      </c>
      <c r="J1379">
        <v>35988279.5</v>
      </c>
      <c r="K1379">
        <v>230809</v>
      </c>
      <c r="L1379">
        <v>2</v>
      </c>
      <c r="M1379">
        <v>321</v>
      </c>
      <c r="N1379">
        <v>0.97666666666666668</v>
      </c>
      <c r="O1379">
        <v>35343541</v>
      </c>
      <c r="P1379">
        <v>232172</v>
      </c>
      <c r="Q1379">
        <v>2</v>
      </c>
      <c r="R1379">
        <v>322</v>
      </c>
      <c r="S1379">
        <v>11.976958525345623</v>
      </c>
      <c r="T1379">
        <v>0.92592593034108484</v>
      </c>
    </row>
    <row r="1380" spans="1:20" x14ac:dyDescent="0.25">
      <c r="A1380" t="s">
        <v>106</v>
      </c>
      <c r="B1380">
        <v>9</v>
      </c>
      <c r="C1380">
        <v>3</v>
      </c>
      <c r="D1380">
        <v>0</v>
      </c>
      <c r="E1380" t="s">
        <v>186</v>
      </c>
      <c r="F1380">
        <v>233536</v>
      </c>
      <c r="G1380">
        <v>747944669.75</v>
      </c>
      <c r="H1380">
        <v>0.90333332121372223</v>
      </c>
      <c r="I1380">
        <v>0.96722222222222221</v>
      </c>
      <c r="J1380">
        <v>34461971</v>
      </c>
      <c r="K1380">
        <v>232172</v>
      </c>
      <c r="L1380">
        <v>2</v>
      </c>
      <c r="M1380">
        <v>322</v>
      </c>
      <c r="N1380">
        <v>0.96833333333333338</v>
      </c>
      <c r="O1380">
        <v>33153112.25</v>
      </c>
      <c r="P1380">
        <v>233539</v>
      </c>
      <c r="Q1380">
        <v>2</v>
      </c>
      <c r="R1380">
        <v>323</v>
      </c>
      <c r="S1380">
        <v>11.979523349070019</v>
      </c>
      <c r="T1380">
        <v>0.89382716019948327</v>
      </c>
    </row>
    <row r="1381" spans="1:20" x14ac:dyDescent="0.25">
      <c r="A1381" t="s">
        <v>106</v>
      </c>
      <c r="B1381">
        <v>9</v>
      </c>
      <c r="C1381">
        <v>3</v>
      </c>
      <c r="D1381">
        <v>0</v>
      </c>
      <c r="E1381" t="s">
        <v>236</v>
      </c>
      <c r="F1381">
        <v>235028</v>
      </c>
      <c r="G1381">
        <v>868608833.75</v>
      </c>
      <c r="H1381">
        <v>0.91499999165534973</v>
      </c>
      <c r="I1381">
        <v>0.9655555555555555</v>
      </c>
      <c r="J1381">
        <v>33356809.25</v>
      </c>
      <c r="K1381">
        <v>234910</v>
      </c>
      <c r="L1381">
        <v>2</v>
      </c>
      <c r="M1381">
        <v>324</v>
      </c>
      <c r="N1381">
        <v>0.96777777777777785</v>
      </c>
      <c r="O1381">
        <v>32313346.5</v>
      </c>
      <c r="P1381">
        <v>236285</v>
      </c>
      <c r="Q1381">
        <v>2</v>
      </c>
      <c r="R1381">
        <v>325</v>
      </c>
      <c r="S1381">
        <v>11.983281205572931</v>
      </c>
      <c r="T1381">
        <v>0.91482964375813802</v>
      </c>
    </row>
    <row r="1382" spans="1:20" x14ac:dyDescent="0.25">
      <c r="A1382" t="s">
        <v>106</v>
      </c>
      <c r="B1382">
        <v>9</v>
      </c>
      <c r="C1382">
        <v>3</v>
      </c>
      <c r="D1382">
        <v>0</v>
      </c>
      <c r="E1382" t="s">
        <v>282</v>
      </c>
      <c r="F1382">
        <v>237759</v>
      </c>
      <c r="G1382">
        <v>901501498.92307687</v>
      </c>
      <c r="H1382">
        <v>0.89743590813416696</v>
      </c>
      <c r="I1382">
        <v>0.96239316239316242</v>
      </c>
      <c r="J1382">
        <v>35180980.153846152</v>
      </c>
      <c r="K1382">
        <v>237664</v>
      </c>
      <c r="L1382">
        <v>2</v>
      </c>
      <c r="M1382">
        <v>326</v>
      </c>
      <c r="N1382">
        <v>0.9622222222222222</v>
      </c>
      <c r="O1382">
        <v>35172229.153846152</v>
      </c>
      <c r="P1382">
        <v>239047</v>
      </c>
      <c r="Q1382">
        <v>2</v>
      </c>
      <c r="R1382">
        <v>327</v>
      </c>
      <c r="S1382">
        <v>11.994488010001136</v>
      </c>
      <c r="T1382">
        <v>0.92222407561937969</v>
      </c>
    </row>
    <row r="1383" spans="1:20" x14ac:dyDescent="0.25">
      <c r="A1383" t="s">
        <v>106</v>
      </c>
      <c r="B1383">
        <v>9</v>
      </c>
      <c r="C1383">
        <v>3</v>
      </c>
      <c r="D1383">
        <v>0</v>
      </c>
      <c r="E1383" t="s">
        <v>208</v>
      </c>
      <c r="F1383">
        <v>240050</v>
      </c>
      <c r="G1383">
        <v>760853538.75</v>
      </c>
      <c r="H1383">
        <v>0.93388889729976654</v>
      </c>
      <c r="I1383">
        <v>0.97444444444444445</v>
      </c>
      <c r="J1383">
        <v>37678863</v>
      </c>
      <c r="K1383">
        <v>239047</v>
      </c>
      <c r="L1383">
        <v>2</v>
      </c>
      <c r="M1383">
        <v>327</v>
      </c>
      <c r="N1383">
        <v>0.97444444444444445</v>
      </c>
      <c r="O1383">
        <v>34839263</v>
      </c>
      <c r="P1383">
        <v>240434</v>
      </c>
      <c r="Q1383">
        <v>2</v>
      </c>
      <c r="R1383">
        <v>328</v>
      </c>
      <c r="S1383">
        <v>11.996534484717646</v>
      </c>
      <c r="T1383">
        <v>0.93209876616795861</v>
      </c>
    </row>
    <row r="1384" spans="1:20" x14ac:dyDescent="0.25">
      <c r="A1384" t="s">
        <v>106</v>
      </c>
      <c r="B1384">
        <v>9</v>
      </c>
      <c r="C1384">
        <v>3</v>
      </c>
      <c r="D1384">
        <v>0</v>
      </c>
      <c r="E1384" t="s">
        <v>270</v>
      </c>
      <c r="F1384">
        <v>241901</v>
      </c>
      <c r="G1384">
        <v>844464205.25</v>
      </c>
      <c r="H1384">
        <v>0.93444445729255676</v>
      </c>
      <c r="I1384">
        <v>0.96611111111111114</v>
      </c>
      <c r="J1384">
        <v>34614518.5</v>
      </c>
      <c r="K1384">
        <v>241825</v>
      </c>
      <c r="L1384">
        <v>2</v>
      </c>
      <c r="M1384">
        <v>329</v>
      </c>
      <c r="N1384">
        <v>0.96833333333333327</v>
      </c>
      <c r="O1384">
        <v>33360713.25</v>
      </c>
      <c r="P1384">
        <v>243220</v>
      </c>
      <c r="Q1384">
        <v>2</v>
      </c>
      <c r="R1384">
        <v>330</v>
      </c>
      <c r="S1384">
        <v>11.999772804725662</v>
      </c>
      <c r="T1384">
        <v>0.93456790844599402</v>
      </c>
    </row>
    <row r="1385" spans="1:20" x14ac:dyDescent="0.25">
      <c r="A1385" t="s">
        <v>106</v>
      </c>
      <c r="B1385">
        <v>9</v>
      </c>
      <c r="C1385">
        <v>3</v>
      </c>
      <c r="D1385">
        <v>0</v>
      </c>
      <c r="E1385" t="s">
        <v>289</v>
      </c>
      <c r="F1385">
        <v>244053</v>
      </c>
      <c r="G1385">
        <v>764995837.5</v>
      </c>
      <c r="H1385">
        <v>0.9305555671453476</v>
      </c>
      <c r="I1385">
        <v>0.96166666666666667</v>
      </c>
      <c r="J1385">
        <v>33224272</v>
      </c>
      <c r="K1385">
        <v>243220</v>
      </c>
      <c r="L1385">
        <v>2</v>
      </c>
      <c r="M1385">
        <v>330</v>
      </c>
      <c r="N1385">
        <v>0.96444444444444444</v>
      </c>
      <c r="O1385">
        <v>34799760.5</v>
      </c>
      <c r="P1385">
        <v>244619</v>
      </c>
      <c r="Q1385">
        <v>2</v>
      </c>
      <c r="R1385">
        <v>331</v>
      </c>
      <c r="S1385">
        <v>12.002555366269165</v>
      </c>
      <c r="T1385">
        <v>0.93084936917622885</v>
      </c>
    </row>
    <row r="1386" spans="1:20" x14ac:dyDescent="0.25">
      <c r="A1386" t="s">
        <v>106</v>
      </c>
      <c r="B1386">
        <v>9</v>
      </c>
      <c r="C1386">
        <v>3</v>
      </c>
      <c r="D1386">
        <v>0</v>
      </c>
      <c r="E1386" t="s">
        <v>223</v>
      </c>
      <c r="F1386">
        <v>246564</v>
      </c>
      <c r="G1386">
        <v>920499743.76923072</v>
      </c>
      <c r="H1386">
        <v>0.91777777671813965</v>
      </c>
      <c r="I1386">
        <v>0.96085470085470082</v>
      </c>
      <c r="J1386">
        <v>34798896.538461536</v>
      </c>
      <c r="K1386">
        <v>246022</v>
      </c>
      <c r="L1386">
        <v>2</v>
      </c>
      <c r="M1386">
        <v>332</v>
      </c>
      <c r="N1386">
        <v>0.9605128205128205</v>
      </c>
      <c r="O1386">
        <v>35245884.92307692</v>
      </c>
      <c r="P1386">
        <v>247429</v>
      </c>
      <c r="Q1386">
        <v>2</v>
      </c>
      <c r="R1386">
        <v>333</v>
      </c>
      <c r="S1386">
        <v>12.012767406230495</v>
      </c>
      <c r="T1386">
        <v>0.92807900697390244</v>
      </c>
    </row>
    <row r="1387" spans="1:20" x14ac:dyDescent="0.25">
      <c r="A1387" t="s">
        <v>106</v>
      </c>
      <c r="B1387">
        <v>9</v>
      </c>
      <c r="C1387">
        <v>3</v>
      </c>
      <c r="D1387">
        <v>0</v>
      </c>
      <c r="E1387" t="s">
        <v>276</v>
      </c>
      <c r="F1387">
        <v>248635</v>
      </c>
      <c r="G1387">
        <v>871773204</v>
      </c>
      <c r="H1387">
        <v>0.92166666686534882</v>
      </c>
      <c r="I1387">
        <v>0.97666666666666668</v>
      </c>
      <c r="J1387">
        <v>35534898</v>
      </c>
      <c r="K1387">
        <v>247429</v>
      </c>
      <c r="L1387">
        <v>2</v>
      </c>
      <c r="M1387">
        <v>333</v>
      </c>
      <c r="N1387">
        <v>0.97499999999999998</v>
      </c>
      <c r="O1387">
        <v>36090970.75</v>
      </c>
      <c r="P1387">
        <v>248840</v>
      </c>
      <c r="Q1387">
        <v>2</v>
      </c>
      <c r="R1387">
        <v>334</v>
      </c>
      <c r="S1387">
        <v>12.01537414194134</v>
      </c>
      <c r="T1387">
        <v>0.92592593034108484</v>
      </c>
    </row>
    <row r="1388" spans="1:20" x14ac:dyDescent="0.25">
      <c r="A1388" t="s">
        <v>106</v>
      </c>
      <c r="B1388">
        <v>9</v>
      </c>
      <c r="C1388">
        <v>3</v>
      </c>
      <c r="D1388">
        <v>0</v>
      </c>
      <c r="E1388" t="s">
        <v>265</v>
      </c>
      <c r="F1388">
        <v>251457</v>
      </c>
      <c r="G1388">
        <v>916115770.75</v>
      </c>
      <c r="H1388">
        <v>0.90833333134651184</v>
      </c>
      <c r="I1388">
        <v>0.96055555555555561</v>
      </c>
      <c r="J1388">
        <v>35462717.25</v>
      </c>
      <c r="K1388">
        <v>250255</v>
      </c>
      <c r="L1388">
        <v>2</v>
      </c>
      <c r="M1388">
        <v>335</v>
      </c>
      <c r="N1388">
        <v>0.96388888888888891</v>
      </c>
      <c r="O1388">
        <v>36942880.75</v>
      </c>
      <c r="P1388">
        <v>251674</v>
      </c>
      <c r="Q1388">
        <v>2</v>
      </c>
      <c r="R1388">
        <v>336</v>
      </c>
      <c r="S1388">
        <v>12.018376722817765</v>
      </c>
      <c r="T1388">
        <v>0.9308641950289408</v>
      </c>
    </row>
    <row r="1389" spans="1:20" x14ac:dyDescent="0.25">
      <c r="A1389" t="s">
        <v>106</v>
      </c>
      <c r="B1389">
        <v>9</v>
      </c>
      <c r="C1389">
        <v>3</v>
      </c>
      <c r="D1389">
        <v>0</v>
      </c>
      <c r="E1389" t="s">
        <v>239</v>
      </c>
      <c r="F1389">
        <v>253078</v>
      </c>
      <c r="G1389">
        <v>949190553</v>
      </c>
      <c r="H1389">
        <v>0.92412698268890381</v>
      </c>
      <c r="I1389">
        <v>0.96190476190476193</v>
      </c>
      <c r="J1389">
        <v>34227702.714285716</v>
      </c>
      <c r="K1389">
        <v>251674</v>
      </c>
      <c r="L1389">
        <v>2</v>
      </c>
      <c r="M1389">
        <v>336</v>
      </c>
      <c r="N1389">
        <v>0.96190476190476193</v>
      </c>
      <c r="O1389">
        <v>34354918</v>
      </c>
      <c r="P1389">
        <v>253097</v>
      </c>
      <c r="Q1389">
        <v>2</v>
      </c>
      <c r="R1389">
        <v>337</v>
      </c>
      <c r="S1389">
        <v>12.024889443247535</v>
      </c>
      <c r="T1389">
        <v>0.93332716218630474</v>
      </c>
    </row>
    <row r="1390" spans="1:20" x14ac:dyDescent="0.25">
      <c r="A1390" t="s">
        <v>106</v>
      </c>
      <c r="B1390">
        <v>9</v>
      </c>
      <c r="C1390">
        <v>3</v>
      </c>
      <c r="D1390">
        <v>0</v>
      </c>
      <c r="E1390" t="s">
        <v>283</v>
      </c>
      <c r="F1390">
        <v>255369</v>
      </c>
      <c r="G1390">
        <v>877384280.20000005</v>
      </c>
      <c r="H1390">
        <v>0.90355556607246401</v>
      </c>
      <c r="I1390">
        <v>0.96399999999999997</v>
      </c>
      <c r="J1390">
        <v>36375707.899999999</v>
      </c>
      <c r="K1390">
        <v>254524</v>
      </c>
      <c r="L1390">
        <v>2</v>
      </c>
      <c r="M1390">
        <v>338</v>
      </c>
      <c r="N1390">
        <v>0.96466666666666667</v>
      </c>
      <c r="O1390">
        <v>35849475.899999999</v>
      </c>
      <c r="P1390">
        <v>255955</v>
      </c>
      <c r="Q1390">
        <v>2</v>
      </c>
      <c r="R1390">
        <v>339</v>
      </c>
      <c r="S1390">
        <v>12.032071622846782</v>
      </c>
      <c r="T1390">
        <v>0.9102897087944879</v>
      </c>
    </row>
    <row r="1391" spans="1:20" x14ac:dyDescent="0.25">
      <c r="A1391" t="s">
        <v>106</v>
      </c>
      <c r="B1391">
        <v>9</v>
      </c>
      <c r="C1391">
        <v>3</v>
      </c>
      <c r="D1391">
        <v>0</v>
      </c>
      <c r="E1391" t="s">
        <v>209</v>
      </c>
      <c r="F1391">
        <v>257220</v>
      </c>
      <c r="G1391">
        <v>1042805748.25</v>
      </c>
      <c r="H1391">
        <v>0.89388889074325562</v>
      </c>
      <c r="I1391">
        <v>0.97444444444444445</v>
      </c>
      <c r="J1391">
        <v>36801191</v>
      </c>
      <c r="K1391">
        <v>255955</v>
      </c>
      <c r="L1391">
        <v>2</v>
      </c>
      <c r="M1391">
        <v>339</v>
      </c>
      <c r="N1391">
        <v>0.97833333333333328</v>
      </c>
      <c r="O1391">
        <v>36285669.5</v>
      </c>
      <c r="P1391">
        <v>257390</v>
      </c>
      <c r="Q1391">
        <v>2</v>
      </c>
      <c r="R1391">
        <v>340</v>
      </c>
      <c r="S1391">
        <v>12.035236800362565</v>
      </c>
      <c r="T1391">
        <v>0.88271605968475342</v>
      </c>
    </row>
    <row r="1392" spans="1:20" x14ac:dyDescent="0.25">
      <c r="A1392" t="s">
        <v>106</v>
      </c>
      <c r="B1392">
        <v>9</v>
      </c>
      <c r="C1392">
        <v>3</v>
      </c>
      <c r="D1392">
        <v>0</v>
      </c>
      <c r="E1392" t="s">
        <v>271</v>
      </c>
      <c r="F1392">
        <v>258631</v>
      </c>
      <c r="G1392">
        <v>765798602.75</v>
      </c>
      <c r="H1392">
        <v>0.92222222685813904</v>
      </c>
      <c r="I1392">
        <v>0.96333333333333337</v>
      </c>
      <c r="J1392">
        <v>35682962.75</v>
      </c>
      <c r="K1392">
        <v>257390</v>
      </c>
      <c r="L1392">
        <v>2</v>
      </c>
      <c r="M1392">
        <v>340</v>
      </c>
      <c r="N1392">
        <v>0.96111111111111114</v>
      </c>
      <c r="O1392">
        <v>35282362.75</v>
      </c>
      <c r="P1392">
        <v>258829</v>
      </c>
      <c r="Q1392">
        <v>2</v>
      </c>
      <c r="R1392">
        <v>341</v>
      </c>
      <c r="S1392">
        <v>12.037324422292706</v>
      </c>
      <c r="T1392">
        <v>0.90617283185323083</v>
      </c>
    </row>
    <row r="1393" spans="1:20" x14ac:dyDescent="0.25">
      <c r="A1393" t="s">
        <v>106</v>
      </c>
      <c r="B1393">
        <v>9</v>
      </c>
      <c r="C1393">
        <v>3</v>
      </c>
      <c r="D1393">
        <v>0</v>
      </c>
      <c r="E1393" t="s">
        <v>134</v>
      </c>
      <c r="F1393">
        <v>259602</v>
      </c>
      <c r="G1393">
        <v>805266039.25</v>
      </c>
      <c r="H1393">
        <v>0.92555555701255798</v>
      </c>
      <c r="I1393">
        <v>0.96333333333333337</v>
      </c>
      <c r="J1393">
        <v>33253654</v>
      </c>
      <c r="K1393">
        <v>258829</v>
      </c>
      <c r="L1393">
        <v>2</v>
      </c>
      <c r="M1393">
        <v>341</v>
      </c>
      <c r="N1393">
        <v>0.95833333333333337</v>
      </c>
      <c r="O1393">
        <v>34423963.5</v>
      </c>
      <c r="P1393">
        <v>260272</v>
      </c>
      <c r="Q1393">
        <v>2</v>
      </c>
      <c r="R1393">
        <v>342</v>
      </c>
      <c r="S1393">
        <v>12.040203850509627</v>
      </c>
      <c r="T1393">
        <v>0.90123456716537476</v>
      </c>
    </row>
    <row r="1394" spans="1:20" x14ac:dyDescent="0.25">
      <c r="A1394" t="s">
        <v>106</v>
      </c>
      <c r="B1394">
        <v>9</v>
      </c>
      <c r="C1394">
        <v>3</v>
      </c>
      <c r="D1394">
        <v>0</v>
      </c>
      <c r="E1394" t="s">
        <v>290</v>
      </c>
      <c r="F1394">
        <v>262103</v>
      </c>
      <c r="G1394">
        <v>996824861.75</v>
      </c>
      <c r="H1394">
        <v>0.93333332240581512</v>
      </c>
      <c r="I1394">
        <v>0.96277777777777773</v>
      </c>
      <c r="J1394">
        <v>34615757.5</v>
      </c>
      <c r="K1394">
        <v>261719</v>
      </c>
      <c r="L1394">
        <v>2</v>
      </c>
      <c r="M1394">
        <v>343</v>
      </c>
      <c r="N1394">
        <v>0.96111111111111114</v>
      </c>
      <c r="O1394">
        <v>36232857.75</v>
      </c>
      <c r="P1394">
        <v>263170</v>
      </c>
      <c r="Q1394">
        <v>2</v>
      </c>
      <c r="R1394">
        <v>344</v>
      </c>
      <c r="S1394">
        <v>12.043874547101449</v>
      </c>
      <c r="T1394">
        <v>0.93334321988423663</v>
      </c>
    </row>
    <row r="1395" spans="1:20" x14ac:dyDescent="0.25">
      <c r="A1395" t="s">
        <v>106</v>
      </c>
      <c r="B1395">
        <v>9</v>
      </c>
      <c r="C1395">
        <v>3</v>
      </c>
      <c r="D1395">
        <v>0</v>
      </c>
      <c r="E1395" t="s">
        <v>224</v>
      </c>
      <c r="F1395">
        <v>264174</v>
      </c>
      <c r="G1395">
        <v>909804192</v>
      </c>
      <c r="H1395">
        <v>0.92733334302902226</v>
      </c>
      <c r="I1395">
        <v>0.96066666666666667</v>
      </c>
      <c r="J1395">
        <v>36953298.399999999</v>
      </c>
      <c r="K1395">
        <v>263170</v>
      </c>
      <c r="L1395">
        <v>2</v>
      </c>
      <c r="M1395">
        <v>344</v>
      </c>
      <c r="N1395">
        <v>0.9615555555555555</v>
      </c>
      <c r="O1395">
        <v>36323203.899999999</v>
      </c>
      <c r="P1395">
        <v>264625</v>
      </c>
      <c r="Q1395">
        <v>2</v>
      </c>
      <c r="R1395">
        <v>345</v>
      </c>
      <c r="S1395">
        <v>12.05075251782279</v>
      </c>
      <c r="T1395">
        <v>0.93498270913230053</v>
      </c>
    </row>
    <row r="1396" spans="1:20" x14ac:dyDescent="0.25">
      <c r="A1396" t="s">
        <v>106</v>
      </c>
      <c r="B1396">
        <v>9</v>
      </c>
      <c r="C1396">
        <v>3</v>
      </c>
      <c r="D1396">
        <v>0</v>
      </c>
      <c r="E1396" t="s">
        <v>277</v>
      </c>
      <c r="F1396">
        <v>265805</v>
      </c>
      <c r="G1396">
        <v>809399704.14285719</v>
      </c>
      <c r="H1396">
        <v>0.91206349645342144</v>
      </c>
      <c r="I1396">
        <v>0.96730158730158733</v>
      </c>
      <c r="J1396">
        <v>37147750.285714284</v>
      </c>
      <c r="K1396">
        <v>264625</v>
      </c>
      <c r="L1396">
        <v>2</v>
      </c>
      <c r="M1396">
        <v>345</v>
      </c>
      <c r="N1396">
        <v>0.96730158730158733</v>
      </c>
      <c r="O1396">
        <v>36917567.714285716</v>
      </c>
      <c r="P1396">
        <v>266084</v>
      </c>
      <c r="Q1396">
        <v>2</v>
      </c>
      <c r="R1396">
        <v>346</v>
      </c>
      <c r="S1396">
        <v>12.05384310842147</v>
      </c>
      <c r="T1396">
        <v>0.9203703741232554</v>
      </c>
    </row>
    <row r="1397" spans="1:20" x14ac:dyDescent="0.25">
      <c r="A1397" t="s">
        <v>106</v>
      </c>
      <c r="B1397">
        <v>9</v>
      </c>
      <c r="C1397">
        <v>3</v>
      </c>
      <c r="D1397">
        <v>0</v>
      </c>
      <c r="E1397" t="s">
        <v>168</v>
      </c>
      <c r="F1397">
        <v>266996</v>
      </c>
      <c r="G1397">
        <v>695861992.5</v>
      </c>
      <c r="H1397">
        <v>0.89888888597488403</v>
      </c>
      <c r="I1397">
        <v>0.96666666666666667</v>
      </c>
      <c r="J1397">
        <v>36509656</v>
      </c>
      <c r="K1397">
        <v>266084</v>
      </c>
      <c r="L1397">
        <v>2</v>
      </c>
      <c r="M1397">
        <v>346</v>
      </c>
      <c r="N1397">
        <v>0.96888888888888891</v>
      </c>
      <c r="O1397">
        <v>36192994</v>
      </c>
      <c r="P1397">
        <v>267547</v>
      </c>
      <c r="Q1397">
        <v>2</v>
      </c>
      <c r="R1397">
        <v>347</v>
      </c>
      <c r="S1397">
        <v>12.055470737913486</v>
      </c>
      <c r="T1397">
        <v>0.91481480995814002</v>
      </c>
    </row>
    <row r="1398" spans="1:20" x14ac:dyDescent="0.25">
      <c r="A1398" t="s">
        <v>106</v>
      </c>
      <c r="B1398">
        <v>9</v>
      </c>
      <c r="C1398">
        <v>3</v>
      </c>
      <c r="D1398">
        <v>0</v>
      </c>
      <c r="E1398" t="s">
        <v>259</v>
      </c>
      <c r="F1398">
        <v>267747</v>
      </c>
      <c r="G1398">
        <v>761256671.5</v>
      </c>
      <c r="H1398">
        <v>0.91944444179534912</v>
      </c>
      <c r="I1398">
        <v>0.9655555555555555</v>
      </c>
      <c r="J1398">
        <v>34430062</v>
      </c>
      <c r="K1398">
        <v>267547</v>
      </c>
      <c r="L1398">
        <v>2</v>
      </c>
      <c r="M1398">
        <v>347</v>
      </c>
      <c r="N1398">
        <v>0.96944444444444444</v>
      </c>
      <c r="O1398">
        <v>33878501.5</v>
      </c>
      <c r="P1398">
        <v>269014</v>
      </c>
      <c r="Q1398">
        <v>2</v>
      </c>
      <c r="R1398">
        <v>348</v>
      </c>
      <c r="S1398">
        <v>12.057889083611284</v>
      </c>
      <c r="T1398">
        <v>0.90493826071421302</v>
      </c>
    </row>
    <row r="1399" spans="1:20" x14ac:dyDescent="0.25">
      <c r="A1399" t="s">
        <v>106</v>
      </c>
      <c r="B1399">
        <v>9</v>
      </c>
      <c r="C1399">
        <v>3</v>
      </c>
      <c r="D1399">
        <v>0</v>
      </c>
      <c r="E1399" t="s">
        <v>240</v>
      </c>
      <c r="F1399">
        <v>271128</v>
      </c>
      <c r="G1399">
        <v>629708475.25</v>
      </c>
      <c r="H1399">
        <v>0.92111110687255859</v>
      </c>
      <c r="I1399">
        <v>0.9655555555555555</v>
      </c>
      <c r="J1399">
        <v>34825337</v>
      </c>
      <c r="K1399">
        <v>270485</v>
      </c>
      <c r="L1399">
        <v>2</v>
      </c>
      <c r="M1399">
        <v>349</v>
      </c>
      <c r="N1399">
        <v>0.9622222222222222</v>
      </c>
      <c r="O1399">
        <v>35268881.75</v>
      </c>
      <c r="P1399">
        <v>271960</v>
      </c>
      <c r="Q1399">
        <v>2</v>
      </c>
      <c r="R1399">
        <v>350</v>
      </c>
      <c r="S1399">
        <v>12.059175945289097</v>
      </c>
      <c r="T1399">
        <v>0.90618640797932948</v>
      </c>
    </row>
    <row r="1400" spans="1:20" x14ac:dyDescent="0.25">
      <c r="A1400" t="s">
        <v>106</v>
      </c>
      <c r="B1400">
        <v>9</v>
      </c>
      <c r="C1400">
        <v>3</v>
      </c>
      <c r="D1400">
        <v>0</v>
      </c>
      <c r="E1400" t="s">
        <v>284</v>
      </c>
      <c r="F1400">
        <v>272979</v>
      </c>
      <c r="G1400">
        <v>732974283.71428573</v>
      </c>
      <c r="H1400">
        <v>0.90634919915880474</v>
      </c>
      <c r="I1400">
        <v>0.96380952380952378</v>
      </c>
      <c r="J1400">
        <v>38597807.571428575</v>
      </c>
      <c r="K1400">
        <v>271960</v>
      </c>
      <c r="L1400">
        <v>2</v>
      </c>
      <c r="M1400">
        <v>350</v>
      </c>
      <c r="N1400">
        <v>0.95460317460317468</v>
      </c>
      <c r="O1400">
        <v>37642879.142857142</v>
      </c>
      <c r="P1400">
        <v>273439</v>
      </c>
      <c r="Q1400">
        <v>2</v>
      </c>
      <c r="R1400">
        <v>351</v>
      </c>
      <c r="S1400">
        <v>12.061694915254238</v>
      </c>
      <c r="T1400">
        <v>0.93519321392377219</v>
      </c>
    </row>
    <row r="1401" spans="1:20" x14ac:dyDescent="0.25">
      <c r="A1401" t="s">
        <v>106</v>
      </c>
      <c r="B1401">
        <v>9</v>
      </c>
      <c r="C1401">
        <v>3</v>
      </c>
      <c r="D1401">
        <v>0</v>
      </c>
      <c r="E1401" t="s">
        <v>195</v>
      </c>
      <c r="F1401">
        <v>274390</v>
      </c>
      <c r="G1401">
        <v>745056053.85714281</v>
      </c>
      <c r="H1401">
        <v>0.91777777671813965</v>
      </c>
      <c r="I1401">
        <v>0.96380952380952378</v>
      </c>
      <c r="J1401">
        <v>37049630.857142858</v>
      </c>
      <c r="K1401">
        <v>273439</v>
      </c>
      <c r="L1401">
        <v>2</v>
      </c>
      <c r="M1401">
        <v>351</v>
      </c>
      <c r="N1401">
        <v>0.96380952380952378</v>
      </c>
      <c r="O1401">
        <v>37261223</v>
      </c>
      <c r="P1401">
        <v>274922</v>
      </c>
      <c r="Q1401">
        <v>2</v>
      </c>
      <c r="R1401">
        <v>352</v>
      </c>
      <c r="S1401">
        <v>12.063985994239566</v>
      </c>
      <c r="T1401">
        <v>0.92221110448837285</v>
      </c>
    </row>
    <row r="1402" spans="1:20" x14ac:dyDescent="0.25">
      <c r="A1402" t="s">
        <v>106</v>
      </c>
      <c r="B1402">
        <v>9</v>
      </c>
      <c r="C1402">
        <v>3</v>
      </c>
      <c r="D1402">
        <v>0</v>
      </c>
      <c r="E1402" t="s">
        <v>139</v>
      </c>
      <c r="F1402">
        <v>275892</v>
      </c>
      <c r="G1402">
        <v>954759675.75</v>
      </c>
      <c r="H1402">
        <v>0.90944445133209229</v>
      </c>
      <c r="I1402">
        <v>0.96499999999999997</v>
      </c>
      <c r="J1402">
        <v>35485332</v>
      </c>
      <c r="K1402">
        <v>274922</v>
      </c>
      <c r="L1402">
        <v>2</v>
      </c>
      <c r="M1402">
        <v>352</v>
      </c>
      <c r="N1402">
        <v>0.95944444444444443</v>
      </c>
      <c r="O1402">
        <v>36531940.75</v>
      </c>
      <c r="P1402">
        <v>276409</v>
      </c>
      <c r="Q1402">
        <v>2</v>
      </c>
      <c r="R1402">
        <v>353</v>
      </c>
      <c r="S1402">
        <v>12.066907571565693</v>
      </c>
      <c r="T1402">
        <v>0.90864197413126624</v>
      </c>
    </row>
    <row r="1403" spans="1:20" x14ac:dyDescent="0.25">
      <c r="A1403" t="s">
        <v>106</v>
      </c>
      <c r="B1403">
        <v>9</v>
      </c>
      <c r="C1403">
        <v>3</v>
      </c>
      <c r="D1403">
        <v>0</v>
      </c>
      <c r="E1403" t="s">
        <v>291</v>
      </c>
      <c r="F1403">
        <v>280153</v>
      </c>
      <c r="G1403">
        <v>858664347.71428573</v>
      </c>
      <c r="H1403">
        <v>0.92698412282126286</v>
      </c>
      <c r="I1403">
        <v>0.96349206349206351</v>
      </c>
      <c r="J1403">
        <v>35791256.714285716</v>
      </c>
      <c r="K1403">
        <v>279395</v>
      </c>
      <c r="L1403">
        <v>2</v>
      </c>
      <c r="M1403">
        <v>355</v>
      </c>
      <c r="N1403">
        <v>0.96285714285714286</v>
      </c>
      <c r="O1403">
        <v>36392259.857142858</v>
      </c>
      <c r="P1403">
        <v>280894</v>
      </c>
      <c r="Q1403">
        <v>2</v>
      </c>
      <c r="R1403">
        <v>356</v>
      </c>
      <c r="S1403">
        <v>12.071170561011401</v>
      </c>
      <c r="T1403">
        <v>0.92159814726511635</v>
      </c>
    </row>
    <row r="1404" spans="1:20" x14ac:dyDescent="0.25">
      <c r="A1404" t="s">
        <v>106</v>
      </c>
      <c r="B1404">
        <v>9</v>
      </c>
      <c r="C1404">
        <v>3</v>
      </c>
      <c r="D1404">
        <v>0</v>
      </c>
      <c r="E1404" t="s">
        <v>211</v>
      </c>
      <c r="F1404">
        <v>281784</v>
      </c>
      <c r="G1404">
        <v>917929678.20000005</v>
      </c>
      <c r="H1404">
        <v>0.91733332872390749</v>
      </c>
      <c r="I1404">
        <v>0.95511111111111113</v>
      </c>
      <c r="J1404">
        <v>37044183.399999999</v>
      </c>
      <c r="K1404">
        <v>280894</v>
      </c>
      <c r="L1404">
        <v>2</v>
      </c>
      <c r="M1404">
        <v>356</v>
      </c>
      <c r="N1404">
        <v>0.95466666666666666</v>
      </c>
      <c r="O1404">
        <v>39516925</v>
      </c>
      <c r="P1404">
        <v>282397</v>
      </c>
      <c r="Q1404">
        <v>2</v>
      </c>
      <c r="R1404">
        <v>357</v>
      </c>
      <c r="S1404">
        <v>12.073633132088247</v>
      </c>
      <c r="T1404">
        <v>0.91942499403953548</v>
      </c>
    </row>
    <row r="1405" spans="1:20" x14ac:dyDescent="0.25">
      <c r="A1405" t="s">
        <v>106</v>
      </c>
      <c r="B1405">
        <v>9</v>
      </c>
      <c r="C1405">
        <v>3</v>
      </c>
      <c r="D1405">
        <v>0</v>
      </c>
      <c r="E1405" t="s">
        <v>172</v>
      </c>
      <c r="F1405">
        <v>283726</v>
      </c>
      <c r="G1405">
        <v>993505910.29999995</v>
      </c>
      <c r="H1405">
        <v>0.91377777457237241</v>
      </c>
      <c r="I1405">
        <v>0.96</v>
      </c>
      <c r="J1405">
        <v>37566462</v>
      </c>
      <c r="K1405">
        <v>282397</v>
      </c>
      <c r="L1405">
        <v>2</v>
      </c>
      <c r="M1405">
        <v>357</v>
      </c>
      <c r="N1405">
        <v>0.96111111111111114</v>
      </c>
      <c r="O1405">
        <v>38496965.100000001</v>
      </c>
      <c r="P1405">
        <v>283904</v>
      </c>
      <c r="Q1405">
        <v>2</v>
      </c>
      <c r="R1405">
        <v>358</v>
      </c>
      <c r="S1405">
        <v>12.080978965770033</v>
      </c>
      <c r="T1405">
        <v>0.92715309318966332</v>
      </c>
    </row>
    <row r="1406" spans="1:20" x14ac:dyDescent="0.25">
      <c r="A1406" t="s">
        <v>106</v>
      </c>
      <c r="B1406">
        <v>9</v>
      </c>
      <c r="C1406">
        <v>3</v>
      </c>
      <c r="D1406">
        <v>0</v>
      </c>
      <c r="E1406" t="s">
        <v>260</v>
      </c>
      <c r="F1406">
        <v>284037</v>
      </c>
      <c r="G1406">
        <v>1056070674.4285715</v>
      </c>
      <c r="H1406">
        <v>0.92380952835083008</v>
      </c>
      <c r="I1406">
        <v>0.96539682539682536</v>
      </c>
      <c r="J1406">
        <v>37757822</v>
      </c>
      <c r="K1406">
        <v>283904</v>
      </c>
      <c r="L1406">
        <v>2</v>
      </c>
      <c r="M1406">
        <v>358</v>
      </c>
      <c r="N1406">
        <v>0.96825396825396826</v>
      </c>
      <c r="O1406">
        <v>37449292</v>
      </c>
      <c r="P1406">
        <v>285415</v>
      </c>
      <c r="Q1406">
        <v>2</v>
      </c>
      <c r="R1406">
        <v>359</v>
      </c>
      <c r="S1406">
        <v>12.086471251409245</v>
      </c>
      <c r="T1406">
        <v>0.92901233832041419</v>
      </c>
    </row>
    <row r="1407" spans="1:20" x14ac:dyDescent="0.25">
      <c r="A1407" t="s">
        <v>106</v>
      </c>
      <c r="B1407">
        <v>9</v>
      </c>
      <c r="C1407">
        <v>3</v>
      </c>
      <c r="D1407">
        <v>0</v>
      </c>
      <c r="E1407" t="s">
        <v>226</v>
      </c>
      <c r="F1407">
        <v>289178</v>
      </c>
      <c r="G1407">
        <v>1000600727</v>
      </c>
      <c r="H1407">
        <v>0.93833333253860474</v>
      </c>
      <c r="I1407">
        <v>0.96722222222222221</v>
      </c>
      <c r="J1407">
        <v>36779463</v>
      </c>
      <c r="K1407">
        <v>288449</v>
      </c>
      <c r="L1407">
        <v>2</v>
      </c>
      <c r="M1407">
        <v>361</v>
      </c>
      <c r="N1407">
        <v>0.96055555555555561</v>
      </c>
      <c r="O1407">
        <v>35995470.5</v>
      </c>
      <c r="P1407">
        <v>289972</v>
      </c>
      <c r="Q1407">
        <v>2</v>
      </c>
      <c r="R1407">
        <v>362</v>
      </c>
      <c r="S1407">
        <v>12.089664111812443</v>
      </c>
      <c r="T1407">
        <v>0.93952098706563314</v>
      </c>
    </row>
    <row r="1408" spans="1:20" x14ac:dyDescent="0.25">
      <c r="A1408" t="s">
        <v>106</v>
      </c>
      <c r="B1408">
        <v>9</v>
      </c>
      <c r="C1408">
        <v>3</v>
      </c>
      <c r="D1408">
        <v>0</v>
      </c>
      <c r="E1408" t="s">
        <v>278</v>
      </c>
      <c r="F1408">
        <v>290589</v>
      </c>
      <c r="G1408">
        <v>733315819.5</v>
      </c>
      <c r="H1408">
        <v>0.92444445192813873</v>
      </c>
      <c r="I1408">
        <v>0.95500000000000007</v>
      </c>
      <c r="J1408">
        <v>38871981.5</v>
      </c>
      <c r="K1408">
        <v>289972</v>
      </c>
      <c r="L1408">
        <v>2</v>
      </c>
      <c r="M1408">
        <v>362</v>
      </c>
      <c r="N1408">
        <v>0.94333333333333336</v>
      </c>
      <c r="O1408">
        <v>39783880.75</v>
      </c>
      <c r="P1408">
        <v>291499</v>
      </c>
      <c r="Q1408">
        <v>2</v>
      </c>
      <c r="R1408">
        <v>363</v>
      </c>
      <c r="S1408">
        <v>12.090320036060401</v>
      </c>
      <c r="T1408">
        <v>0.95063333333333333</v>
      </c>
    </row>
    <row r="1409" spans="1:20" x14ac:dyDescent="0.25">
      <c r="A1409" t="s">
        <v>106</v>
      </c>
      <c r="B1409">
        <v>9</v>
      </c>
      <c r="C1409">
        <v>3</v>
      </c>
      <c r="D1409">
        <v>0</v>
      </c>
      <c r="E1409" t="s">
        <v>144</v>
      </c>
      <c r="F1409">
        <v>292182</v>
      </c>
      <c r="G1409">
        <v>845731813.5</v>
      </c>
      <c r="H1409">
        <v>0.91866667270660396</v>
      </c>
      <c r="I1409">
        <v>0.96577777777777785</v>
      </c>
      <c r="J1409">
        <v>38957631.5</v>
      </c>
      <c r="K1409">
        <v>291499</v>
      </c>
      <c r="L1409">
        <v>2</v>
      </c>
      <c r="M1409">
        <v>363</v>
      </c>
      <c r="N1409">
        <v>0.9622222222222222</v>
      </c>
      <c r="O1409">
        <v>39043013</v>
      </c>
      <c r="P1409">
        <v>293030</v>
      </c>
      <c r="Q1409">
        <v>2</v>
      </c>
      <c r="R1409">
        <v>364</v>
      </c>
      <c r="S1409">
        <v>12.09483049893006</v>
      </c>
      <c r="T1409">
        <v>0.92344607895745168</v>
      </c>
    </row>
    <row r="1410" spans="1:20" x14ac:dyDescent="0.25">
      <c r="A1410" t="s">
        <v>106</v>
      </c>
      <c r="B1410">
        <v>9</v>
      </c>
      <c r="C1410">
        <v>3</v>
      </c>
      <c r="D1410">
        <v>0</v>
      </c>
      <c r="E1410" t="s">
        <v>285</v>
      </c>
      <c r="F1410">
        <v>298203</v>
      </c>
      <c r="G1410">
        <v>1082380897.4000001</v>
      </c>
      <c r="H1410">
        <v>0.92511111497879028</v>
      </c>
      <c r="I1410">
        <v>0.96888888888888891</v>
      </c>
      <c r="J1410">
        <v>38279255.100000001</v>
      </c>
      <c r="K1410">
        <v>297647</v>
      </c>
      <c r="L1410">
        <v>2</v>
      </c>
      <c r="M1410">
        <v>367</v>
      </c>
      <c r="N1410">
        <v>0.96711111111111114</v>
      </c>
      <c r="O1410">
        <v>38613356.399999999</v>
      </c>
      <c r="P1410">
        <v>299194</v>
      </c>
      <c r="Q1410">
        <v>2</v>
      </c>
      <c r="R1410">
        <v>368</v>
      </c>
      <c r="S1410">
        <v>12.101981089599279</v>
      </c>
      <c r="T1410">
        <v>0.92963456186718407</v>
      </c>
    </row>
    <row r="1411" spans="1:20" x14ac:dyDescent="0.25">
      <c r="A1411" t="s">
        <v>106</v>
      </c>
      <c r="B1411">
        <v>9</v>
      </c>
      <c r="C1411">
        <v>3</v>
      </c>
      <c r="D1411">
        <v>0</v>
      </c>
      <c r="E1411" t="s">
        <v>212</v>
      </c>
      <c r="F1411">
        <v>299394</v>
      </c>
      <c r="G1411">
        <v>785796070.5</v>
      </c>
      <c r="H1411">
        <v>0.9400000125169754</v>
      </c>
      <c r="I1411">
        <v>0.9505555555555556</v>
      </c>
      <c r="J1411">
        <v>38720384.5</v>
      </c>
      <c r="K1411">
        <v>299194</v>
      </c>
      <c r="L1411">
        <v>2</v>
      </c>
      <c r="M1411">
        <v>368</v>
      </c>
      <c r="N1411">
        <v>0.95</v>
      </c>
      <c r="O1411">
        <v>40316141.75</v>
      </c>
      <c r="P1411">
        <v>300745</v>
      </c>
      <c r="Q1411">
        <v>2</v>
      </c>
      <c r="R1411">
        <v>369</v>
      </c>
      <c r="S1411">
        <v>12.102802160702229</v>
      </c>
      <c r="T1411">
        <v>0.96053333333333335</v>
      </c>
    </row>
    <row r="1412" spans="1:20" x14ac:dyDescent="0.25">
      <c r="A1412" t="s">
        <v>106</v>
      </c>
      <c r="B1412">
        <v>9</v>
      </c>
      <c r="C1412">
        <v>3</v>
      </c>
      <c r="D1412">
        <v>0</v>
      </c>
      <c r="E1412" t="s">
        <v>279</v>
      </c>
      <c r="F1412">
        <v>308199</v>
      </c>
      <c r="G1412">
        <v>1054441273.4210526</v>
      </c>
      <c r="H1412">
        <v>0.92023391786374542</v>
      </c>
      <c r="I1412">
        <v>0.9650292397660819</v>
      </c>
      <c r="J1412">
        <v>38277460.263157897</v>
      </c>
      <c r="K1412">
        <v>306989</v>
      </c>
      <c r="L1412">
        <v>2</v>
      </c>
      <c r="M1412">
        <v>373</v>
      </c>
      <c r="N1412">
        <v>0.96573099415204677</v>
      </c>
      <c r="O1412">
        <v>39511220.526315786</v>
      </c>
      <c r="P1412">
        <v>308560</v>
      </c>
      <c r="Q1412">
        <v>2</v>
      </c>
      <c r="R1412">
        <v>374</v>
      </c>
      <c r="S1412">
        <v>12.113765386993423</v>
      </c>
      <c r="T1412">
        <v>0.92654835025469462</v>
      </c>
    </row>
    <row r="1413" spans="1:20" x14ac:dyDescent="0.25">
      <c r="A1413" t="s">
        <v>106</v>
      </c>
      <c r="B1413">
        <v>9</v>
      </c>
      <c r="C1413">
        <v>3</v>
      </c>
      <c r="D1413">
        <v>0</v>
      </c>
      <c r="E1413" t="s">
        <v>268</v>
      </c>
      <c r="F1413">
        <v>308821</v>
      </c>
      <c r="G1413">
        <v>1446744579.6153846</v>
      </c>
      <c r="H1413">
        <v>0.91794872283935547</v>
      </c>
      <c r="I1413">
        <v>0.95572649572649571</v>
      </c>
      <c r="J1413">
        <v>40213310.615384616</v>
      </c>
      <c r="K1413">
        <v>308560</v>
      </c>
      <c r="L1413">
        <v>2</v>
      </c>
      <c r="M1413">
        <v>374</v>
      </c>
      <c r="N1413">
        <v>0.95982905982905986</v>
      </c>
      <c r="O1413">
        <v>40058227.307692304</v>
      </c>
      <c r="P1413">
        <v>310135</v>
      </c>
      <c r="Q1413">
        <v>2</v>
      </c>
      <c r="R1413">
        <v>375</v>
      </c>
      <c r="S1413">
        <v>12.126544596719839</v>
      </c>
      <c r="T1413">
        <v>0.93426234428087873</v>
      </c>
    </row>
    <row r="1414" spans="1:20" x14ac:dyDescent="0.25">
      <c r="A1414" t="s">
        <v>106</v>
      </c>
      <c r="B1414">
        <v>9</v>
      </c>
      <c r="C1414">
        <v>3</v>
      </c>
      <c r="D1414">
        <v>0</v>
      </c>
      <c r="E1414" t="s">
        <v>286</v>
      </c>
      <c r="F1414">
        <v>316253</v>
      </c>
      <c r="G1414">
        <v>1469241362.4285715</v>
      </c>
      <c r="H1414">
        <v>0.90761905057089665</v>
      </c>
      <c r="I1414">
        <v>0.96730158730158733</v>
      </c>
      <c r="J1414">
        <v>39114728.714285716</v>
      </c>
      <c r="K1414">
        <v>314884</v>
      </c>
      <c r="L1414">
        <v>2</v>
      </c>
      <c r="M1414">
        <v>378</v>
      </c>
      <c r="N1414">
        <v>0.96793650793650798</v>
      </c>
      <c r="O1414">
        <v>40252965</v>
      </c>
      <c r="P1414">
        <v>316475</v>
      </c>
      <c r="Q1414">
        <v>2</v>
      </c>
      <c r="R1414">
        <v>379</v>
      </c>
      <c r="S1414">
        <v>12.132446241086969</v>
      </c>
      <c r="T1414">
        <v>0.93086048558553058</v>
      </c>
    </row>
    <row r="1415" spans="1:20" x14ac:dyDescent="0.25">
      <c r="A1415" t="s">
        <v>106</v>
      </c>
      <c r="B1415">
        <v>9</v>
      </c>
      <c r="C1415">
        <v>3</v>
      </c>
      <c r="D1415">
        <v>0</v>
      </c>
      <c r="E1415" t="s">
        <v>214</v>
      </c>
      <c r="F1415">
        <v>317004</v>
      </c>
      <c r="G1415">
        <v>972414720.75</v>
      </c>
      <c r="H1415">
        <v>0.92888888716697693</v>
      </c>
      <c r="I1415">
        <v>0.94833333333333336</v>
      </c>
      <c r="J1415">
        <v>40262553</v>
      </c>
      <c r="K1415">
        <v>316475</v>
      </c>
      <c r="L1415">
        <v>2</v>
      </c>
      <c r="M1415">
        <v>379</v>
      </c>
      <c r="N1415">
        <v>0.94777777777777783</v>
      </c>
      <c r="O1415">
        <v>41171595.25</v>
      </c>
      <c r="P1415">
        <v>318070</v>
      </c>
      <c r="Q1415">
        <v>2</v>
      </c>
      <c r="R1415">
        <v>380</v>
      </c>
      <c r="S1415">
        <v>12.133595284872298</v>
      </c>
      <c r="T1415">
        <v>0.94813333333333338</v>
      </c>
    </row>
    <row r="1416" spans="1:20" x14ac:dyDescent="0.25">
      <c r="A1416" t="s">
        <v>106</v>
      </c>
      <c r="B1416">
        <v>9</v>
      </c>
      <c r="C1416">
        <v>3</v>
      </c>
      <c r="D1416">
        <v>0</v>
      </c>
      <c r="E1416" t="s">
        <v>280</v>
      </c>
      <c r="F1416">
        <v>325809</v>
      </c>
      <c r="G1416">
        <v>1221581785</v>
      </c>
      <c r="H1416">
        <v>0.93743589291205776</v>
      </c>
      <c r="I1416">
        <v>0.96444444444444444</v>
      </c>
      <c r="J1416">
        <v>40263222.153846152</v>
      </c>
      <c r="K1416">
        <v>324490</v>
      </c>
      <c r="L1416">
        <v>2</v>
      </c>
      <c r="M1416">
        <v>384</v>
      </c>
      <c r="N1416">
        <v>0.96666666666666667</v>
      </c>
      <c r="O1416">
        <v>40470199.461538464</v>
      </c>
      <c r="P1416">
        <v>326105</v>
      </c>
      <c r="Q1416">
        <v>2</v>
      </c>
      <c r="R1416">
        <v>385</v>
      </c>
      <c r="S1416">
        <v>12.142472515144716</v>
      </c>
      <c r="T1416">
        <v>0.95277962687015538</v>
      </c>
    </row>
    <row r="1417" spans="1:20" x14ac:dyDescent="0.25">
      <c r="A1417" t="s">
        <v>106</v>
      </c>
      <c r="B1417">
        <v>9</v>
      </c>
      <c r="C1417">
        <v>3</v>
      </c>
      <c r="D1417">
        <v>0</v>
      </c>
      <c r="E1417" t="s">
        <v>287</v>
      </c>
      <c r="F1417">
        <v>334303</v>
      </c>
      <c r="G1417">
        <v>1115026944.0769231</v>
      </c>
      <c r="H1417">
        <v>0.92341879697946405</v>
      </c>
      <c r="I1417">
        <v>0.95435897435897432</v>
      </c>
      <c r="J1417">
        <v>41432407.538461536</v>
      </c>
      <c r="K1417">
        <v>334240</v>
      </c>
      <c r="L1417">
        <v>2</v>
      </c>
      <c r="M1417">
        <v>390</v>
      </c>
      <c r="N1417">
        <v>0.95794871794871794</v>
      </c>
      <c r="O1417">
        <v>40854900.230769232</v>
      </c>
      <c r="P1417">
        <v>335879</v>
      </c>
      <c r="Q1417">
        <v>2</v>
      </c>
      <c r="R1417">
        <v>391</v>
      </c>
      <c r="S1417">
        <v>12.149487136371279</v>
      </c>
      <c r="T1417">
        <v>0.93301944179534912</v>
      </c>
    </row>
    <row r="1418" spans="1:20" x14ac:dyDescent="0.25">
      <c r="A1418" t="s">
        <v>106</v>
      </c>
      <c r="B1418">
        <v>9</v>
      </c>
      <c r="C1418">
        <v>4</v>
      </c>
      <c r="D1418">
        <v>0</v>
      </c>
      <c r="E1418" t="s">
        <v>123</v>
      </c>
      <c r="F1418">
        <v>88858</v>
      </c>
      <c r="G1418">
        <v>1018718360.25</v>
      </c>
      <c r="H1418">
        <v>0.92722223699092865</v>
      </c>
      <c r="I1418">
        <v>0.94611111111111112</v>
      </c>
      <c r="J1418">
        <v>36175245.25</v>
      </c>
      <c r="K1418">
        <v>88522</v>
      </c>
      <c r="L1418">
        <v>2</v>
      </c>
      <c r="M1418">
        <v>192</v>
      </c>
      <c r="N1418">
        <v>0.94444444444444442</v>
      </c>
      <c r="O1418">
        <v>37479172.25</v>
      </c>
      <c r="P1418">
        <v>89369</v>
      </c>
      <c r="Q1418">
        <v>2</v>
      </c>
      <c r="R1418">
        <v>193</v>
      </c>
      <c r="S1418">
        <v>12.150798543009246</v>
      </c>
      <c r="T1418">
        <v>0.94196666666666662</v>
      </c>
    </row>
    <row r="1419" spans="1:20" x14ac:dyDescent="0.25">
      <c r="A1419" t="s">
        <v>106</v>
      </c>
      <c r="B1419">
        <v>9</v>
      </c>
      <c r="C1419">
        <v>4</v>
      </c>
      <c r="D1419">
        <v>0</v>
      </c>
      <c r="E1419" t="s">
        <v>257</v>
      </c>
      <c r="F1419">
        <v>98113</v>
      </c>
      <c r="G1419">
        <v>197317987.25</v>
      </c>
      <c r="H1419">
        <v>0.93722221255302429</v>
      </c>
      <c r="I1419">
        <v>0.95166666666666666</v>
      </c>
      <c r="J1419">
        <v>20291924.25</v>
      </c>
      <c r="K1419">
        <v>98059</v>
      </c>
      <c r="L1419">
        <v>2</v>
      </c>
      <c r="M1419">
        <v>203</v>
      </c>
      <c r="N1419">
        <v>0.94888888888888889</v>
      </c>
      <c r="O1419">
        <v>22989534.75</v>
      </c>
      <c r="P1419">
        <v>98950</v>
      </c>
      <c r="Q1419">
        <v>2</v>
      </c>
      <c r="R1419">
        <v>204</v>
      </c>
      <c r="S1419">
        <v>12.150708723177768</v>
      </c>
      <c r="T1419">
        <v>0.96176666666666666</v>
      </c>
    </row>
    <row r="1420" spans="1:20" x14ac:dyDescent="0.25">
      <c r="A1420" t="s">
        <v>106</v>
      </c>
      <c r="B1420">
        <v>9</v>
      </c>
      <c r="C1420">
        <v>4</v>
      </c>
      <c r="D1420">
        <v>0</v>
      </c>
      <c r="E1420" t="s">
        <v>128</v>
      </c>
      <c r="F1420">
        <v>107368</v>
      </c>
      <c r="G1420">
        <v>163878817.25</v>
      </c>
      <c r="H1420">
        <v>0.92722223699092865</v>
      </c>
      <c r="I1420">
        <v>0.9522222222222223</v>
      </c>
      <c r="J1420">
        <v>24434140.5</v>
      </c>
      <c r="K1420">
        <v>107149</v>
      </c>
      <c r="L1420">
        <v>2</v>
      </c>
      <c r="M1420">
        <v>213</v>
      </c>
      <c r="N1420">
        <v>0.94388888888888889</v>
      </c>
      <c r="O1420">
        <v>22982586</v>
      </c>
      <c r="P1420">
        <v>108080</v>
      </c>
      <c r="Q1420">
        <v>2</v>
      </c>
      <c r="R1420">
        <v>214</v>
      </c>
      <c r="S1420">
        <v>12.150058813644765</v>
      </c>
      <c r="T1420">
        <v>0.94936666666666669</v>
      </c>
    </row>
    <row r="1421" spans="1:20" x14ac:dyDescent="0.25">
      <c r="A1421" t="s">
        <v>106</v>
      </c>
      <c r="B1421">
        <v>9</v>
      </c>
      <c r="C1421">
        <v>4</v>
      </c>
      <c r="D1421">
        <v>0</v>
      </c>
      <c r="E1421" t="s">
        <v>258</v>
      </c>
      <c r="F1421">
        <v>116623</v>
      </c>
      <c r="G1421">
        <v>252923586.5</v>
      </c>
      <c r="H1421">
        <v>0.93166667222976685</v>
      </c>
      <c r="I1421">
        <v>0.93944444444444442</v>
      </c>
      <c r="J1421">
        <v>23942888.25</v>
      </c>
      <c r="K1421">
        <v>115672</v>
      </c>
      <c r="L1421">
        <v>2</v>
      </c>
      <c r="M1421">
        <v>222</v>
      </c>
      <c r="N1421">
        <v>0.95166666666666666</v>
      </c>
      <c r="O1421">
        <v>25439221.25</v>
      </c>
      <c r="P1421">
        <v>116639</v>
      </c>
      <c r="Q1421">
        <v>2</v>
      </c>
      <c r="R1421">
        <v>223</v>
      </c>
      <c r="S1421">
        <v>12.150361202889624</v>
      </c>
      <c r="T1421">
        <v>0.95930000000000004</v>
      </c>
    </row>
    <row r="1422" spans="1:20" x14ac:dyDescent="0.25">
      <c r="A1422" t="s">
        <v>106</v>
      </c>
      <c r="B1422">
        <v>9</v>
      </c>
      <c r="C1422">
        <v>4</v>
      </c>
      <c r="D1422">
        <v>0</v>
      </c>
      <c r="E1422" t="s">
        <v>192</v>
      </c>
      <c r="F1422">
        <v>125878</v>
      </c>
      <c r="G1422">
        <v>243932309.75</v>
      </c>
      <c r="H1422">
        <v>0.93555556237697601</v>
      </c>
      <c r="I1422">
        <v>0.94722222222222219</v>
      </c>
      <c r="J1422">
        <v>25346177.5</v>
      </c>
      <c r="K1422">
        <v>125522</v>
      </c>
      <c r="L1422">
        <v>2</v>
      </c>
      <c r="M1422">
        <v>232</v>
      </c>
      <c r="N1422">
        <v>0.9538888888888889</v>
      </c>
      <c r="O1422">
        <v>24862829.25</v>
      </c>
      <c r="P1422">
        <v>126529</v>
      </c>
      <c r="Q1422">
        <v>2</v>
      </c>
      <c r="R1422">
        <v>233</v>
      </c>
      <c r="S1422">
        <v>12.150439505066906</v>
      </c>
      <c r="T1422">
        <v>0.95433333333333337</v>
      </c>
    </row>
    <row r="1423" spans="1:20" x14ac:dyDescent="0.25">
      <c r="A1423" t="s">
        <v>106</v>
      </c>
      <c r="B1423">
        <v>9</v>
      </c>
      <c r="C1423">
        <v>4</v>
      </c>
      <c r="D1423">
        <v>0</v>
      </c>
      <c r="E1423" t="s">
        <v>292</v>
      </c>
      <c r="F1423">
        <v>135133</v>
      </c>
      <c r="G1423">
        <v>216320171.75</v>
      </c>
      <c r="H1423">
        <v>0.93611112236976624</v>
      </c>
      <c r="I1423">
        <v>0.9538888888888889</v>
      </c>
      <c r="J1423">
        <v>25796342.25</v>
      </c>
      <c r="K1423">
        <v>134729</v>
      </c>
      <c r="L1423">
        <v>2</v>
      </c>
      <c r="M1423">
        <v>241</v>
      </c>
      <c r="N1423">
        <v>0.95444444444444443</v>
      </c>
      <c r="O1423">
        <v>24267841.5</v>
      </c>
      <c r="P1423">
        <v>135772</v>
      </c>
      <c r="Q1423">
        <v>2</v>
      </c>
      <c r="R1423">
        <v>242</v>
      </c>
      <c r="S1423">
        <v>12.150013993842709</v>
      </c>
      <c r="T1423">
        <v>0.95310000000000006</v>
      </c>
    </row>
    <row r="1424" spans="1:20" x14ac:dyDescent="0.25">
      <c r="A1424" t="s">
        <v>106</v>
      </c>
      <c r="B1424">
        <v>9</v>
      </c>
      <c r="C1424">
        <v>4</v>
      </c>
      <c r="D1424">
        <v>0</v>
      </c>
      <c r="E1424" t="s">
        <v>243</v>
      </c>
      <c r="F1424">
        <v>144388</v>
      </c>
      <c r="G1424">
        <v>265557714.5</v>
      </c>
      <c r="H1424">
        <v>0.93666666746139526</v>
      </c>
      <c r="I1424">
        <v>0.95</v>
      </c>
      <c r="J1424">
        <v>27304984.75</v>
      </c>
      <c r="K1424">
        <v>144260</v>
      </c>
      <c r="L1424">
        <v>2</v>
      </c>
      <c r="M1424">
        <v>250</v>
      </c>
      <c r="N1424">
        <v>0.95166666666666666</v>
      </c>
      <c r="O1424">
        <v>27262226</v>
      </c>
      <c r="P1424">
        <v>145339</v>
      </c>
      <c r="Q1424">
        <v>2</v>
      </c>
      <c r="R1424">
        <v>251</v>
      </c>
      <c r="S1424">
        <v>12.149812524483742</v>
      </c>
      <c r="T1424">
        <v>0.94936666666666669</v>
      </c>
    </row>
    <row r="1425" spans="1:20" x14ac:dyDescent="0.25">
      <c r="A1425" t="s">
        <v>106</v>
      </c>
      <c r="B1425">
        <v>9</v>
      </c>
      <c r="C1425">
        <v>4</v>
      </c>
      <c r="D1425">
        <v>0</v>
      </c>
      <c r="E1425" t="s">
        <v>293</v>
      </c>
      <c r="F1425">
        <v>153643</v>
      </c>
      <c r="G1425">
        <v>290183151.5</v>
      </c>
      <c r="H1425">
        <v>0.93944445252418518</v>
      </c>
      <c r="I1425">
        <v>0.94388888888888889</v>
      </c>
      <c r="J1425">
        <v>28463935.25</v>
      </c>
      <c r="K1425">
        <v>153004</v>
      </c>
      <c r="L1425">
        <v>2</v>
      </c>
      <c r="M1425">
        <v>258</v>
      </c>
      <c r="N1425">
        <v>0.95111111111111102</v>
      </c>
      <c r="O1425">
        <v>28217897</v>
      </c>
      <c r="P1425">
        <v>154115</v>
      </c>
      <c r="Q1425">
        <v>2</v>
      </c>
      <c r="R1425">
        <v>259</v>
      </c>
      <c r="S1425">
        <v>12.149946847199686</v>
      </c>
      <c r="T1425">
        <v>0.9506</v>
      </c>
    </row>
    <row r="1426" spans="1:20" x14ac:dyDescent="0.25">
      <c r="A1426" t="s">
        <v>106</v>
      </c>
      <c r="B1426">
        <v>9</v>
      </c>
      <c r="C1426">
        <v>4</v>
      </c>
      <c r="D1426">
        <v>0</v>
      </c>
      <c r="E1426" t="s">
        <v>248</v>
      </c>
      <c r="F1426">
        <v>162898</v>
      </c>
      <c r="G1426">
        <v>320124786.5</v>
      </c>
      <c r="H1426">
        <v>0.94222220778465271</v>
      </c>
      <c r="I1426">
        <v>0.94499999999999995</v>
      </c>
      <c r="J1426">
        <v>29009896.5</v>
      </c>
      <c r="K1426">
        <v>162004</v>
      </c>
      <c r="L1426">
        <v>2</v>
      </c>
      <c r="M1426">
        <v>266</v>
      </c>
      <c r="N1426">
        <v>0.95222222222222219</v>
      </c>
      <c r="O1426">
        <v>28731274</v>
      </c>
      <c r="P1426">
        <v>163147</v>
      </c>
      <c r="Q1426">
        <v>2</v>
      </c>
      <c r="R1426">
        <v>267</v>
      </c>
      <c r="S1426">
        <v>12.150137047603065</v>
      </c>
      <c r="T1426">
        <v>0.95186666666666664</v>
      </c>
    </row>
    <row r="1427" spans="1:20" x14ac:dyDescent="0.25">
      <c r="A1427" t="s">
        <v>106</v>
      </c>
      <c r="B1427">
        <v>9</v>
      </c>
      <c r="C1427">
        <v>4</v>
      </c>
      <c r="D1427">
        <v>0</v>
      </c>
      <c r="E1427" t="s">
        <v>294</v>
      </c>
      <c r="F1427">
        <v>172153</v>
      </c>
      <c r="G1427">
        <v>390728331.5</v>
      </c>
      <c r="H1427">
        <v>0.93999999761581421</v>
      </c>
      <c r="I1427">
        <v>0.94666666666666666</v>
      </c>
      <c r="J1427">
        <v>28725514.5</v>
      </c>
      <c r="K1427">
        <v>171260</v>
      </c>
      <c r="L1427">
        <v>2</v>
      </c>
      <c r="M1427">
        <v>274</v>
      </c>
      <c r="N1427">
        <v>0.94888888888888889</v>
      </c>
      <c r="O1427">
        <v>28407742.25</v>
      </c>
      <c r="P1427">
        <v>172435</v>
      </c>
      <c r="Q1427">
        <v>2</v>
      </c>
      <c r="R1427">
        <v>275</v>
      </c>
      <c r="S1427">
        <v>12.151110116883844</v>
      </c>
      <c r="T1427">
        <v>0.95926666666666671</v>
      </c>
    </row>
    <row r="1428" spans="1:20" x14ac:dyDescent="0.25">
      <c r="A1428" t="s">
        <v>106</v>
      </c>
      <c r="B1428">
        <v>9</v>
      </c>
      <c r="C1428">
        <v>4</v>
      </c>
      <c r="D1428">
        <v>0</v>
      </c>
      <c r="E1428" t="s">
        <v>253</v>
      </c>
      <c r="F1428">
        <v>181408</v>
      </c>
      <c r="G1428">
        <v>344041414.25</v>
      </c>
      <c r="H1428">
        <v>0.94055555760860443</v>
      </c>
      <c r="I1428">
        <v>0.94722222222222219</v>
      </c>
      <c r="J1428">
        <v>30718444</v>
      </c>
      <c r="K1428">
        <v>180772</v>
      </c>
      <c r="L1428">
        <v>2</v>
      </c>
      <c r="M1428">
        <v>282</v>
      </c>
      <c r="N1428">
        <v>0.95166666666666666</v>
      </c>
      <c r="O1428">
        <v>30551987.75</v>
      </c>
      <c r="P1428">
        <v>181979</v>
      </c>
      <c r="Q1428">
        <v>2</v>
      </c>
      <c r="R1428">
        <v>283</v>
      </c>
      <c r="S1428">
        <v>12.15152362314789</v>
      </c>
      <c r="T1428">
        <v>0.96299999999999997</v>
      </c>
    </row>
    <row r="1429" spans="1:20" x14ac:dyDescent="0.25">
      <c r="A1429" t="s">
        <v>106</v>
      </c>
      <c r="B1429">
        <v>9</v>
      </c>
      <c r="C1429">
        <v>4</v>
      </c>
      <c r="D1429">
        <v>0</v>
      </c>
      <c r="E1429" t="s">
        <v>254</v>
      </c>
      <c r="F1429">
        <v>190663</v>
      </c>
      <c r="G1429">
        <v>259579980.25</v>
      </c>
      <c r="H1429">
        <v>0.93777777254581451</v>
      </c>
      <c r="I1429">
        <v>0.95333333333333337</v>
      </c>
      <c r="J1429">
        <v>31691817.75</v>
      </c>
      <c r="K1429">
        <v>190540</v>
      </c>
      <c r="L1429">
        <v>2</v>
      </c>
      <c r="M1429">
        <v>290</v>
      </c>
      <c r="N1429">
        <v>0.94611111111111112</v>
      </c>
      <c r="O1429">
        <v>31632965.5</v>
      </c>
      <c r="P1429">
        <v>191779</v>
      </c>
      <c r="Q1429">
        <v>2</v>
      </c>
      <c r="R1429">
        <v>291</v>
      </c>
      <c r="S1429">
        <v>12.150595337917157</v>
      </c>
      <c r="T1429">
        <v>0.9481666666666666</v>
      </c>
    </row>
    <row r="1430" spans="1:20" x14ac:dyDescent="0.25">
      <c r="A1430" t="s">
        <v>106</v>
      </c>
      <c r="B1430">
        <v>9</v>
      </c>
      <c r="C1430">
        <v>4</v>
      </c>
      <c r="D1430">
        <v>0</v>
      </c>
      <c r="E1430" t="s">
        <v>111</v>
      </c>
      <c r="F1430">
        <v>199918</v>
      </c>
      <c r="G1430">
        <v>400831044.75</v>
      </c>
      <c r="H1430">
        <v>0.93722222745418549</v>
      </c>
      <c r="I1430">
        <v>0.94611111111111112</v>
      </c>
      <c r="J1430">
        <v>30946154.5</v>
      </c>
      <c r="K1430">
        <v>199297</v>
      </c>
      <c r="L1430">
        <v>2</v>
      </c>
      <c r="M1430">
        <v>297</v>
      </c>
      <c r="N1430">
        <v>0.94944444444444442</v>
      </c>
      <c r="O1430">
        <v>30420952.5</v>
      </c>
      <c r="P1430">
        <v>200564</v>
      </c>
      <c r="Q1430">
        <v>2</v>
      </c>
      <c r="R1430">
        <v>298</v>
      </c>
      <c r="S1430">
        <v>12.15078522327167</v>
      </c>
      <c r="T1430">
        <v>0.9556</v>
      </c>
    </row>
    <row r="1431" spans="1:20" x14ac:dyDescent="0.25">
      <c r="A1431" t="s">
        <v>106</v>
      </c>
      <c r="B1431">
        <v>9</v>
      </c>
      <c r="C1431">
        <v>4</v>
      </c>
      <c r="D1431">
        <v>0</v>
      </c>
      <c r="E1431" t="s">
        <v>255</v>
      </c>
      <c r="F1431">
        <v>209173</v>
      </c>
      <c r="G1431">
        <v>452171735.75</v>
      </c>
      <c r="H1431">
        <v>0.94388888776302338</v>
      </c>
      <c r="I1431">
        <v>0.94833333333333336</v>
      </c>
      <c r="J1431">
        <v>33583509.75</v>
      </c>
      <c r="K1431">
        <v>208250</v>
      </c>
      <c r="L1431">
        <v>2</v>
      </c>
      <c r="M1431">
        <v>304</v>
      </c>
      <c r="N1431">
        <v>0.95111111111111113</v>
      </c>
      <c r="O1431">
        <v>33552242.25</v>
      </c>
      <c r="P1431">
        <v>209545</v>
      </c>
      <c r="Q1431">
        <v>2</v>
      </c>
      <c r="R1431">
        <v>305</v>
      </c>
      <c r="S1431">
        <v>12.151645527183327</v>
      </c>
      <c r="T1431">
        <v>0.97163333333333335</v>
      </c>
    </row>
    <row r="1432" spans="1:20" x14ac:dyDescent="0.25">
      <c r="A1432" t="s">
        <v>106</v>
      </c>
      <c r="B1432">
        <v>9</v>
      </c>
      <c r="C1432">
        <v>4</v>
      </c>
      <c r="D1432">
        <v>0</v>
      </c>
      <c r="E1432" t="s">
        <v>116</v>
      </c>
      <c r="F1432">
        <v>218428</v>
      </c>
      <c r="G1432">
        <v>396128241.75</v>
      </c>
      <c r="H1432">
        <v>0.9466666579246521</v>
      </c>
      <c r="I1432">
        <v>0.95111111111111113</v>
      </c>
      <c r="J1432">
        <v>31165087.75</v>
      </c>
      <c r="K1432">
        <v>217399</v>
      </c>
      <c r="L1432">
        <v>2</v>
      </c>
      <c r="M1432">
        <v>311</v>
      </c>
      <c r="N1432">
        <v>0.94666666666666666</v>
      </c>
      <c r="O1432">
        <v>32397376.5</v>
      </c>
      <c r="P1432">
        <v>218722</v>
      </c>
      <c r="Q1432">
        <v>2</v>
      </c>
      <c r="R1432">
        <v>312</v>
      </c>
      <c r="S1432">
        <v>12.151723367409643</v>
      </c>
      <c r="T1432">
        <v>0.95433333333333337</v>
      </c>
    </row>
    <row r="1433" spans="1:20" x14ac:dyDescent="0.25">
      <c r="A1433" t="s">
        <v>106</v>
      </c>
      <c r="B1433">
        <v>9</v>
      </c>
      <c r="C1433">
        <v>4</v>
      </c>
      <c r="D1433">
        <v>0</v>
      </c>
      <c r="E1433" t="s">
        <v>147</v>
      </c>
      <c r="F1433">
        <v>220938</v>
      </c>
      <c r="G1433">
        <v>407740819.5</v>
      </c>
      <c r="H1433">
        <v>0.93777778744697571</v>
      </c>
      <c r="I1433">
        <v>0.95333333333333337</v>
      </c>
      <c r="J1433">
        <v>28724165.5</v>
      </c>
      <c r="K1433">
        <v>220049</v>
      </c>
      <c r="L1433">
        <v>2</v>
      </c>
      <c r="M1433">
        <v>313</v>
      </c>
      <c r="N1433">
        <v>0.95111111111111113</v>
      </c>
      <c r="O1433">
        <v>33078178.5</v>
      </c>
      <c r="P1433">
        <v>221380</v>
      </c>
      <c r="Q1433">
        <v>2</v>
      </c>
      <c r="R1433">
        <v>314</v>
      </c>
      <c r="S1433">
        <v>12.151633621893327</v>
      </c>
      <c r="T1433">
        <v>0.94443333333333335</v>
      </c>
    </row>
    <row r="1434" spans="1:20" x14ac:dyDescent="0.25">
      <c r="A1434" t="s">
        <v>106</v>
      </c>
      <c r="B1434">
        <v>9</v>
      </c>
      <c r="C1434">
        <v>4</v>
      </c>
      <c r="D1434">
        <v>0</v>
      </c>
      <c r="E1434" t="s">
        <v>256</v>
      </c>
      <c r="F1434">
        <v>227683</v>
      </c>
      <c r="G1434">
        <v>454280213.75</v>
      </c>
      <c r="H1434">
        <v>0.90888890624046326</v>
      </c>
      <c r="I1434">
        <v>0.9588888888888889</v>
      </c>
      <c r="J1434">
        <v>31679919.5</v>
      </c>
      <c r="K1434">
        <v>226744</v>
      </c>
      <c r="L1434">
        <v>2</v>
      </c>
      <c r="M1434">
        <v>318</v>
      </c>
      <c r="N1434">
        <v>0.9622222222222222</v>
      </c>
      <c r="O1434">
        <v>32515701.25</v>
      </c>
      <c r="P1434">
        <v>228095</v>
      </c>
      <c r="Q1434">
        <v>2</v>
      </c>
      <c r="R1434">
        <v>319</v>
      </c>
      <c r="S1434">
        <v>12.152102294935506</v>
      </c>
      <c r="T1434">
        <v>0.91853333333333331</v>
      </c>
    </row>
    <row r="1435" spans="1:20" x14ac:dyDescent="0.25">
      <c r="A1435" t="s">
        <v>106</v>
      </c>
      <c r="B1435">
        <v>9</v>
      </c>
      <c r="C1435">
        <v>4</v>
      </c>
      <c r="D1435">
        <v>0</v>
      </c>
      <c r="E1435" t="s">
        <v>262</v>
      </c>
      <c r="F1435">
        <v>230193</v>
      </c>
      <c r="G1435">
        <v>507008913.71428573</v>
      </c>
      <c r="H1435">
        <v>0.8844444581440517</v>
      </c>
      <c r="I1435">
        <v>0.96285714285714286</v>
      </c>
      <c r="J1435">
        <v>32331031</v>
      </c>
      <c r="K1435">
        <v>229450</v>
      </c>
      <c r="L1435">
        <v>2</v>
      </c>
      <c r="M1435">
        <v>320</v>
      </c>
      <c r="N1435">
        <v>0.96</v>
      </c>
      <c r="O1435">
        <v>32950038</v>
      </c>
      <c r="P1435">
        <v>230809</v>
      </c>
      <c r="Q1435">
        <v>2</v>
      </c>
      <c r="R1435">
        <v>321</v>
      </c>
      <c r="S1435">
        <v>12.153270819379326</v>
      </c>
      <c r="T1435">
        <v>0.94073333333333331</v>
      </c>
    </row>
    <row r="1436" spans="1:20" x14ac:dyDescent="0.25">
      <c r="A1436" t="s">
        <v>106</v>
      </c>
      <c r="B1436">
        <v>9</v>
      </c>
      <c r="C1436">
        <v>4</v>
      </c>
      <c r="D1436">
        <v>0</v>
      </c>
      <c r="E1436" t="s">
        <v>201</v>
      </c>
      <c r="F1436">
        <v>233742</v>
      </c>
      <c r="G1436">
        <v>435638304.75</v>
      </c>
      <c r="H1436">
        <v>0.81222222745418549</v>
      </c>
      <c r="I1436">
        <v>0.96722222222222221</v>
      </c>
      <c r="J1436">
        <v>31825250.5</v>
      </c>
      <c r="K1436">
        <v>233539</v>
      </c>
      <c r="L1436">
        <v>2</v>
      </c>
      <c r="M1436">
        <v>323</v>
      </c>
      <c r="N1436">
        <v>0.96888888888888891</v>
      </c>
      <c r="O1436">
        <v>33013726</v>
      </c>
      <c r="P1436">
        <v>234910</v>
      </c>
      <c r="Q1436">
        <v>2</v>
      </c>
      <c r="R1436">
        <v>324</v>
      </c>
      <c r="S1436">
        <v>12.153459821428571</v>
      </c>
      <c r="T1436">
        <v>0.90369999999999995</v>
      </c>
    </row>
    <row r="1437" spans="1:20" x14ac:dyDescent="0.25">
      <c r="A1437" t="s">
        <v>106</v>
      </c>
      <c r="B1437">
        <v>9</v>
      </c>
      <c r="C1437">
        <v>4</v>
      </c>
      <c r="D1437">
        <v>0</v>
      </c>
      <c r="E1437" t="s">
        <v>121</v>
      </c>
      <c r="F1437">
        <v>236938</v>
      </c>
      <c r="G1437">
        <v>530456682.5</v>
      </c>
      <c r="H1437">
        <v>0.77222222089767456</v>
      </c>
      <c r="I1437">
        <v>0.95777777777777784</v>
      </c>
      <c r="J1437">
        <v>35657719.75</v>
      </c>
      <c r="K1437">
        <v>236285</v>
      </c>
      <c r="L1437">
        <v>2</v>
      </c>
      <c r="M1437">
        <v>325</v>
      </c>
      <c r="N1437">
        <v>0.95666666666666667</v>
      </c>
      <c r="O1437">
        <v>35143148.5</v>
      </c>
      <c r="P1437">
        <v>237664</v>
      </c>
      <c r="Q1437">
        <v>2</v>
      </c>
      <c r="R1437">
        <v>326</v>
      </c>
      <c r="S1437">
        <v>12.153927694711003</v>
      </c>
      <c r="T1437">
        <v>0.90990000000000004</v>
      </c>
    </row>
    <row r="1438" spans="1:20" x14ac:dyDescent="0.25">
      <c r="A1438" t="s">
        <v>106</v>
      </c>
      <c r="B1438">
        <v>9</v>
      </c>
      <c r="C1438">
        <v>4</v>
      </c>
      <c r="D1438">
        <v>0</v>
      </c>
      <c r="E1438" t="s">
        <v>152</v>
      </c>
      <c r="F1438">
        <v>239448</v>
      </c>
      <c r="G1438">
        <v>459192967.5714286</v>
      </c>
      <c r="H1438">
        <v>0.91396825654166081</v>
      </c>
      <c r="I1438">
        <v>0.96253968253968258</v>
      </c>
      <c r="J1438">
        <v>32143250.285714287</v>
      </c>
      <c r="K1438">
        <v>239047</v>
      </c>
      <c r="L1438">
        <v>2</v>
      </c>
      <c r="M1438">
        <v>327</v>
      </c>
      <c r="N1438">
        <v>0.96063492063492062</v>
      </c>
      <c r="O1438">
        <v>33070260</v>
      </c>
      <c r="P1438">
        <v>240434</v>
      </c>
      <c r="Q1438">
        <v>2</v>
      </c>
      <c r="R1438">
        <v>328</v>
      </c>
      <c r="S1438">
        <v>12.154592604985778</v>
      </c>
      <c r="T1438">
        <v>0.93640000000000001</v>
      </c>
    </row>
    <row r="1439" spans="1:20" x14ac:dyDescent="0.25">
      <c r="A1439" t="s">
        <v>106</v>
      </c>
      <c r="B1439">
        <v>9</v>
      </c>
      <c r="C1439">
        <v>4</v>
      </c>
      <c r="D1439">
        <v>0</v>
      </c>
      <c r="E1439" t="s">
        <v>274</v>
      </c>
      <c r="F1439">
        <v>243497</v>
      </c>
      <c r="G1439">
        <v>488524077.5714286</v>
      </c>
      <c r="H1439">
        <v>0.90380953039441791</v>
      </c>
      <c r="I1439">
        <v>0.96126984126984127</v>
      </c>
      <c r="J1439">
        <v>33708443.285714284</v>
      </c>
      <c r="K1439">
        <v>243220</v>
      </c>
      <c r="L1439">
        <v>2</v>
      </c>
      <c r="M1439">
        <v>330</v>
      </c>
      <c r="N1439">
        <v>0.95714285714285718</v>
      </c>
      <c r="O1439">
        <v>33815695.857142858</v>
      </c>
      <c r="P1439">
        <v>244619</v>
      </c>
      <c r="Q1439">
        <v>2</v>
      </c>
      <c r="R1439">
        <v>331</v>
      </c>
      <c r="S1439">
        <v>12.155591481770543</v>
      </c>
      <c r="T1439">
        <v>0.91233333333333333</v>
      </c>
    </row>
    <row r="1440" spans="1:20" x14ac:dyDescent="0.25">
      <c r="A1440" t="s">
        <v>106</v>
      </c>
      <c r="B1440">
        <v>9</v>
      </c>
      <c r="C1440">
        <v>4</v>
      </c>
      <c r="D1440">
        <v>0</v>
      </c>
      <c r="E1440" t="s">
        <v>185</v>
      </c>
      <c r="F1440">
        <v>246350</v>
      </c>
      <c r="G1440">
        <v>579053221.75</v>
      </c>
      <c r="H1440">
        <v>0.9049999862909317</v>
      </c>
      <c r="I1440">
        <v>0.95222222222222219</v>
      </c>
      <c r="J1440">
        <v>36175110.5</v>
      </c>
      <c r="K1440">
        <v>246022</v>
      </c>
      <c r="L1440">
        <v>2</v>
      </c>
      <c r="M1440">
        <v>332</v>
      </c>
      <c r="N1440">
        <v>0.96166666666666667</v>
      </c>
      <c r="O1440">
        <v>37368402.75</v>
      </c>
      <c r="P1440">
        <v>247429</v>
      </c>
      <c r="Q1440">
        <v>2</v>
      </c>
      <c r="R1440">
        <v>333</v>
      </c>
      <c r="S1440">
        <v>12.156225615873369</v>
      </c>
      <c r="T1440">
        <v>0.91603333333333337</v>
      </c>
    </row>
    <row r="1441" spans="1:20" x14ac:dyDescent="0.25">
      <c r="A1441" t="s">
        <v>106</v>
      </c>
      <c r="B1441">
        <v>9</v>
      </c>
      <c r="C1441">
        <v>4</v>
      </c>
      <c r="D1441">
        <v>0</v>
      </c>
      <c r="E1441" t="s">
        <v>263</v>
      </c>
      <c r="F1441">
        <v>248703</v>
      </c>
      <c r="G1441">
        <v>392110339</v>
      </c>
      <c r="H1441">
        <v>0.90222222464425228</v>
      </c>
      <c r="I1441">
        <v>0.96349206349206351</v>
      </c>
      <c r="J1441">
        <v>33400767</v>
      </c>
      <c r="K1441">
        <v>247429</v>
      </c>
      <c r="L1441">
        <v>2</v>
      </c>
      <c r="M1441">
        <v>333</v>
      </c>
      <c r="N1441">
        <v>0.96380952380952378</v>
      </c>
      <c r="O1441">
        <v>33757984.142857142</v>
      </c>
      <c r="P1441">
        <v>248840</v>
      </c>
      <c r="Q1441">
        <v>2</v>
      </c>
      <c r="R1441">
        <v>334</v>
      </c>
      <c r="S1441">
        <v>12.156164688840605</v>
      </c>
      <c r="T1441">
        <v>0.91110000000000002</v>
      </c>
    </row>
    <row r="1442" spans="1:20" x14ac:dyDescent="0.25">
      <c r="A1442" t="s">
        <v>106</v>
      </c>
      <c r="B1442">
        <v>9</v>
      </c>
      <c r="C1442">
        <v>4</v>
      </c>
      <c r="D1442">
        <v>0</v>
      </c>
      <c r="E1442" t="s">
        <v>281</v>
      </c>
      <c r="F1442">
        <v>250149</v>
      </c>
      <c r="G1442">
        <v>396756548.5</v>
      </c>
      <c r="H1442">
        <v>0.90944445133209229</v>
      </c>
      <c r="I1442">
        <v>0.9655555555555555</v>
      </c>
      <c r="J1442">
        <v>33558673.75</v>
      </c>
      <c r="K1442">
        <v>248840</v>
      </c>
      <c r="L1442">
        <v>2</v>
      </c>
      <c r="M1442">
        <v>334</v>
      </c>
      <c r="N1442">
        <v>0.96777777777777785</v>
      </c>
      <c r="O1442">
        <v>33005856.25</v>
      </c>
      <c r="P1442">
        <v>250255</v>
      </c>
      <c r="Q1442">
        <v>2</v>
      </c>
      <c r="R1442">
        <v>335</v>
      </c>
      <c r="S1442">
        <v>12.156074193728069</v>
      </c>
      <c r="T1442">
        <v>0.93330000000000002</v>
      </c>
    </row>
    <row r="1443" spans="1:20" x14ac:dyDescent="0.25">
      <c r="A1443" t="s">
        <v>106</v>
      </c>
      <c r="B1443">
        <v>9</v>
      </c>
      <c r="C1443">
        <v>4</v>
      </c>
      <c r="D1443">
        <v>0</v>
      </c>
      <c r="E1443" t="s">
        <v>205</v>
      </c>
      <c r="F1443">
        <v>253252</v>
      </c>
      <c r="G1443">
        <v>514170769.75</v>
      </c>
      <c r="H1443">
        <v>0.8866666704416275</v>
      </c>
      <c r="I1443">
        <v>0.95166666666666666</v>
      </c>
      <c r="J1443">
        <v>34748070.75</v>
      </c>
      <c r="K1443">
        <v>253097</v>
      </c>
      <c r="L1443">
        <v>2</v>
      </c>
      <c r="M1443">
        <v>337</v>
      </c>
      <c r="N1443">
        <v>0.95777777777777773</v>
      </c>
      <c r="O1443">
        <v>36338266.25</v>
      </c>
      <c r="P1443">
        <v>254524</v>
      </c>
      <c r="Q1443">
        <v>2</v>
      </c>
      <c r="R1443">
        <v>338</v>
      </c>
      <c r="S1443">
        <v>12.156484936236565</v>
      </c>
      <c r="T1443">
        <v>0.89876666666666671</v>
      </c>
    </row>
    <row r="1444" spans="1:20" x14ac:dyDescent="0.25">
      <c r="A1444" t="s">
        <v>106</v>
      </c>
      <c r="B1444">
        <v>9</v>
      </c>
      <c r="C1444">
        <v>4</v>
      </c>
      <c r="D1444">
        <v>0</v>
      </c>
      <c r="E1444" t="s">
        <v>269</v>
      </c>
      <c r="F1444">
        <v>255855</v>
      </c>
      <c r="G1444">
        <v>515920760.25</v>
      </c>
      <c r="H1444">
        <v>0.90277779102325439</v>
      </c>
      <c r="I1444">
        <v>0.95611111111111113</v>
      </c>
      <c r="J1444">
        <v>34494624.5</v>
      </c>
      <c r="K1444">
        <v>254524</v>
      </c>
      <c r="L1444">
        <v>2</v>
      </c>
      <c r="M1444">
        <v>338</v>
      </c>
      <c r="N1444">
        <v>0.96777777777777774</v>
      </c>
      <c r="O1444">
        <v>38120454.75</v>
      </c>
      <c r="P1444">
        <v>255955</v>
      </c>
      <c r="Q1444">
        <v>2</v>
      </c>
      <c r="R1444">
        <v>339</v>
      </c>
      <c r="S1444">
        <v>12.156672791047269</v>
      </c>
      <c r="T1444">
        <v>0.91233333333333333</v>
      </c>
    </row>
    <row r="1445" spans="1:20" x14ac:dyDescent="0.25">
      <c r="A1445" t="s">
        <v>106</v>
      </c>
      <c r="B1445">
        <v>9</v>
      </c>
      <c r="C1445">
        <v>4</v>
      </c>
      <c r="D1445">
        <v>0</v>
      </c>
      <c r="E1445" t="s">
        <v>288</v>
      </c>
      <c r="F1445">
        <v>256801</v>
      </c>
      <c r="G1445">
        <v>450095186</v>
      </c>
      <c r="H1445">
        <v>0.91000001132488251</v>
      </c>
      <c r="I1445">
        <v>0.96500000000000008</v>
      </c>
      <c r="J1445">
        <v>35004010.75</v>
      </c>
      <c r="K1445">
        <v>255955</v>
      </c>
      <c r="L1445">
        <v>2</v>
      </c>
      <c r="M1445">
        <v>339</v>
      </c>
      <c r="N1445">
        <v>0.97333333333333338</v>
      </c>
      <c r="O1445">
        <v>34239766.25</v>
      </c>
      <c r="P1445">
        <v>257390</v>
      </c>
      <c r="Q1445">
        <v>2</v>
      </c>
      <c r="R1445">
        <v>340</v>
      </c>
      <c r="S1445">
        <v>12.156860562204287</v>
      </c>
      <c r="T1445">
        <v>0.9308333333333334</v>
      </c>
    </row>
    <row r="1446" spans="1:20" x14ac:dyDescent="0.25">
      <c r="A1446" t="s">
        <v>106</v>
      </c>
      <c r="B1446">
        <v>9</v>
      </c>
      <c r="C1446">
        <v>4</v>
      </c>
      <c r="D1446">
        <v>0</v>
      </c>
      <c r="E1446" t="s">
        <v>157</v>
      </c>
      <c r="F1446">
        <v>257958</v>
      </c>
      <c r="G1446">
        <v>537277086.5</v>
      </c>
      <c r="H1446">
        <v>0.89611110091209412</v>
      </c>
      <c r="I1446">
        <v>0.96166666666666667</v>
      </c>
      <c r="J1446">
        <v>39974948</v>
      </c>
      <c r="K1446">
        <v>257390</v>
      </c>
      <c r="L1446">
        <v>2</v>
      </c>
      <c r="M1446">
        <v>340</v>
      </c>
      <c r="N1446">
        <v>0.96444444444444444</v>
      </c>
      <c r="O1446">
        <v>38521524</v>
      </c>
      <c r="P1446">
        <v>258829</v>
      </c>
      <c r="Q1446">
        <v>2</v>
      </c>
      <c r="R1446">
        <v>341</v>
      </c>
      <c r="S1446">
        <v>12.157159552562748</v>
      </c>
      <c r="T1446">
        <v>0.90123333333333333</v>
      </c>
    </row>
    <row r="1447" spans="1:20" x14ac:dyDescent="0.25">
      <c r="A1447" t="s">
        <v>106</v>
      </c>
      <c r="B1447">
        <v>9</v>
      </c>
      <c r="C1447">
        <v>4</v>
      </c>
      <c r="D1447">
        <v>0</v>
      </c>
      <c r="E1447" t="s">
        <v>222</v>
      </c>
      <c r="F1447">
        <v>260154</v>
      </c>
      <c r="G1447">
        <v>394559294.25</v>
      </c>
      <c r="H1447">
        <v>0.85277777910232544</v>
      </c>
      <c r="I1447">
        <v>0.96611111111111114</v>
      </c>
      <c r="J1447">
        <v>36021423.25</v>
      </c>
      <c r="K1447">
        <v>258829</v>
      </c>
      <c r="L1447">
        <v>2</v>
      </c>
      <c r="M1447">
        <v>341</v>
      </c>
      <c r="N1447">
        <v>0.96111111111111103</v>
      </c>
      <c r="O1447">
        <v>33745608.5</v>
      </c>
      <c r="P1447">
        <v>260272</v>
      </c>
      <c r="Q1447">
        <v>2</v>
      </c>
      <c r="R1447">
        <v>342</v>
      </c>
      <c r="S1447">
        <v>12.157013297724363</v>
      </c>
      <c r="T1447">
        <v>0.88396666666666668</v>
      </c>
    </row>
    <row r="1448" spans="1:20" x14ac:dyDescent="0.25">
      <c r="A1448" t="s">
        <v>106</v>
      </c>
      <c r="B1448">
        <v>9</v>
      </c>
      <c r="C1448">
        <v>4</v>
      </c>
      <c r="D1448">
        <v>0</v>
      </c>
      <c r="E1448" t="s">
        <v>275</v>
      </c>
      <c r="F1448">
        <v>263007</v>
      </c>
      <c r="G1448">
        <v>449570866.25</v>
      </c>
      <c r="H1448">
        <v>0.89388889074325562</v>
      </c>
      <c r="I1448">
        <v>0.95222222222222219</v>
      </c>
      <c r="J1448">
        <v>37567598</v>
      </c>
      <c r="K1448">
        <v>261719</v>
      </c>
      <c r="L1448">
        <v>2</v>
      </c>
      <c r="M1448">
        <v>343</v>
      </c>
      <c r="N1448">
        <v>0.96277777777777773</v>
      </c>
      <c r="O1448">
        <v>37215783.5</v>
      </c>
      <c r="P1448">
        <v>263170</v>
      </c>
      <c r="Q1448">
        <v>2</v>
      </c>
      <c r="R1448">
        <v>344</v>
      </c>
      <c r="S1448">
        <v>12.156867107971296</v>
      </c>
      <c r="T1448">
        <v>0.89136666666666664</v>
      </c>
    </row>
    <row r="1449" spans="1:20" x14ac:dyDescent="0.25">
      <c r="A1449" t="s">
        <v>106</v>
      </c>
      <c r="B1449">
        <v>9</v>
      </c>
      <c r="C1449">
        <v>4</v>
      </c>
      <c r="D1449">
        <v>0</v>
      </c>
      <c r="E1449" t="s">
        <v>186</v>
      </c>
      <c r="F1449">
        <v>265360</v>
      </c>
      <c r="G1449">
        <v>776829522</v>
      </c>
      <c r="H1449">
        <v>0.92166666686534882</v>
      </c>
      <c r="I1449">
        <v>0.95777777777777773</v>
      </c>
      <c r="J1449">
        <v>38532885.25</v>
      </c>
      <c r="K1449">
        <v>264625</v>
      </c>
      <c r="L1449">
        <v>2</v>
      </c>
      <c r="M1449">
        <v>345</v>
      </c>
      <c r="N1449">
        <v>0.95833333333333337</v>
      </c>
      <c r="O1449">
        <v>37529263.75</v>
      </c>
      <c r="P1449">
        <v>266084</v>
      </c>
      <c r="Q1449">
        <v>2</v>
      </c>
      <c r="R1449">
        <v>346</v>
      </c>
      <c r="S1449">
        <v>12.158278182525999</v>
      </c>
      <c r="T1449">
        <v>0.92220000000000002</v>
      </c>
    </row>
    <row r="1450" spans="1:20" x14ac:dyDescent="0.25">
      <c r="A1450" t="s">
        <v>106</v>
      </c>
      <c r="B1450">
        <v>9</v>
      </c>
      <c r="C1450">
        <v>4</v>
      </c>
      <c r="D1450">
        <v>0</v>
      </c>
      <c r="E1450" t="s">
        <v>264</v>
      </c>
      <c r="F1450">
        <v>267213</v>
      </c>
      <c r="G1450">
        <v>513230067</v>
      </c>
      <c r="H1450">
        <v>0.91555553674697876</v>
      </c>
      <c r="I1450">
        <v>0.97333333333333338</v>
      </c>
      <c r="J1450">
        <v>35629248.75</v>
      </c>
      <c r="K1450">
        <v>266084</v>
      </c>
      <c r="L1450">
        <v>2</v>
      </c>
      <c r="M1450">
        <v>346</v>
      </c>
      <c r="N1450">
        <v>0.96611111111111114</v>
      </c>
      <c r="O1450">
        <v>33488033.5</v>
      </c>
      <c r="P1450">
        <v>267547</v>
      </c>
      <c r="Q1450">
        <v>2</v>
      </c>
      <c r="R1450">
        <v>347</v>
      </c>
      <c r="S1450">
        <v>12.158798999165972</v>
      </c>
      <c r="T1450">
        <v>0.93206666666666671</v>
      </c>
    </row>
    <row r="1451" spans="1:20" x14ac:dyDescent="0.25">
      <c r="A1451" t="s">
        <v>106</v>
      </c>
      <c r="B1451">
        <v>9</v>
      </c>
      <c r="C1451">
        <v>4</v>
      </c>
      <c r="D1451">
        <v>0</v>
      </c>
      <c r="E1451" t="s">
        <v>282</v>
      </c>
      <c r="F1451">
        <v>270159</v>
      </c>
      <c r="G1451">
        <v>618379633</v>
      </c>
      <c r="H1451">
        <v>0.9126984051295689</v>
      </c>
      <c r="I1451">
        <v>0.96190476190476193</v>
      </c>
      <c r="J1451">
        <v>40036379.285714284</v>
      </c>
      <c r="K1451">
        <v>269014</v>
      </c>
      <c r="L1451">
        <v>2</v>
      </c>
      <c r="M1451">
        <v>348</v>
      </c>
      <c r="N1451">
        <v>0.96507936507936509</v>
      </c>
      <c r="O1451">
        <v>38489075.571428575</v>
      </c>
      <c r="P1451">
        <v>270485</v>
      </c>
      <c r="Q1451">
        <v>2</v>
      </c>
      <c r="R1451">
        <v>349</v>
      </c>
      <c r="S1451">
        <v>12.159904401956425</v>
      </c>
      <c r="T1451">
        <v>0.92220000000000002</v>
      </c>
    </row>
    <row r="1452" spans="1:20" x14ac:dyDescent="0.25">
      <c r="A1452" t="s">
        <v>106</v>
      </c>
      <c r="B1452">
        <v>9</v>
      </c>
      <c r="C1452">
        <v>4</v>
      </c>
      <c r="D1452">
        <v>0</v>
      </c>
      <c r="E1452" t="s">
        <v>208</v>
      </c>
      <c r="F1452">
        <v>272762</v>
      </c>
      <c r="G1452">
        <v>426240267.25</v>
      </c>
      <c r="H1452">
        <v>0.9005555659532547</v>
      </c>
      <c r="I1452">
        <v>0.95</v>
      </c>
      <c r="J1452">
        <v>39226004.5</v>
      </c>
      <c r="K1452">
        <v>271960</v>
      </c>
      <c r="L1452">
        <v>2</v>
      </c>
      <c r="M1452">
        <v>350</v>
      </c>
      <c r="N1452">
        <v>0.95166666666666666</v>
      </c>
      <c r="O1452">
        <v>36817329.25</v>
      </c>
      <c r="P1452">
        <v>273439</v>
      </c>
      <c r="Q1452">
        <v>2</v>
      </c>
      <c r="R1452">
        <v>351</v>
      </c>
      <c r="S1452">
        <v>12.159591020226717</v>
      </c>
      <c r="T1452">
        <v>0.91233333333333333</v>
      </c>
    </row>
    <row r="1453" spans="1:20" x14ac:dyDescent="0.25">
      <c r="A1453" t="s">
        <v>106</v>
      </c>
      <c r="B1453">
        <v>9</v>
      </c>
      <c r="C1453">
        <v>4</v>
      </c>
      <c r="D1453">
        <v>0</v>
      </c>
      <c r="E1453" t="s">
        <v>270</v>
      </c>
      <c r="F1453">
        <v>274865</v>
      </c>
      <c r="G1453">
        <v>494785626.5</v>
      </c>
      <c r="H1453">
        <v>0.8911111056804657</v>
      </c>
      <c r="I1453">
        <v>0.95833333333333337</v>
      </c>
      <c r="J1453">
        <v>38413589.5</v>
      </c>
      <c r="K1453">
        <v>273439</v>
      </c>
      <c r="L1453">
        <v>2</v>
      </c>
      <c r="M1453">
        <v>351</v>
      </c>
      <c r="N1453">
        <v>0.96055555555555561</v>
      </c>
      <c r="O1453">
        <v>37330628.5</v>
      </c>
      <c r="P1453">
        <v>274922</v>
      </c>
      <c r="Q1453">
        <v>2</v>
      </c>
      <c r="R1453">
        <v>352</v>
      </c>
      <c r="S1453">
        <v>12.1595</v>
      </c>
      <c r="T1453">
        <v>0.88890000000000002</v>
      </c>
    </row>
    <row r="1454" spans="1:20" x14ac:dyDescent="0.25">
      <c r="A1454" t="s">
        <v>106</v>
      </c>
      <c r="B1454">
        <v>9</v>
      </c>
      <c r="C1454">
        <v>4</v>
      </c>
      <c r="D1454">
        <v>0</v>
      </c>
      <c r="E1454" t="s">
        <v>162</v>
      </c>
      <c r="F1454">
        <v>276468</v>
      </c>
      <c r="G1454">
        <v>582958272.75</v>
      </c>
      <c r="H1454">
        <v>0.89666666090488434</v>
      </c>
      <c r="I1454">
        <v>0.9655555555555555</v>
      </c>
      <c r="J1454">
        <v>33941103.5</v>
      </c>
      <c r="K1454">
        <v>276409</v>
      </c>
      <c r="L1454">
        <v>2</v>
      </c>
      <c r="M1454">
        <v>353</v>
      </c>
      <c r="N1454">
        <v>0.97166666666666668</v>
      </c>
      <c r="O1454">
        <v>36055127.25</v>
      </c>
      <c r="P1454">
        <v>277900</v>
      </c>
      <c r="Q1454">
        <v>2</v>
      </c>
      <c r="R1454">
        <v>354</v>
      </c>
      <c r="S1454">
        <v>12.160131081981781</v>
      </c>
      <c r="T1454">
        <v>0.93333333333333335</v>
      </c>
    </row>
    <row r="1455" spans="1:20" x14ac:dyDescent="0.25">
      <c r="A1455" t="s">
        <v>106</v>
      </c>
      <c r="B1455">
        <v>9</v>
      </c>
      <c r="C1455">
        <v>4</v>
      </c>
      <c r="D1455">
        <v>0</v>
      </c>
      <c r="E1455" t="s">
        <v>223</v>
      </c>
      <c r="F1455">
        <v>280164</v>
      </c>
      <c r="G1455">
        <v>663034182.71428573</v>
      </c>
      <c r="H1455">
        <v>0.8844444496291024</v>
      </c>
      <c r="I1455">
        <v>0.96126984126984127</v>
      </c>
      <c r="J1455">
        <v>39340560.285714284</v>
      </c>
      <c r="K1455">
        <v>279395</v>
      </c>
      <c r="L1455">
        <v>2</v>
      </c>
      <c r="M1455">
        <v>355</v>
      </c>
      <c r="N1455">
        <v>0.96571428571428575</v>
      </c>
      <c r="O1455">
        <v>39838474.285714284</v>
      </c>
      <c r="P1455">
        <v>280894</v>
      </c>
      <c r="Q1455">
        <v>2</v>
      </c>
      <c r="R1455">
        <v>356</v>
      </c>
      <c r="S1455">
        <v>12.161345844206318</v>
      </c>
      <c r="T1455">
        <v>0.91356666666666664</v>
      </c>
    </row>
    <row r="1456" spans="1:20" x14ac:dyDescent="0.25">
      <c r="A1456" t="s">
        <v>106</v>
      </c>
      <c r="B1456">
        <v>9</v>
      </c>
      <c r="C1456">
        <v>4</v>
      </c>
      <c r="D1456">
        <v>0</v>
      </c>
      <c r="E1456" t="s">
        <v>276</v>
      </c>
      <c r="F1456">
        <v>282517</v>
      </c>
      <c r="G1456">
        <v>512952056</v>
      </c>
      <c r="H1456">
        <v>0.90611110627651215</v>
      </c>
      <c r="I1456">
        <v>0.95500000000000007</v>
      </c>
      <c r="J1456">
        <v>37653496.75</v>
      </c>
      <c r="K1456">
        <v>282397</v>
      </c>
      <c r="L1456">
        <v>2</v>
      </c>
      <c r="M1456">
        <v>357</v>
      </c>
      <c r="N1456">
        <v>0.94722222222222219</v>
      </c>
      <c r="O1456">
        <v>38597358</v>
      </c>
      <c r="P1456">
        <v>283904</v>
      </c>
      <c r="Q1456">
        <v>2</v>
      </c>
      <c r="R1456">
        <v>358</v>
      </c>
      <c r="S1456">
        <v>12.161476547321676</v>
      </c>
      <c r="T1456">
        <v>0.90369999999999995</v>
      </c>
    </row>
    <row r="1457" spans="1:20" x14ac:dyDescent="0.25">
      <c r="A1457" t="s">
        <v>106</v>
      </c>
      <c r="B1457">
        <v>9</v>
      </c>
      <c r="C1457">
        <v>4</v>
      </c>
      <c r="D1457">
        <v>0</v>
      </c>
      <c r="E1457" t="s">
        <v>189</v>
      </c>
      <c r="F1457">
        <v>284370</v>
      </c>
      <c r="G1457">
        <v>481578303.25</v>
      </c>
      <c r="H1457">
        <v>0.9166666716337204</v>
      </c>
      <c r="I1457">
        <v>0.95833333333333337</v>
      </c>
      <c r="J1457">
        <v>37329162</v>
      </c>
      <c r="K1457">
        <v>283904</v>
      </c>
      <c r="L1457">
        <v>2</v>
      </c>
      <c r="M1457">
        <v>358</v>
      </c>
      <c r="N1457">
        <v>0.95611111111111113</v>
      </c>
      <c r="O1457">
        <v>39782492</v>
      </c>
      <c r="P1457">
        <v>285415</v>
      </c>
      <c r="Q1457">
        <v>2</v>
      </c>
      <c r="R1457">
        <v>359</v>
      </c>
      <c r="S1457">
        <v>12.161163216604695</v>
      </c>
      <c r="T1457">
        <v>0.90863333333333329</v>
      </c>
    </row>
    <row r="1458" spans="1:20" x14ac:dyDescent="0.25">
      <c r="A1458" t="s">
        <v>106</v>
      </c>
      <c r="B1458">
        <v>9</v>
      </c>
      <c r="C1458">
        <v>4</v>
      </c>
      <c r="D1458">
        <v>0</v>
      </c>
      <c r="E1458" t="s">
        <v>265</v>
      </c>
      <c r="F1458">
        <v>285723</v>
      </c>
      <c r="G1458">
        <v>492618400</v>
      </c>
      <c r="H1458">
        <v>0.91277778148651123</v>
      </c>
      <c r="I1458">
        <v>0.96722222222222221</v>
      </c>
      <c r="J1458">
        <v>36328370.75</v>
      </c>
      <c r="K1458">
        <v>285415</v>
      </c>
      <c r="L1458">
        <v>2</v>
      </c>
      <c r="M1458">
        <v>359</v>
      </c>
      <c r="N1458">
        <v>0.97</v>
      </c>
      <c r="O1458">
        <v>36234276.5</v>
      </c>
      <c r="P1458">
        <v>286930</v>
      </c>
      <c r="Q1458">
        <v>2</v>
      </c>
      <c r="R1458">
        <v>360</v>
      </c>
      <c r="S1458">
        <v>12.16123841757754</v>
      </c>
      <c r="T1458">
        <v>0.93210000000000004</v>
      </c>
    </row>
    <row r="1459" spans="1:20" x14ac:dyDescent="0.25">
      <c r="A1459" t="s">
        <v>106</v>
      </c>
      <c r="B1459">
        <v>9</v>
      </c>
      <c r="C1459">
        <v>4</v>
      </c>
      <c r="D1459">
        <v>0</v>
      </c>
      <c r="E1459" t="s">
        <v>239</v>
      </c>
      <c r="F1459">
        <v>287566</v>
      </c>
      <c r="G1459">
        <v>521809735.75</v>
      </c>
      <c r="H1459">
        <v>0.87833333015441895</v>
      </c>
      <c r="I1459">
        <v>0.96388888888888891</v>
      </c>
      <c r="J1459">
        <v>37524360.5</v>
      </c>
      <c r="K1459">
        <v>286930</v>
      </c>
      <c r="L1459">
        <v>2</v>
      </c>
      <c r="M1459">
        <v>360</v>
      </c>
      <c r="N1459">
        <v>0.96888888888888891</v>
      </c>
      <c r="O1459">
        <v>37510584.25</v>
      </c>
      <c r="P1459">
        <v>288449</v>
      </c>
      <c r="Q1459">
        <v>2</v>
      </c>
      <c r="R1459">
        <v>361</v>
      </c>
      <c r="S1459">
        <v>12.161202640483719</v>
      </c>
      <c r="T1459">
        <v>0.90616666666666668</v>
      </c>
    </row>
    <row r="1460" spans="1:20" x14ac:dyDescent="0.25">
      <c r="A1460" t="s">
        <v>106</v>
      </c>
      <c r="B1460">
        <v>9</v>
      </c>
      <c r="C1460">
        <v>4</v>
      </c>
      <c r="D1460">
        <v>0</v>
      </c>
      <c r="E1460" t="s">
        <v>283</v>
      </c>
      <c r="F1460">
        <v>290169</v>
      </c>
      <c r="G1460">
        <v>887823331.25</v>
      </c>
      <c r="H1460">
        <v>0.88722221553325653</v>
      </c>
      <c r="I1460">
        <v>0.96</v>
      </c>
      <c r="J1460">
        <v>42958957</v>
      </c>
      <c r="K1460">
        <v>289972</v>
      </c>
      <c r="L1460">
        <v>2</v>
      </c>
      <c r="M1460">
        <v>362</v>
      </c>
      <c r="N1460">
        <v>0.96277777777777773</v>
      </c>
      <c r="O1460">
        <v>43367881.75</v>
      </c>
      <c r="P1460">
        <v>291499</v>
      </c>
      <c r="Q1460">
        <v>2</v>
      </c>
      <c r="R1460">
        <v>363</v>
      </c>
      <c r="S1460">
        <v>12.16233154012534</v>
      </c>
      <c r="T1460">
        <v>0.91849999999999998</v>
      </c>
    </row>
    <row r="1461" spans="1:20" x14ac:dyDescent="0.25">
      <c r="A1461" t="s">
        <v>106</v>
      </c>
      <c r="B1461">
        <v>9</v>
      </c>
      <c r="C1461">
        <v>4</v>
      </c>
      <c r="D1461">
        <v>0</v>
      </c>
      <c r="E1461" t="s">
        <v>209</v>
      </c>
      <c r="F1461">
        <v>292272</v>
      </c>
      <c r="G1461">
        <v>571338376.5</v>
      </c>
      <c r="H1461">
        <v>0.88999998569488525</v>
      </c>
      <c r="I1461">
        <v>0.95444444444444443</v>
      </c>
      <c r="J1461">
        <v>38087357.25</v>
      </c>
      <c r="K1461">
        <v>291499</v>
      </c>
      <c r="L1461">
        <v>2</v>
      </c>
      <c r="M1461">
        <v>363</v>
      </c>
      <c r="N1461">
        <v>0.9522222222222223</v>
      </c>
      <c r="O1461">
        <v>39863110.25</v>
      </c>
      <c r="P1461">
        <v>293030</v>
      </c>
      <c r="Q1461">
        <v>2</v>
      </c>
      <c r="R1461">
        <v>364</v>
      </c>
      <c r="S1461">
        <v>12.162628222899917</v>
      </c>
      <c r="T1461">
        <v>0.91973333333333329</v>
      </c>
    </row>
    <row r="1462" spans="1:20" x14ac:dyDescent="0.25">
      <c r="A1462" t="s">
        <v>106</v>
      </c>
      <c r="B1462">
        <v>9</v>
      </c>
      <c r="C1462">
        <v>4</v>
      </c>
      <c r="D1462">
        <v>0</v>
      </c>
      <c r="E1462" t="s">
        <v>271</v>
      </c>
      <c r="F1462">
        <v>293875</v>
      </c>
      <c r="G1462">
        <v>657772414.25</v>
      </c>
      <c r="H1462">
        <v>0.85555556416511536</v>
      </c>
      <c r="I1462">
        <v>0.95944444444444443</v>
      </c>
      <c r="J1462">
        <v>41628527.75</v>
      </c>
      <c r="K1462">
        <v>293030</v>
      </c>
      <c r="L1462">
        <v>2</v>
      </c>
      <c r="M1462">
        <v>364</v>
      </c>
      <c r="N1462">
        <v>0.95777777777777784</v>
      </c>
      <c r="O1462">
        <v>40164016.25</v>
      </c>
      <c r="P1462">
        <v>294565</v>
      </c>
      <c r="Q1462">
        <v>2</v>
      </c>
      <c r="R1462">
        <v>365</v>
      </c>
      <c r="S1462">
        <v>12.16292477410056</v>
      </c>
      <c r="T1462">
        <v>0.91603333333333337</v>
      </c>
    </row>
    <row r="1463" spans="1:20" x14ac:dyDescent="0.25">
      <c r="A1463" t="s">
        <v>106</v>
      </c>
      <c r="B1463">
        <v>9</v>
      </c>
      <c r="C1463">
        <v>4</v>
      </c>
      <c r="D1463">
        <v>0</v>
      </c>
      <c r="E1463" t="s">
        <v>134</v>
      </c>
      <c r="F1463">
        <v>294978</v>
      </c>
      <c r="G1463">
        <v>633180125.5</v>
      </c>
      <c r="H1463">
        <v>0.93166667222976685</v>
      </c>
      <c r="I1463">
        <v>0.96055555555555561</v>
      </c>
      <c r="J1463">
        <v>39945515.75</v>
      </c>
      <c r="K1463">
        <v>294565</v>
      </c>
      <c r="L1463">
        <v>2</v>
      </c>
      <c r="M1463">
        <v>365</v>
      </c>
      <c r="N1463">
        <v>0.95944444444444443</v>
      </c>
      <c r="O1463">
        <v>39003962</v>
      </c>
      <c r="P1463">
        <v>296104</v>
      </c>
      <c r="Q1463">
        <v>2</v>
      </c>
      <c r="R1463">
        <v>366</v>
      </c>
      <c r="S1463">
        <v>12.163332040126365</v>
      </c>
      <c r="T1463">
        <v>0.91603333333333326</v>
      </c>
    </row>
    <row r="1464" spans="1:20" x14ac:dyDescent="0.25">
      <c r="A1464" t="s">
        <v>106</v>
      </c>
      <c r="B1464">
        <v>9</v>
      </c>
      <c r="C1464">
        <v>4</v>
      </c>
      <c r="D1464">
        <v>0</v>
      </c>
      <c r="E1464" t="s">
        <v>290</v>
      </c>
      <c r="F1464">
        <v>297821</v>
      </c>
      <c r="G1464">
        <v>874325378</v>
      </c>
      <c r="H1464">
        <v>0.91555555164813995</v>
      </c>
      <c r="I1464">
        <v>0.9655555555555555</v>
      </c>
      <c r="J1464">
        <v>37749813.25</v>
      </c>
      <c r="K1464">
        <v>297647</v>
      </c>
      <c r="L1464">
        <v>2</v>
      </c>
      <c r="M1464">
        <v>367</v>
      </c>
      <c r="N1464">
        <v>0.96555555555555561</v>
      </c>
      <c r="O1464">
        <v>37587153.25</v>
      </c>
      <c r="P1464">
        <v>299194</v>
      </c>
      <c r="Q1464">
        <v>2</v>
      </c>
      <c r="R1464">
        <v>368</v>
      </c>
      <c r="S1464">
        <v>12.164958164791932</v>
      </c>
      <c r="T1464">
        <v>0.92589999999999995</v>
      </c>
    </row>
    <row r="1465" spans="1:20" x14ac:dyDescent="0.25">
      <c r="A1465" t="s">
        <v>106</v>
      </c>
      <c r="B1465">
        <v>9</v>
      </c>
      <c r="C1465">
        <v>4</v>
      </c>
      <c r="D1465">
        <v>0</v>
      </c>
      <c r="E1465" t="s">
        <v>224</v>
      </c>
      <c r="F1465">
        <v>300174</v>
      </c>
      <c r="G1465">
        <v>966801529.25</v>
      </c>
      <c r="H1465">
        <v>0.90666665136814117</v>
      </c>
      <c r="I1465">
        <v>0.95944444444444443</v>
      </c>
      <c r="J1465">
        <v>42014915.25</v>
      </c>
      <c r="K1465">
        <v>299194</v>
      </c>
      <c r="L1465">
        <v>2</v>
      </c>
      <c r="M1465">
        <v>368</v>
      </c>
      <c r="N1465">
        <v>0.96</v>
      </c>
      <c r="O1465">
        <v>42522786.75</v>
      </c>
      <c r="P1465">
        <v>300745</v>
      </c>
      <c r="Q1465">
        <v>2</v>
      </c>
      <c r="R1465">
        <v>369</v>
      </c>
      <c r="S1465">
        <v>12.166472771591602</v>
      </c>
      <c r="T1465">
        <v>0.91603333333333337</v>
      </c>
    </row>
    <row r="1466" spans="1:20" x14ac:dyDescent="0.25">
      <c r="A1466" t="s">
        <v>106</v>
      </c>
      <c r="B1466">
        <v>9</v>
      </c>
      <c r="C1466">
        <v>4</v>
      </c>
      <c r="D1466">
        <v>0</v>
      </c>
      <c r="E1466" t="s">
        <v>277</v>
      </c>
      <c r="F1466">
        <v>302027</v>
      </c>
      <c r="G1466">
        <v>794219413.25</v>
      </c>
      <c r="H1466">
        <v>0.91722223162651062</v>
      </c>
      <c r="I1466">
        <v>0.9538888888888889</v>
      </c>
      <c r="J1466">
        <v>38499523.5</v>
      </c>
      <c r="K1466">
        <v>300745</v>
      </c>
      <c r="L1466">
        <v>2</v>
      </c>
      <c r="M1466">
        <v>369</v>
      </c>
      <c r="N1466">
        <v>0.9605555555555555</v>
      </c>
      <c r="O1466">
        <v>37660188</v>
      </c>
      <c r="P1466">
        <v>302300</v>
      </c>
      <c r="Q1466">
        <v>2</v>
      </c>
      <c r="R1466">
        <v>370</v>
      </c>
      <c r="S1466">
        <v>12.167765162004985</v>
      </c>
      <c r="T1466">
        <v>0.92959999999999998</v>
      </c>
    </row>
    <row r="1467" spans="1:20" x14ac:dyDescent="0.25">
      <c r="A1467" t="s">
        <v>106</v>
      </c>
      <c r="B1467">
        <v>9</v>
      </c>
      <c r="C1467">
        <v>4</v>
      </c>
      <c r="D1467">
        <v>0</v>
      </c>
      <c r="E1467" t="s">
        <v>168</v>
      </c>
      <c r="F1467">
        <v>303380</v>
      </c>
      <c r="G1467">
        <v>647747984.5</v>
      </c>
      <c r="H1467">
        <v>0.92722222208976746</v>
      </c>
      <c r="I1467">
        <v>0.95777777777777784</v>
      </c>
      <c r="J1467">
        <v>40383871</v>
      </c>
      <c r="K1467">
        <v>302300</v>
      </c>
      <c r="L1467">
        <v>2</v>
      </c>
      <c r="M1467">
        <v>370</v>
      </c>
      <c r="N1467">
        <v>0.95666666666666667</v>
      </c>
      <c r="O1467">
        <v>41446132.25</v>
      </c>
      <c r="P1467">
        <v>303859</v>
      </c>
      <c r="Q1467">
        <v>2</v>
      </c>
      <c r="R1467">
        <v>371</v>
      </c>
      <c r="S1467">
        <v>12.167894124813113</v>
      </c>
      <c r="T1467">
        <v>0.91849999999999998</v>
      </c>
    </row>
    <row r="1468" spans="1:20" x14ac:dyDescent="0.25">
      <c r="A1468" t="s">
        <v>106</v>
      </c>
      <c r="B1468">
        <v>9</v>
      </c>
      <c r="C1468">
        <v>4</v>
      </c>
      <c r="D1468">
        <v>0</v>
      </c>
      <c r="E1468" t="s">
        <v>259</v>
      </c>
      <c r="F1468">
        <v>304233</v>
      </c>
      <c r="G1468">
        <v>617290821.5</v>
      </c>
      <c r="H1468">
        <v>0.89777778089046478</v>
      </c>
      <c r="I1468">
        <v>0.96333333333333337</v>
      </c>
      <c r="J1468">
        <v>39822595.5</v>
      </c>
      <c r="K1468">
        <v>303859</v>
      </c>
      <c r="L1468">
        <v>2</v>
      </c>
      <c r="M1468">
        <v>371</v>
      </c>
      <c r="N1468">
        <v>0.95777777777777784</v>
      </c>
      <c r="O1468">
        <v>41397056.5</v>
      </c>
      <c r="P1468">
        <v>305422</v>
      </c>
      <c r="Q1468">
        <v>2</v>
      </c>
      <c r="R1468">
        <v>372</v>
      </c>
      <c r="S1468">
        <v>12.168078392293639</v>
      </c>
      <c r="T1468">
        <v>0.91110000000000002</v>
      </c>
    </row>
    <row r="1469" spans="1:20" x14ac:dyDescent="0.25">
      <c r="A1469" t="s">
        <v>106</v>
      </c>
      <c r="B1469">
        <v>9</v>
      </c>
      <c r="C1469">
        <v>4</v>
      </c>
      <c r="D1469">
        <v>0</v>
      </c>
      <c r="E1469" t="s">
        <v>240</v>
      </c>
      <c r="F1469">
        <v>308076</v>
      </c>
      <c r="G1469">
        <v>764847422.75</v>
      </c>
      <c r="H1469">
        <v>0.90388891100883484</v>
      </c>
      <c r="I1469">
        <v>0.96722222222222221</v>
      </c>
      <c r="J1469">
        <v>37608694.75</v>
      </c>
      <c r="K1469">
        <v>306989</v>
      </c>
      <c r="L1469">
        <v>2</v>
      </c>
      <c r="M1469">
        <v>373</v>
      </c>
      <c r="N1469">
        <v>0.9655555555555555</v>
      </c>
      <c r="O1469">
        <v>39972371.75</v>
      </c>
      <c r="P1469">
        <v>308560</v>
      </c>
      <c r="Q1469">
        <v>2</v>
      </c>
      <c r="R1469">
        <v>374</v>
      </c>
      <c r="S1469">
        <v>12.169258869762551</v>
      </c>
      <c r="T1469">
        <v>0.91726666666666667</v>
      </c>
    </row>
    <row r="1470" spans="1:20" x14ac:dyDescent="0.25">
      <c r="A1470" t="s">
        <v>106</v>
      </c>
      <c r="B1470">
        <v>9</v>
      </c>
      <c r="C1470">
        <v>4</v>
      </c>
      <c r="D1470">
        <v>0</v>
      </c>
      <c r="E1470" t="s">
        <v>284</v>
      </c>
      <c r="F1470">
        <v>310179</v>
      </c>
      <c r="G1470">
        <v>740000930.5</v>
      </c>
      <c r="H1470">
        <v>0.90444444119930267</v>
      </c>
      <c r="I1470">
        <v>0.95944444444444443</v>
      </c>
      <c r="J1470">
        <v>43408580.75</v>
      </c>
      <c r="K1470">
        <v>310135</v>
      </c>
      <c r="L1470">
        <v>2</v>
      </c>
      <c r="M1470">
        <v>375</v>
      </c>
      <c r="N1470">
        <v>0.95777777777777773</v>
      </c>
      <c r="O1470">
        <v>44163466</v>
      </c>
      <c r="P1470">
        <v>311714</v>
      </c>
      <c r="Q1470">
        <v>2</v>
      </c>
      <c r="R1470">
        <v>376</v>
      </c>
      <c r="S1470">
        <v>12.169664102705992</v>
      </c>
      <c r="T1470">
        <v>0.92219999999999991</v>
      </c>
    </row>
    <row r="1471" spans="1:20" x14ac:dyDescent="0.25">
      <c r="A1471" t="s">
        <v>106</v>
      </c>
      <c r="B1471">
        <v>9</v>
      </c>
      <c r="C1471">
        <v>4</v>
      </c>
      <c r="D1471">
        <v>0</v>
      </c>
      <c r="E1471" t="s">
        <v>266</v>
      </c>
      <c r="F1471">
        <v>312885</v>
      </c>
      <c r="G1471">
        <v>761352252.75</v>
      </c>
      <c r="H1471">
        <v>0.89500001072883606</v>
      </c>
      <c r="I1471">
        <v>0.9572222222222222</v>
      </c>
      <c r="J1471">
        <v>40482744.25</v>
      </c>
      <c r="K1471">
        <v>311714</v>
      </c>
      <c r="L1471">
        <v>2</v>
      </c>
      <c r="M1471">
        <v>376</v>
      </c>
      <c r="N1471">
        <v>0.95277777777777772</v>
      </c>
      <c r="O1471">
        <v>37832022</v>
      </c>
      <c r="P1471">
        <v>313297</v>
      </c>
      <c r="Q1471">
        <v>2</v>
      </c>
      <c r="R1471">
        <v>377</v>
      </c>
      <c r="S1471">
        <v>12.170677731673582</v>
      </c>
      <c r="T1471">
        <v>0.92589999999999995</v>
      </c>
    </row>
    <row r="1472" spans="1:20" x14ac:dyDescent="0.25">
      <c r="A1472" t="s">
        <v>106</v>
      </c>
      <c r="B1472">
        <v>9</v>
      </c>
      <c r="C1472">
        <v>4</v>
      </c>
      <c r="D1472">
        <v>0</v>
      </c>
      <c r="E1472" t="s">
        <v>139</v>
      </c>
      <c r="F1472">
        <v>313488</v>
      </c>
      <c r="G1472">
        <v>641237490.57142854</v>
      </c>
      <c r="H1472">
        <v>0.90952381917408531</v>
      </c>
      <c r="I1472">
        <v>0.95523809523809522</v>
      </c>
      <c r="J1472">
        <v>39284205.714285716</v>
      </c>
      <c r="K1472">
        <v>313297</v>
      </c>
      <c r="L1472">
        <v>2</v>
      </c>
      <c r="M1472">
        <v>377</v>
      </c>
      <c r="N1472">
        <v>0.95492063492063495</v>
      </c>
      <c r="O1472">
        <v>40766215.428571425</v>
      </c>
      <c r="P1472">
        <v>314884</v>
      </c>
      <c r="Q1472">
        <v>2</v>
      </c>
      <c r="R1472">
        <v>378</v>
      </c>
      <c r="S1472">
        <v>12.170943479703572</v>
      </c>
      <c r="T1472">
        <v>0.91664999999999996</v>
      </c>
    </row>
    <row r="1473" spans="1:20" x14ac:dyDescent="0.25">
      <c r="A1473" t="s">
        <v>106</v>
      </c>
      <c r="B1473">
        <v>9</v>
      </c>
      <c r="C1473">
        <v>4</v>
      </c>
      <c r="D1473">
        <v>0</v>
      </c>
      <c r="E1473" t="s">
        <v>291</v>
      </c>
      <c r="F1473">
        <v>318331</v>
      </c>
      <c r="G1473">
        <v>838941178.75</v>
      </c>
      <c r="H1473">
        <v>0.9050000011920929</v>
      </c>
      <c r="I1473">
        <v>0.96888888888888891</v>
      </c>
      <c r="J1473">
        <v>39498796.75</v>
      </c>
      <c r="K1473">
        <v>318070</v>
      </c>
      <c r="L1473">
        <v>2</v>
      </c>
      <c r="M1473">
        <v>380</v>
      </c>
      <c r="N1473">
        <v>0.97</v>
      </c>
      <c r="O1473">
        <v>39874153</v>
      </c>
      <c r="P1473">
        <v>319669</v>
      </c>
      <c r="Q1473">
        <v>2</v>
      </c>
      <c r="R1473">
        <v>381</v>
      </c>
      <c r="S1473">
        <v>12.172343248921818</v>
      </c>
      <c r="T1473">
        <v>0.93083333333333329</v>
      </c>
    </row>
    <row r="1474" spans="1:20" x14ac:dyDescent="0.25">
      <c r="A1474" t="s">
        <v>106</v>
      </c>
      <c r="B1474">
        <v>9</v>
      </c>
      <c r="C1474">
        <v>4</v>
      </c>
      <c r="D1474">
        <v>0</v>
      </c>
      <c r="E1474" t="s">
        <v>211</v>
      </c>
      <c r="F1474">
        <v>320184</v>
      </c>
      <c r="G1474">
        <v>715955240.25</v>
      </c>
      <c r="H1474">
        <v>0.92333333194255829</v>
      </c>
      <c r="I1474">
        <v>0.96277777777777773</v>
      </c>
      <c r="J1474">
        <v>43681740</v>
      </c>
      <c r="K1474">
        <v>319669</v>
      </c>
      <c r="L1474">
        <v>2</v>
      </c>
      <c r="M1474">
        <v>381</v>
      </c>
      <c r="N1474">
        <v>0.96277777777777773</v>
      </c>
      <c r="O1474">
        <v>44607588.25</v>
      </c>
      <c r="P1474">
        <v>321272</v>
      </c>
      <c r="Q1474">
        <v>2</v>
      </c>
      <c r="R1474">
        <v>382</v>
      </c>
      <c r="S1474">
        <v>12.172526257600884</v>
      </c>
      <c r="T1474">
        <v>0.92590000000000006</v>
      </c>
    </row>
    <row r="1475" spans="1:20" x14ac:dyDescent="0.25">
      <c r="A1475" t="s">
        <v>106</v>
      </c>
      <c r="B1475">
        <v>9</v>
      </c>
      <c r="C1475">
        <v>4</v>
      </c>
      <c r="D1475">
        <v>0</v>
      </c>
      <c r="E1475" t="s">
        <v>260</v>
      </c>
      <c r="F1475">
        <v>322743</v>
      </c>
      <c r="G1475">
        <v>533566374.5</v>
      </c>
      <c r="H1475">
        <v>0.91611111164093018</v>
      </c>
      <c r="I1475">
        <v>0.9572222222222222</v>
      </c>
      <c r="J1475">
        <v>38373504.75</v>
      </c>
      <c r="K1475">
        <v>321272</v>
      </c>
      <c r="L1475">
        <v>2</v>
      </c>
      <c r="M1475">
        <v>382</v>
      </c>
      <c r="N1475">
        <v>0.95944444444444443</v>
      </c>
      <c r="O1475">
        <v>39858226.75</v>
      </c>
      <c r="P1475">
        <v>322879</v>
      </c>
      <c r="Q1475">
        <v>2</v>
      </c>
      <c r="R1475">
        <v>383</v>
      </c>
      <c r="S1475">
        <v>12.172543384547364</v>
      </c>
      <c r="T1475">
        <v>0.92589999999999995</v>
      </c>
    </row>
    <row r="1476" spans="1:20" x14ac:dyDescent="0.25">
      <c r="A1476" t="s">
        <v>106</v>
      </c>
      <c r="B1476">
        <v>9</v>
      </c>
      <c r="C1476">
        <v>4</v>
      </c>
      <c r="D1476">
        <v>0</v>
      </c>
      <c r="E1476" t="s">
        <v>226</v>
      </c>
      <c r="F1476">
        <v>328586</v>
      </c>
      <c r="G1476">
        <v>564898733.70000005</v>
      </c>
      <c r="H1476">
        <v>0.90333333611488342</v>
      </c>
      <c r="I1476">
        <v>0.96244444444444444</v>
      </c>
      <c r="J1476">
        <v>41131756.600000001</v>
      </c>
      <c r="K1476">
        <v>327724</v>
      </c>
      <c r="L1476">
        <v>2</v>
      </c>
      <c r="M1476">
        <v>386</v>
      </c>
      <c r="N1476">
        <v>0.95955555555555561</v>
      </c>
      <c r="O1476">
        <v>40182453.899999999</v>
      </c>
      <c r="P1476">
        <v>329347</v>
      </c>
      <c r="Q1476">
        <v>2</v>
      </c>
      <c r="R1476">
        <v>387</v>
      </c>
      <c r="S1476">
        <v>12.172171895713655</v>
      </c>
      <c r="T1476">
        <v>0.92220000000000002</v>
      </c>
    </row>
    <row r="1477" spans="1:20" x14ac:dyDescent="0.25">
      <c r="A1477" t="s">
        <v>106</v>
      </c>
      <c r="B1477">
        <v>9</v>
      </c>
      <c r="C1477">
        <v>4</v>
      </c>
      <c r="D1477">
        <v>0</v>
      </c>
      <c r="E1477" t="s">
        <v>278</v>
      </c>
      <c r="F1477">
        <v>330189</v>
      </c>
      <c r="G1477">
        <v>782351378.5</v>
      </c>
      <c r="H1477">
        <v>0.92055554687976837</v>
      </c>
      <c r="I1477">
        <v>0.96277777777777773</v>
      </c>
      <c r="J1477">
        <v>44973527.75</v>
      </c>
      <c r="K1477">
        <v>329347</v>
      </c>
      <c r="L1477">
        <v>2</v>
      </c>
      <c r="M1477">
        <v>387</v>
      </c>
      <c r="N1477">
        <v>0.96333333333333337</v>
      </c>
      <c r="O1477">
        <v>43811283</v>
      </c>
      <c r="P1477">
        <v>330974</v>
      </c>
      <c r="Q1477">
        <v>2</v>
      </c>
      <c r="R1477">
        <v>388</v>
      </c>
      <c r="S1477">
        <v>12.172575657168103</v>
      </c>
      <c r="T1477">
        <v>0.94563333333333333</v>
      </c>
    </row>
    <row r="1478" spans="1:20" x14ac:dyDescent="0.25">
      <c r="A1478" t="s">
        <v>106</v>
      </c>
      <c r="B1478">
        <v>9</v>
      </c>
      <c r="C1478">
        <v>4</v>
      </c>
      <c r="D1478">
        <v>0</v>
      </c>
      <c r="E1478" t="s">
        <v>144</v>
      </c>
      <c r="F1478">
        <v>331998</v>
      </c>
      <c r="G1478">
        <v>521854600.5</v>
      </c>
      <c r="H1478">
        <v>0.92444445192813873</v>
      </c>
      <c r="I1478">
        <v>0.95500000000000007</v>
      </c>
      <c r="J1478">
        <v>37453535</v>
      </c>
      <c r="K1478">
        <v>330974</v>
      </c>
      <c r="L1478">
        <v>2</v>
      </c>
      <c r="M1478">
        <v>388</v>
      </c>
      <c r="N1478">
        <v>0.96333333333333337</v>
      </c>
      <c r="O1478">
        <v>39367443.25</v>
      </c>
      <c r="P1478">
        <v>332605</v>
      </c>
      <c r="Q1478">
        <v>2</v>
      </c>
      <c r="R1478">
        <v>389</v>
      </c>
      <c r="S1478">
        <v>12.172427120141343</v>
      </c>
      <c r="T1478">
        <v>0.94073333333333331</v>
      </c>
    </row>
    <row r="1479" spans="1:20" x14ac:dyDescent="0.25">
      <c r="A1479" t="s">
        <v>106</v>
      </c>
      <c r="B1479">
        <v>9</v>
      </c>
      <c r="C1479">
        <v>4</v>
      </c>
      <c r="D1479">
        <v>0</v>
      </c>
      <c r="E1479" t="s">
        <v>285</v>
      </c>
      <c r="F1479">
        <v>338841</v>
      </c>
      <c r="G1479">
        <v>811440500.60000002</v>
      </c>
      <c r="H1479">
        <v>0.91000000834465022</v>
      </c>
      <c r="I1479">
        <v>0.95444444444444443</v>
      </c>
      <c r="J1479">
        <v>40678919</v>
      </c>
      <c r="K1479">
        <v>337522</v>
      </c>
      <c r="L1479">
        <v>2</v>
      </c>
      <c r="M1479">
        <v>392</v>
      </c>
      <c r="N1479">
        <v>0.95911111111111114</v>
      </c>
      <c r="O1479">
        <v>40383680.200000003</v>
      </c>
      <c r="P1479">
        <v>339169</v>
      </c>
      <c r="Q1479">
        <v>2</v>
      </c>
      <c r="R1479">
        <v>393</v>
      </c>
      <c r="S1479">
        <v>12.174208144796379</v>
      </c>
      <c r="T1479">
        <v>0.91726666666666667</v>
      </c>
    </row>
    <row r="1480" spans="1:20" x14ac:dyDescent="0.25">
      <c r="A1480" t="s">
        <v>106</v>
      </c>
      <c r="B1480">
        <v>9</v>
      </c>
      <c r="C1480">
        <v>4</v>
      </c>
      <c r="D1480">
        <v>0</v>
      </c>
      <c r="E1480" t="s">
        <v>212</v>
      </c>
      <c r="F1480">
        <v>340194</v>
      </c>
      <c r="G1480">
        <v>1187284821.25</v>
      </c>
      <c r="H1480">
        <v>0.884444460272789</v>
      </c>
      <c r="I1480">
        <v>0.95944444444444443</v>
      </c>
      <c r="J1480">
        <v>43380898.25</v>
      </c>
      <c r="K1480">
        <v>339169</v>
      </c>
      <c r="L1480">
        <v>2</v>
      </c>
      <c r="M1480">
        <v>393</v>
      </c>
      <c r="N1480">
        <v>0.9572222222222222</v>
      </c>
      <c r="O1480">
        <v>45609006.5</v>
      </c>
      <c r="P1480">
        <v>340820</v>
      </c>
      <c r="Q1480">
        <v>2</v>
      </c>
      <c r="R1480">
        <v>394</v>
      </c>
      <c r="S1480">
        <v>12.175824782080989</v>
      </c>
      <c r="T1480">
        <v>0.90493333333333326</v>
      </c>
    </row>
    <row r="1481" spans="1:20" x14ac:dyDescent="0.25">
      <c r="A1481" t="s">
        <v>106</v>
      </c>
      <c r="B1481">
        <v>9</v>
      </c>
      <c r="C1481">
        <v>4</v>
      </c>
      <c r="D1481">
        <v>0</v>
      </c>
      <c r="E1481" t="s">
        <v>261</v>
      </c>
      <c r="F1481">
        <v>341253</v>
      </c>
      <c r="G1481">
        <v>859732271.75</v>
      </c>
      <c r="H1481">
        <v>0.9005555659532547</v>
      </c>
      <c r="I1481">
        <v>0.9588888888888889</v>
      </c>
      <c r="J1481">
        <v>40702603.75</v>
      </c>
      <c r="K1481">
        <v>340820</v>
      </c>
      <c r="L1481">
        <v>2</v>
      </c>
      <c r="M1481">
        <v>394</v>
      </c>
      <c r="N1481">
        <v>0.9538888888888889</v>
      </c>
      <c r="O1481">
        <v>39969347.5</v>
      </c>
      <c r="P1481">
        <v>342475</v>
      </c>
      <c r="Q1481">
        <v>2</v>
      </c>
      <c r="R1481">
        <v>395</v>
      </c>
      <c r="S1481">
        <v>12.177054605626035</v>
      </c>
      <c r="T1481">
        <v>0.92589999999999995</v>
      </c>
    </row>
    <row r="1482" spans="1:20" x14ac:dyDescent="0.25">
      <c r="A1482" t="s">
        <v>106</v>
      </c>
      <c r="B1482">
        <v>9</v>
      </c>
      <c r="C1482">
        <v>4</v>
      </c>
      <c r="D1482">
        <v>0</v>
      </c>
      <c r="E1482" t="s">
        <v>227</v>
      </c>
      <c r="F1482">
        <v>349096</v>
      </c>
      <c r="G1482">
        <v>797218359.89999998</v>
      </c>
      <c r="H1482">
        <v>0.89177777767181399</v>
      </c>
      <c r="I1482">
        <v>0.96177777777777784</v>
      </c>
      <c r="J1482">
        <v>42582976</v>
      </c>
      <c r="K1482">
        <v>347464</v>
      </c>
      <c r="L1482">
        <v>2</v>
      </c>
      <c r="M1482">
        <v>398</v>
      </c>
      <c r="N1482">
        <v>0.96</v>
      </c>
      <c r="O1482">
        <v>42224190.5</v>
      </c>
      <c r="P1482">
        <v>349135</v>
      </c>
      <c r="Q1482">
        <v>2</v>
      </c>
      <c r="R1482">
        <v>399</v>
      </c>
      <c r="S1482">
        <v>12.178335170893053</v>
      </c>
      <c r="T1482">
        <v>0.91562222222222223</v>
      </c>
    </row>
    <row r="1483" spans="1:20" x14ac:dyDescent="0.25">
      <c r="A1483" t="s">
        <v>106</v>
      </c>
      <c r="B1483">
        <v>9</v>
      </c>
      <c r="C1483">
        <v>4</v>
      </c>
      <c r="D1483">
        <v>0</v>
      </c>
      <c r="E1483" t="s">
        <v>198</v>
      </c>
      <c r="F1483">
        <v>350802</v>
      </c>
      <c r="G1483">
        <v>776557057.5</v>
      </c>
      <c r="H1483">
        <v>0.89333334565162659</v>
      </c>
      <c r="I1483">
        <v>0.96111111111111114</v>
      </c>
      <c r="J1483">
        <v>45733386.75</v>
      </c>
      <c r="K1483">
        <v>349135</v>
      </c>
      <c r="L1483">
        <v>2</v>
      </c>
      <c r="M1483">
        <v>399</v>
      </c>
      <c r="N1483">
        <v>0.95944444444444443</v>
      </c>
      <c r="O1483">
        <v>45680370.75</v>
      </c>
      <c r="P1483">
        <v>350810</v>
      </c>
      <c r="Q1483">
        <v>2</v>
      </c>
      <c r="R1483">
        <v>400</v>
      </c>
      <c r="S1483">
        <v>12.178461199294533</v>
      </c>
      <c r="T1483">
        <v>0.91849999999999998</v>
      </c>
    </row>
    <row r="1484" spans="1:20" x14ac:dyDescent="0.25">
      <c r="A1484" t="s">
        <v>106</v>
      </c>
      <c r="B1484">
        <v>9</v>
      </c>
      <c r="C1484">
        <v>4</v>
      </c>
      <c r="D1484">
        <v>0</v>
      </c>
      <c r="E1484" t="s">
        <v>268</v>
      </c>
      <c r="F1484">
        <v>350905</v>
      </c>
      <c r="G1484">
        <v>774917591.42857146</v>
      </c>
      <c r="H1484">
        <v>0.91428571087973454</v>
      </c>
      <c r="I1484">
        <v>0.95238095238095244</v>
      </c>
      <c r="J1484">
        <v>41777450.285714284</v>
      </c>
      <c r="K1484">
        <v>350810</v>
      </c>
      <c r="L1484">
        <v>2</v>
      </c>
      <c r="M1484">
        <v>400</v>
      </c>
      <c r="N1484">
        <v>0.95746031746031746</v>
      </c>
      <c r="O1484">
        <v>41151539.857142858</v>
      </c>
      <c r="P1484">
        <v>352489</v>
      </c>
      <c r="Q1484">
        <v>2</v>
      </c>
      <c r="R1484">
        <v>401</v>
      </c>
      <c r="S1484">
        <v>12.179549336124731</v>
      </c>
      <c r="T1484">
        <v>0.93764999999999998</v>
      </c>
    </row>
    <row r="1485" spans="1:20" x14ac:dyDescent="0.25">
      <c r="A1485" t="s">
        <v>106</v>
      </c>
      <c r="B1485">
        <v>9</v>
      </c>
      <c r="C1485">
        <v>4</v>
      </c>
      <c r="D1485">
        <v>0</v>
      </c>
      <c r="E1485" t="s">
        <v>273</v>
      </c>
      <c r="F1485">
        <v>360557</v>
      </c>
      <c r="G1485">
        <v>1037144672.5</v>
      </c>
      <c r="H1485">
        <v>0.90444444119930267</v>
      </c>
      <c r="I1485">
        <v>0.96055555555555561</v>
      </c>
      <c r="J1485">
        <v>43906540.75</v>
      </c>
      <c r="K1485">
        <v>359245</v>
      </c>
      <c r="L1485">
        <v>2</v>
      </c>
      <c r="M1485">
        <v>405</v>
      </c>
      <c r="N1485">
        <v>0.9538888888888889</v>
      </c>
      <c r="O1485">
        <v>43541623</v>
      </c>
      <c r="P1485">
        <v>360944</v>
      </c>
      <c r="Q1485">
        <v>2</v>
      </c>
      <c r="R1485">
        <v>406</v>
      </c>
      <c r="S1485">
        <v>12.180721564307353</v>
      </c>
      <c r="T1485">
        <v>0.93579999999999997</v>
      </c>
    </row>
    <row r="1486" spans="1:20" x14ac:dyDescent="0.25">
      <c r="A1486" t="s">
        <v>106</v>
      </c>
      <c r="B1486">
        <v>9</v>
      </c>
      <c r="C1486">
        <v>4</v>
      </c>
      <c r="D1486">
        <v>0</v>
      </c>
      <c r="E1486" t="s">
        <v>280</v>
      </c>
      <c r="F1486">
        <v>370209</v>
      </c>
      <c r="G1486">
        <v>826996063.39999998</v>
      </c>
      <c r="H1486">
        <v>0.9093333423137665</v>
      </c>
      <c r="I1486">
        <v>0.96177777777777773</v>
      </c>
      <c r="J1486">
        <v>44272617.700000003</v>
      </c>
      <c r="K1486">
        <v>369499</v>
      </c>
      <c r="L1486">
        <v>2</v>
      </c>
      <c r="M1486">
        <v>411</v>
      </c>
      <c r="N1486">
        <v>0.95844444444444443</v>
      </c>
      <c r="O1486">
        <v>43775704.100000001</v>
      </c>
      <c r="P1486">
        <v>371222</v>
      </c>
      <c r="Q1486">
        <v>2</v>
      </c>
      <c r="R1486">
        <v>412</v>
      </c>
      <c r="S1486">
        <v>12.182383704927057</v>
      </c>
      <c r="T1486">
        <v>0.93537777777777775</v>
      </c>
    </row>
    <row r="1487" spans="1:20" x14ac:dyDescent="0.25">
      <c r="A1487" t="s">
        <v>106</v>
      </c>
      <c r="B1487">
        <v>9</v>
      </c>
      <c r="C1487">
        <v>4</v>
      </c>
      <c r="D1487">
        <v>0</v>
      </c>
      <c r="E1487" t="s">
        <v>287</v>
      </c>
      <c r="F1487">
        <v>379861</v>
      </c>
      <c r="G1487">
        <v>904154885.85714281</v>
      </c>
      <c r="H1487">
        <v>0.91079366207122803</v>
      </c>
      <c r="I1487">
        <v>0.95936507936507931</v>
      </c>
      <c r="J1487">
        <v>46618684.428571425</v>
      </c>
      <c r="K1487">
        <v>378154</v>
      </c>
      <c r="L1487">
        <v>2</v>
      </c>
      <c r="M1487">
        <v>416</v>
      </c>
      <c r="N1487">
        <v>0.96095238095238089</v>
      </c>
      <c r="O1487">
        <v>46867702.857142858</v>
      </c>
      <c r="P1487">
        <v>379897</v>
      </c>
      <c r="Q1487">
        <v>2</v>
      </c>
      <c r="R1487">
        <v>417</v>
      </c>
      <c r="S1487">
        <v>12.183414043583536</v>
      </c>
      <c r="T1487">
        <v>0.9098666666666666</v>
      </c>
    </row>
    <row r="1488" spans="1:20" x14ac:dyDescent="0.25">
      <c r="A1488" t="s">
        <v>106</v>
      </c>
      <c r="B1488">
        <v>9</v>
      </c>
      <c r="C1488">
        <v>5</v>
      </c>
      <c r="D1488">
        <v>0</v>
      </c>
      <c r="E1488" t="s">
        <v>123</v>
      </c>
      <c r="F1488">
        <v>99514</v>
      </c>
      <c r="G1488">
        <v>693372646</v>
      </c>
      <c r="H1488">
        <v>0.90722224116325378</v>
      </c>
      <c r="I1488">
        <v>0.96444444444444444</v>
      </c>
      <c r="J1488">
        <v>44463744.25</v>
      </c>
      <c r="K1488">
        <v>98950</v>
      </c>
      <c r="L1488">
        <v>2</v>
      </c>
      <c r="M1488">
        <v>204</v>
      </c>
      <c r="N1488">
        <v>0.96111111111111114</v>
      </c>
      <c r="O1488">
        <v>44267357</v>
      </c>
      <c r="P1488">
        <v>99845</v>
      </c>
      <c r="Q1488">
        <v>2</v>
      </c>
      <c r="R1488">
        <v>205</v>
      </c>
      <c r="S1488">
        <v>12.18315360915493</v>
      </c>
      <c r="T1488">
        <v>0.92959999999999998</v>
      </c>
    </row>
    <row r="1489" spans="1:20" x14ac:dyDescent="0.25">
      <c r="A1489" t="s">
        <v>106</v>
      </c>
      <c r="B1489">
        <v>9</v>
      </c>
      <c r="C1489">
        <v>5</v>
      </c>
      <c r="D1489">
        <v>0</v>
      </c>
      <c r="E1489" t="s">
        <v>257</v>
      </c>
      <c r="F1489">
        <v>109879</v>
      </c>
      <c r="G1489">
        <v>195083555.5</v>
      </c>
      <c r="H1489">
        <v>0.90833333134651184</v>
      </c>
      <c r="I1489">
        <v>0.96111111111111114</v>
      </c>
      <c r="J1489">
        <v>28667656.75</v>
      </c>
      <c r="K1489">
        <v>109015</v>
      </c>
      <c r="L1489">
        <v>2</v>
      </c>
      <c r="M1489">
        <v>215</v>
      </c>
      <c r="N1489">
        <v>0.96111111111111114</v>
      </c>
      <c r="O1489">
        <v>29101758</v>
      </c>
      <c r="P1489">
        <v>109954</v>
      </c>
      <c r="Q1489">
        <v>2</v>
      </c>
      <c r="R1489">
        <v>216</v>
      </c>
      <c r="S1489">
        <v>12.182453245324533</v>
      </c>
      <c r="T1489">
        <v>0.94069999999999998</v>
      </c>
    </row>
    <row r="1490" spans="1:20" x14ac:dyDescent="0.25">
      <c r="A1490" t="s">
        <v>106</v>
      </c>
      <c r="B1490">
        <v>9</v>
      </c>
      <c r="C1490">
        <v>5</v>
      </c>
      <c r="D1490">
        <v>0</v>
      </c>
      <c r="E1490" t="s">
        <v>128</v>
      </c>
      <c r="F1490">
        <v>120244</v>
      </c>
      <c r="G1490">
        <v>217111264.25</v>
      </c>
      <c r="H1490">
        <v>0.91388890147209167</v>
      </c>
      <c r="I1490">
        <v>0.96444444444444444</v>
      </c>
      <c r="J1490">
        <v>29861520.75</v>
      </c>
      <c r="K1490">
        <v>119564</v>
      </c>
      <c r="L1490">
        <v>2</v>
      </c>
      <c r="M1490">
        <v>226</v>
      </c>
      <c r="N1490">
        <v>0.95277777777777783</v>
      </c>
      <c r="O1490">
        <v>29751556.5</v>
      </c>
      <c r="P1490">
        <v>120547</v>
      </c>
      <c r="Q1490">
        <v>2</v>
      </c>
      <c r="R1490">
        <v>227</v>
      </c>
      <c r="S1490">
        <v>12.181808183018038</v>
      </c>
      <c r="T1490">
        <v>0.92959999999999998</v>
      </c>
    </row>
    <row r="1491" spans="1:20" x14ac:dyDescent="0.25">
      <c r="A1491" t="s">
        <v>106</v>
      </c>
      <c r="B1491">
        <v>9</v>
      </c>
      <c r="C1491">
        <v>5</v>
      </c>
      <c r="D1491">
        <v>0</v>
      </c>
      <c r="E1491" t="s">
        <v>258</v>
      </c>
      <c r="F1491">
        <v>130609</v>
      </c>
      <c r="G1491">
        <v>229421849.5</v>
      </c>
      <c r="H1491">
        <v>0.90944443643093109</v>
      </c>
      <c r="I1491">
        <v>0.96055555555555561</v>
      </c>
      <c r="J1491">
        <v>30884155.5</v>
      </c>
      <c r="K1491">
        <v>130597</v>
      </c>
      <c r="L1491">
        <v>2</v>
      </c>
      <c r="M1491">
        <v>237</v>
      </c>
      <c r="N1491">
        <v>0.9622222222222222</v>
      </c>
      <c r="O1491">
        <v>32249616.25</v>
      </c>
      <c r="P1491">
        <v>131624</v>
      </c>
      <c r="Q1491">
        <v>2</v>
      </c>
      <c r="R1491">
        <v>238</v>
      </c>
      <c r="S1491">
        <v>12.181108423136134</v>
      </c>
      <c r="T1491">
        <v>0.92959999999999998</v>
      </c>
    </row>
    <row r="1492" spans="1:20" x14ac:dyDescent="0.25">
      <c r="A1492" t="s">
        <v>106</v>
      </c>
      <c r="B1492">
        <v>9</v>
      </c>
      <c r="C1492">
        <v>5</v>
      </c>
      <c r="D1492">
        <v>0</v>
      </c>
      <c r="E1492" t="s">
        <v>192</v>
      </c>
      <c r="F1492">
        <v>140974</v>
      </c>
      <c r="G1492">
        <v>260529539.75</v>
      </c>
      <c r="H1492">
        <v>0.91611111164093018</v>
      </c>
      <c r="I1492">
        <v>0.96666666666666667</v>
      </c>
      <c r="J1492">
        <v>31177831.75</v>
      </c>
      <c r="K1492">
        <v>139984</v>
      </c>
      <c r="L1492">
        <v>2</v>
      </c>
      <c r="M1492">
        <v>246</v>
      </c>
      <c r="N1492">
        <v>0.96277777777777773</v>
      </c>
      <c r="O1492">
        <v>32207042.75</v>
      </c>
      <c r="P1492">
        <v>141047</v>
      </c>
      <c r="Q1492">
        <v>2</v>
      </c>
      <c r="R1492">
        <v>247</v>
      </c>
      <c r="S1492">
        <v>12.180518909410729</v>
      </c>
      <c r="T1492">
        <v>0.92589999999999995</v>
      </c>
    </row>
    <row r="1493" spans="1:20" x14ac:dyDescent="0.25">
      <c r="A1493" t="s">
        <v>106</v>
      </c>
      <c r="B1493">
        <v>9</v>
      </c>
      <c r="C1493">
        <v>5</v>
      </c>
      <c r="D1493">
        <v>0</v>
      </c>
      <c r="E1493" t="s">
        <v>292</v>
      </c>
      <c r="F1493">
        <v>151339</v>
      </c>
      <c r="G1493">
        <v>280208359.25</v>
      </c>
      <c r="H1493">
        <v>0.90833334624767303</v>
      </c>
      <c r="I1493">
        <v>0.96500000000000008</v>
      </c>
      <c r="J1493">
        <v>34019988.75</v>
      </c>
      <c r="K1493">
        <v>150794</v>
      </c>
      <c r="L1493">
        <v>2</v>
      </c>
      <c r="M1493">
        <v>256</v>
      </c>
      <c r="N1493">
        <v>0.9622222222222222</v>
      </c>
      <c r="O1493">
        <v>33791153.25</v>
      </c>
      <c r="P1493">
        <v>151897</v>
      </c>
      <c r="Q1493">
        <v>2</v>
      </c>
      <c r="R1493">
        <v>257</v>
      </c>
      <c r="S1493">
        <v>12.179984612002638</v>
      </c>
      <c r="T1493">
        <v>0.91973333333333329</v>
      </c>
    </row>
    <row r="1494" spans="1:20" x14ac:dyDescent="0.25">
      <c r="A1494" t="s">
        <v>106</v>
      </c>
      <c r="B1494">
        <v>9</v>
      </c>
      <c r="C1494">
        <v>5</v>
      </c>
      <c r="D1494">
        <v>0</v>
      </c>
      <c r="E1494" t="s">
        <v>243</v>
      </c>
      <c r="F1494">
        <v>161704</v>
      </c>
      <c r="G1494">
        <v>261896481.75</v>
      </c>
      <c r="H1494">
        <v>0.93222221732139587</v>
      </c>
      <c r="I1494">
        <v>0.9588888888888889</v>
      </c>
      <c r="J1494">
        <v>35416800.75</v>
      </c>
      <c r="K1494">
        <v>160865</v>
      </c>
      <c r="L1494">
        <v>2</v>
      </c>
      <c r="M1494">
        <v>265</v>
      </c>
      <c r="N1494">
        <v>0.96166666666666667</v>
      </c>
      <c r="O1494">
        <v>35550668.5</v>
      </c>
      <c r="P1494">
        <v>162004</v>
      </c>
      <c r="Q1494">
        <v>2</v>
      </c>
      <c r="R1494">
        <v>266</v>
      </c>
      <c r="S1494">
        <v>12.179120879120878</v>
      </c>
      <c r="T1494">
        <v>0.94073333333333331</v>
      </c>
    </row>
    <row r="1495" spans="1:20" x14ac:dyDescent="0.25">
      <c r="A1495" t="s">
        <v>106</v>
      </c>
      <c r="B1495">
        <v>9</v>
      </c>
      <c r="C1495">
        <v>5</v>
      </c>
      <c r="D1495">
        <v>0</v>
      </c>
      <c r="E1495" t="s">
        <v>293</v>
      </c>
      <c r="F1495">
        <v>172069</v>
      </c>
      <c r="G1495">
        <v>262965855.5</v>
      </c>
      <c r="H1495">
        <v>0.90833331644535065</v>
      </c>
      <c r="I1495">
        <v>0.95611111111111113</v>
      </c>
      <c r="J1495">
        <v>31158393.75</v>
      </c>
      <c r="K1495">
        <v>171260</v>
      </c>
      <c r="L1495">
        <v>2</v>
      </c>
      <c r="M1495">
        <v>274</v>
      </c>
      <c r="N1495">
        <v>0.95833333333333326</v>
      </c>
      <c r="O1495">
        <v>30952852.5</v>
      </c>
      <c r="P1495">
        <v>172435</v>
      </c>
      <c r="Q1495">
        <v>2</v>
      </c>
      <c r="R1495">
        <v>275</v>
      </c>
      <c r="S1495">
        <v>12.17847725774555</v>
      </c>
      <c r="T1495">
        <v>0.92589999999999995</v>
      </c>
    </row>
    <row r="1496" spans="1:20" x14ac:dyDescent="0.25">
      <c r="A1496" t="s">
        <v>106</v>
      </c>
      <c r="B1496">
        <v>9</v>
      </c>
      <c r="C1496">
        <v>5</v>
      </c>
      <c r="D1496">
        <v>0</v>
      </c>
      <c r="E1496" t="s">
        <v>248</v>
      </c>
      <c r="F1496">
        <v>182434</v>
      </c>
      <c r="G1496">
        <v>200258740.75</v>
      </c>
      <c r="H1496">
        <v>0.90666666626930237</v>
      </c>
      <c r="I1496">
        <v>0.9538888888888889</v>
      </c>
      <c r="J1496">
        <v>29433436.75</v>
      </c>
      <c r="K1496">
        <v>181979</v>
      </c>
      <c r="L1496">
        <v>2</v>
      </c>
      <c r="M1496">
        <v>283</v>
      </c>
      <c r="N1496">
        <v>0.95666666666666667</v>
      </c>
      <c r="O1496">
        <v>28601835</v>
      </c>
      <c r="P1496">
        <v>183190</v>
      </c>
      <c r="Q1496">
        <v>2</v>
      </c>
      <c r="R1496">
        <v>284</v>
      </c>
      <c r="S1496">
        <v>12.177559314586995</v>
      </c>
      <c r="T1496">
        <v>0.92836666666666667</v>
      </c>
    </row>
    <row r="1497" spans="1:20" x14ac:dyDescent="0.25">
      <c r="A1497" t="s">
        <v>106</v>
      </c>
      <c r="B1497">
        <v>9</v>
      </c>
      <c r="C1497">
        <v>5</v>
      </c>
      <c r="D1497">
        <v>0</v>
      </c>
      <c r="E1497" t="s">
        <v>294</v>
      </c>
      <c r="F1497">
        <v>192799</v>
      </c>
      <c r="G1497">
        <v>198271271.5</v>
      </c>
      <c r="H1497">
        <v>0.90833334624767303</v>
      </c>
      <c r="I1497">
        <v>0.96</v>
      </c>
      <c r="J1497">
        <v>31095695.75</v>
      </c>
      <c r="K1497">
        <v>191779</v>
      </c>
      <c r="L1497">
        <v>2</v>
      </c>
      <c r="M1497">
        <v>291</v>
      </c>
      <c r="N1497">
        <v>0.9555555555555556</v>
      </c>
      <c r="O1497">
        <v>30647676.5</v>
      </c>
      <c r="P1497">
        <v>193022</v>
      </c>
      <c r="Q1497">
        <v>2</v>
      </c>
      <c r="R1497">
        <v>292</v>
      </c>
      <c r="S1497">
        <v>12.176531956951461</v>
      </c>
      <c r="T1497">
        <v>0.92836666666666667</v>
      </c>
    </row>
    <row r="1498" spans="1:20" x14ac:dyDescent="0.25">
      <c r="A1498" t="s">
        <v>106</v>
      </c>
      <c r="B1498">
        <v>9</v>
      </c>
      <c r="C1498">
        <v>5</v>
      </c>
      <c r="D1498">
        <v>0</v>
      </c>
      <c r="E1498" t="s">
        <v>253</v>
      </c>
      <c r="F1498">
        <v>203164</v>
      </c>
      <c r="G1498">
        <v>251664643.5</v>
      </c>
      <c r="H1498">
        <v>0.91277778148651123</v>
      </c>
      <c r="I1498">
        <v>0.95666666666666667</v>
      </c>
      <c r="J1498">
        <v>30985981.25</v>
      </c>
      <c r="K1498">
        <v>203110</v>
      </c>
      <c r="L1498">
        <v>2</v>
      </c>
      <c r="M1498">
        <v>300</v>
      </c>
      <c r="N1498">
        <v>0.95777777777777784</v>
      </c>
      <c r="O1498">
        <v>31407417.25</v>
      </c>
      <c r="P1498">
        <v>204389</v>
      </c>
      <c r="Q1498">
        <v>2</v>
      </c>
      <c r="R1498">
        <v>301</v>
      </c>
      <c r="S1498">
        <v>12.175779534475186</v>
      </c>
      <c r="T1498">
        <v>0.93700000000000006</v>
      </c>
    </row>
    <row r="1499" spans="1:20" x14ac:dyDescent="0.25">
      <c r="A1499" t="s">
        <v>106</v>
      </c>
      <c r="B1499">
        <v>9</v>
      </c>
      <c r="C1499">
        <v>5</v>
      </c>
      <c r="D1499">
        <v>0</v>
      </c>
      <c r="E1499" t="s">
        <v>254</v>
      </c>
      <c r="F1499">
        <v>213529</v>
      </c>
      <c r="G1499">
        <v>248782362.25</v>
      </c>
      <c r="H1499">
        <v>0.89166666567325592</v>
      </c>
      <c r="I1499">
        <v>0.95833333333333337</v>
      </c>
      <c r="J1499">
        <v>30887949.25</v>
      </c>
      <c r="K1499">
        <v>213454</v>
      </c>
      <c r="L1499">
        <v>2</v>
      </c>
      <c r="M1499">
        <v>308</v>
      </c>
      <c r="N1499">
        <v>0.95555555555555549</v>
      </c>
      <c r="O1499">
        <v>32667637.5</v>
      </c>
      <c r="P1499">
        <v>214765</v>
      </c>
      <c r="Q1499">
        <v>2</v>
      </c>
      <c r="R1499">
        <v>309</v>
      </c>
      <c r="S1499">
        <v>12.174917672886938</v>
      </c>
      <c r="T1499">
        <v>0.93206666666666671</v>
      </c>
    </row>
    <row r="1500" spans="1:20" x14ac:dyDescent="0.25">
      <c r="A1500" t="s">
        <v>106</v>
      </c>
      <c r="B1500">
        <v>9</v>
      </c>
      <c r="C1500">
        <v>5</v>
      </c>
      <c r="D1500">
        <v>0</v>
      </c>
      <c r="E1500" t="s">
        <v>111</v>
      </c>
      <c r="F1500">
        <v>223894</v>
      </c>
      <c r="G1500">
        <v>300703704.5</v>
      </c>
      <c r="H1500">
        <v>0.91555555164813995</v>
      </c>
      <c r="I1500">
        <v>0.95611111111111113</v>
      </c>
      <c r="J1500">
        <v>32628549.5</v>
      </c>
      <c r="K1500">
        <v>222715</v>
      </c>
      <c r="L1500">
        <v>2</v>
      </c>
      <c r="M1500">
        <v>315</v>
      </c>
      <c r="N1500">
        <v>0.95555555555555549</v>
      </c>
      <c r="O1500">
        <v>29815719.25</v>
      </c>
      <c r="P1500">
        <v>224054</v>
      </c>
      <c r="Q1500">
        <v>2</v>
      </c>
      <c r="R1500">
        <v>316</v>
      </c>
      <c r="S1500">
        <v>12.174275680421422</v>
      </c>
      <c r="T1500">
        <v>0.93826666666666669</v>
      </c>
    </row>
    <row r="1501" spans="1:20" x14ac:dyDescent="0.25">
      <c r="A1501" t="s">
        <v>106</v>
      </c>
      <c r="B1501">
        <v>9</v>
      </c>
      <c r="C1501">
        <v>5</v>
      </c>
      <c r="D1501">
        <v>0</v>
      </c>
      <c r="E1501" t="s">
        <v>255</v>
      </c>
      <c r="F1501">
        <v>234259</v>
      </c>
      <c r="G1501">
        <v>276648851.5</v>
      </c>
      <c r="H1501">
        <v>0.90166665613651276</v>
      </c>
      <c r="I1501">
        <v>0.95444444444444443</v>
      </c>
      <c r="J1501">
        <v>33747287.5</v>
      </c>
      <c r="K1501">
        <v>233539</v>
      </c>
      <c r="L1501">
        <v>2</v>
      </c>
      <c r="M1501">
        <v>323</v>
      </c>
      <c r="N1501">
        <v>0.95222222222222219</v>
      </c>
      <c r="O1501">
        <v>32265174.25</v>
      </c>
      <c r="P1501">
        <v>234910</v>
      </c>
      <c r="Q1501">
        <v>2</v>
      </c>
      <c r="R1501">
        <v>324</v>
      </c>
      <c r="S1501">
        <v>12.173359666447224</v>
      </c>
      <c r="T1501">
        <v>0.93453333333333333</v>
      </c>
    </row>
    <row r="1502" spans="1:20" x14ac:dyDescent="0.25">
      <c r="A1502" t="s">
        <v>106</v>
      </c>
      <c r="B1502">
        <v>9</v>
      </c>
      <c r="C1502">
        <v>5</v>
      </c>
      <c r="D1502">
        <v>0</v>
      </c>
      <c r="E1502" t="s">
        <v>116</v>
      </c>
      <c r="F1502">
        <v>244624</v>
      </c>
      <c r="G1502">
        <v>273525437.5</v>
      </c>
      <c r="H1502">
        <v>0.91888889670372009</v>
      </c>
      <c r="I1502">
        <v>0.95499999999999996</v>
      </c>
      <c r="J1502">
        <v>33248914.5</v>
      </c>
      <c r="K1502">
        <v>244619</v>
      </c>
      <c r="L1502">
        <v>2</v>
      </c>
      <c r="M1502">
        <v>331</v>
      </c>
      <c r="N1502">
        <v>0.9572222222222222</v>
      </c>
      <c r="O1502">
        <v>32901908.25</v>
      </c>
      <c r="P1502">
        <v>246022</v>
      </c>
      <c r="Q1502">
        <v>2</v>
      </c>
      <c r="R1502">
        <v>332</v>
      </c>
      <c r="S1502">
        <v>12.172389205792014</v>
      </c>
      <c r="T1502">
        <v>0.93826666666666669</v>
      </c>
    </row>
    <row r="1503" spans="1:20" x14ac:dyDescent="0.25">
      <c r="A1503" t="s">
        <v>106</v>
      </c>
      <c r="B1503">
        <v>9</v>
      </c>
      <c r="C1503">
        <v>5</v>
      </c>
      <c r="D1503">
        <v>0</v>
      </c>
      <c r="E1503" t="s">
        <v>147</v>
      </c>
      <c r="F1503">
        <v>247434</v>
      </c>
      <c r="G1503">
        <v>333900780.5</v>
      </c>
      <c r="H1503">
        <v>0.89666666090488434</v>
      </c>
      <c r="I1503">
        <v>0.9522222222222223</v>
      </c>
      <c r="J1503">
        <v>34403534.5</v>
      </c>
      <c r="K1503">
        <v>247429</v>
      </c>
      <c r="L1503">
        <v>2</v>
      </c>
      <c r="M1503">
        <v>333</v>
      </c>
      <c r="N1503">
        <v>0.96111111111111103</v>
      </c>
      <c r="O1503">
        <v>35606988.25</v>
      </c>
      <c r="P1503">
        <v>248840</v>
      </c>
      <c r="Q1503">
        <v>2</v>
      </c>
      <c r="R1503">
        <v>334</v>
      </c>
      <c r="S1503">
        <v>12.171803026979601</v>
      </c>
      <c r="T1503">
        <v>0.90739999999999998</v>
      </c>
    </row>
    <row r="1504" spans="1:20" x14ac:dyDescent="0.25">
      <c r="A1504" t="s">
        <v>106</v>
      </c>
      <c r="B1504">
        <v>9</v>
      </c>
      <c r="C1504">
        <v>5</v>
      </c>
      <c r="D1504">
        <v>0</v>
      </c>
      <c r="E1504" t="s">
        <v>256</v>
      </c>
      <c r="F1504">
        <v>254989</v>
      </c>
      <c r="G1504">
        <v>461536483.25</v>
      </c>
      <c r="H1504">
        <v>0.8449999988079071</v>
      </c>
      <c r="I1504">
        <v>0.95500000000000007</v>
      </c>
      <c r="J1504">
        <v>33300540.75</v>
      </c>
      <c r="K1504">
        <v>254524</v>
      </c>
      <c r="L1504">
        <v>2</v>
      </c>
      <c r="M1504">
        <v>338</v>
      </c>
      <c r="N1504">
        <v>0.9572222222222222</v>
      </c>
      <c r="O1504">
        <v>36521335.75</v>
      </c>
      <c r="P1504">
        <v>255955</v>
      </c>
      <c r="Q1504">
        <v>2</v>
      </c>
      <c r="R1504">
        <v>339</v>
      </c>
      <c r="S1504">
        <v>12.171929824561403</v>
      </c>
      <c r="T1504">
        <v>0.87036666666666662</v>
      </c>
    </row>
    <row r="1505" spans="1:20" x14ac:dyDescent="0.25">
      <c r="A1505" t="s">
        <v>106</v>
      </c>
      <c r="B1505">
        <v>9</v>
      </c>
      <c r="C1505">
        <v>5</v>
      </c>
      <c r="D1505">
        <v>0</v>
      </c>
      <c r="E1505" t="s">
        <v>262</v>
      </c>
      <c r="F1505">
        <v>257799</v>
      </c>
      <c r="G1505">
        <v>522182398.28571427</v>
      </c>
      <c r="H1505">
        <v>0.80507936647960121</v>
      </c>
      <c r="I1505">
        <v>0.95809523809523811</v>
      </c>
      <c r="J1505">
        <v>34004609.857142858</v>
      </c>
      <c r="K1505">
        <v>257390</v>
      </c>
      <c r="L1505">
        <v>2</v>
      </c>
      <c r="M1505">
        <v>340</v>
      </c>
      <c r="N1505">
        <v>0.95873015873015865</v>
      </c>
      <c r="O1505">
        <v>35220622</v>
      </c>
      <c r="P1505">
        <v>258829</v>
      </c>
      <c r="Q1505">
        <v>2</v>
      </c>
      <c r="R1505">
        <v>341</v>
      </c>
      <c r="S1505">
        <v>12.172521510385268</v>
      </c>
      <c r="T1505">
        <v>0.86543333333333339</v>
      </c>
    </row>
    <row r="1506" spans="1:20" x14ac:dyDescent="0.25">
      <c r="A1506" t="s">
        <v>106</v>
      </c>
      <c r="B1506">
        <v>9</v>
      </c>
      <c r="C1506">
        <v>5</v>
      </c>
      <c r="D1506">
        <v>0</v>
      </c>
      <c r="E1506" t="s">
        <v>201</v>
      </c>
      <c r="F1506">
        <v>261774</v>
      </c>
      <c r="G1506">
        <v>571870783</v>
      </c>
      <c r="H1506">
        <v>0.74277777969837189</v>
      </c>
      <c r="I1506">
        <v>0.9588888888888889</v>
      </c>
      <c r="J1506">
        <v>34348313.75</v>
      </c>
      <c r="K1506">
        <v>261719</v>
      </c>
      <c r="L1506">
        <v>2</v>
      </c>
      <c r="M1506">
        <v>343</v>
      </c>
      <c r="N1506">
        <v>0.9572222222222222</v>
      </c>
      <c r="O1506">
        <v>34861547.5</v>
      </c>
      <c r="P1506">
        <v>263170</v>
      </c>
      <c r="Q1506">
        <v>2</v>
      </c>
      <c r="R1506">
        <v>344</v>
      </c>
      <c r="S1506">
        <v>12.173031614706044</v>
      </c>
      <c r="T1506">
        <v>0.79876666666666662</v>
      </c>
    </row>
    <row r="1507" spans="1:20" x14ac:dyDescent="0.25">
      <c r="A1507" t="s">
        <v>106</v>
      </c>
      <c r="B1507">
        <v>9</v>
      </c>
      <c r="C1507">
        <v>5</v>
      </c>
      <c r="D1507">
        <v>0</v>
      </c>
      <c r="E1507" t="s">
        <v>121</v>
      </c>
      <c r="F1507">
        <v>265354</v>
      </c>
      <c r="G1507">
        <v>575532226</v>
      </c>
      <c r="H1507">
        <v>0.75277778506278992</v>
      </c>
      <c r="I1507">
        <v>0.95833333333333326</v>
      </c>
      <c r="J1507">
        <v>36990923.5</v>
      </c>
      <c r="K1507">
        <v>264625</v>
      </c>
      <c r="L1507">
        <v>2</v>
      </c>
      <c r="M1507">
        <v>345</v>
      </c>
      <c r="N1507">
        <v>0.95111111111111113</v>
      </c>
      <c r="O1507">
        <v>36548384.5</v>
      </c>
      <c r="P1507">
        <v>266084</v>
      </c>
      <c r="Q1507">
        <v>2</v>
      </c>
      <c r="R1507">
        <v>346</v>
      </c>
      <c r="S1507">
        <v>12.173322377430841</v>
      </c>
      <c r="T1507">
        <v>0.88766666666666671</v>
      </c>
    </row>
    <row r="1508" spans="1:20" x14ac:dyDescent="0.25">
      <c r="A1508" t="s">
        <v>106</v>
      </c>
      <c r="B1508">
        <v>9</v>
      </c>
      <c r="C1508">
        <v>5</v>
      </c>
      <c r="D1508">
        <v>0</v>
      </c>
      <c r="E1508" t="s">
        <v>217</v>
      </c>
      <c r="F1508">
        <v>268944</v>
      </c>
      <c r="G1508">
        <v>475685773.14285713</v>
      </c>
      <c r="H1508">
        <v>0.73555554662431988</v>
      </c>
      <c r="I1508">
        <v>0.96126984126984127</v>
      </c>
      <c r="J1508">
        <v>35675550.571428575</v>
      </c>
      <c r="K1508">
        <v>267547</v>
      </c>
      <c r="L1508">
        <v>2</v>
      </c>
      <c r="M1508">
        <v>347</v>
      </c>
      <c r="N1508">
        <v>0.95777777777777784</v>
      </c>
      <c r="O1508">
        <v>35351391</v>
      </c>
      <c r="P1508">
        <v>269014</v>
      </c>
      <c r="Q1508">
        <v>2</v>
      </c>
      <c r="R1508">
        <v>348</v>
      </c>
      <c r="S1508">
        <v>12.173255941298873</v>
      </c>
      <c r="T1508">
        <v>0.85306666666666664</v>
      </c>
    </row>
    <row r="1509" spans="1:20" x14ac:dyDescent="0.25">
      <c r="A1509" t="s">
        <v>106</v>
      </c>
      <c r="B1509">
        <v>9</v>
      </c>
      <c r="C1509">
        <v>5</v>
      </c>
      <c r="D1509">
        <v>0</v>
      </c>
      <c r="E1509" t="s">
        <v>274</v>
      </c>
      <c r="F1509">
        <v>272699</v>
      </c>
      <c r="G1509">
        <v>511899624.80000001</v>
      </c>
      <c r="H1509">
        <v>0.57844443768262865</v>
      </c>
      <c r="I1509">
        <v>0.9662222222222222</v>
      </c>
      <c r="J1509">
        <v>36633409.600000001</v>
      </c>
      <c r="K1509">
        <v>271960</v>
      </c>
      <c r="L1509">
        <v>2</v>
      </c>
      <c r="M1509">
        <v>350</v>
      </c>
      <c r="N1509">
        <v>0.96533333333333338</v>
      </c>
      <c r="O1509">
        <v>35939852</v>
      </c>
      <c r="P1509">
        <v>273439</v>
      </c>
      <c r="Q1509">
        <v>2</v>
      </c>
      <c r="R1509">
        <v>351</v>
      </c>
      <c r="S1509">
        <v>12.173653677758319</v>
      </c>
      <c r="T1509">
        <v>0.82097777777777781</v>
      </c>
    </row>
    <row r="1510" spans="1:20" x14ac:dyDescent="0.25">
      <c r="A1510" t="s">
        <v>106</v>
      </c>
      <c r="B1510">
        <v>9</v>
      </c>
      <c r="C1510">
        <v>5</v>
      </c>
      <c r="D1510">
        <v>0</v>
      </c>
      <c r="E1510" t="s">
        <v>234</v>
      </c>
      <c r="F1510">
        <v>276114</v>
      </c>
      <c r="G1510">
        <v>633516120.5</v>
      </c>
      <c r="H1510">
        <v>0.66888889670372009</v>
      </c>
      <c r="I1510">
        <v>0.95666666666666667</v>
      </c>
      <c r="J1510">
        <v>37921700</v>
      </c>
      <c r="K1510">
        <v>274922</v>
      </c>
      <c r="L1510">
        <v>2</v>
      </c>
      <c r="M1510">
        <v>352</v>
      </c>
      <c r="N1510">
        <v>0.95777777777777784</v>
      </c>
      <c r="O1510">
        <v>39568658.75</v>
      </c>
      <c r="P1510">
        <v>276409</v>
      </c>
      <c r="Q1510">
        <v>2</v>
      </c>
      <c r="R1510">
        <v>353</v>
      </c>
      <c r="S1510">
        <v>12.174217553075071</v>
      </c>
      <c r="T1510">
        <v>0.82966666666666666</v>
      </c>
    </row>
    <row r="1511" spans="1:20" x14ac:dyDescent="0.25">
      <c r="A1511" t="s">
        <v>106</v>
      </c>
      <c r="B1511">
        <v>9</v>
      </c>
      <c r="C1511">
        <v>5</v>
      </c>
      <c r="D1511">
        <v>0</v>
      </c>
      <c r="E1511" t="s">
        <v>263</v>
      </c>
      <c r="F1511">
        <v>278529</v>
      </c>
      <c r="G1511">
        <v>521792955.10000002</v>
      </c>
      <c r="H1511">
        <v>0.56622222363948826</v>
      </c>
      <c r="I1511">
        <v>0.96377777777777784</v>
      </c>
      <c r="J1511">
        <v>35305241.200000003</v>
      </c>
      <c r="K1511">
        <v>277900</v>
      </c>
      <c r="L1511">
        <v>2</v>
      </c>
      <c r="M1511">
        <v>354</v>
      </c>
      <c r="N1511">
        <v>0.9615555555555555</v>
      </c>
      <c r="O1511">
        <v>36139958.299999997</v>
      </c>
      <c r="P1511">
        <v>279395</v>
      </c>
      <c r="Q1511">
        <v>2</v>
      </c>
      <c r="R1511">
        <v>355</v>
      </c>
      <c r="S1511">
        <v>12.174669145794597</v>
      </c>
      <c r="T1511">
        <v>0.7576222222222222</v>
      </c>
    </row>
    <row r="1512" spans="1:20" x14ac:dyDescent="0.25">
      <c r="A1512" t="s">
        <v>106</v>
      </c>
      <c r="B1512">
        <v>9</v>
      </c>
      <c r="C1512">
        <v>5</v>
      </c>
      <c r="D1512">
        <v>0</v>
      </c>
      <c r="E1512" t="s">
        <v>281</v>
      </c>
      <c r="F1512">
        <v>280149</v>
      </c>
      <c r="G1512">
        <v>449734086.25</v>
      </c>
      <c r="H1512">
        <v>0.66166666895151138</v>
      </c>
      <c r="I1512">
        <v>0.9572222222222222</v>
      </c>
      <c r="J1512">
        <v>36098427</v>
      </c>
      <c r="K1512">
        <v>279395</v>
      </c>
      <c r="L1512">
        <v>2</v>
      </c>
      <c r="M1512">
        <v>355</v>
      </c>
      <c r="N1512">
        <v>0.96111111111111114</v>
      </c>
      <c r="O1512">
        <v>36198804.25</v>
      </c>
      <c r="P1512">
        <v>280894</v>
      </c>
      <c r="Q1512">
        <v>2</v>
      </c>
      <c r="R1512">
        <v>356</v>
      </c>
      <c r="S1512">
        <v>12.174357572443958</v>
      </c>
      <c r="T1512">
        <v>0.77406666666666668</v>
      </c>
    </row>
    <row r="1513" spans="1:20" x14ac:dyDescent="0.25">
      <c r="A1513" t="s">
        <v>106</v>
      </c>
      <c r="B1513">
        <v>9</v>
      </c>
      <c r="C1513">
        <v>5</v>
      </c>
      <c r="D1513">
        <v>0</v>
      </c>
      <c r="E1513" t="s">
        <v>205</v>
      </c>
      <c r="F1513">
        <v>283624</v>
      </c>
      <c r="G1513">
        <v>574697346.14285719</v>
      </c>
      <c r="H1513">
        <v>0.73936508383069721</v>
      </c>
      <c r="I1513">
        <v>0.96666666666666667</v>
      </c>
      <c r="J1513">
        <v>35723237.857142858</v>
      </c>
      <c r="K1513">
        <v>282397</v>
      </c>
      <c r="L1513">
        <v>2</v>
      </c>
      <c r="M1513">
        <v>357</v>
      </c>
      <c r="N1513">
        <v>0.96952380952380957</v>
      </c>
      <c r="O1513">
        <v>37222415.142857142</v>
      </c>
      <c r="P1513">
        <v>283904</v>
      </c>
      <c r="Q1513">
        <v>2</v>
      </c>
      <c r="R1513">
        <v>358</v>
      </c>
      <c r="S1513">
        <v>12.17500136634421</v>
      </c>
      <c r="T1513">
        <v>0.82901666666666662</v>
      </c>
    </row>
    <row r="1514" spans="1:20" x14ac:dyDescent="0.25">
      <c r="A1514" t="s">
        <v>106</v>
      </c>
      <c r="B1514">
        <v>9</v>
      </c>
      <c r="C1514">
        <v>5</v>
      </c>
      <c r="D1514">
        <v>0</v>
      </c>
      <c r="E1514" t="s">
        <v>269</v>
      </c>
      <c r="F1514">
        <v>286539</v>
      </c>
      <c r="G1514">
        <v>805026371.25</v>
      </c>
      <c r="H1514">
        <v>0.77888889610767365</v>
      </c>
      <c r="I1514">
        <v>0.95611111111111113</v>
      </c>
      <c r="J1514">
        <v>38622934</v>
      </c>
      <c r="K1514">
        <v>285415</v>
      </c>
      <c r="L1514">
        <v>2</v>
      </c>
      <c r="M1514">
        <v>359</v>
      </c>
      <c r="N1514">
        <v>0.95833333333333326</v>
      </c>
      <c r="O1514">
        <v>39322558.25</v>
      </c>
      <c r="P1514">
        <v>286930</v>
      </c>
      <c r="Q1514">
        <v>2</v>
      </c>
      <c r="R1514">
        <v>360</v>
      </c>
      <c r="S1514">
        <v>12.1760559532266</v>
      </c>
      <c r="T1514">
        <v>0.8148333333333333</v>
      </c>
    </row>
    <row r="1515" spans="1:20" x14ac:dyDescent="0.25">
      <c r="A1515" t="s">
        <v>106</v>
      </c>
      <c r="B1515">
        <v>9</v>
      </c>
      <c r="C1515">
        <v>5</v>
      </c>
      <c r="D1515">
        <v>0</v>
      </c>
      <c r="E1515" t="s">
        <v>288</v>
      </c>
      <c r="F1515">
        <v>287599</v>
      </c>
      <c r="G1515">
        <v>776085213.5</v>
      </c>
      <c r="H1515">
        <v>0.61944443732500076</v>
      </c>
      <c r="I1515">
        <v>0.9555555555555556</v>
      </c>
      <c r="J1515">
        <v>38607167.75</v>
      </c>
      <c r="K1515">
        <v>286930</v>
      </c>
      <c r="L1515">
        <v>2</v>
      </c>
      <c r="M1515">
        <v>360</v>
      </c>
      <c r="N1515">
        <v>0.95666666666666667</v>
      </c>
      <c r="O1515">
        <v>38296985.5</v>
      </c>
      <c r="P1515">
        <v>288449</v>
      </c>
      <c r="Q1515">
        <v>2</v>
      </c>
      <c r="R1515">
        <v>361</v>
      </c>
      <c r="S1515">
        <v>12.176946189565692</v>
      </c>
      <c r="T1515">
        <v>0.77036666666666664</v>
      </c>
    </row>
    <row r="1516" spans="1:20" x14ac:dyDescent="0.25">
      <c r="A1516" t="s">
        <v>106</v>
      </c>
      <c r="B1516">
        <v>9</v>
      </c>
      <c r="C1516">
        <v>5</v>
      </c>
      <c r="D1516">
        <v>0</v>
      </c>
      <c r="E1516" t="s">
        <v>157</v>
      </c>
      <c r="F1516">
        <v>288894</v>
      </c>
      <c r="G1516">
        <v>582737987.42857146</v>
      </c>
      <c r="H1516">
        <v>0.58190475297825672</v>
      </c>
      <c r="I1516">
        <v>0.96444444444444444</v>
      </c>
      <c r="J1516">
        <v>35631748.857142858</v>
      </c>
      <c r="K1516">
        <v>288449</v>
      </c>
      <c r="L1516">
        <v>2</v>
      </c>
      <c r="M1516">
        <v>361</v>
      </c>
      <c r="N1516">
        <v>0.9676190476190476</v>
      </c>
      <c r="O1516">
        <v>37207123.428571425</v>
      </c>
      <c r="P1516">
        <v>289972</v>
      </c>
      <c r="Q1516">
        <v>2</v>
      </c>
      <c r="R1516">
        <v>362</v>
      </c>
      <c r="S1516">
        <v>12.177588466579293</v>
      </c>
      <c r="T1516">
        <v>0.83396666666666663</v>
      </c>
    </row>
    <row r="1517" spans="1:20" x14ac:dyDescent="0.25">
      <c r="A1517" t="s">
        <v>106</v>
      </c>
      <c r="B1517">
        <v>9</v>
      </c>
      <c r="C1517">
        <v>5</v>
      </c>
      <c r="D1517">
        <v>0</v>
      </c>
      <c r="E1517" t="s">
        <v>222</v>
      </c>
      <c r="F1517">
        <v>291354</v>
      </c>
      <c r="G1517">
        <v>607758281.5</v>
      </c>
      <c r="H1517">
        <v>0.66999998688697815</v>
      </c>
      <c r="I1517">
        <v>0.96277777777777773</v>
      </c>
      <c r="J1517">
        <v>35900754.25</v>
      </c>
      <c r="K1517">
        <v>289972</v>
      </c>
      <c r="L1517">
        <v>2</v>
      </c>
      <c r="M1517">
        <v>362</v>
      </c>
      <c r="N1517">
        <v>0.95666666666666667</v>
      </c>
      <c r="O1517">
        <v>36889064</v>
      </c>
      <c r="P1517">
        <v>291499</v>
      </c>
      <c r="Q1517">
        <v>2</v>
      </c>
      <c r="R1517">
        <v>363</v>
      </c>
      <c r="S1517">
        <v>12.178041056999344</v>
      </c>
      <c r="T1517">
        <v>0.84199999999999997</v>
      </c>
    </row>
    <row r="1518" spans="1:20" x14ac:dyDescent="0.25">
      <c r="A1518" t="s">
        <v>106</v>
      </c>
      <c r="B1518">
        <v>9</v>
      </c>
      <c r="C1518">
        <v>5</v>
      </c>
      <c r="D1518">
        <v>0</v>
      </c>
      <c r="E1518" t="s">
        <v>275</v>
      </c>
      <c r="F1518">
        <v>294549</v>
      </c>
      <c r="G1518">
        <v>567696110.85714281</v>
      </c>
      <c r="H1518">
        <v>0.48793651163578033</v>
      </c>
      <c r="I1518">
        <v>0.97206349206349207</v>
      </c>
      <c r="J1518">
        <v>36276239</v>
      </c>
      <c r="K1518">
        <v>293030</v>
      </c>
      <c r="L1518">
        <v>2</v>
      </c>
      <c r="M1518">
        <v>364</v>
      </c>
      <c r="N1518">
        <v>0.9663492063492064</v>
      </c>
      <c r="O1518">
        <v>36989858.142857142</v>
      </c>
      <c r="P1518">
        <v>294565</v>
      </c>
      <c r="Q1518">
        <v>2</v>
      </c>
      <c r="R1518">
        <v>365</v>
      </c>
      <c r="S1518">
        <v>12.178409649074933</v>
      </c>
      <c r="T1518">
        <v>0.8105</v>
      </c>
    </row>
    <row r="1519" spans="1:20" x14ac:dyDescent="0.25">
      <c r="A1519" t="s">
        <v>106</v>
      </c>
      <c r="B1519">
        <v>9</v>
      </c>
      <c r="C1519">
        <v>5</v>
      </c>
      <c r="D1519">
        <v>0</v>
      </c>
      <c r="E1519" t="s">
        <v>186</v>
      </c>
      <c r="F1519">
        <v>297184</v>
      </c>
      <c r="G1519">
        <v>621695365.5</v>
      </c>
      <c r="H1519">
        <v>0.54888889193534851</v>
      </c>
      <c r="I1519">
        <v>0.95833333333333326</v>
      </c>
      <c r="J1519">
        <v>38416210.75</v>
      </c>
      <c r="K1519">
        <v>296104</v>
      </c>
      <c r="L1519">
        <v>2</v>
      </c>
      <c r="M1519">
        <v>366</v>
      </c>
      <c r="N1519">
        <v>0.94944444444444442</v>
      </c>
      <c r="O1519">
        <v>41254368</v>
      </c>
      <c r="P1519">
        <v>297647</v>
      </c>
      <c r="Q1519">
        <v>2</v>
      </c>
      <c r="R1519">
        <v>367</v>
      </c>
      <c r="S1519">
        <v>12.178588967097724</v>
      </c>
      <c r="T1519">
        <v>0.75556666666666661</v>
      </c>
    </row>
    <row r="1520" spans="1:20" x14ac:dyDescent="0.25">
      <c r="A1520" t="s">
        <v>106</v>
      </c>
      <c r="B1520">
        <v>9</v>
      </c>
      <c r="C1520">
        <v>5</v>
      </c>
      <c r="D1520">
        <v>0</v>
      </c>
      <c r="E1520" t="s">
        <v>236</v>
      </c>
      <c r="F1520">
        <v>299084</v>
      </c>
      <c r="G1520">
        <v>589622852</v>
      </c>
      <c r="H1520">
        <v>0.65666667371988297</v>
      </c>
      <c r="I1520">
        <v>0.96111111111111114</v>
      </c>
      <c r="J1520">
        <v>39271082.5</v>
      </c>
      <c r="K1520">
        <v>297647</v>
      </c>
      <c r="L1520">
        <v>2</v>
      </c>
      <c r="M1520">
        <v>367</v>
      </c>
      <c r="N1520">
        <v>0.95666666666666667</v>
      </c>
      <c r="O1520">
        <v>39316015.75</v>
      </c>
      <c r="P1520">
        <v>299194</v>
      </c>
      <c r="Q1520">
        <v>2</v>
      </c>
      <c r="R1520">
        <v>368</v>
      </c>
      <c r="S1520">
        <v>12.178659102067536</v>
      </c>
      <c r="T1520">
        <v>0.7888666666666666</v>
      </c>
    </row>
    <row r="1521" spans="1:20" x14ac:dyDescent="0.25">
      <c r="A1521" t="s">
        <v>106</v>
      </c>
      <c r="B1521">
        <v>9</v>
      </c>
      <c r="C1521">
        <v>5</v>
      </c>
      <c r="D1521">
        <v>0</v>
      </c>
      <c r="E1521" t="s">
        <v>264</v>
      </c>
      <c r="F1521">
        <v>299259</v>
      </c>
      <c r="G1521">
        <v>560507274</v>
      </c>
      <c r="H1521">
        <v>0.71714287144797184</v>
      </c>
      <c r="I1521">
        <v>0.96666666666666667</v>
      </c>
      <c r="J1521">
        <v>37393681.428571425</v>
      </c>
      <c r="K1521">
        <v>299194</v>
      </c>
      <c r="L1521">
        <v>2</v>
      </c>
      <c r="M1521">
        <v>368</v>
      </c>
      <c r="N1521">
        <v>0.9622222222222222</v>
      </c>
      <c r="O1521">
        <v>36494466.857142858</v>
      </c>
      <c r="P1521">
        <v>300745</v>
      </c>
      <c r="Q1521">
        <v>2</v>
      </c>
      <c r="R1521">
        <v>369</v>
      </c>
      <c r="S1521">
        <v>12.178918093576181</v>
      </c>
      <c r="T1521">
        <v>0.8253166666666667</v>
      </c>
    </row>
    <row r="1522" spans="1:20" x14ac:dyDescent="0.25">
      <c r="A1522" t="s">
        <v>106</v>
      </c>
      <c r="B1522">
        <v>9</v>
      </c>
      <c r="C1522">
        <v>5</v>
      </c>
      <c r="D1522">
        <v>0</v>
      </c>
      <c r="E1522" t="s">
        <v>282</v>
      </c>
      <c r="F1522">
        <v>302559</v>
      </c>
      <c r="G1522">
        <v>588254438.5</v>
      </c>
      <c r="H1522">
        <v>0.66388890147209167</v>
      </c>
      <c r="I1522">
        <v>0.95833333333333337</v>
      </c>
      <c r="J1522">
        <v>36874891.5</v>
      </c>
      <c r="K1522">
        <v>302300</v>
      </c>
      <c r="L1522">
        <v>2</v>
      </c>
      <c r="M1522">
        <v>370</v>
      </c>
      <c r="N1522">
        <v>0.96333333333333337</v>
      </c>
      <c r="O1522">
        <v>38253487</v>
      </c>
      <c r="P1522">
        <v>303859</v>
      </c>
      <c r="Q1522">
        <v>2</v>
      </c>
      <c r="R1522">
        <v>371</v>
      </c>
      <c r="S1522">
        <v>12.17920619343583</v>
      </c>
      <c r="T1522">
        <v>0.87409999999999999</v>
      </c>
    </row>
    <row r="1523" spans="1:20" x14ac:dyDescent="0.25">
      <c r="A1523" t="s">
        <v>106</v>
      </c>
      <c r="B1523">
        <v>9</v>
      </c>
      <c r="C1523">
        <v>5</v>
      </c>
      <c r="D1523">
        <v>0</v>
      </c>
      <c r="E1523" t="s">
        <v>208</v>
      </c>
      <c r="F1523">
        <v>305474</v>
      </c>
      <c r="G1523">
        <v>468647117.5714286</v>
      </c>
      <c r="H1523">
        <v>0.60920635078634533</v>
      </c>
      <c r="I1523">
        <v>0.97079365079365076</v>
      </c>
      <c r="J1523">
        <v>37866986.142857142</v>
      </c>
      <c r="K1523">
        <v>305422</v>
      </c>
      <c r="L1523">
        <v>2</v>
      </c>
      <c r="M1523">
        <v>372</v>
      </c>
      <c r="N1523">
        <v>0.96507936507936509</v>
      </c>
      <c r="O1523">
        <v>36857498.714285716</v>
      </c>
      <c r="P1523">
        <v>306989</v>
      </c>
      <c r="Q1523">
        <v>2</v>
      </c>
      <c r="R1523">
        <v>373</v>
      </c>
      <c r="S1523">
        <v>12.178756335495123</v>
      </c>
      <c r="T1523">
        <v>0.84260000000000002</v>
      </c>
    </row>
    <row r="1524" spans="1:20" x14ac:dyDescent="0.25">
      <c r="A1524" t="s">
        <v>106</v>
      </c>
      <c r="B1524">
        <v>9</v>
      </c>
      <c r="C1524">
        <v>5</v>
      </c>
      <c r="D1524">
        <v>0</v>
      </c>
      <c r="E1524" t="s">
        <v>270</v>
      </c>
      <c r="F1524">
        <v>307829</v>
      </c>
      <c r="G1524">
        <v>536727946</v>
      </c>
      <c r="H1524">
        <v>0.44777777045965195</v>
      </c>
      <c r="I1524">
        <v>0.9572222222222222</v>
      </c>
      <c r="J1524">
        <v>40575080.5</v>
      </c>
      <c r="K1524">
        <v>306989</v>
      </c>
      <c r="L1524">
        <v>2</v>
      </c>
      <c r="M1524">
        <v>373</v>
      </c>
      <c r="N1524">
        <v>0.95777777777777784</v>
      </c>
      <c r="O1524">
        <v>40226672.5</v>
      </c>
      <c r="P1524">
        <v>308560</v>
      </c>
      <c r="Q1524">
        <v>2</v>
      </c>
      <c r="R1524">
        <v>374</v>
      </c>
      <c r="S1524">
        <v>12.178444940881599</v>
      </c>
      <c r="T1524">
        <v>0.84193333333333331</v>
      </c>
    </row>
    <row r="1525" spans="1:20" x14ac:dyDescent="0.25">
      <c r="A1525" t="s">
        <v>106</v>
      </c>
      <c r="B1525">
        <v>9</v>
      </c>
      <c r="C1525">
        <v>5</v>
      </c>
      <c r="D1525">
        <v>0</v>
      </c>
      <c r="E1525" t="s">
        <v>162</v>
      </c>
      <c r="F1525">
        <v>309624</v>
      </c>
      <c r="G1525">
        <v>535100067.5</v>
      </c>
      <c r="H1525">
        <v>0.49222221970558167</v>
      </c>
      <c r="I1525">
        <v>0.9588888888888889</v>
      </c>
      <c r="J1525">
        <v>42172681</v>
      </c>
      <c r="K1525">
        <v>308560</v>
      </c>
      <c r="L1525">
        <v>2</v>
      </c>
      <c r="M1525">
        <v>374</v>
      </c>
      <c r="N1525">
        <v>0.96111111111111114</v>
      </c>
      <c r="O1525">
        <v>38926738.75</v>
      </c>
      <c r="P1525">
        <v>310135</v>
      </c>
      <c r="Q1525">
        <v>2</v>
      </c>
      <c r="R1525">
        <v>375</v>
      </c>
      <c r="S1525">
        <v>12.178079206842076</v>
      </c>
      <c r="T1525">
        <v>0.81233333333333335</v>
      </c>
    </row>
    <row r="1526" spans="1:20" x14ac:dyDescent="0.25">
      <c r="A1526" t="s">
        <v>106</v>
      </c>
      <c r="B1526">
        <v>9</v>
      </c>
      <c r="C1526">
        <v>5</v>
      </c>
      <c r="D1526">
        <v>0</v>
      </c>
      <c r="E1526" t="s">
        <v>289</v>
      </c>
      <c r="F1526">
        <v>310569</v>
      </c>
      <c r="G1526">
        <v>493941436.75</v>
      </c>
      <c r="H1526">
        <v>0.45777778327465057</v>
      </c>
      <c r="I1526">
        <v>0.9588888888888889</v>
      </c>
      <c r="J1526">
        <v>39383708.5</v>
      </c>
      <c r="K1526">
        <v>310135</v>
      </c>
      <c r="L1526">
        <v>2</v>
      </c>
      <c r="M1526">
        <v>375</v>
      </c>
      <c r="N1526">
        <v>0.95777777777777784</v>
      </c>
      <c r="O1526">
        <v>38949965</v>
      </c>
      <c r="P1526">
        <v>311714</v>
      </c>
      <c r="Q1526">
        <v>2</v>
      </c>
      <c r="R1526">
        <v>376</v>
      </c>
      <c r="S1526">
        <v>12.177713632155111</v>
      </c>
      <c r="T1526">
        <v>0.80246666666666666</v>
      </c>
    </row>
    <row r="1527" spans="1:20" x14ac:dyDescent="0.25">
      <c r="A1527" t="s">
        <v>106</v>
      </c>
      <c r="B1527">
        <v>9</v>
      </c>
      <c r="C1527">
        <v>5</v>
      </c>
      <c r="D1527">
        <v>0</v>
      </c>
      <c r="E1527" t="s">
        <v>223</v>
      </c>
      <c r="F1527">
        <v>313764</v>
      </c>
      <c r="G1527">
        <v>498766470.5714286</v>
      </c>
      <c r="H1527">
        <v>0.67682540842464989</v>
      </c>
      <c r="I1527">
        <v>0.96317460317460313</v>
      </c>
      <c r="J1527">
        <v>38327110.857142858</v>
      </c>
      <c r="K1527">
        <v>313297</v>
      </c>
      <c r="L1527">
        <v>2</v>
      </c>
      <c r="M1527">
        <v>377</v>
      </c>
      <c r="N1527">
        <v>0.9622222222222222</v>
      </c>
      <c r="O1527">
        <v>38532411.285714284</v>
      </c>
      <c r="P1527">
        <v>314884</v>
      </c>
      <c r="Q1527">
        <v>2</v>
      </c>
      <c r="R1527">
        <v>378</v>
      </c>
      <c r="S1527">
        <v>12.17726480836237</v>
      </c>
      <c r="T1527">
        <v>0.79320000000000002</v>
      </c>
    </row>
    <row r="1528" spans="1:20" x14ac:dyDescent="0.25">
      <c r="A1528" t="s">
        <v>106</v>
      </c>
      <c r="B1528">
        <v>9</v>
      </c>
      <c r="C1528">
        <v>5</v>
      </c>
      <c r="D1528">
        <v>0</v>
      </c>
      <c r="E1528" t="s">
        <v>276</v>
      </c>
      <c r="F1528">
        <v>316399</v>
      </c>
      <c r="G1528">
        <v>591765384.71428573</v>
      </c>
      <c r="H1528">
        <v>0.64031747835023067</v>
      </c>
      <c r="I1528">
        <v>0.96476190476190471</v>
      </c>
      <c r="J1528">
        <v>38448080.142857142</v>
      </c>
      <c r="K1528">
        <v>314884</v>
      </c>
      <c r="L1528">
        <v>2</v>
      </c>
      <c r="M1528">
        <v>378</v>
      </c>
      <c r="N1528">
        <v>0.96825396825396826</v>
      </c>
      <c r="O1528">
        <v>38336559.428571425</v>
      </c>
      <c r="P1528">
        <v>316475</v>
      </c>
      <c r="Q1528">
        <v>2</v>
      </c>
      <c r="R1528">
        <v>379</v>
      </c>
      <c r="S1528">
        <v>12.177578231292516</v>
      </c>
      <c r="T1528">
        <v>0.81358333333333333</v>
      </c>
    </row>
    <row r="1529" spans="1:20" x14ac:dyDescent="0.25">
      <c r="A1529" t="s">
        <v>106</v>
      </c>
      <c r="B1529">
        <v>9</v>
      </c>
      <c r="C1529">
        <v>5</v>
      </c>
      <c r="D1529">
        <v>0</v>
      </c>
      <c r="E1529" t="s">
        <v>189</v>
      </c>
      <c r="F1529">
        <v>318474</v>
      </c>
      <c r="G1529">
        <v>652595317.75</v>
      </c>
      <c r="H1529">
        <v>0.60722221434116364</v>
      </c>
      <c r="I1529">
        <v>0.95500000000000007</v>
      </c>
      <c r="J1529">
        <v>41262225.25</v>
      </c>
      <c r="K1529">
        <v>318070</v>
      </c>
      <c r="L1529">
        <v>2</v>
      </c>
      <c r="M1529">
        <v>380</v>
      </c>
      <c r="N1529">
        <v>0.95666666666666667</v>
      </c>
      <c r="O1529">
        <v>43506496.25</v>
      </c>
      <c r="P1529">
        <v>319669</v>
      </c>
      <c r="Q1529">
        <v>2</v>
      </c>
      <c r="R1529">
        <v>381</v>
      </c>
      <c r="S1529">
        <v>12.17753958321998</v>
      </c>
      <c r="T1529">
        <v>0.78520000000000001</v>
      </c>
    </row>
    <row r="1530" spans="1:20" x14ac:dyDescent="0.25">
      <c r="A1530" t="s">
        <v>106</v>
      </c>
      <c r="B1530">
        <v>9</v>
      </c>
      <c r="C1530">
        <v>5</v>
      </c>
      <c r="D1530">
        <v>0</v>
      </c>
      <c r="E1530" t="s">
        <v>265</v>
      </c>
      <c r="F1530">
        <v>319989</v>
      </c>
      <c r="G1530">
        <v>735904664</v>
      </c>
      <c r="H1530">
        <v>0.75833334028720856</v>
      </c>
      <c r="I1530">
        <v>0.95833333333333326</v>
      </c>
      <c r="J1530">
        <v>39523026.25</v>
      </c>
      <c r="K1530">
        <v>319669</v>
      </c>
      <c r="L1530">
        <v>2</v>
      </c>
      <c r="M1530">
        <v>381</v>
      </c>
      <c r="N1530">
        <v>0.95499999999999996</v>
      </c>
      <c r="O1530">
        <v>42417637</v>
      </c>
      <c r="P1530">
        <v>321272</v>
      </c>
      <c r="Q1530">
        <v>2</v>
      </c>
      <c r="R1530">
        <v>382</v>
      </c>
      <c r="S1530">
        <v>12.17793613664799</v>
      </c>
      <c r="T1530">
        <v>0.8666666666666667</v>
      </c>
    </row>
    <row r="1531" spans="1:20" x14ac:dyDescent="0.25">
      <c r="A1531" t="s">
        <v>106</v>
      </c>
      <c r="B1531">
        <v>9</v>
      </c>
      <c r="C1531">
        <v>5</v>
      </c>
      <c r="D1531">
        <v>0</v>
      </c>
      <c r="E1531" t="s">
        <v>239</v>
      </c>
      <c r="F1531">
        <v>322054</v>
      </c>
      <c r="G1531">
        <v>692578813.5</v>
      </c>
      <c r="H1531">
        <v>0.82000000774860382</v>
      </c>
      <c r="I1531">
        <v>0.9622222222222222</v>
      </c>
      <c r="J1531">
        <v>38875587.25</v>
      </c>
      <c r="K1531">
        <v>321272</v>
      </c>
      <c r="L1531">
        <v>2</v>
      </c>
      <c r="M1531">
        <v>382</v>
      </c>
      <c r="N1531">
        <v>0.95833333333333337</v>
      </c>
      <c r="O1531">
        <v>39883757.25</v>
      </c>
      <c r="P1531">
        <v>322879</v>
      </c>
      <c r="Q1531">
        <v>2</v>
      </c>
      <c r="R1531">
        <v>383</v>
      </c>
      <c r="S1531">
        <v>12.178495676293034</v>
      </c>
      <c r="T1531">
        <v>0.8666666666666667</v>
      </c>
    </row>
    <row r="1532" spans="1:20" x14ac:dyDescent="0.25">
      <c r="A1532" t="s">
        <v>106</v>
      </c>
      <c r="B1532">
        <v>9</v>
      </c>
      <c r="C1532">
        <v>5</v>
      </c>
      <c r="D1532">
        <v>0</v>
      </c>
      <c r="E1532" t="s">
        <v>283</v>
      </c>
      <c r="F1532">
        <v>324969</v>
      </c>
      <c r="G1532">
        <v>643633927</v>
      </c>
      <c r="H1532">
        <v>0.49079364538192749</v>
      </c>
      <c r="I1532">
        <v>0.96349206349206351</v>
      </c>
      <c r="J1532">
        <v>39482489.714285716</v>
      </c>
      <c r="K1532">
        <v>324490</v>
      </c>
      <c r="L1532">
        <v>2</v>
      </c>
      <c r="M1532">
        <v>384</v>
      </c>
      <c r="N1532">
        <v>0.96095238095238089</v>
      </c>
      <c r="O1532">
        <v>38878866.714285716</v>
      </c>
      <c r="P1532">
        <v>326105</v>
      </c>
      <c r="Q1532">
        <v>2</v>
      </c>
      <c r="R1532">
        <v>385</v>
      </c>
      <c r="S1532">
        <v>12.178971403718604</v>
      </c>
      <c r="T1532">
        <v>0.81666666666666665</v>
      </c>
    </row>
    <row r="1533" spans="1:20" x14ac:dyDescent="0.25">
      <c r="A1533" t="s">
        <v>106</v>
      </c>
      <c r="B1533">
        <v>9</v>
      </c>
      <c r="C1533">
        <v>5</v>
      </c>
      <c r="D1533">
        <v>0</v>
      </c>
      <c r="E1533" t="s">
        <v>209</v>
      </c>
      <c r="F1533">
        <v>327324</v>
      </c>
      <c r="G1533">
        <v>514467549.14285713</v>
      </c>
      <c r="H1533">
        <v>0.54825397048677715</v>
      </c>
      <c r="I1533">
        <v>0.96857142857142864</v>
      </c>
      <c r="J1533">
        <v>38707679.428571425</v>
      </c>
      <c r="K1533">
        <v>326105</v>
      </c>
      <c r="L1533">
        <v>2</v>
      </c>
      <c r="M1533">
        <v>385</v>
      </c>
      <c r="N1533">
        <v>0.96793650793650798</v>
      </c>
      <c r="O1533">
        <v>39270709.285714284</v>
      </c>
      <c r="P1533">
        <v>327724</v>
      </c>
      <c r="Q1533">
        <v>2</v>
      </c>
      <c r="R1533">
        <v>386</v>
      </c>
      <c r="S1533">
        <v>12.178359871746101</v>
      </c>
      <c r="T1533">
        <v>0.76173333333333337</v>
      </c>
    </row>
    <row r="1534" spans="1:20" x14ac:dyDescent="0.25">
      <c r="A1534" t="s">
        <v>106</v>
      </c>
      <c r="B1534">
        <v>9</v>
      </c>
      <c r="C1534">
        <v>5</v>
      </c>
      <c r="D1534">
        <v>0</v>
      </c>
      <c r="E1534" t="s">
        <v>271</v>
      </c>
      <c r="F1534">
        <v>329119</v>
      </c>
      <c r="G1534">
        <v>572461594.25</v>
      </c>
      <c r="H1534">
        <v>0.70555555075407028</v>
      </c>
      <c r="I1534">
        <v>0.9622222222222222</v>
      </c>
      <c r="J1534">
        <v>40477691.25</v>
      </c>
      <c r="K1534">
        <v>327724</v>
      </c>
      <c r="L1534">
        <v>2</v>
      </c>
      <c r="M1534">
        <v>386</v>
      </c>
      <c r="N1534">
        <v>0.9605555555555555</v>
      </c>
      <c r="O1534">
        <v>39378609.25</v>
      </c>
      <c r="P1534">
        <v>329347</v>
      </c>
      <c r="Q1534">
        <v>2</v>
      </c>
      <c r="R1534">
        <v>387</v>
      </c>
      <c r="S1534">
        <v>12.178103776147786</v>
      </c>
      <c r="T1534">
        <v>0.85063333333333335</v>
      </c>
    </row>
    <row r="1535" spans="1:20" x14ac:dyDescent="0.25">
      <c r="A1535" t="s">
        <v>106</v>
      </c>
      <c r="B1535">
        <v>9</v>
      </c>
      <c r="C1535">
        <v>5</v>
      </c>
      <c r="D1535">
        <v>0</v>
      </c>
      <c r="E1535" t="s">
        <v>134</v>
      </c>
      <c r="F1535">
        <v>330354</v>
      </c>
      <c r="G1535">
        <v>634625909.5</v>
      </c>
      <c r="H1535">
        <v>0.70388889312744141</v>
      </c>
      <c r="I1535">
        <v>0.95444444444444443</v>
      </c>
      <c r="J1535">
        <v>40311068.25</v>
      </c>
      <c r="K1535">
        <v>329347</v>
      </c>
      <c r="L1535">
        <v>2</v>
      </c>
      <c r="M1535">
        <v>387</v>
      </c>
      <c r="N1535">
        <v>0.95111111111111113</v>
      </c>
      <c r="O1535">
        <v>40142272.5</v>
      </c>
      <c r="P1535">
        <v>330974</v>
      </c>
      <c r="Q1535">
        <v>2</v>
      </c>
      <c r="R1535">
        <v>388</v>
      </c>
      <c r="S1535">
        <v>12.178010755608669</v>
      </c>
      <c r="T1535">
        <v>0.84196666666666664</v>
      </c>
    </row>
    <row r="1536" spans="1:20" x14ac:dyDescent="0.25">
      <c r="A1536" t="s">
        <v>106</v>
      </c>
      <c r="B1536">
        <v>9</v>
      </c>
      <c r="C1536">
        <v>5</v>
      </c>
      <c r="D1536">
        <v>0</v>
      </c>
      <c r="E1536" t="s">
        <v>290</v>
      </c>
      <c r="F1536">
        <v>333539</v>
      </c>
      <c r="G1536">
        <v>494082993.75</v>
      </c>
      <c r="H1536">
        <v>0.49611110985279083</v>
      </c>
      <c r="I1536">
        <v>0.95166666666666666</v>
      </c>
      <c r="J1536">
        <v>38645150.75</v>
      </c>
      <c r="K1536">
        <v>332605</v>
      </c>
      <c r="L1536">
        <v>2</v>
      </c>
      <c r="M1536">
        <v>389</v>
      </c>
      <c r="N1536">
        <v>0.94944444444444442</v>
      </c>
      <c r="O1536">
        <v>41612044.25</v>
      </c>
      <c r="P1536">
        <v>334240</v>
      </c>
      <c r="Q1536">
        <v>2</v>
      </c>
      <c r="R1536">
        <v>390</v>
      </c>
      <c r="S1536">
        <v>12.177483299842503</v>
      </c>
      <c r="T1536">
        <v>0.69136666666666668</v>
      </c>
    </row>
    <row r="1537" spans="1:20" x14ac:dyDescent="0.25">
      <c r="A1537" t="s">
        <v>106</v>
      </c>
      <c r="B1537">
        <v>9</v>
      </c>
      <c r="C1537">
        <v>5</v>
      </c>
      <c r="D1537">
        <v>0</v>
      </c>
      <c r="E1537" t="s">
        <v>224</v>
      </c>
      <c r="F1537">
        <v>336174</v>
      </c>
      <c r="G1537">
        <v>703171449.57142854</v>
      </c>
      <c r="H1537">
        <v>0.61746031045913696</v>
      </c>
      <c r="I1537">
        <v>0.95873015873015877</v>
      </c>
      <c r="J1537">
        <v>39184553.857142858</v>
      </c>
      <c r="K1537">
        <v>335879</v>
      </c>
      <c r="L1537">
        <v>2</v>
      </c>
      <c r="M1537">
        <v>391</v>
      </c>
      <c r="N1537">
        <v>0.95492063492063495</v>
      </c>
      <c r="O1537">
        <v>40660815.285714284</v>
      </c>
      <c r="P1537">
        <v>337522</v>
      </c>
      <c r="Q1537">
        <v>2</v>
      </c>
      <c r="R1537">
        <v>392</v>
      </c>
      <c r="S1537">
        <v>12.178121606948968</v>
      </c>
      <c r="T1537">
        <v>0.84998333333333331</v>
      </c>
    </row>
    <row r="1538" spans="1:20" x14ac:dyDescent="0.25">
      <c r="A1538" t="s">
        <v>106</v>
      </c>
      <c r="B1538">
        <v>9</v>
      </c>
      <c r="C1538">
        <v>5</v>
      </c>
      <c r="D1538">
        <v>0</v>
      </c>
      <c r="E1538" t="s">
        <v>277</v>
      </c>
      <c r="F1538">
        <v>338249</v>
      </c>
      <c r="G1538">
        <v>500676985.14285713</v>
      </c>
      <c r="H1538">
        <v>0.63365079675401959</v>
      </c>
      <c r="I1538">
        <v>0.97206349206349207</v>
      </c>
      <c r="J1538">
        <v>38459509.571428575</v>
      </c>
      <c r="K1538">
        <v>337522</v>
      </c>
      <c r="L1538">
        <v>2</v>
      </c>
      <c r="M1538">
        <v>392</v>
      </c>
      <c r="N1538">
        <v>0.97206349206349207</v>
      </c>
      <c r="O1538">
        <v>39227073.857142858</v>
      </c>
      <c r="P1538">
        <v>339169</v>
      </c>
      <c r="Q1538">
        <v>2</v>
      </c>
      <c r="R1538">
        <v>393</v>
      </c>
      <c r="S1538">
        <v>12.177456992456721</v>
      </c>
      <c r="T1538">
        <v>0.79630000000000001</v>
      </c>
    </row>
    <row r="1539" spans="1:20" x14ac:dyDescent="0.25">
      <c r="A1539" t="s">
        <v>106</v>
      </c>
      <c r="B1539">
        <v>9</v>
      </c>
      <c r="C1539">
        <v>5</v>
      </c>
      <c r="D1539">
        <v>0</v>
      </c>
      <c r="E1539" t="s">
        <v>259</v>
      </c>
      <c r="F1539">
        <v>340719</v>
      </c>
      <c r="G1539">
        <v>519380520</v>
      </c>
      <c r="H1539">
        <v>0.54833333194255829</v>
      </c>
      <c r="I1539">
        <v>0.96833333333333338</v>
      </c>
      <c r="J1539">
        <v>37913766.25</v>
      </c>
      <c r="K1539">
        <v>339169</v>
      </c>
      <c r="L1539">
        <v>2</v>
      </c>
      <c r="M1539">
        <v>393</v>
      </c>
      <c r="N1539">
        <v>0.97333333333333338</v>
      </c>
      <c r="O1539">
        <v>38741932.5</v>
      </c>
      <c r="P1539">
        <v>340820</v>
      </c>
      <c r="Q1539">
        <v>2</v>
      </c>
      <c r="R1539">
        <v>394</v>
      </c>
      <c r="S1539">
        <v>12.177201454071945</v>
      </c>
      <c r="T1539">
        <v>0.73209999999999997</v>
      </c>
    </row>
    <row r="1540" spans="1:20" x14ac:dyDescent="0.25">
      <c r="A1540" t="s">
        <v>106</v>
      </c>
      <c r="B1540">
        <v>9</v>
      </c>
      <c r="C1540">
        <v>5</v>
      </c>
      <c r="D1540">
        <v>0</v>
      </c>
      <c r="E1540" t="s">
        <v>240</v>
      </c>
      <c r="F1540">
        <v>345024</v>
      </c>
      <c r="G1540">
        <v>739911869.42857146</v>
      </c>
      <c r="H1540">
        <v>0.71269841705049786</v>
      </c>
      <c r="I1540">
        <v>0.95269841269841271</v>
      </c>
      <c r="J1540">
        <v>40117630</v>
      </c>
      <c r="K1540">
        <v>344134</v>
      </c>
      <c r="L1540">
        <v>2</v>
      </c>
      <c r="M1540">
        <v>396</v>
      </c>
      <c r="N1540">
        <v>0.95523809523809522</v>
      </c>
      <c r="O1540">
        <v>41626565.285714284</v>
      </c>
      <c r="P1540">
        <v>345797</v>
      </c>
      <c r="Q1540">
        <v>2</v>
      </c>
      <c r="R1540">
        <v>397</v>
      </c>
      <c r="S1540">
        <v>12.177730773402756</v>
      </c>
      <c r="T1540">
        <v>0.8259333333333333</v>
      </c>
    </row>
    <row r="1541" spans="1:20" x14ac:dyDescent="0.25">
      <c r="A1541" t="s">
        <v>106</v>
      </c>
      <c r="B1541">
        <v>9</v>
      </c>
      <c r="C1541">
        <v>5</v>
      </c>
      <c r="D1541">
        <v>0</v>
      </c>
      <c r="E1541" t="s">
        <v>284</v>
      </c>
      <c r="F1541">
        <v>347379</v>
      </c>
      <c r="G1541">
        <v>542105714.57142854</v>
      </c>
      <c r="H1541">
        <v>0.53682539292744225</v>
      </c>
      <c r="I1541">
        <v>0.95650793650793653</v>
      </c>
      <c r="J1541">
        <v>40371656.571428575</v>
      </c>
      <c r="K1541">
        <v>345797</v>
      </c>
      <c r="L1541">
        <v>2</v>
      </c>
      <c r="M1541">
        <v>397</v>
      </c>
      <c r="N1541">
        <v>0.95555555555555549</v>
      </c>
      <c r="O1541">
        <v>42104632</v>
      </c>
      <c r="P1541">
        <v>347464</v>
      </c>
      <c r="Q1541">
        <v>2</v>
      </c>
      <c r="R1541">
        <v>398</v>
      </c>
      <c r="S1541">
        <v>12.177012740580103</v>
      </c>
      <c r="T1541">
        <v>0.7648166666666667</v>
      </c>
    </row>
    <row r="1542" spans="1:20" x14ac:dyDescent="0.25">
      <c r="A1542" t="s">
        <v>106</v>
      </c>
      <c r="B1542">
        <v>9</v>
      </c>
      <c r="C1542">
        <v>5</v>
      </c>
      <c r="D1542">
        <v>0</v>
      </c>
      <c r="E1542" t="s">
        <v>266</v>
      </c>
      <c r="F1542">
        <v>350409</v>
      </c>
      <c r="G1542">
        <v>767926054</v>
      </c>
      <c r="H1542">
        <v>0.64825396452631268</v>
      </c>
      <c r="I1542">
        <v>0.96253968253968258</v>
      </c>
      <c r="J1542">
        <v>40409024.714285716</v>
      </c>
      <c r="K1542">
        <v>349135</v>
      </c>
      <c r="L1542">
        <v>2</v>
      </c>
      <c r="M1542">
        <v>399</v>
      </c>
      <c r="N1542">
        <v>0.9663492063492064</v>
      </c>
      <c r="O1542">
        <v>40063258.857142858</v>
      </c>
      <c r="P1542">
        <v>350810</v>
      </c>
      <c r="Q1542">
        <v>2</v>
      </c>
      <c r="R1542">
        <v>400</v>
      </c>
      <c r="S1542">
        <v>12.178083676566226</v>
      </c>
      <c r="T1542">
        <v>0.8370333333333333</v>
      </c>
    </row>
    <row r="1543" spans="1:20" x14ac:dyDescent="0.25">
      <c r="A1543" t="s">
        <v>106</v>
      </c>
      <c r="B1543">
        <v>9</v>
      </c>
      <c r="C1543">
        <v>5</v>
      </c>
      <c r="D1543">
        <v>0</v>
      </c>
      <c r="E1543" t="s">
        <v>139</v>
      </c>
      <c r="F1543">
        <v>351084</v>
      </c>
      <c r="G1543">
        <v>660566332.85714281</v>
      </c>
      <c r="H1543">
        <v>0.64444445499352043</v>
      </c>
      <c r="I1543">
        <v>0.960952380952381</v>
      </c>
      <c r="J1543">
        <v>41375645</v>
      </c>
      <c r="K1543">
        <v>350810</v>
      </c>
      <c r="L1543">
        <v>2</v>
      </c>
      <c r="M1543">
        <v>400</v>
      </c>
      <c r="N1543">
        <v>0.96158730158730155</v>
      </c>
      <c r="O1543">
        <v>40342226.428571425</v>
      </c>
      <c r="P1543">
        <v>352489</v>
      </c>
      <c r="Q1543">
        <v>2</v>
      </c>
      <c r="R1543">
        <v>401</v>
      </c>
      <c r="S1543">
        <v>12.178232840348882</v>
      </c>
      <c r="T1543">
        <v>0.79815000000000003</v>
      </c>
    </row>
    <row r="1544" spans="1:20" x14ac:dyDescent="0.25">
      <c r="A1544" t="s">
        <v>106</v>
      </c>
      <c r="B1544">
        <v>9</v>
      </c>
      <c r="C1544">
        <v>5</v>
      </c>
      <c r="D1544">
        <v>0</v>
      </c>
      <c r="E1544" t="s">
        <v>291</v>
      </c>
      <c r="F1544">
        <v>356509</v>
      </c>
      <c r="G1544">
        <v>686911728.75</v>
      </c>
      <c r="H1544">
        <v>0.73555555939674377</v>
      </c>
      <c r="I1544">
        <v>0.95499999999999996</v>
      </c>
      <c r="J1544">
        <v>40047136</v>
      </c>
      <c r="K1544">
        <v>355859</v>
      </c>
      <c r="L1544">
        <v>2</v>
      </c>
      <c r="M1544">
        <v>403</v>
      </c>
      <c r="N1544">
        <v>0.95777777777777784</v>
      </c>
      <c r="O1544">
        <v>39903645.75</v>
      </c>
      <c r="P1544">
        <v>357550</v>
      </c>
      <c r="Q1544">
        <v>2</v>
      </c>
      <c r="R1544">
        <v>404</v>
      </c>
      <c r="S1544">
        <v>12.178356713426854</v>
      </c>
      <c r="T1544">
        <v>0.79876666666666662</v>
      </c>
    </row>
    <row r="1545" spans="1:20" x14ac:dyDescent="0.25">
      <c r="A1545" t="s">
        <v>106</v>
      </c>
      <c r="B1545">
        <v>9</v>
      </c>
      <c r="C1545">
        <v>5</v>
      </c>
      <c r="D1545">
        <v>0</v>
      </c>
      <c r="E1545" t="s">
        <v>211</v>
      </c>
      <c r="F1545">
        <v>358584</v>
      </c>
      <c r="G1545">
        <v>595648367</v>
      </c>
      <c r="H1545">
        <v>0.70761904120445251</v>
      </c>
      <c r="I1545">
        <v>0.96</v>
      </c>
      <c r="J1545">
        <v>41094068</v>
      </c>
      <c r="K1545">
        <v>357550</v>
      </c>
      <c r="L1545">
        <v>2</v>
      </c>
      <c r="M1545">
        <v>404</v>
      </c>
      <c r="N1545">
        <v>0.95841269841269838</v>
      </c>
      <c r="O1545">
        <v>41725744.857142858</v>
      </c>
      <c r="P1545">
        <v>359245</v>
      </c>
      <c r="Q1545">
        <v>2</v>
      </c>
      <c r="R1545">
        <v>405</v>
      </c>
      <c r="S1545">
        <v>12.177910124526258</v>
      </c>
      <c r="T1545">
        <v>0.81543333333333334</v>
      </c>
    </row>
    <row r="1546" spans="1:20" x14ac:dyDescent="0.25">
      <c r="A1546" t="s">
        <v>106</v>
      </c>
      <c r="B1546">
        <v>9</v>
      </c>
      <c r="C1546">
        <v>5</v>
      </c>
      <c r="D1546">
        <v>0</v>
      </c>
      <c r="E1546" t="s">
        <v>272</v>
      </c>
      <c r="F1546">
        <v>360099</v>
      </c>
      <c r="G1546">
        <v>565902970.42857146</v>
      </c>
      <c r="H1546">
        <v>0.74000000102179386</v>
      </c>
      <c r="I1546">
        <v>0.96952380952380957</v>
      </c>
      <c r="J1546">
        <v>41432284.285714284</v>
      </c>
      <c r="K1546">
        <v>359245</v>
      </c>
      <c r="L1546">
        <v>2</v>
      </c>
      <c r="M1546">
        <v>405</v>
      </c>
      <c r="N1546">
        <v>0.97555555555555551</v>
      </c>
      <c r="O1546">
        <v>40810190.285714284</v>
      </c>
      <c r="P1546">
        <v>360944</v>
      </c>
      <c r="Q1546">
        <v>2</v>
      </c>
      <c r="R1546">
        <v>406</v>
      </c>
      <c r="S1546">
        <v>12.177409752665476</v>
      </c>
      <c r="T1546">
        <v>0.80433333333333334</v>
      </c>
    </row>
    <row r="1547" spans="1:20" x14ac:dyDescent="0.25">
      <c r="A1547" t="s">
        <v>106</v>
      </c>
      <c r="B1547">
        <v>9</v>
      </c>
      <c r="C1547">
        <v>5</v>
      </c>
      <c r="D1547">
        <v>0</v>
      </c>
      <c r="E1547" t="s">
        <v>260</v>
      </c>
      <c r="F1547">
        <v>361449</v>
      </c>
      <c r="G1547">
        <v>432375604.5</v>
      </c>
      <c r="H1547">
        <v>0.37722221575677395</v>
      </c>
      <c r="I1547">
        <v>0.96166666666666667</v>
      </c>
      <c r="J1547">
        <v>40724407.5</v>
      </c>
      <c r="K1547">
        <v>360944</v>
      </c>
      <c r="L1547">
        <v>2</v>
      </c>
      <c r="M1547">
        <v>406</v>
      </c>
      <c r="N1547">
        <v>0.96888888888888891</v>
      </c>
      <c r="O1547">
        <v>41200987.75</v>
      </c>
      <c r="P1547">
        <v>362647</v>
      </c>
      <c r="Q1547">
        <v>2</v>
      </c>
      <c r="R1547">
        <v>407</v>
      </c>
      <c r="S1547">
        <v>12.176613819598506</v>
      </c>
      <c r="T1547">
        <v>0.74570000000000003</v>
      </c>
    </row>
    <row r="1548" spans="1:20" x14ac:dyDescent="0.25">
      <c r="A1548" t="s">
        <v>106</v>
      </c>
      <c r="B1548">
        <v>9</v>
      </c>
      <c r="C1548">
        <v>5</v>
      </c>
      <c r="D1548">
        <v>0</v>
      </c>
      <c r="E1548" t="s">
        <v>226</v>
      </c>
      <c r="F1548">
        <v>367994</v>
      </c>
      <c r="G1548">
        <v>613061327.28571427</v>
      </c>
      <c r="H1548">
        <v>0.51777777820825577</v>
      </c>
      <c r="I1548">
        <v>0.95047619047619047</v>
      </c>
      <c r="J1548">
        <v>43236941.714285716</v>
      </c>
      <c r="K1548">
        <v>367780</v>
      </c>
      <c r="L1548">
        <v>2</v>
      </c>
      <c r="M1548">
        <v>410</v>
      </c>
      <c r="N1548">
        <v>0.9514285714285714</v>
      </c>
      <c r="O1548">
        <v>43496931.285714284</v>
      </c>
      <c r="P1548">
        <v>369499</v>
      </c>
      <c r="Q1548">
        <v>2</v>
      </c>
      <c r="R1548">
        <v>411</v>
      </c>
      <c r="S1548">
        <v>12.175897879705754</v>
      </c>
      <c r="T1548">
        <v>0.79693333333333338</v>
      </c>
    </row>
    <row r="1549" spans="1:20" x14ac:dyDescent="0.25">
      <c r="A1549" t="s">
        <v>106</v>
      </c>
      <c r="B1549">
        <v>9</v>
      </c>
      <c r="C1549">
        <v>5</v>
      </c>
      <c r="D1549">
        <v>0</v>
      </c>
      <c r="E1549" t="s">
        <v>278</v>
      </c>
      <c r="F1549">
        <v>369789</v>
      </c>
      <c r="G1549">
        <v>708351448.85714281</v>
      </c>
      <c r="H1549">
        <v>0.64222221715109684</v>
      </c>
      <c r="I1549">
        <v>0.95587301587301587</v>
      </c>
      <c r="J1549">
        <v>42012615.142857142</v>
      </c>
      <c r="K1549">
        <v>369499</v>
      </c>
      <c r="L1549">
        <v>2</v>
      </c>
      <c r="M1549">
        <v>411</v>
      </c>
      <c r="N1549">
        <v>0.95841269841269838</v>
      </c>
      <c r="O1549">
        <v>41217995.714285716</v>
      </c>
      <c r="P1549">
        <v>371222</v>
      </c>
      <c r="Q1549">
        <v>2</v>
      </c>
      <c r="R1549">
        <v>412</v>
      </c>
      <c r="S1549">
        <v>12.176047580427143</v>
      </c>
      <c r="T1549">
        <v>0.78764999999999996</v>
      </c>
    </row>
    <row r="1550" spans="1:20" x14ac:dyDescent="0.25">
      <c r="A1550" t="s">
        <v>106</v>
      </c>
      <c r="B1550">
        <v>9</v>
      </c>
      <c r="C1550">
        <v>5</v>
      </c>
      <c r="D1550">
        <v>0</v>
      </c>
      <c r="E1550" t="s">
        <v>144</v>
      </c>
      <c r="F1550">
        <v>371814</v>
      </c>
      <c r="G1550">
        <v>633520594.20000005</v>
      </c>
      <c r="H1550">
        <v>0.60622222945094106</v>
      </c>
      <c r="I1550">
        <v>0.97066666666666668</v>
      </c>
      <c r="J1550">
        <v>41285086.5</v>
      </c>
      <c r="K1550">
        <v>371222</v>
      </c>
      <c r="L1550">
        <v>2</v>
      </c>
      <c r="M1550">
        <v>412</v>
      </c>
      <c r="N1550">
        <v>0.97088888888888891</v>
      </c>
      <c r="O1550">
        <v>40990929.700000003</v>
      </c>
      <c r="P1550">
        <v>372949</v>
      </c>
      <c r="Q1550">
        <v>2</v>
      </c>
      <c r="R1550">
        <v>413</v>
      </c>
      <c r="S1550">
        <v>12.175898405836261</v>
      </c>
      <c r="T1550">
        <v>0.8053555555555556</v>
      </c>
    </row>
    <row r="1551" spans="1:20" x14ac:dyDescent="0.25">
      <c r="A1551" t="s">
        <v>106</v>
      </c>
      <c r="B1551">
        <v>9</v>
      </c>
      <c r="C1551">
        <v>5</v>
      </c>
      <c r="D1551">
        <v>0</v>
      </c>
      <c r="E1551" t="s">
        <v>285</v>
      </c>
      <c r="F1551">
        <v>379479</v>
      </c>
      <c r="G1551">
        <v>905820644.71428573</v>
      </c>
      <c r="H1551">
        <v>0.700634913785117</v>
      </c>
      <c r="I1551">
        <v>0.95714285714285718</v>
      </c>
      <c r="J1551">
        <v>43201138.428571425</v>
      </c>
      <c r="K1551">
        <v>378154</v>
      </c>
      <c r="L1551">
        <v>2</v>
      </c>
      <c r="M1551">
        <v>416</v>
      </c>
      <c r="N1551">
        <v>0.95555555555555549</v>
      </c>
      <c r="O1551">
        <v>42849302.857142858</v>
      </c>
      <c r="P1551">
        <v>379897</v>
      </c>
      <c r="Q1551">
        <v>2</v>
      </c>
      <c r="R1551">
        <v>417</v>
      </c>
      <c r="S1551">
        <v>12.177020311149525</v>
      </c>
      <c r="T1551">
        <v>0.81728333333333336</v>
      </c>
    </row>
    <row r="1552" spans="1:20" x14ac:dyDescent="0.25">
      <c r="A1552" t="s">
        <v>106</v>
      </c>
      <c r="B1552">
        <v>9</v>
      </c>
      <c r="C1552">
        <v>5</v>
      </c>
      <c r="D1552">
        <v>0</v>
      </c>
      <c r="E1552" t="s">
        <v>212</v>
      </c>
      <c r="F1552">
        <v>380994</v>
      </c>
      <c r="G1552">
        <v>571902493.57142854</v>
      </c>
      <c r="H1552">
        <v>0.63873016408511574</v>
      </c>
      <c r="I1552">
        <v>0.96063492063492062</v>
      </c>
      <c r="J1552">
        <v>42476312.857142858</v>
      </c>
      <c r="K1552">
        <v>379897</v>
      </c>
      <c r="L1552">
        <v>2</v>
      </c>
      <c r="M1552">
        <v>417</v>
      </c>
      <c r="N1552">
        <v>0.96285714285714286</v>
      </c>
      <c r="O1552">
        <v>42300426.857142858</v>
      </c>
      <c r="P1552">
        <v>381644</v>
      </c>
      <c r="Q1552">
        <v>2</v>
      </c>
      <c r="R1552">
        <v>418</v>
      </c>
      <c r="S1552">
        <v>12.176089421675037</v>
      </c>
      <c r="T1552">
        <v>0.77036666666666664</v>
      </c>
    </row>
    <row r="1553" spans="1:20" x14ac:dyDescent="0.25">
      <c r="A1553" t="s">
        <v>106</v>
      </c>
      <c r="B1553">
        <v>9</v>
      </c>
      <c r="C1553">
        <v>5</v>
      </c>
      <c r="D1553">
        <v>0</v>
      </c>
      <c r="E1553" t="s">
        <v>261</v>
      </c>
      <c r="F1553">
        <v>382179</v>
      </c>
      <c r="G1553">
        <v>647770028.71428573</v>
      </c>
      <c r="H1553">
        <v>0.44412698277405332</v>
      </c>
      <c r="I1553">
        <v>0.96920634920634918</v>
      </c>
      <c r="J1553">
        <v>42694807.142857142</v>
      </c>
      <c r="K1553">
        <v>381644</v>
      </c>
      <c r="L1553">
        <v>2</v>
      </c>
      <c r="M1553">
        <v>418</v>
      </c>
      <c r="N1553">
        <v>0.96888888888888891</v>
      </c>
      <c r="O1553">
        <v>41301935.428571425</v>
      </c>
      <c r="P1553">
        <v>383395</v>
      </c>
      <c r="Q1553">
        <v>2</v>
      </c>
      <c r="R1553">
        <v>419</v>
      </c>
      <c r="S1553">
        <v>12.175860952175322</v>
      </c>
      <c r="T1553">
        <v>0.8450833333333333</v>
      </c>
    </row>
    <row r="1554" spans="1:20" x14ac:dyDescent="0.25">
      <c r="A1554" t="s">
        <v>106</v>
      </c>
      <c r="B1554">
        <v>9</v>
      </c>
      <c r="C1554">
        <v>5</v>
      </c>
      <c r="D1554">
        <v>0</v>
      </c>
      <c r="E1554" t="s">
        <v>279</v>
      </c>
      <c r="F1554">
        <v>392199</v>
      </c>
      <c r="G1554">
        <v>523140365</v>
      </c>
      <c r="H1554">
        <v>0.50288889110088353</v>
      </c>
      <c r="I1554">
        <v>0.96244444444444444</v>
      </c>
      <c r="J1554">
        <v>42789450.399999999</v>
      </c>
      <c r="K1554">
        <v>390439</v>
      </c>
      <c r="L1554">
        <v>2</v>
      </c>
      <c r="M1554">
        <v>423</v>
      </c>
      <c r="N1554">
        <v>0.96177777777777773</v>
      </c>
      <c r="O1554">
        <v>42612236.5</v>
      </c>
      <c r="P1554">
        <v>392210</v>
      </c>
      <c r="Q1554">
        <v>2</v>
      </c>
      <c r="R1554">
        <v>424</v>
      </c>
      <c r="S1554">
        <v>12.173985757444973</v>
      </c>
      <c r="T1554">
        <v>0.76790000000000003</v>
      </c>
    </row>
    <row r="1555" spans="1:20" x14ac:dyDescent="0.25">
      <c r="A1555" t="s">
        <v>106</v>
      </c>
      <c r="B1555">
        <v>9</v>
      </c>
      <c r="C1555">
        <v>5</v>
      </c>
      <c r="D1555">
        <v>0</v>
      </c>
      <c r="E1555" t="s">
        <v>198</v>
      </c>
      <c r="F1555">
        <v>392874</v>
      </c>
      <c r="G1555">
        <v>606835328.92307687</v>
      </c>
      <c r="H1555">
        <v>0.63897435710980344</v>
      </c>
      <c r="I1555">
        <v>0.96239316239316242</v>
      </c>
      <c r="J1555">
        <v>42747060.153846152</v>
      </c>
      <c r="K1555">
        <v>392210</v>
      </c>
      <c r="L1555">
        <v>2</v>
      </c>
      <c r="M1555">
        <v>424</v>
      </c>
      <c r="N1555">
        <v>0.95846153846153848</v>
      </c>
      <c r="O1555">
        <v>42618699</v>
      </c>
      <c r="P1555">
        <v>393985</v>
      </c>
      <c r="Q1555">
        <v>2</v>
      </c>
      <c r="R1555">
        <v>425</v>
      </c>
      <c r="S1555">
        <v>12.172731683648713</v>
      </c>
      <c r="T1555">
        <v>0.80370833333333336</v>
      </c>
    </row>
    <row r="1556" spans="1:20" x14ac:dyDescent="0.25">
      <c r="A1556" t="s">
        <v>106</v>
      </c>
      <c r="B1556">
        <v>9</v>
      </c>
      <c r="C1556">
        <v>5</v>
      </c>
      <c r="D1556">
        <v>0</v>
      </c>
      <c r="E1556" t="s">
        <v>286</v>
      </c>
      <c r="F1556">
        <v>402449</v>
      </c>
      <c r="G1556">
        <v>623334268.125</v>
      </c>
      <c r="H1556">
        <v>0.72777777537703514</v>
      </c>
      <c r="I1556">
        <v>0.96694444444444438</v>
      </c>
      <c r="J1556">
        <v>43640705.75</v>
      </c>
      <c r="K1556">
        <v>401125</v>
      </c>
      <c r="L1556">
        <v>2</v>
      </c>
      <c r="M1556">
        <v>429</v>
      </c>
      <c r="N1556">
        <v>0.96583333333333332</v>
      </c>
      <c r="O1556">
        <v>43399106.75</v>
      </c>
      <c r="P1556">
        <v>402920</v>
      </c>
      <c r="Q1556">
        <v>2</v>
      </c>
      <c r="R1556">
        <v>430</v>
      </c>
      <c r="S1556">
        <v>12.171848897989976</v>
      </c>
      <c r="T1556">
        <v>0.78782857142857143</v>
      </c>
    </row>
    <row r="1557" spans="1:20" x14ac:dyDescent="0.25">
      <c r="A1557" t="s">
        <v>106</v>
      </c>
      <c r="B1557">
        <v>9</v>
      </c>
      <c r="C1557">
        <v>5</v>
      </c>
      <c r="D1557">
        <v>0</v>
      </c>
      <c r="E1557" t="s">
        <v>273</v>
      </c>
      <c r="F1557">
        <v>403799</v>
      </c>
      <c r="G1557">
        <v>624111004.14285719</v>
      </c>
      <c r="H1557">
        <v>0.64317459293774193</v>
      </c>
      <c r="I1557">
        <v>0.95968253968253969</v>
      </c>
      <c r="J1557">
        <v>44767398.142857142</v>
      </c>
      <c r="K1557">
        <v>402920</v>
      </c>
      <c r="L1557">
        <v>2</v>
      </c>
      <c r="M1557">
        <v>430</v>
      </c>
      <c r="N1557">
        <v>0.96317460317460313</v>
      </c>
      <c r="O1557">
        <v>43790104</v>
      </c>
      <c r="P1557">
        <v>404719</v>
      </c>
      <c r="Q1557">
        <v>2</v>
      </c>
      <c r="R1557">
        <v>431</v>
      </c>
      <c r="S1557">
        <v>12.170976082740788</v>
      </c>
      <c r="T1557">
        <v>0.84381666666666666</v>
      </c>
    </row>
    <row r="1558" spans="1:20" x14ac:dyDescent="0.25">
      <c r="A1558" t="s">
        <v>106</v>
      </c>
      <c r="B1558">
        <v>9</v>
      </c>
      <c r="C1558">
        <v>5</v>
      </c>
      <c r="D1558">
        <v>0</v>
      </c>
      <c r="E1558" t="s">
        <v>280</v>
      </c>
      <c r="F1558">
        <v>414609</v>
      </c>
      <c r="G1558">
        <v>607292693.69230771</v>
      </c>
      <c r="H1558">
        <v>0.49709402139370257</v>
      </c>
      <c r="I1558">
        <v>0.97008547008547008</v>
      </c>
      <c r="J1558">
        <v>43437641.153846152</v>
      </c>
      <c r="K1558">
        <v>413774</v>
      </c>
      <c r="L1558">
        <v>2</v>
      </c>
      <c r="M1558">
        <v>436</v>
      </c>
      <c r="N1558">
        <v>0.971965811965812</v>
      </c>
      <c r="O1558">
        <v>43404462.230769232</v>
      </c>
      <c r="P1558">
        <v>415597</v>
      </c>
      <c r="Q1558">
        <v>2</v>
      </c>
      <c r="R1558">
        <v>437</v>
      </c>
      <c r="S1558">
        <v>12.16972600527534</v>
      </c>
      <c r="T1558">
        <v>0.73982499999999995</v>
      </c>
    </row>
    <row r="1559" spans="1:20" x14ac:dyDescent="0.25">
      <c r="A1559" t="s">
        <v>106</v>
      </c>
      <c r="B1559">
        <v>9</v>
      </c>
      <c r="C1559">
        <v>5</v>
      </c>
      <c r="D1559">
        <v>0</v>
      </c>
      <c r="E1559" t="s">
        <v>287</v>
      </c>
      <c r="F1559">
        <v>425419</v>
      </c>
      <c r="G1559">
        <v>863376790.76923072</v>
      </c>
      <c r="H1559">
        <v>0.54803419686280763</v>
      </c>
      <c r="I1559">
        <v>0.96290598290598295</v>
      </c>
      <c r="J1559">
        <v>43582706.384615384</v>
      </c>
      <c r="K1559">
        <v>424772</v>
      </c>
      <c r="L1559">
        <v>2</v>
      </c>
      <c r="M1559">
        <v>442</v>
      </c>
      <c r="N1559">
        <v>0.96290598290598295</v>
      </c>
      <c r="O1559">
        <v>44620542</v>
      </c>
      <c r="P1559">
        <v>426619</v>
      </c>
      <c r="Q1559">
        <v>2</v>
      </c>
      <c r="R1559">
        <v>443</v>
      </c>
      <c r="S1559">
        <v>12.170360408821947</v>
      </c>
      <c r="T1559">
        <v>0.79353333333333331</v>
      </c>
    </row>
    <row r="1560" spans="1:20" x14ac:dyDescent="0.25">
      <c r="A1560" t="s">
        <v>295</v>
      </c>
      <c r="B1560">
        <v>3</v>
      </c>
      <c r="C1560">
        <v>2</v>
      </c>
      <c r="D1560">
        <v>0</v>
      </c>
      <c r="E1560" t="s">
        <v>306</v>
      </c>
      <c r="F1560">
        <v>288</v>
      </c>
      <c r="G1560">
        <v>669556319.28571427</v>
      </c>
      <c r="H1560">
        <v>0.53883040802819393</v>
      </c>
      <c r="I1560">
        <v>0.94967418546365912</v>
      </c>
      <c r="J1560">
        <v>39679388</v>
      </c>
      <c r="K1560">
        <v>411</v>
      </c>
      <c r="L1560">
        <v>2</v>
      </c>
      <c r="M1560">
        <v>12</v>
      </c>
      <c r="N1560">
        <v>0.9499916457811195</v>
      </c>
      <c r="O1560">
        <v>39729806.714285716</v>
      </c>
      <c r="P1560">
        <v>471</v>
      </c>
      <c r="Q1560">
        <v>2</v>
      </c>
      <c r="R1560">
        <v>13</v>
      </c>
      <c r="S1560">
        <v>12.16975856320912</v>
      </c>
      <c r="T1560">
        <v>0.79198333333333326</v>
      </c>
    </row>
    <row r="1561" spans="1:20" x14ac:dyDescent="0.25">
      <c r="A1561" t="s">
        <v>295</v>
      </c>
      <c r="B1561">
        <v>3</v>
      </c>
      <c r="C1561">
        <v>2</v>
      </c>
      <c r="D1561">
        <v>0</v>
      </c>
      <c r="E1561" t="s">
        <v>303</v>
      </c>
      <c r="F1561">
        <v>363</v>
      </c>
      <c r="G1561">
        <v>2313665.875</v>
      </c>
      <c r="H1561">
        <v>0.92763159051537514</v>
      </c>
      <c r="I1561">
        <v>0.91611842105263153</v>
      </c>
      <c r="J1561">
        <v>264998.25</v>
      </c>
      <c r="K1561">
        <v>535</v>
      </c>
      <c r="L1561">
        <v>2</v>
      </c>
      <c r="M1561">
        <v>14</v>
      </c>
      <c r="N1561">
        <v>0.93256578947368418</v>
      </c>
      <c r="O1561">
        <v>239706.25</v>
      </c>
      <c r="P1561">
        <v>603</v>
      </c>
      <c r="Q1561">
        <v>2</v>
      </c>
      <c r="R1561">
        <v>15</v>
      </c>
      <c r="S1561">
        <v>12.16622790522753</v>
      </c>
      <c r="T1561">
        <v>0.98840579986572263</v>
      </c>
    </row>
    <row r="1562" spans="1:20" x14ac:dyDescent="0.25">
      <c r="A1562" t="s">
        <v>295</v>
      </c>
      <c r="B1562">
        <v>3</v>
      </c>
      <c r="C1562">
        <v>2</v>
      </c>
      <c r="D1562">
        <v>0</v>
      </c>
      <c r="E1562" t="s">
        <v>310</v>
      </c>
      <c r="F1562">
        <v>402</v>
      </c>
      <c r="G1562">
        <v>3352241.125</v>
      </c>
      <c r="H1562">
        <v>0.9440789557993412</v>
      </c>
      <c r="I1562">
        <v>0.91940789473684215</v>
      </c>
      <c r="J1562">
        <v>191267.75</v>
      </c>
      <c r="K1562">
        <v>603</v>
      </c>
      <c r="L1562">
        <v>2</v>
      </c>
      <c r="M1562">
        <v>15</v>
      </c>
      <c r="N1562">
        <v>0.92763157894736836</v>
      </c>
      <c r="O1562">
        <v>125963.75</v>
      </c>
      <c r="P1562">
        <v>675</v>
      </c>
      <c r="Q1562">
        <v>2</v>
      </c>
      <c r="R1562">
        <v>16</v>
      </c>
      <c r="S1562">
        <v>12.162918031026894</v>
      </c>
      <c r="T1562">
        <v>0.99420289993286137</v>
      </c>
    </row>
    <row r="1563" spans="1:20" x14ac:dyDescent="0.25">
      <c r="A1563" t="s">
        <v>295</v>
      </c>
      <c r="B1563">
        <v>3</v>
      </c>
      <c r="C1563">
        <v>2</v>
      </c>
      <c r="D1563">
        <v>0</v>
      </c>
      <c r="E1563" t="s">
        <v>313</v>
      </c>
      <c r="F1563">
        <v>516</v>
      </c>
      <c r="G1563">
        <v>1935514.6875</v>
      </c>
      <c r="H1563">
        <v>0.94407894462347031</v>
      </c>
      <c r="I1563">
        <v>0.94078947368421051</v>
      </c>
      <c r="J1563">
        <v>164293.5</v>
      </c>
      <c r="K1563">
        <v>751</v>
      </c>
      <c r="L1563">
        <v>2</v>
      </c>
      <c r="M1563">
        <v>17</v>
      </c>
      <c r="N1563">
        <v>0.95723684210526316</v>
      </c>
      <c r="O1563">
        <v>219605</v>
      </c>
      <c r="P1563">
        <v>831</v>
      </c>
      <c r="Q1563">
        <v>2</v>
      </c>
      <c r="R1563">
        <v>18</v>
      </c>
      <c r="S1563">
        <v>12.159184768034326</v>
      </c>
      <c r="T1563">
        <v>0.99420289993286137</v>
      </c>
    </row>
    <row r="1564" spans="1:20" x14ac:dyDescent="0.25">
      <c r="A1564" t="s">
        <v>295</v>
      </c>
      <c r="B1564">
        <v>3</v>
      </c>
      <c r="C1564">
        <v>2</v>
      </c>
      <c r="D1564">
        <v>0</v>
      </c>
      <c r="E1564" t="s">
        <v>305</v>
      </c>
      <c r="F1564">
        <v>591</v>
      </c>
      <c r="G1564">
        <v>3187194.1739130435</v>
      </c>
      <c r="H1564">
        <v>0.9399313525013302</v>
      </c>
      <c r="I1564">
        <v>0.92448512585812359</v>
      </c>
      <c r="J1564">
        <v>211769.13043478262</v>
      </c>
      <c r="K1564">
        <v>915</v>
      </c>
      <c r="L1564">
        <v>2</v>
      </c>
      <c r="M1564">
        <v>19</v>
      </c>
      <c r="N1564">
        <v>0.93478260869565211</v>
      </c>
      <c r="O1564">
        <v>261351.02173913043</v>
      </c>
      <c r="P1564">
        <v>1003</v>
      </c>
      <c r="Q1564">
        <v>2</v>
      </c>
      <c r="R1564">
        <v>20</v>
      </c>
      <c r="S1564">
        <v>12.150179230645765</v>
      </c>
      <c r="T1564">
        <v>0.99227053324381509</v>
      </c>
    </row>
    <row r="1565" spans="1:20" x14ac:dyDescent="0.25">
      <c r="A1565" t="s">
        <v>295</v>
      </c>
      <c r="B1565">
        <v>3</v>
      </c>
      <c r="C1565">
        <v>2</v>
      </c>
      <c r="D1565">
        <v>0</v>
      </c>
      <c r="E1565" t="s">
        <v>308</v>
      </c>
      <c r="F1565">
        <v>639</v>
      </c>
      <c r="G1565">
        <v>4602889.064516129</v>
      </c>
      <c r="H1565">
        <v>0.93972836194499842</v>
      </c>
      <c r="I1565">
        <v>0.9303904923599321</v>
      </c>
      <c r="J1565">
        <v>226021.96774193548</v>
      </c>
      <c r="K1565">
        <v>1003</v>
      </c>
      <c r="L1565">
        <v>2</v>
      </c>
      <c r="M1565">
        <v>20</v>
      </c>
      <c r="N1565">
        <v>0.93208828522920206</v>
      </c>
      <c r="O1565">
        <v>229749.74193548388</v>
      </c>
      <c r="P1565">
        <v>1095</v>
      </c>
      <c r="Q1565">
        <v>2</v>
      </c>
      <c r="R1565">
        <v>21</v>
      </c>
      <c r="S1565">
        <v>12.148007691485953</v>
      </c>
      <c r="T1565">
        <v>0.99275362491607666</v>
      </c>
    </row>
    <row r="1566" spans="1:20" x14ac:dyDescent="0.25">
      <c r="A1566" t="s">
        <v>295</v>
      </c>
      <c r="B1566">
        <v>3</v>
      </c>
      <c r="C1566">
        <v>2</v>
      </c>
      <c r="D1566">
        <v>0</v>
      </c>
      <c r="E1566" t="s">
        <v>309</v>
      </c>
      <c r="F1566">
        <v>785</v>
      </c>
      <c r="G1566">
        <v>3712561.1875</v>
      </c>
      <c r="H1566">
        <v>0.93914474919438362</v>
      </c>
      <c r="I1566">
        <v>0.92763157894736836</v>
      </c>
      <c r="J1566">
        <v>196321.4375</v>
      </c>
      <c r="K1566">
        <v>1191</v>
      </c>
      <c r="L1566">
        <v>2</v>
      </c>
      <c r="M1566">
        <v>22</v>
      </c>
      <c r="N1566">
        <v>0.92763157894736836</v>
      </c>
      <c r="O1566">
        <v>221329.625</v>
      </c>
      <c r="P1566">
        <v>1291</v>
      </c>
      <c r="Q1566">
        <v>2</v>
      </c>
      <c r="R1566">
        <v>23</v>
      </c>
      <c r="S1566">
        <v>12.144999466325114</v>
      </c>
      <c r="T1566">
        <v>0.98840579986572263</v>
      </c>
    </row>
    <row r="1567" spans="1:20" x14ac:dyDescent="0.25">
      <c r="A1567" t="s">
        <v>295</v>
      </c>
      <c r="B1567">
        <v>3</v>
      </c>
      <c r="C1567">
        <v>2</v>
      </c>
      <c r="D1567">
        <v>0</v>
      </c>
      <c r="E1567" t="s">
        <v>299</v>
      </c>
      <c r="F1567">
        <v>883</v>
      </c>
      <c r="G1567">
        <v>3951175.1086956523</v>
      </c>
      <c r="H1567">
        <v>0.93020595934080041</v>
      </c>
      <c r="I1567">
        <v>0.93135011441647597</v>
      </c>
      <c r="J1567">
        <v>293284.10869565216</v>
      </c>
      <c r="K1567">
        <v>1395</v>
      </c>
      <c r="L1567">
        <v>2</v>
      </c>
      <c r="M1567">
        <v>24</v>
      </c>
      <c r="N1567">
        <v>0.92906178489702518</v>
      </c>
      <c r="O1567">
        <v>273337.4347826087</v>
      </c>
      <c r="P1567">
        <v>1503</v>
      </c>
      <c r="Q1567">
        <v>2</v>
      </c>
      <c r="R1567">
        <v>25</v>
      </c>
      <c r="S1567">
        <v>12.136871805792163</v>
      </c>
      <c r="T1567">
        <v>0.97874396244684858</v>
      </c>
    </row>
    <row r="1568" spans="1:20" x14ac:dyDescent="0.25">
      <c r="A1568" t="s">
        <v>295</v>
      </c>
      <c r="B1568">
        <v>3</v>
      </c>
      <c r="C1568">
        <v>2</v>
      </c>
      <c r="D1568">
        <v>0</v>
      </c>
      <c r="E1568" t="s">
        <v>312</v>
      </c>
      <c r="F1568">
        <v>979</v>
      </c>
      <c r="G1568">
        <v>3938141.4375</v>
      </c>
      <c r="H1568">
        <v>0.93914474546909332</v>
      </c>
      <c r="I1568">
        <v>0.92269736842105265</v>
      </c>
      <c r="J1568">
        <v>216653.6875</v>
      </c>
      <c r="K1568">
        <v>1503</v>
      </c>
      <c r="L1568">
        <v>2</v>
      </c>
      <c r="M1568">
        <v>25</v>
      </c>
      <c r="N1568">
        <v>0.93256578947368418</v>
      </c>
      <c r="O1568">
        <v>316396.75</v>
      </c>
      <c r="P1568">
        <v>1615</v>
      </c>
      <c r="Q1568">
        <v>2</v>
      </c>
      <c r="R1568">
        <v>26</v>
      </c>
      <c r="S1568">
        <v>12.133829787234042</v>
      </c>
      <c r="T1568">
        <v>0.99130434989929195</v>
      </c>
    </row>
    <row r="1569" spans="1:20" x14ac:dyDescent="0.25">
      <c r="A1569" t="s">
        <v>295</v>
      </c>
      <c r="B1569">
        <v>3</v>
      </c>
      <c r="C1569">
        <v>2</v>
      </c>
      <c r="D1569">
        <v>0</v>
      </c>
      <c r="E1569" t="s">
        <v>300</v>
      </c>
      <c r="F1569">
        <v>1125</v>
      </c>
      <c r="G1569">
        <v>4452255.8064516131</v>
      </c>
      <c r="H1569">
        <v>0.94227505307043757</v>
      </c>
      <c r="I1569">
        <v>0.93208828522920206</v>
      </c>
      <c r="J1569">
        <v>241370.83870967742</v>
      </c>
      <c r="K1569">
        <v>1731</v>
      </c>
      <c r="L1569">
        <v>2</v>
      </c>
      <c r="M1569">
        <v>27</v>
      </c>
      <c r="N1569">
        <v>0.92444821731748728</v>
      </c>
      <c r="O1569">
        <v>218838</v>
      </c>
      <c r="P1569">
        <v>1851</v>
      </c>
      <c r="Q1569">
        <v>2</v>
      </c>
      <c r="R1569">
        <v>28</v>
      </c>
      <c r="S1569">
        <v>12.129945302957889</v>
      </c>
      <c r="T1569">
        <v>0.99275362491607666</v>
      </c>
    </row>
    <row r="1570" spans="1:20" x14ac:dyDescent="0.25">
      <c r="A1570" t="s">
        <v>295</v>
      </c>
      <c r="B1570">
        <v>3</v>
      </c>
      <c r="C1570">
        <v>2</v>
      </c>
      <c r="D1570">
        <v>0</v>
      </c>
      <c r="E1570" t="s">
        <v>298</v>
      </c>
      <c r="F1570">
        <v>1173</v>
      </c>
      <c r="G1570">
        <v>3993334.125</v>
      </c>
      <c r="H1570">
        <v>0.94243422150611877</v>
      </c>
      <c r="I1570">
        <v>0.93092105263157887</v>
      </c>
      <c r="J1570">
        <v>401794.3125</v>
      </c>
      <c r="K1570">
        <v>1851</v>
      </c>
      <c r="L1570">
        <v>2</v>
      </c>
      <c r="M1570">
        <v>28</v>
      </c>
      <c r="N1570">
        <v>0.93585526315789469</v>
      </c>
      <c r="O1570">
        <v>300533.75</v>
      </c>
      <c r="P1570">
        <v>1975</v>
      </c>
      <c r="Q1570">
        <v>2</v>
      </c>
      <c r="R1570">
        <v>29</v>
      </c>
      <c r="S1570">
        <v>12.126757574149732</v>
      </c>
      <c r="T1570">
        <v>0.99420289993286137</v>
      </c>
    </row>
    <row r="1571" spans="1:20" x14ac:dyDescent="0.25">
      <c r="A1571" t="s">
        <v>295</v>
      </c>
      <c r="B1571">
        <v>3</v>
      </c>
      <c r="C1571">
        <v>2</v>
      </c>
      <c r="D1571">
        <v>0</v>
      </c>
      <c r="E1571" t="s">
        <v>301</v>
      </c>
      <c r="F1571">
        <v>1367</v>
      </c>
      <c r="G1571">
        <v>3875321.3125</v>
      </c>
      <c r="H1571">
        <v>0.94078947976231575</v>
      </c>
      <c r="I1571">
        <v>0.93256578947368418</v>
      </c>
      <c r="J1571">
        <v>334955.25</v>
      </c>
      <c r="K1571">
        <v>2103</v>
      </c>
      <c r="L1571">
        <v>2</v>
      </c>
      <c r="M1571">
        <v>30</v>
      </c>
      <c r="N1571">
        <v>0.91776315789473684</v>
      </c>
      <c r="O1571">
        <v>298264.4375</v>
      </c>
      <c r="P1571">
        <v>2235</v>
      </c>
      <c r="Q1571">
        <v>2</v>
      </c>
      <c r="R1571">
        <v>31</v>
      </c>
      <c r="S1571">
        <v>12.123363197794625</v>
      </c>
      <c r="T1571">
        <v>0.99420289993286137</v>
      </c>
    </row>
    <row r="1572" spans="1:20" x14ac:dyDescent="0.25">
      <c r="A1572" t="s">
        <v>295</v>
      </c>
      <c r="B1572">
        <v>3</v>
      </c>
      <c r="C1572">
        <v>2</v>
      </c>
      <c r="D1572">
        <v>0</v>
      </c>
      <c r="E1572" t="s">
        <v>302</v>
      </c>
      <c r="F1572">
        <v>174</v>
      </c>
      <c r="G1572">
        <v>3854794.3125</v>
      </c>
      <c r="H1572">
        <v>0.93421053513884544</v>
      </c>
      <c r="I1572">
        <v>0.91776315789473684</v>
      </c>
      <c r="J1572">
        <v>312098.1875</v>
      </c>
      <c r="K1572">
        <v>255</v>
      </c>
      <c r="L1572">
        <v>2</v>
      </c>
      <c r="M1572">
        <v>9</v>
      </c>
      <c r="N1572">
        <v>0.93256578947368418</v>
      </c>
      <c r="O1572">
        <v>402929.1875</v>
      </c>
      <c r="P1572">
        <v>303</v>
      </c>
      <c r="Q1572">
        <v>2</v>
      </c>
      <c r="R1572">
        <v>10</v>
      </c>
      <c r="S1572">
        <v>12.120027543831771</v>
      </c>
      <c r="T1572">
        <v>0.99420289993286137</v>
      </c>
    </row>
    <row r="1573" spans="1:20" x14ac:dyDescent="0.25">
      <c r="A1573" t="s">
        <v>295</v>
      </c>
      <c r="B1573">
        <v>3</v>
      </c>
      <c r="C1573">
        <v>3</v>
      </c>
      <c r="D1573">
        <v>0</v>
      </c>
      <c r="E1573" t="s">
        <v>302</v>
      </c>
      <c r="F1573">
        <v>195</v>
      </c>
      <c r="G1573">
        <v>4233128</v>
      </c>
      <c r="H1573">
        <v>0.94407894089818001</v>
      </c>
      <c r="I1573">
        <v>0.9391447368421052</v>
      </c>
      <c r="J1573">
        <v>259636.9375</v>
      </c>
      <c r="K1573">
        <v>303</v>
      </c>
      <c r="L1573">
        <v>2</v>
      </c>
      <c r="M1573">
        <v>10</v>
      </c>
      <c r="N1573">
        <v>0.93421052631578949</v>
      </c>
      <c r="O1573">
        <v>303066.625</v>
      </c>
      <c r="P1573">
        <v>355</v>
      </c>
      <c r="Q1573">
        <v>2</v>
      </c>
      <c r="R1573">
        <v>11</v>
      </c>
      <c r="S1573">
        <v>12.116168298491665</v>
      </c>
      <c r="T1573">
        <v>0.99130434989929195</v>
      </c>
    </row>
    <row r="1574" spans="1:20" x14ac:dyDescent="0.25">
      <c r="A1574" t="s">
        <v>295</v>
      </c>
      <c r="B1574">
        <v>3</v>
      </c>
      <c r="C1574">
        <v>3</v>
      </c>
      <c r="D1574">
        <v>0</v>
      </c>
      <c r="E1574" t="s">
        <v>306</v>
      </c>
      <c r="F1574">
        <v>323</v>
      </c>
      <c r="G1574">
        <v>2637130.1875</v>
      </c>
      <c r="H1574">
        <v>0.94736841693520546</v>
      </c>
      <c r="I1574">
        <v>0.95394736842105265</v>
      </c>
      <c r="J1574">
        <v>233243.8125</v>
      </c>
      <c r="K1574">
        <v>535</v>
      </c>
      <c r="L1574">
        <v>2</v>
      </c>
      <c r="M1574">
        <v>14</v>
      </c>
      <c r="N1574">
        <v>0.92269736842105265</v>
      </c>
      <c r="O1574">
        <v>189709</v>
      </c>
      <c r="P1574">
        <v>603</v>
      </c>
      <c r="Q1574">
        <v>2</v>
      </c>
      <c r="R1574">
        <v>15</v>
      </c>
      <c r="S1574">
        <v>12.11273861773571</v>
      </c>
      <c r="T1574">
        <v>0.99420289993286137</v>
      </c>
    </row>
    <row r="1575" spans="1:20" x14ac:dyDescent="0.25">
      <c r="A1575" t="s">
        <v>295</v>
      </c>
      <c r="B1575">
        <v>3</v>
      </c>
      <c r="C1575">
        <v>3</v>
      </c>
      <c r="D1575">
        <v>0</v>
      </c>
      <c r="E1575" t="s">
        <v>303</v>
      </c>
      <c r="F1575">
        <v>407</v>
      </c>
      <c r="G1575">
        <v>2748040.5</v>
      </c>
      <c r="H1575">
        <v>0.94901315867900848</v>
      </c>
      <c r="I1575">
        <v>0.93914473684210531</v>
      </c>
      <c r="J1575">
        <v>222216.125</v>
      </c>
      <c r="K1575">
        <v>675</v>
      </c>
      <c r="L1575">
        <v>2</v>
      </c>
      <c r="M1575">
        <v>16</v>
      </c>
      <c r="N1575">
        <v>0.93256578947368418</v>
      </c>
      <c r="O1575">
        <v>121231.9375</v>
      </c>
      <c r="P1575">
        <v>751</v>
      </c>
      <c r="Q1575">
        <v>2</v>
      </c>
      <c r="R1575">
        <v>17</v>
      </c>
      <c r="S1575">
        <v>12.109473239287789</v>
      </c>
      <c r="T1575">
        <v>0.99420289993286137</v>
      </c>
    </row>
    <row r="1576" spans="1:20" x14ac:dyDescent="0.25">
      <c r="A1576" t="s">
        <v>295</v>
      </c>
      <c r="B1576">
        <v>3</v>
      </c>
      <c r="C1576">
        <v>3</v>
      </c>
      <c r="D1576">
        <v>0</v>
      </c>
      <c r="E1576" t="s">
        <v>310</v>
      </c>
      <c r="F1576">
        <v>451</v>
      </c>
      <c r="G1576">
        <v>4233058.6875</v>
      </c>
      <c r="H1576">
        <v>0.9440789557993412</v>
      </c>
      <c r="I1576">
        <v>0.92927631578947367</v>
      </c>
      <c r="J1576">
        <v>303322.125</v>
      </c>
      <c r="K1576">
        <v>751</v>
      </c>
      <c r="L1576">
        <v>2</v>
      </c>
      <c r="M1576">
        <v>17</v>
      </c>
      <c r="N1576">
        <v>0.91776315789473684</v>
      </c>
      <c r="O1576">
        <v>305395.6875</v>
      </c>
      <c r="P1576">
        <v>831</v>
      </c>
      <c r="Q1576">
        <v>2</v>
      </c>
      <c r="R1576">
        <v>18</v>
      </c>
      <c r="S1576">
        <v>12.1064245367682</v>
      </c>
      <c r="T1576">
        <v>0.98840579986572263</v>
      </c>
    </row>
    <row r="1577" spans="1:20" x14ac:dyDescent="0.25">
      <c r="A1577" t="s">
        <v>295</v>
      </c>
      <c r="B1577">
        <v>3</v>
      </c>
      <c r="C1577">
        <v>3</v>
      </c>
      <c r="D1577">
        <v>0</v>
      </c>
      <c r="E1577" t="s">
        <v>304</v>
      </c>
      <c r="F1577">
        <v>535</v>
      </c>
      <c r="G1577">
        <v>3065257.4375</v>
      </c>
      <c r="H1577">
        <v>0.95230263099074364</v>
      </c>
      <c r="I1577">
        <v>0.92598684210526316</v>
      </c>
      <c r="J1577">
        <v>297171.875</v>
      </c>
      <c r="K1577">
        <v>915</v>
      </c>
      <c r="L1577">
        <v>2</v>
      </c>
      <c r="M1577">
        <v>19</v>
      </c>
      <c r="N1577">
        <v>0.92927631578947367</v>
      </c>
      <c r="O1577">
        <v>277433.0625</v>
      </c>
      <c r="P1577">
        <v>1003</v>
      </c>
      <c r="Q1577">
        <v>2</v>
      </c>
      <c r="R1577">
        <v>20</v>
      </c>
      <c r="S1577">
        <v>12.10332823461153</v>
      </c>
      <c r="T1577">
        <v>0.99130434989929195</v>
      </c>
    </row>
    <row r="1578" spans="1:20" x14ac:dyDescent="0.25">
      <c r="A1578" t="s">
        <v>295</v>
      </c>
      <c r="B1578">
        <v>3</v>
      </c>
      <c r="C1578">
        <v>3</v>
      </c>
      <c r="D1578">
        <v>0</v>
      </c>
      <c r="E1578" t="s">
        <v>313</v>
      </c>
      <c r="F1578">
        <v>579</v>
      </c>
      <c r="G1578">
        <v>4402301.3225806449</v>
      </c>
      <c r="H1578">
        <v>0.95076400618399348</v>
      </c>
      <c r="I1578">
        <v>0.92444821731748728</v>
      </c>
      <c r="J1578">
        <v>249555.90322580645</v>
      </c>
      <c r="K1578">
        <v>1003</v>
      </c>
      <c r="L1578">
        <v>2</v>
      </c>
      <c r="M1578">
        <v>20</v>
      </c>
      <c r="N1578">
        <v>0.93293718166383699</v>
      </c>
      <c r="O1578">
        <v>236226.80645161291</v>
      </c>
      <c r="P1578">
        <v>1095</v>
      </c>
      <c r="Q1578">
        <v>2</v>
      </c>
      <c r="R1578">
        <v>21</v>
      </c>
      <c r="S1578">
        <v>12.098367561874671</v>
      </c>
      <c r="T1578">
        <v>0.99130434989929195</v>
      </c>
    </row>
    <row r="1579" spans="1:20" x14ac:dyDescent="0.25">
      <c r="A1579" t="s">
        <v>295</v>
      </c>
      <c r="B1579">
        <v>3</v>
      </c>
      <c r="C1579">
        <v>3</v>
      </c>
      <c r="D1579">
        <v>0</v>
      </c>
      <c r="E1579" t="s">
        <v>305</v>
      </c>
      <c r="F1579">
        <v>663</v>
      </c>
      <c r="G1579">
        <v>2757853.8125</v>
      </c>
      <c r="H1579">
        <v>0.93585525080561638</v>
      </c>
      <c r="I1579">
        <v>0.91611842105263153</v>
      </c>
      <c r="J1579">
        <v>271135</v>
      </c>
      <c r="K1579">
        <v>1095</v>
      </c>
      <c r="L1579">
        <v>2</v>
      </c>
      <c r="M1579">
        <v>21</v>
      </c>
      <c r="N1579">
        <v>0.92105263157894735</v>
      </c>
      <c r="O1579">
        <v>277256.9375</v>
      </c>
      <c r="P1579">
        <v>1191</v>
      </c>
      <c r="Q1579">
        <v>2</v>
      </c>
      <c r="R1579">
        <v>22</v>
      </c>
      <c r="S1579">
        <v>12.09428601494265</v>
      </c>
      <c r="T1579">
        <v>0.99420289993286137</v>
      </c>
    </row>
    <row r="1580" spans="1:20" x14ac:dyDescent="0.25">
      <c r="A1580" t="s">
        <v>295</v>
      </c>
      <c r="B1580">
        <v>3</v>
      </c>
      <c r="C1580">
        <v>3</v>
      </c>
      <c r="D1580">
        <v>0</v>
      </c>
      <c r="E1580" t="s">
        <v>308</v>
      </c>
      <c r="F1580">
        <v>717</v>
      </c>
      <c r="G1580">
        <v>4607786.875</v>
      </c>
      <c r="H1580">
        <v>0.95394736528396606</v>
      </c>
      <c r="I1580">
        <v>0.93256578947368418</v>
      </c>
      <c r="J1580">
        <v>241180.1875</v>
      </c>
      <c r="K1580">
        <v>1191</v>
      </c>
      <c r="L1580">
        <v>2</v>
      </c>
      <c r="M1580">
        <v>22</v>
      </c>
      <c r="N1580">
        <v>0.91611842105263153</v>
      </c>
      <c r="O1580">
        <v>177762.9375</v>
      </c>
      <c r="P1580">
        <v>1291</v>
      </c>
      <c r="Q1580">
        <v>2</v>
      </c>
      <c r="R1580">
        <v>23</v>
      </c>
      <c r="S1580">
        <v>12.091525601934602</v>
      </c>
      <c r="T1580">
        <v>0.98840579986572263</v>
      </c>
    </row>
    <row r="1581" spans="1:20" x14ac:dyDescent="0.25">
      <c r="A1581" t="s">
        <v>295</v>
      </c>
      <c r="B1581">
        <v>3</v>
      </c>
      <c r="C1581">
        <v>3</v>
      </c>
      <c r="D1581">
        <v>0</v>
      </c>
      <c r="E1581" t="s">
        <v>296</v>
      </c>
      <c r="F1581">
        <v>845</v>
      </c>
      <c r="G1581">
        <v>5558819.4838709673</v>
      </c>
      <c r="H1581">
        <v>0.93463497200319845</v>
      </c>
      <c r="I1581">
        <v>0.93548387096774188</v>
      </c>
      <c r="J1581">
        <v>235061.4193548387</v>
      </c>
      <c r="K1581">
        <v>1395</v>
      </c>
      <c r="L1581">
        <v>2</v>
      </c>
      <c r="M1581">
        <v>24</v>
      </c>
      <c r="N1581">
        <v>0.92444821731748728</v>
      </c>
      <c r="O1581">
        <v>247205.45161290321</v>
      </c>
      <c r="P1581">
        <v>1503</v>
      </c>
      <c r="Q1581">
        <v>2</v>
      </c>
      <c r="R1581">
        <v>25</v>
      </c>
      <c r="S1581">
        <v>12.089277279168634</v>
      </c>
      <c r="T1581">
        <v>0.99130434989929195</v>
      </c>
    </row>
    <row r="1582" spans="1:20" x14ac:dyDescent="0.25">
      <c r="A1582" t="s">
        <v>295</v>
      </c>
      <c r="B1582">
        <v>3</v>
      </c>
      <c r="C1582">
        <v>3</v>
      </c>
      <c r="D1582">
        <v>0</v>
      </c>
      <c r="E1582" t="s">
        <v>309</v>
      </c>
      <c r="F1582">
        <v>881</v>
      </c>
      <c r="G1582">
        <v>4820212.3125</v>
      </c>
      <c r="H1582">
        <v>0.92763159051537514</v>
      </c>
      <c r="I1582">
        <v>0.92269736842105265</v>
      </c>
      <c r="J1582">
        <v>190667.6875</v>
      </c>
      <c r="K1582">
        <v>1503</v>
      </c>
      <c r="L1582">
        <v>2</v>
      </c>
      <c r="M1582">
        <v>25</v>
      </c>
      <c r="N1582">
        <v>0.93585526315789469</v>
      </c>
      <c r="O1582">
        <v>309437.9375</v>
      </c>
      <c r="P1582">
        <v>1615</v>
      </c>
      <c r="Q1582">
        <v>2</v>
      </c>
      <c r="R1582">
        <v>26</v>
      </c>
      <c r="S1582">
        <v>12.086737637002464</v>
      </c>
      <c r="T1582">
        <v>0.98260869979858401</v>
      </c>
    </row>
    <row r="1583" spans="1:20" x14ac:dyDescent="0.25">
      <c r="A1583" t="s">
        <v>295</v>
      </c>
      <c r="B1583">
        <v>3</v>
      </c>
      <c r="C1583">
        <v>3</v>
      </c>
      <c r="D1583">
        <v>0</v>
      </c>
      <c r="E1583" t="s">
        <v>299</v>
      </c>
      <c r="F1583">
        <v>991</v>
      </c>
      <c r="G1583">
        <v>5005228.2580645159</v>
      </c>
      <c r="H1583">
        <v>0.85908319680921497</v>
      </c>
      <c r="I1583">
        <v>0.92954159592529706</v>
      </c>
      <c r="J1583">
        <v>294892.41935483873</v>
      </c>
      <c r="K1583">
        <v>1731</v>
      </c>
      <c r="L1583">
        <v>2</v>
      </c>
      <c r="M1583">
        <v>27</v>
      </c>
      <c r="N1583">
        <v>0.92105263157894735</v>
      </c>
      <c r="O1583">
        <v>295908.87096774194</v>
      </c>
      <c r="P1583">
        <v>1851</v>
      </c>
      <c r="Q1583">
        <v>2</v>
      </c>
      <c r="R1583">
        <v>28</v>
      </c>
      <c r="S1583">
        <v>12.082513089005236</v>
      </c>
      <c r="T1583">
        <v>0.94202898740768437</v>
      </c>
    </row>
    <row r="1584" spans="1:20" x14ac:dyDescent="0.25">
      <c r="A1584" t="s">
        <v>295</v>
      </c>
      <c r="B1584">
        <v>3</v>
      </c>
      <c r="C1584">
        <v>3</v>
      </c>
      <c r="D1584">
        <v>0</v>
      </c>
      <c r="E1584" t="s">
        <v>312</v>
      </c>
      <c r="F1584">
        <v>1099</v>
      </c>
      <c r="G1584">
        <v>6132275.5625</v>
      </c>
      <c r="H1584">
        <v>0.95394737273454666</v>
      </c>
      <c r="I1584">
        <v>0.92763157894736836</v>
      </c>
      <c r="J1584">
        <v>359123.6875</v>
      </c>
      <c r="K1584">
        <v>1851</v>
      </c>
      <c r="L1584">
        <v>2</v>
      </c>
      <c r="M1584">
        <v>28</v>
      </c>
      <c r="N1584">
        <v>0.92434210526315785</v>
      </c>
      <c r="O1584">
        <v>375689.5</v>
      </c>
      <c r="P1584">
        <v>1975</v>
      </c>
      <c r="Q1584">
        <v>2</v>
      </c>
      <c r="R1584">
        <v>29</v>
      </c>
      <c r="S1584">
        <v>12.081920903954803</v>
      </c>
      <c r="T1584">
        <v>0.99130434989929195</v>
      </c>
    </row>
    <row r="1585" spans="1:20" x14ac:dyDescent="0.25">
      <c r="A1585" t="s">
        <v>295</v>
      </c>
      <c r="B1585">
        <v>3</v>
      </c>
      <c r="C1585">
        <v>3</v>
      </c>
      <c r="D1585">
        <v>0</v>
      </c>
      <c r="E1585" t="s">
        <v>300</v>
      </c>
      <c r="F1585">
        <v>1263</v>
      </c>
      <c r="G1585">
        <v>5285909.3548387093</v>
      </c>
      <c r="H1585">
        <v>0.9507640081067239</v>
      </c>
      <c r="I1585">
        <v>0.92699490662139217</v>
      </c>
      <c r="J1585">
        <v>289692.6451612903</v>
      </c>
      <c r="K1585">
        <v>2103</v>
      </c>
      <c r="L1585">
        <v>2</v>
      </c>
      <c r="M1585">
        <v>30</v>
      </c>
      <c r="N1585">
        <v>0.92190152801358238</v>
      </c>
      <c r="O1585">
        <v>370171.80645161291</v>
      </c>
      <c r="P1585">
        <v>2235</v>
      </c>
      <c r="Q1585">
        <v>2</v>
      </c>
      <c r="R1585">
        <v>31</v>
      </c>
      <c r="S1585">
        <v>12.078027889486604</v>
      </c>
      <c r="T1585">
        <v>0.98550724983215332</v>
      </c>
    </row>
    <row r="1586" spans="1:20" x14ac:dyDescent="0.25">
      <c r="A1586" t="s">
        <v>295</v>
      </c>
      <c r="B1586">
        <v>3</v>
      </c>
      <c r="C1586">
        <v>3</v>
      </c>
      <c r="D1586">
        <v>0</v>
      </c>
      <c r="E1586" t="s">
        <v>298</v>
      </c>
      <c r="F1586">
        <v>1317</v>
      </c>
      <c r="G1586">
        <v>4822713.6875</v>
      </c>
      <c r="H1586">
        <v>0.93914473801851273</v>
      </c>
      <c r="I1586">
        <v>0.91447368421052633</v>
      </c>
      <c r="J1586">
        <v>380939.6875</v>
      </c>
      <c r="K1586">
        <v>2235</v>
      </c>
      <c r="L1586">
        <v>2</v>
      </c>
      <c r="M1586">
        <v>31</v>
      </c>
      <c r="N1586">
        <v>0.92434210526315785</v>
      </c>
      <c r="O1586">
        <v>401390.125</v>
      </c>
      <c r="P1586">
        <v>2371</v>
      </c>
      <c r="Q1586">
        <v>2</v>
      </c>
      <c r="R1586">
        <v>32</v>
      </c>
      <c r="S1586">
        <v>12.07493607472734</v>
      </c>
      <c r="T1586">
        <v>0.99130434989929195</v>
      </c>
    </row>
    <row r="1587" spans="1:20" x14ac:dyDescent="0.25">
      <c r="A1587" t="s">
        <v>295</v>
      </c>
      <c r="B1587">
        <v>3</v>
      </c>
      <c r="C1587">
        <v>3</v>
      </c>
      <c r="D1587">
        <v>0</v>
      </c>
      <c r="E1587" t="s">
        <v>301</v>
      </c>
      <c r="F1587">
        <v>1535</v>
      </c>
      <c r="G1587">
        <v>4896631.5</v>
      </c>
      <c r="H1587">
        <v>0.94736842066049576</v>
      </c>
      <c r="I1587">
        <v>0.92598684210526316</v>
      </c>
      <c r="J1587">
        <v>269360.6875</v>
      </c>
      <c r="K1587">
        <v>2655</v>
      </c>
      <c r="L1587">
        <v>2</v>
      </c>
      <c r="M1587">
        <v>34</v>
      </c>
      <c r="N1587">
        <v>0.93421052631578949</v>
      </c>
      <c r="O1587">
        <v>274745.5</v>
      </c>
      <c r="P1587">
        <v>2803</v>
      </c>
      <c r="Q1587">
        <v>2</v>
      </c>
      <c r="R1587">
        <v>35</v>
      </c>
      <c r="S1587">
        <v>12.072266541529798</v>
      </c>
      <c r="T1587">
        <v>0.98550724983215332</v>
      </c>
    </row>
    <row r="1588" spans="1:20" x14ac:dyDescent="0.25">
      <c r="A1588" t="s">
        <v>295</v>
      </c>
      <c r="B1588">
        <v>3</v>
      </c>
      <c r="C1588">
        <v>4</v>
      </c>
      <c r="D1588">
        <v>0</v>
      </c>
      <c r="E1588" t="s">
        <v>302</v>
      </c>
      <c r="F1588">
        <v>216</v>
      </c>
      <c r="G1588">
        <v>4456724.6875</v>
      </c>
      <c r="H1588">
        <v>0.94243421033024788</v>
      </c>
      <c r="I1588">
        <v>0.92434210526315785</v>
      </c>
      <c r="J1588">
        <v>410754.0625</v>
      </c>
      <c r="K1588">
        <v>355</v>
      </c>
      <c r="L1588">
        <v>2</v>
      </c>
      <c r="M1588">
        <v>11</v>
      </c>
      <c r="N1588">
        <v>0.92598684210526316</v>
      </c>
      <c r="O1588">
        <v>279542.1875</v>
      </c>
      <c r="P1588">
        <v>411</v>
      </c>
      <c r="Q1588">
        <v>2</v>
      </c>
      <c r="R1588">
        <v>12</v>
      </c>
      <c r="S1588">
        <v>12.068767908309455</v>
      </c>
      <c r="T1588">
        <v>0.98840579986572263</v>
      </c>
    </row>
    <row r="1589" spans="1:20" x14ac:dyDescent="0.25">
      <c r="A1589" t="s">
        <v>295</v>
      </c>
      <c r="B1589">
        <v>3</v>
      </c>
      <c r="C1589">
        <v>4</v>
      </c>
      <c r="D1589">
        <v>0</v>
      </c>
      <c r="E1589" t="s">
        <v>306</v>
      </c>
      <c r="F1589">
        <v>358</v>
      </c>
      <c r="G1589">
        <v>3405056.625</v>
      </c>
      <c r="H1589">
        <v>0.94243421778082848</v>
      </c>
      <c r="I1589">
        <v>0.93092105263157898</v>
      </c>
      <c r="J1589">
        <v>225293.5</v>
      </c>
      <c r="K1589">
        <v>603</v>
      </c>
      <c r="L1589">
        <v>2</v>
      </c>
      <c r="M1589">
        <v>15</v>
      </c>
      <c r="N1589">
        <v>0.92927631578947367</v>
      </c>
      <c r="O1589">
        <v>239364.6875</v>
      </c>
      <c r="P1589">
        <v>675</v>
      </c>
      <c r="Q1589">
        <v>2</v>
      </c>
      <c r="R1589">
        <v>16</v>
      </c>
      <c r="S1589">
        <v>12.066107958981833</v>
      </c>
      <c r="T1589">
        <v>0.97391304969787595</v>
      </c>
    </row>
    <row r="1590" spans="1:20" x14ac:dyDescent="0.25">
      <c r="A1590" t="s">
        <v>295</v>
      </c>
      <c r="B1590">
        <v>3</v>
      </c>
      <c r="C1590">
        <v>4</v>
      </c>
      <c r="D1590">
        <v>0</v>
      </c>
      <c r="E1590" t="s">
        <v>303</v>
      </c>
      <c r="F1590">
        <v>451</v>
      </c>
      <c r="G1590">
        <v>3032159.8125</v>
      </c>
      <c r="H1590">
        <v>0.92598684877157211</v>
      </c>
      <c r="I1590">
        <v>0.93256578947368418</v>
      </c>
      <c r="J1590">
        <v>267208.4375</v>
      </c>
      <c r="K1590">
        <v>831</v>
      </c>
      <c r="L1590">
        <v>2</v>
      </c>
      <c r="M1590">
        <v>18</v>
      </c>
      <c r="N1590">
        <v>0.9375</v>
      </c>
      <c r="O1590">
        <v>292253.5625</v>
      </c>
      <c r="P1590">
        <v>915</v>
      </c>
      <c r="Q1590">
        <v>2</v>
      </c>
      <c r="R1590">
        <v>19</v>
      </c>
      <c r="S1590">
        <v>12.062204192021635</v>
      </c>
      <c r="T1590">
        <v>0.97681159973144527</v>
      </c>
    </row>
    <row r="1591" spans="1:20" x14ac:dyDescent="0.25">
      <c r="A1591" t="s">
        <v>295</v>
      </c>
      <c r="B1591">
        <v>3</v>
      </c>
      <c r="C1591">
        <v>4</v>
      </c>
      <c r="D1591">
        <v>0</v>
      </c>
      <c r="E1591" t="s">
        <v>310</v>
      </c>
      <c r="F1591">
        <v>500</v>
      </c>
      <c r="G1591">
        <v>5263062.3125</v>
      </c>
      <c r="H1591">
        <v>0.91447368636727333</v>
      </c>
      <c r="I1591">
        <v>0.92434210526315785</v>
      </c>
      <c r="J1591">
        <v>273431.6875</v>
      </c>
      <c r="K1591">
        <v>915</v>
      </c>
      <c r="L1591">
        <v>2</v>
      </c>
      <c r="M1591">
        <v>19</v>
      </c>
      <c r="N1591">
        <v>0.93421052631578949</v>
      </c>
      <c r="O1591">
        <v>253398.375</v>
      </c>
      <c r="P1591">
        <v>1003</v>
      </c>
      <c r="Q1591">
        <v>2</v>
      </c>
      <c r="R1591">
        <v>20</v>
      </c>
      <c r="S1591">
        <v>12.06017772696565</v>
      </c>
      <c r="T1591">
        <v>0.98840579986572263</v>
      </c>
    </row>
    <row r="1592" spans="1:20" x14ac:dyDescent="0.25">
      <c r="A1592" t="s">
        <v>295</v>
      </c>
      <c r="B1592">
        <v>3</v>
      </c>
      <c r="C1592">
        <v>4</v>
      </c>
      <c r="D1592">
        <v>0</v>
      </c>
      <c r="E1592" t="s">
        <v>304</v>
      </c>
      <c r="F1592">
        <v>593</v>
      </c>
      <c r="G1592">
        <v>3465385.875</v>
      </c>
      <c r="H1592">
        <v>0.95230263844132423</v>
      </c>
      <c r="I1592">
        <v>0.91611842105263153</v>
      </c>
      <c r="J1592">
        <v>402783.625</v>
      </c>
      <c r="K1592">
        <v>1095</v>
      </c>
      <c r="L1592">
        <v>2</v>
      </c>
      <c r="M1592">
        <v>21</v>
      </c>
      <c r="N1592">
        <v>0.94078947368421051</v>
      </c>
      <c r="O1592">
        <v>290451.9375</v>
      </c>
      <c r="P1592">
        <v>1191</v>
      </c>
      <c r="Q1592">
        <v>2</v>
      </c>
      <c r="R1592">
        <v>22</v>
      </c>
      <c r="S1592">
        <v>12.057116153486682</v>
      </c>
      <c r="T1592">
        <v>0.99420289993286137</v>
      </c>
    </row>
    <row r="1593" spans="1:20" x14ac:dyDescent="0.25">
      <c r="A1593" t="s">
        <v>295</v>
      </c>
      <c r="B1593">
        <v>3</v>
      </c>
      <c r="C1593">
        <v>4</v>
      </c>
      <c r="D1593">
        <v>0</v>
      </c>
      <c r="E1593" t="s">
        <v>313</v>
      </c>
      <c r="F1593">
        <v>642</v>
      </c>
      <c r="G1593">
        <v>5036258.4193548383</v>
      </c>
      <c r="H1593">
        <v>0.88285229282994426</v>
      </c>
      <c r="I1593">
        <v>0.93123938879456702</v>
      </c>
      <c r="J1593">
        <v>322611.03225806454</v>
      </c>
      <c r="K1593">
        <v>1191</v>
      </c>
      <c r="L1593">
        <v>2</v>
      </c>
      <c r="M1593">
        <v>22</v>
      </c>
      <c r="N1593">
        <v>0.92784380305602709</v>
      </c>
      <c r="O1593">
        <v>215335.03225806452</v>
      </c>
      <c r="P1593">
        <v>1291</v>
      </c>
      <c r="Q1593">
        <v>2</v>
      </c>
      <c r="R1593">
        <v>23</v>
      </c>
      <c r="S1593">
        <v>12.051995852773457</v>
      </c>
      <c r="T1593">
        <v>0.96811594565709436</v>
      </c>
    </row>
    <row r="1594" spans="1:20" x14ac:dyDescent="0.25">
      <c r="A1594" t="s">
        <v>295</v>
      </c>
      <c r="B1594">
        <v>3</v>
      </c>
      <c r="C1594">
        <v>4</v>
      </c>
      <c r="D1594">
        <v>0</v>
      </c>
      <c r="E1594" t="s">
        <v>305</v>
      </c>
      <c r="F1594">
        <v>735</v>
      </c>
      <c r="G1594">
        <v>3383375.75</v>
      </c>
      <c r="H1594">
        <v>0.9375000111758709</v>
      </c>
      <c r="I1594">
        <v>0.93256578947368418</v>
      </c>
      <c r="J1594">
        <v>346050.0625</v>
      </c>
      <c r="K1594">
        <v>1291</v>
      </c>
      <c r="L1594">
        <v>2</v>
      </c>
      <c r="M1594">
        <v>23</v>
      </c>
      <c r="N1594">
        <v>0.93256578947368418</v>
      </c>
      <c r="O1594">
        <v>254330.625</v>
      </c>
      <c r="P1594">
        <v>1395</v>
      </c>
      <c r="Q1594">
        <v>2</v>
      </c>
      <c r="R1594">
        <v>24</v>
      </c>
      <c r="S1594">
        <v>12.048482337097276</v>
      </c>
      <c r="T1594">
        <v>0.99420289993286137</v>
      </c>
    </row>
    <row r="1595" spans="1:20" x14ac:dyDescent="0.25">
      <c r="A1595" t="s">
        <v>295</v>
      </c>
      <c r="B1595">
        <v>3</v>
      </c>
      <c r="C1595">
        <v>4</v>
      </c>
      <c r="D1595">
        <v>0</v>
      </c>
      <c r="E1595" t="s">
        <v>308</v>
      </c>
      <c r="F1595">
        <v>795</v>
      </c>
      <c r="G1595">
        <v>6130131.9375</v>
      </c>
      <c r="H1595">
        <v>0.92927632108330727</v>
      </c>
      <c r="I1595">
        <v>0.93256578947368418</v>
      </c>
      <c r="J1595">
        <v>348700.0625</v>
      </c>
      <c r="K1595">
        <v>1395</v>
      </c>
      <c r="L1595">
        <v>2</v>
      </c>
      <c r="M1595">
        <v>24</v>
      </c>
      <c r="N1595">
        <v>0.93092105263157887</v>
      </c>
      <c r="O1595">
        <v>339503.0625</v>
      </c>
      <c r="P1595">
        <v>1503</v>
      </c>
      <c r="Q1595">
        <v>2</v>
      </c>
      <c r="R1595">
        <v>25</v>
      </c>
      <c r="S1595">
        <v>12.046993064900114</v>
      </c>
      <c r="T1595">
        <v>0.97101449569066367</v>
      </c>
    </row>
    <row r="1596" spans="1:20" x14ac:dyDescent="0.25">
      <c r="A1596" t="s">
        <v>295</v>
      </c>
      <c r="B1596">
        <v>3</v>
      </c>
      <c r="C1596">
        <v>4</v>
      </c>
      <c r="D1596">
        <v>0</v>
      </c>
      <c r="E1596" t="s">
        <v>309</v>
      </c>
      <c r="F1596">
        <v>977</v>
      </c>
      <c r="G1596">
        <v>7153614.935483871</v>
      </c>
      <c r="H1596">
        <v>0.86502546456552321</v>
      </c>
      <c r="I1596">
        <v>0.93123938879456702</v>
      </c>
      <c r="J1596">
        <v>265917.77419354836</v>
      </c>
      <c r="K1596">
        <v>1731</v>
      </c>
      <c r="L1596">
        <v>2</v>
      </c>
      <c r="M1596">
        <v>27</v>
      </c>
      <c r="N1596">
        <v>0.92699490662139217</v>
      </c>
      <c r="O1596">
        <v>307263.3548387097</v>
      </c>
      <c r="P1596">
        <v>1851</v>
      </c>
      <c r="Q1596">
        <v>2</v>
      </c>
      <c r="R1596">
        <v>28</v>
      </c>
      <c r="S1596">
        <v>12.047021133674365</v>
      </c>
      <c r="T1596">
        <v>0.96956521868705747</v>
      </c>
    </row>
    <row r="1597" spans="1:20" x14ac:dyDescent="0.25">
      <c r="A1597" t="s">
        <v>295</v>
      </c>
      <c r="B1597">
        <v>3</v>
      </c>
      <c r="C1597">
        <v>4</v>
      </c>
      <c r="D1597">
        <v>0</v>
      </c>
      <c r="E1597" t="s">
        <v>311</v>
      </c>
      <c r="F1597">
        <v>997</v>
      </c>
      <c r="G1597">
        <v>5800931.5806451617</v>
      </c>
      <c r="H1597">
        <v>0.90322581414253478</v>
      </c>
      <c r="I1597">
        <v>0.92954159592529706</v>
      </c>
      <c r="J1597">
        <v>343174.54838709679</v>
      </c>
      <c r="K1597">
        <v>1851</v>
      </c>
      <c r="L1597">
        <v>2</v>
      </c>
      <c r="M1597">
        <v>28</v>
      </c>
      <c r="N1597">
        <v>0.92699490662139217</v>
      </c>
      <c r="O1597">
        <v>315522.41935483873</v>
      </c>
      <c r="P1597">
        <v>1975</v>
      </c>
      <c r="Q1597">
        <v>2</v>
      </c>
      <c r="R1597">
        <v>29</v>
      </c>
      <c r="S1597">
        <v>12.042921997523731</v>
      </c>
      <c r="T1597">
        <v>0.98985507488250735</v>
      </c>
    </row>
    <row r="1598" spans="1:20" x14ac:dyDescent="0.25">
      <c r="A1598" t="s">
        <v>295</v>
      </c>
      <c r="B1598">
        <v>3</v>
      </c>
      <c r="C1598">
        <v>4</v>
      </c>
      <c r="D1598">
        <v>0</v>
      </c>
      <c r="E1598" t="s">
        <v>299</v>
      </c>
      <c r="F1598">
        <v>1099</v>
      </c>
      <c r="G1598">
        <v>6148104</v>
      </c>
      <c r="H1598">
        <v>0.86019736900925636</v>
      </c>
      <c r="I1598">
        <v>0.92269736842105265</v>
      </c>
      <c r="J1598">
        <v>401591.3125</v>
      </c>
      <c r="K1598">
        <v>1975</v>
      </c>
      <c r="L1598">
        <v>2</v>
      </c>
      <c r="M1598">
        <v>29</v>
      </c>
      <c r="N1598">
        <v>0.92269736842105265</v>
      </c>
      <c r="O1598">
        <v>379568.25</v>
      </c>
      <c r="P1598">
        <v>2103</v>
      </c>
      <c r="Q1598">
        <v>2</v>
      </c>
      <c r="R1598">
        <v>30</v>
      </c>
      <c r="S1598">
        <v>12.041288659793814</v>
      </c>
      <c r="T1598">
        <v>0.97971014976501469</v>
      </c>
    </row>
    <row r="1599" spans="1:20" x14ac:dyDescent="0.25">
      <c r="A1599" t="s">
        <v>295</v>
      </c>
      <c r="B1599">
        <v>3</v>
      </c>
      <c r="C1599">
        <v>4</v>
      </c>
      <c r="D1599">
        <v>0</v>
      </c>
      <c r="E1599" t="s">
        <v>312</v>
      </c>
      <c r="F1599">
        <v>1219</v>
      </c>
      <c r="G1599">
        <v>6436545.3125</v>
      </c>
      <c r="H1599">
        <v>0.89309211075305939</v>
      </c>
      <c r="I1599">
        <v>0.92434210526315785</v>
      </c>
      <c r="J1599">
        <v>379715.8125</v>
      </c>
      <c r="K1599">
        <v>2235</v>
      </c>
      <c r="L1599">
        <v>2</v>
      </c>
      <c r="M1599">
        <v>31</v>
      </c>
      <c r="N1599">
        <v>0.92105263157894735</v>
      </c>
      <c r="O1599">
        <v>374510.875</v>
      </c>
      <c r="P1599">
        <v>2371</v>
      </c>
      <c r="Q1599">
        <v>2</v>
      </c>
      <c r="R1599">
        <v>32</v>
      </c>
      <c r="S1599">
        <v>12.039555006180469</v>
      </c>
      <c r="T1599">
        <v>0.97681159973144527</v>
      </c>
    </row>
    <row r="1600" spans="1:20" x14ac:dyDescent="0.25">
      <c r="A1600" t="s">
        <v>295</v>
      </c>
      <c r="B1600">
        <v>3</v>
      </c>
      <c r="C1600">
        <v>4</v>
      </c>
      <c r="D1600">
        <v>0</v>
      </c>
      <c r="E1600" t="s">
        <v>300</v>
      </c>
      <c r="F1600">
        <v>1401</v>
      </c>
      <c r="G1600">
        <v>5819603</v>
      </c>
      <c r="H1600">
        <v>0.89643463684666547</v>
      </c>
      <c r="I1600">
        <v>0.9252971137521222</v>
      </c>
      <c r="J1600">
        <v>423554.22580645164</v>
      </c>
      <c r="K1600">
        <v>2511</v>
      </c>
      <c r="L1600">
        <v>2</v>
      </c>
      <c r="M1600">
        <v>33</v>
      </c>
      <c r="N1600">
        <v>0.93123938879456702</v>
      </c>
      <c r="O1600">
        <v>301547.54838709679</v>
      </c>
      <c r="P1600">
        <v>2655</v>
      </c>
      <c r="Q1600">
        <v>2</v>
      </c>
      <c r="R1600">
        <v>34</v>
      </c>
      <c r="S1600">
        <v>12.035121098369929</v>
      </c>
      <c r="T1600">
        <v>0.99275362491607666</v>
      </c>
    </row>
    <row r="1601" spans="1:20" x14ac:dyDescent="0.25">
      <c r="A1601" t="s">
        <v>295</v>
      </c>
      <c r="B1601">
        <v>3</v>
      </c>
      <c r="C1601">
        <v>4</v>
      </c>
      <c r="D1601">
        <v>0</v>
      </c>
      <c r="E1601" t="s">
        <v>298</v>
      </c>
      <c r="F1601">
        <v>1461</v>
      </c>
      <c r="G1601">
        <v>5593623.3125</v>
      </c>
      <c r="H1601">
        <v>0.91940790042281151</v>
      </c>
      <c r="I1601">
        <v>0.93092105263157898</v>
      </c>
      <c r="J1601">
        <v>392657</v>
      </c>
      <c r="K1601">
        <v>2655</v>
      </c>
      <c r="L1601">
        <v>2</v>
      </c>
      <c r="M1601">
        <v>34</v>
      </c>
      <c r="N1601">
        <v>0.92927631578947367</v>
      </c>
      <c r="O1601">
        <v>270529</v>
      </c>
      <c r="P1601">
        <v>2803</v>
      </c>
      <c r="Q1601">
        <v>2</v>
      </c>
      <c r="R1601">
        <v>35</v>
      </c>
      <c r="S1601">
        <v>12.03236911062015</v>
      </c>
      <c r="T1601">
        <v>0.97681159973144527</v>
      </c>
    </row>
    <row r="1602" spans="1:20" x14ac:dyDescent="0.25">
      <c r="A1602" t="s">
        <v>295</v>
      </c>
      <c r="B1602">
        <v>3</v>
      </c>
      <c r="C1602">
        <v>4</v>
      </c>
      <c r="D1602">
        <v>0</v>
      </c>
      <c r="E1602" t="s">
        <v>301</v>
      </c>
      <c r="F1602">
        <v>1703</v>
      </c>
      <c r="G1602">
        <v>6799432.5</v>
      </c>
      <c r="H1602">
        <v>0.93421052768826485</v>
      </c>
      <c r="I1602">
        <v>0.92598684210526316</v>
      </c>
      <c r="J1602">
        <v>317709.125</v>
      </c>
      <c r="K1602">
        <v>3111</v>
      </c>
      <c r="L1602">
        <v>2</v>
      </c>
      <c r="M1602">
        <v>37</v>
      </c>
      <c r="N1602">
        <v>0.92434210526315785</v>
      </c>
      <c r="O1602">
        <v>444564.25</v>
      </c>
      <c r="P1602">
        <v>3271</v>
      </c>
      <c r="Q1602">
        <v>2</v>
      </c>
      <c r="R1602">
        <v>38</v>
      </c>
      <c r="S1602">
        <v>12.031264438626213</v>
      </c>
      <c r="T1602">
        <v>0.98840579986572263</v>
      </c>
    </row>
    <row r="1603" spans="1:20" x14ac:dyDescent="0.25">
      <c r="A1603" t="s">
        <v>295</v>
      </c>
      <c r="B1603">
        <v>3</v>
      </c>
      <c r="C1603">
        <v>5</v>
      </c>
      <c r="D1603">
        <v>0</v>
      </c>
      <c r="E1603" t="s">
        <v>302</v>
      </c>
      <c r="F1603">
        <v>237</v>
      </c>
      <c r="G1603">
        <v>5560443.125</v>
      </c>
      <c r="H1603">
        <v>0.89473685622215271</v>
      </c>
      <c r="I1603">
        <v>0.92434210526315785</v>
      </c>
      <c r="J1603">
        <v>363579.8125</v>
      </c>
      <c r="K1603">
        <v>411</v>
      </c>
      <c r="L1603">
        <v>2</v>
      </c>
      <c r="M1603">
        <v>12</v>
      </c>
      <c r="N1603">
        <v>0.92598684210526316</v>
      </c>
      <c r="O1603">
        <v>343306.4375</v>
      </c>
      <c r="P1603">
        <v>471</v>
      </c>
      <c r="Q1603">
        <v>2</v>
      </c>
      <c r="R1603">
        <v>13</v>
      </c>
      <c r="S1603">
        <v>12.028417542959733</v>
      </c>
      <c r="T1603">
        <v>0.98550724983215332</v>
      </c>
    </row>
    <row r="1604" spans="1:20" x14ac:dyDescent="0.25">
      <c r="A1604" t="s">
        <v>295</v>
      </c>
      <c r="B1604">
        <v>3</v>
      </c>
      <c r="C1604">
        <v>5</v>
      </c>
      <c r="D1604">
        <v>0</v>
      </c>
      <c r="E1604" t="s">
        <v>306</v>
      </c>
      <c r="F1604">
        <v>393</v>
      </c>
      <c r="G1604">
        <v>3417765.0625</v>
      </c>
      <c r="H1604">
        <v>0.9375</v>
      </c>
      <c r="I1604">
        <v>0.92434210526315785</v>
      </c>
      <c r="J1604">
        <v>323189.625</v>
      </c>
      <c r="K1604">
        <v>751</v>
      </c>
      <c r="L1604">
        <v>2</v>
      </c>
      <c r="M1604">
        <v>17</v>
      </c>
      <c r="N1604">
        <v>0.9391447368421052</v>
      </c>
      <c r="O1604">
        <v>310065.8125</v>
      </c>
      <c r="P1604">
        <v>831</v>
      </c>
      <c r="Q1604">
        <v>2</v>
      </c>
      <c r="R1604">
        <v>18</v>
      </c>
      <c r="S1604">
        <v>12.025216544513352</v>
      </c>
      <c r="T1604">
        <v>0.97681159973144527</v>
      </c>
    </row>
    <row r="1605" spans="1:20" x14ac:dyDescent="0.25">
      <c r="A1605" t="s">
        <v>295</v>
      </c>
      <c r="B1605">
        <v>3</v>
      </c>
      <c r="C1605">
        <v>5</v>
      </c>
      <c r="D1605">
        <v>0</v>
      </c>
      <c r="E1605" t="s">
        <v>303</v>
      </c>
      <c r="F1605">
        <v>495</v>
      </c>
      <c r="G1605">
        <v>3505568.625</v>
      </c>
      <c r="H1605">
        <v>0.94078947603702545</v>
      </c>
      <c r="I1605">
        <v>0.92763157894736836</v>
      </c>
      <c r="J1605">
        <v>352038.25</v>
      </c>
      <c r="K1605">
        <v>915</v>
      </c>
      <c r="L1605">
        <v>2</v>
      </c>
      <c r="M1605">
        <v>19</v>
      </c>
      <c r="N1605">
        <v>0.93421052631578949</v>
      </c>
      <c r="O1605">
        <v>441949.125</v>
      </c>
      <c r="P1605">
        <v>1003</v>
      </c>
      <c r="Q1605">
        <v>2</v>
      </c>
      <c r="R1605">
        <v>20</v>
      </c>
      <c r="S1605">
        <v>12.022225636298458</v>
      </c>
      <c r="T1605">
        <v>0.98840579986572263</v>
      </c>
    </row>
    <row r="1606" spans="1:20" x14ac:dyDescent="0.25">
      <c r="A1606" t="s">
        <v>295</v>
      </c>
      <c r="B1606">
        <v>3</v>
      </c>
      <c r="C1606">
        <v>5</v>
      </c>
      <c r="D1606">
        <v>0</v>
      </c>
      <c r="E1606" t="s">
        <v>310</v>
      </c>
      <c r="F1606">
        <v>549</v>
      </c>
      <c r="G1606">
        <v>5725875.5</v>
      </c>
      <c r="H1606">
        <v>0.81743421219289303</v>
      </c>
      <c r="I1606">
        <v>0.92763157894736836</v>
      </c>
      <c r="J1606">
        <v>335900.25</v>
      </c>
      <c r="K1606">
        <v>1003</v>
      </c>
      <c r="L1606">
        <v>2</v>
      </c>
      <c r="M1606">
        <v>20</v>
      </c>
      <c r="N1606">
        <v>0.93256578947368418</v>
      </c>
      <c r="O1606">
        <v>314727.875</v>
      </c>
      <c r="P1606">
        <v>1095</v>
      </c>
      <c r="Q1606">
        <v>2</v>
      </c>
      <c r="R1606">
        <v>21</v>
      </c>
      <c r="S1606">
        <v>12.01959780995753</v>
      </c>
      <c r="T1606">
        <v>0.94202899138132734</v>
      </c>
    </row>
    <row r="1607" spans="1:20" x14ac:dyDescent="0.25">
      <c r="A1607" t="s">
        <v>295</v>
      </c>
      <c r="B1607">
        <v>3</v>
      </c>
      <c r="C1607">
        <v>5</v>
      </c>
      <c r="D1607">
        <v>0</v>
      </c>
      <c r="E1607" t="s">
        <v>304</v>
      </c>
      <c r="F1607">
        <v>651</v>
      </c>
      <c r="G1607">
        <v>3546302.1875</v>
      </c>
      <c r="H1607">
        <v>0.88815790042281151</v>
      </c>
      <c r="I1607">
        <v>0.91611842105263153</v>
      </c>
      <c r="J1607">
        <v>289017</v>
      </c>
      <c r="K1607">
        <v>1191</v>
      </c>
      <c r="L1607">
        <v>2</v>
      </c>
      <c r="M1607">
        <v>22</v>
      </c>
      <c r="N1607">
        <v>0.91611842105263153</v>
      </c>
      <c r="O1607">
        <v>300736.25</v>
      </c>
      <c r="P1607">
        <v>1291</v>
      </c>
      <c r="Q1607">
        <v>2</v>
      </c>
      <c r="R1607">
        <v>23</v>
      </c>
      <c r="S1607">
        <v>12.015696098982566</v>
      </c>
      <c r="T1607">
        <v>0.99130434989929195</v>
      </c>
    </row>
    <row r="1608" spans="1:20" x14ac:dyDescent="0.25">
      <c r="A1608" t="s">
        <v>295</v>
      </c>
      <c r="B1608">
        <v>3</v>
      </c>
      <c r="C1608">
        <v>5</v>
      </c>
      <c r="D1608">
        <v>0</v>
      </c>
      <c r="E1608" t="s">
        <v>307</v>
      </c>
      <c r="F1608">
        <v>673</v>
      </c>
      <c r="G1608">
        <v>5712334.6875</v>
      </c>
      <c r="H1608">
        <v>0.86184211075305939</v>
      </c>
      <c r="I1608">
        <v>0.92598684210526316</v>
      </c>
      <c r="J1608">
        <v>337634.25</v>
      </c>
      <c r="K1608">
        <v>1291</v>
      </c>
      <c r="L1608">
        <v>2</v>
      </c>
      <c r="M1608">
        <v>23</v>
      </c>
      <c r="N1608">
        <v>0.93092105263157898</v>
      </c>
      <c r="O1608">
        <v>238630.4375</v>
      </c>
      <c r="P1608">
        <v>1395</v>
      </c>
      <c r="Q1608">
        <v>2</v>
      </c>
      <c r="R1608">
        <v>24</v>
      </c>
      <c r="S1608">
        <v>12.012618135376757</v>
      </c>
      <c r="T1608">
        <v>0.97101449569066367</v>
      </c>
    </row>
    <row r="1609" spans="1:20" x14ac:dyDescent="0.25">
      <c r="A1609" t="s">
        <v>295</v>
      </c>
      <c r="B1609">
        <v>3</v>
      </c>
      <c r="C1609">
        <v>5</v>
      </c>
      <c r="D1609">
        <v>0</v>
      </c>
      <c r="E1609" t="s">
        <v>313</v>
      </c>
      <c r="F1609">
        <v>705</v>
      </c>
      <c r="G1609">
        <v>6359480.25</v>
      </c>
      <c r="H1609">
        <v>0.87335527315735817</v>
      </c>
      <c r="I1609">
        <v>0.92763157894736836</v>
      </c>
      <c r="J1609">
        <v>378337.25</v>
      </c>
      <c r="K1609">
        <v>1395</v>
      </c>
      <c r="L1609">
        <v>2</v>
      </c>
      <c r="M1609">
        <v>24</v>
      </c>
      <c r="N1609">
        <v>0.92598684210526316</v>
      </c>
      <c r="O1609">
        <v>374186.6875</v>
      </c>
      <c r="P1609">
        <v>1503</v>
      </c>
      <c r="Q1609">
        <v>2</v>
      </c>
      <c r="R1609">
        <v>25</v>
      </c>
      <c r="S1609">
        <v>12.010872339339492</v>
      </c>
      <c r="T1609">
        <v>0.95652174154917402</v>
      </c>
    </row>
    <row r="1610" spans="1:20" x14ac:dyDescent="0.25">
      <c r="A1610" t="s">
        <v>295</v>
      </c>
      <c r="B1610">
        <v>3</v>
      </c>
      <c r="C1610">
        <v>5</v>
      </c>
      <c r="D1610">
        <v>0</v>
      </c>
      <c r="E1610" t="s">
        <v>305</v>
      </c>
      <c r="F1610">
        <v>807</v>
      </c>
      <c r="G1610">
        <v>3905791</v>
      </c>
      <c r="H1610">
        <v>0.94736843183636665</v>
      </c>
      <c r="I1610">
        <v>0.93914473684210531</v>
      </c>
      <c r="J1610">
        <v>421393.375</v>
      </c>
      <c r="K1610">
        <v>1503</v>
      </c>
      <c r="L1610">
        <v>2</v>
      </c>
      <c r="M1610">
        <v>25</v>
      </c>
      <c r="N1610">
        <v>0.91776315789473684</v>
      </c>
      <c r="O1610">
        <v>332712.375</v>
      </c>
      <c r="P1610">
        <v>1615</v>
      </c>
      <c r="Q1610">
        <v>2</v>
      </c>
      <c r="R1610">
        <v>26</v>
      </c>
      <c r="S1610">
        <v>12.007701331157239</v>
      </c>
      <c r="T1610">
        <v>0.99420289993286137</v>
      </c>
    </row>
    <row r="1611" spans="1:20" x14ac:dyDescent="0.25">
      <c r="A1611" t="s">
        <v>295</v>
      </c>
      <c r="B1611">
        <v>3</v>
      </c>
      <c r="C1611">
        <v>5</v>
      </c>
      <c r="D1611">
        <v>0</v>
      </c>
      <c r="E1611" t="s">
        <v>308</v>
      </c>
      <c r="F1611">
        <v>873</v>
      </c>
      <c r="G1611">
        <v>6094729.625</v>
      </c>
      <c r="H1611">
        <v>0.88980262912809849</v>
      </c>
      <c r="I1611">
        <v>0.92763157894736836</v>
      </c>
      <c r="J1611">
        <v>485425.625</v>
      </c>
      <c r="K1611">
        <v>1615</v>
      </c>
      <c r="L1611">
        <v>2</v>
      </c>
      <c r="M1611">
        <v>26</v>
      </c>
      <c r="N1611">
        <v>0.92105263157894735</v>
      </c>
      <c r="O1611">
        <v>356998.75</v>
      </c>
      <c r="P1611">
        <v>1731</v>
      </c>
      <c r="Q1611">
        <v>2</v>
      </c>
      <c r="R1611">
        <v>27</v>
      </c>
      <c r="S1611">
        <v>12.005096060745045</v>
      </c>
      <c r="T1611">
        <v>0.97971014976501469</v>
      </c>
    </row>
    <row r="1612" spans="1:20" x14ac:dyDescent="0.25">
      <c r="A1612" t="s">
        <v>295</v>
      </c>
      <c r="B1612">
        <v>3</v>
      </c>
      <c r="C1612">
        <v>5</v>
      </c>
      <c r="D1612">
        <v>0</v>
      </c>
      <c r="E1612" t="s">
        <v>296</v>
      </c>
      <c r="F1612">
        <v>1029</v>
      </c>
      <c r="G1612">
        <v>6851140.5161290327</v>
      </c>
      <c r="H1612">
        <v>0.87266554178730138</v>
      </c>
      <c r="I1612">
        <v>0.9252971137521222</v>
      </c>
      <c r="J1612">
        <v>430492.96774193546</v>
      </c>
      <c r="K1612">
        <v>1975</v>
      </c>
      <c r="L1612">
        <v>2</v>
      </c>
      <c r="M1612">
        <v>29</v>
      </c>
      <c r="N1612">
        <v>0.92444821731748728</v>
      </c>
      <c r="O1612">
        <v>289972.45161290321</v>
      </c>
      <c r="P1612">
        <v>2103</v>
      </c>
      <c r="Q1612">
        <v>2</v>
      </c>
      <c r="R1612">
        <v>30</v>
      </c>
      <c r="S1612">
        <v>12.002136969573623</v>
      </c>
      <c r="T1612">
        <v>0.97391304969787595</v>
      </c>
    </row>
    <row r="1613" spans="1:20" x14ac:dyDescent="0.25">
      <c r="A1613" t="s">
        <v>295</v>
      </c>
      <c r="B1613">
        <v>3</v>
      </c>
      <c r="C1613">
        <v>5</v>
      </c>
      <c r="D1613">
        <v>0</v>
      </c>
      <c r="E1613" t="s">
        <v>309</v>
      </c>
      <c r="F1613">
        <v>1073</v>
      </c>
      <c r="G1613">
        <v>6933167.4375</v>
      </c>
      <c r="H1613">
        <v>0.82730263471603394</v>
      </c>
      <c r="I1613">
        <v>0.93421052631578949</v>
      </c>
      <c r="J1613">
        <v>457126.875</v>
      </c>
      <c r="K1613">
        <v>2103</v>
      </c>
      <c r="L1613">
        <v>2</v>
      </c>
      <c r="M1613">
        <v>30</v>
      </c>
      <c r="N1613">
        <v>0.92927631578947367</v>
      </c>
      <c r="O1613">
        <v>286678.75</v>
      </c>
      <c r="P1613">
        <v>2235</v>
      </c>
      <c r="Q1613">
        <v>2</v>
      </c>
      <c r="R1613">
        <v>31</v>
      </c>
      <c r="S1613">
        <v>12.000355871886121</v>
      </c>
      <c r="T1613">
        <v>0.96811594565709436</v>
      </c>
    </row>
    <row r="1614" spans="1:20" x14ac:dyDescent="0.25">
      <c r="A1614" t="s">
        <v>295</v>
      </c>
      <c r="B1614">
        <v>3</v>
      </c>
      <c r="C1614">
        <v>5</v>
      </c>
      <c r="D1614">
        <v>0</v>
      </c>
      <c r="E1614" t="s">
        <v>299</v>
      </c>
      <c r="F1614">
        <v>1207</v>
      </c>
      <c r="G1614">
        <v>7097488.2903225804</v>
      </c>
      <c r="H1614">
        <v>0.85059423408200663</v>
      </c>
      <c r="I1614">
        <v>0.92190152801358227</v>
      </c>
      <c r="J1614">
        <v>461507.22580645164</v>
      </c>
      <c r="K1614">
        <v>2371</v>
      </c>
      <c r="L1614">
        <v>2</v>
      </c>
      <c r="M1614">
        <v>32</v>
      </c>
      <c r="N1614">
        <v>0.9303904923599321</v>
      </c>
      <c r="O1614">
        <v>397065.77419354836</v>
      </c>
      <c r="P1614">
        <v>2511</v>
      </c>
      <c r="Q1614">
        <v>2</v>
      </c>
      <c r="R1614">
        <v>33</v>
      </c>
      <c r="S1614">
        <v>11.997715851987209</v>
      </c>
      <c r="T1614">
        <v>0.94202898939450586</v>
      </c>
    </row>
    <row r="1615" spans="1:20" x14ac:dyDescent="0.25">
      <c r="A1615" t="s">
        <v>295</v>
      </c>
      <c r="B1615">
        <v>3</v>
      </c>
      <c r="C1615">
        <v>5</v>
      </c>
      <c r="D1615">
        <v>0</v>
      </c>
      <c r="E1615" t="s">
        <v>297</v>
      </c>
      <c r="F1615">
        <v>1317</v>
      </c>
      <c r="G1615">
        <v>6579960.875</v>
      </c>
      <c r="H1615">
        <v>0.86184210982173681</v>
      </c>
      <c r="I1615">
        <v>0.92763157894736836</v>
      </c>
      <c r="J1615">
        <v>429217.5625</v>
      </c>
      <c r="K1615">
        <v>2511</v>
      </c>
      <c r="L1615">
        <v>2</v>
      </c>
      <c r="M1615">
        <v>33</v>
      </c>
      <c r="N1615">
        <v>0.92105263157894735</v>
      </c>
      <c r="O1615">
        <v>345864.375</v>
      </c>
      <c r="P1615">
        <v>2655</v>
      </c>
      <c r="Q1615">
        <v>2</v>
      </c>
      <c r="R1615">
        <v>34</v>
      </c>
      <c r="S1615">
        <v>11.995435411066593</v>
      </c>
      <c r="T1615">
        <v>0.97681159973144527</v>
      </c>
    </row>
    <row r="1616" spans="1:20" x14ac:dyDescent="0.25">
      <c r="A1616" t="s">
        <v>295</v>
      </c>
      <c r="B1616">
        <v>3</v>
      </c>
      <c r="C1616">
        <v>5</v>
      </c>
      <c r="D1616">
        <v>0</v>
      </c>
      <c r="E1616" t="s">
        <v>312</v>
      </c>
      <c r="F1616">
        <v>1339</v>
      </c>
      <c r="G1616">
        <v>6307101.8125</v>
      </c>
      <c r="H1616">
        <v>0.92105263471603394</v>
      </c>
      <c r="I1616">
        <v>0.92598684210526316</v>
      </c>
      <c r="J1616">
        <v>440611.1875</v>
      </c>
      <c r="K1616">
        <v>2655</v>
      </c>
      <c r="L1616">
        <v>2</v>
      </c>
      <c r="M1616">
        <v>34</v>
      </c>
      <c r="N1616">
        <v>0.92598684210526316</v>
      </c>
      <c r="O1616">
        <v>301618.875</v>
      </c>
      <c r="P1616">
        <v>2803</v>
      </c>
      <c r="Q1616">
        <v>2</v>
      </c>
      <c r="R1616">
        <v>35</v>
      </c>
      <c r="S1616">
        <v>11.992905285562257</v>
      </c>
      <c r="T1616">
        <v>0.97971014976501469</v>
      </c>
    </row>
    <row r="1617" spans="1:20" x14ac:dyDescent="0.25">
      <c r="A1617" t="s">
        <v>295</v>
      </c>
      <c r="B1617">
        <v>3</v>
      </c>
      <c r="C1617">
        <v>5</v>
      </c>
      <c r="D1617">
        <v>0</v>
      </c>
      <c r="E1617" t="s">
        <v>300</v>
      </c>
      <c r="F1617">
        <v>1539</v>
      </c>
      <c r="G1617">
        <v>8066324.5</v>
      </c>
      <c r="H1617">
        <v>0.91447369381785393</v>
      </c>
      <c r="I1617">
        <v>0.92598684210526316</v>
      </c>
      <c r="J1617">
        <v>491874</v>
      </c>
      <c r="K1617">
        <v>2955</v>
      </c>
      <c r="L1617">
        <v>2</v>
      </c>
      <c r="M1617">
        <v>36</v>
      </c>
      <c r="N1617">
        <v>0.92763157894736836</v>
      </c>
      <c r="O1617">
        <v>440189.3125</v>
      </c>
      <c r="P1617">
        <v>3111</v>
      </c>
      <c r="Q1617">
        <v>2</v>
      </c>
      <c r="R1617">
        <v>37</v>
      </c>
      <c r="S1617">
        <v>11.992505949668338</v>
      </c>
      <c r="T1617">
        <v>0.97971014976501469</v>
      </c>
    </row>
    <row r="1618" spans="1:20" x14ac:dyDescent="0.25">
      <c r="A1618" t="s">
        <v>295</v>
      </c>
      <c r="B1618">
        <v>3</v>
      </c>
      <c r="C1618">
        <v>5</v>
      </c>
      <c r="D1618">
        <v>0</v>
      </c>
      <c r="E1618" t="s">
        <v>298</v>
      </c>
      <c r="F1618">
        <v>1605</v>
      </c>
      <c r="G1618">
        <v>6503845.0625</v>
      </c>
      <c r="H1618">
        <v>0.87828947231173515</v>
      </c>
      <c r="I1618">
        <v>0.92105263157894735</v>
      </c>
      <c r="J1618">
        <v>511140.0625</v>
      </c>
      <c r="K1618">
        <v>3111</v>
      </c>
      <c r="L1618">
        <v>2</v>
      </c>
      <c r="M1618">
        <v>37</v>
      </c>
      <c r="N1618">
        <v>0.92598684210526316</v>
      </c>
      <c r="O1618">
        <v>332976.125</v>
      </c>
      <c r="P1618">
        <v>3271</v>
      </c>
      <c r="Q1618">
        <v>2</v>
      </c>
      <c r="R1618">
        <v>38</v>
      </c>
      <c r="S1618">
        <v>11.990184669870985</v>
      </c>
      <c r="T1618">
        <v>0.97391304969787595</v>
      </c>
    </row>
    <row r="1619" spans="1:20" x14ac:dyDescent="0.25">
      <c r="A1619" t="s">
        <v>295</v>
      </c>
      <c r="B1619">
        <v>3</v>
      </c>
      <c r="C1619">
        <v>5</v>
      </c>
      <c r="D1619">
        <v>0</v>
      </c>
      <c r="E1619" t="s">
        <v>301</v>
      </c>
      <c r="F1619">
        <v>1871</v>
      </c>
      <c r="G1619">
        <v>6732681.1875</v>
      </c>
      <c r="H1619">
        <v>0.86513158679008484</v>
      </c>
      <c r="I1619">
        <v>0.92105263157894735</v>
      </c>
      <c r="J1619">
        <v>380690.375</v>
      </c>
      <c r="K1619">
        <v>3603</v>
      </c>
      <c r="L1619">
        <v>2</v>
      </c>
      <c r="M1619">
        <v>40</v>
      </c>
      <c r="N1619">
        <v>0.92763157894736836</v>
      </c>
      <c r="O1619">
        <v>268511.5</v>
      </c>
      <c r="P1619">
        <v>3775</v>
      </c>
      <c r="Q1619">
        <v>2</v>
      </c>
      <c r="R1619">
        <v>41</v>
      </c>
      <c r="S1619">
        <v>11.98791769880188</v>
      </c>
      <c r="T1619">
        <v>0.97101449966430664</v>
      </c>
    </row>
    <row r="1620" spans="1:20" x14ac:dyDescent="0.25">
      <c r="A1620" t="s">
        <v>295</v>
      </c>
      <c r="B1620">
        <v>5</v>
      </c>
      <c r="C1620">
        <v>2</v>
      </c>
      <c r="D1620">
        <v>0</v>
      </c>
      <c r="E1620" t="s">
        <v>302</v>
      </c>
      <c r="F1620">
        <v>216</v>
      </c>
      <c r="G1620">
        <v>6751700</v>
      </c>
      <c r="H1620">
        <v>0.89144736900925636</v>
      </c>
      <c r="I1620">
        <v>0.92927631578947367</v>
      </c>
      <c r="J1620">
        <v>441734.9375</v>
      </c>
      <c r="K1620">
        <v>303</v>
      </c>
      <c r="L1620">
        <v>2</v>
      </c>
      <c r="M1620">
        <v>10</v>
      </c>
      <c r="N1620">
        <v>0.91940789473684204</v>
      </c>
      <c r="O1620">
        <v>215495.8125</v>
      </c>
      <c r="P1620">
        <v>355</v>
      </c>
      <c r="Q1620">
        <v>2</v>
      </c>
      <c r="R1620">
        <v>11</v>
      </c>
      <c r="S1620">
        <v>11.985856442895388</v>
      </c>
      <c r="T1620">
        <v>0.97101449966430664</v>
      </c>
    </row>
    <row r="1621" spans="1:20" x14ac:dyDescent="0.25">
      <c r="A1621" t="s">
        <v>295</v>
      </c>
      <c r="B1621">
        <v>5</v>
      </c>
      <c r="C1621">
        <v>2</v>
      </c>
      <c r="D1621">
        <v>0</v>
      </c>
      <c r="E1621" t="s">
        <v>306</v>
      </c>
      <c r="F1621">
        <v>358</v>
      </c>
      <c r="G1621">
        <v>2701933.4375</v>
      </c>
      <c r="H1621">
        <v>0.92598684877157211</v>
      </c>
      <c r="I1621">
        <v>0.94407894736842102</v>
      </c>
      <c r="J1621">
        <v>580283.8125</v>
      </c>
      <c r="K1621">
        <v>471</v>
      </c>
      <c r="L1621">
        <v>2</v>
      </c>
      <c r="M1621">
        <v>13</v>
      </c>
      <c r="N1621">
        <v>0.91282894736842102</v>
      </c>
      <c r="O1621">
        <v>549391.75</v>
      </c>
      <c r="P1621">
        <v>535</v>
      </c>
      <c r="Q1621">
        <v>2</v>
      </c>
      <c r="R1621">
        <v>14</v>
      </c>
      <c r="S1621">
        <v>11.982183414929592</v>
      </c>
      <c r="T1621">
        <v>0.96231884956359859</v>
      </c>
    </row>
    <row r="1622" spans="1:20" x14ac:dyDescent="0.25">
      <c r="A1622" t="s">
        <v>295</v>
      </c>
      <c r="B1622">
        <v>5</v>
      </c>
      <c r="C1622">
        <v>2</v>
      </c>
      <c r="D1622">
        <v>0</v>
      </c>
      <c r="E1622" t="s">
        <v>303</v>
      </c>
      <c r="F1622">
        <v>451</v>
      </c>
      <c r="G1622">
        <v>3127148.0625</v>
      </c>
      <c r="H1622">
        <v>0.93585527315735817</v>
      </c>
      <c r="I1622">
        <v>0.93421052631578949</v>
      </c>
      <c r="J1622">
        <v>334576.75</v>
      </c>
      <c r="K1622">
        <v>603</v>
      </c>
      <c r="L1622">
        <v>2</v>
      </c>
      <c r="M1622">
        <v>15</v>
      </c>
      <c r="N1622">
        <v>0.92763157894736836</v>
      </c>
      <c r="O1622">
        <v>422990.6875</v>
      </c>
      <c r="P1622">
        <v>675</v>
      </c>
      <c r="Q1622">
        <v>2</v>
      </c>
      <c r="R1622">
        <v>16</v>
      </c>
      <c r="S1622">
        <v>11.97912148872863</v>
      </c>
      <c r="T1622">
        <v>0.98260869979858401</v>
      </c>
    </row>
    <row r="1623" spans="1:20" x14ac:dyDescent="0.25">
      <c r="A1623" t="s">
        <v>295</v>
      </c>
      <c r="B1623">
        <v>5</v>
      </c>
      <c r="C1623">
        <v>2</v>
      </c>
      <c r="D1623">
        <v>0</v>
      </c>
      <c r="E1623" t="s">
        <v>310</v>
      </c>
      <c r="F1623">
        <v>500</v>
      </c>
      <c r="G1623">
        <v>4767924.5</v>
      </c>
      <c r="H1623">
        <v>0.93585526198148727</v>
      </c>
      <c r="I1623">
        <v>0.93092105263157898</v>
      </c>
      <c r="J1623">
        <v>434596.875</v>
      </c>
      <c r="K1623">
        <v>675</v>
      </c>
      <c r="L1623">
        <v>2</v>
      </c>
      <c r="M1623">
        <v>16</v>
      </c>
      <c r="N1623">
        <v>0.92434210526315785</v>
      </c>
      <c r="O1623">
        <v>283280.0625</v>
      </c>
      <c r="P1623">
        <v>751</v>
      </c>
      <c r="Q1623">
        <v>2</v>
      </c>
      <c r="R1623">
        <v>17</v>
      </c>
      <c r="S1623">
        <v>11.977072310405644</v>
      </c>
      <c r="T1623">
        <v>0.98260869979858401</v>
      </c>
    </row>
    <row r="1624" spans="1:20" x14ac:dyDescent="0.25">
      <c r="A1624" t="s">
        <v>295</v>
      </c>
      <c r="B1624">
        <v>5</v>
      </c>
      <c r="C1624">
        <v>2</v>
      </c>
      <c r="D1624">
        <v>0</v>
      </c>
      <c r="E1624" t="s">
        <v>304</v>
      </c>
      <c r="F1624">
        <v>593</v>
      </c>
      <c r="G1624">
        <v>3140808.4375</v>
      </c>
      <c r="H1624">
        <v>0.92763158679008484</v>
      </c>
      <c r="I1624">
        <v>0.91776315789473684</v>
      </c>
      <c r="J1624">
        <v>465788.875</v>
      </c>
      <c r="K1624">
        <v>831</v>
      </c>
      <c r="L1624">
        <v>2</v>
      </c>
      <c r="M1624">
        <v>18</v>
      </c>
      <c r="N1624">
        <v>0.92434210526315785</v>
      </c>
      <c r="O1624">
        <v>377193.625</v>
      </c>
      <c r="P1624">
        <v>915</v>
      </c>
      <c r="Q1624">
        <v>2</v>
      </c>
      <c r="R1624">
        <v>19</v>
      </c>
      <c r="S1624">
        <v>11.973767685413625</v>
      </c>
      <c r="T1624">
        <v>0.98550724983215332</v>
      </c>
    </row>
    <row r="1625" spans="1:20" x14ac:dyDescent="0.25">
      <c r="A1625" t="s">
        <v>295</v>
      </c>
      <c r="B1625">
        <v>5</v>
      </c>
      <c r="C1625">
        <v>2</v>
      </c>
      <c r="D1625">
        <v>0</v>
      </c>
      <c r="E1625" t="s">
        <v>313</v>
      </c>
      <c r="F1625">
        <v>642</v>
      </c>
      <c r="G1625">
        <v>4484858.6774193551</v>
      </c>
      <c r="H1625">
        <v>0.93463497969412035</v>
      </c>
      <c r="I1625">
        <v>0.91850594227504245</v>
      </c>
      <c r="J1625">
        <v>388973.32258064515</v>
      </c>
      <c r="K1625">
        <v>915</v>
      </c>
      <c r="L1625">
        <v>2</v>
      </c>
      <c r="M1625">
        <v>19</v>
      </c>
      <c r="N1625">
        <v>0.93718166383701185</v>
      </c>
      <c r="O1625">
        <v>280855.12903225806</v>
      </c>
      <c r="P1625">
        <v>1003</v>
      </c>
      <c r="Q1625">
        <v>2</v>
      </c>
      <c r="R1625">
        <v>20</v>
      </c>
      <c r="S1625">
        <v>11.968731148200282</v>
      </c>
      <c r="T1625">
        <v>0.97971014777819321</v>
      </c>
    </row>
    <row r="1626" spans="1:20" x14ac:dyDescent="0.25">
      <c r="A1626" t="s">
        <v>295</v>
      </c>
      <c r="B1626">
        <v>5</v>
      </c>
      <c r="C1626">
        <v>2</v>
      </c>
      <c r="D1626">
        <v>0</v>
      </c>
      <c r="E1626" t="s">
        <v>305</v>
      </c>
      <c r="F1626">
        <v>735</v>
      </c>
      <c r="G1626">
        <v>3027646.4375</v>
      </c>
      <c r="H1626">
        <v>0.93914475291967392</v>
      </c>
      <c r="I1626">
        <v>0.91447368421052633</v>
      </c>
      <c r="J1626">
        <v>588582.8125</v>
      </c>
      <c r="K1626">
        <v>1003</v>
      </c>
      <c r="L1626">
        <v>2</v>
      </c>
      <c r="M1626">
        <v>20</v>
      </c>
      <c r="N1626">
        <v>0.93092105263157887</v>
      </c>
      <c r="O1626">
        <v>414271.25</v>
      </c>
      <c r="P1626">
        <v>1095</v>
      </c>
      <c r="Q1626">
        <v>2</v>
      </c>
      <c r="R1626">
        <v>21</v>
      </c>
      <c r="S1626">
        <v>11.965089411291943</v>
      </c>
      <c r="T1626">
        <v>0.97971014976501469</v>
      </c>
    </row>
    <row r="1627" spans="1:20" x14ac:dyDescent="0.25">
      <c r="A1627" t="s">
        <v>295</v>
      </c>
      <c r="B1627">
        <v>5</v>
      </c>
      <c r="C1627">
        <v>2</v>
      </c>
      <c r="D1627">
        <v>0</v>
      </c>
      <c r="E1627" t="s">
        <v>308</v>
      </c>
      <c r="F1627">
        <v>795</v>
      </c>
      <c r="G1627">
        <v>4675073.25</v>
      </c>
      <c r="H1627">
        <v>0.95065790042281151</v>
      </c>
      <c r="I1627">
        <v>0.92434210526315785</v>
      </c>
      <c r="J1627">
        <v>376161.3125</v>
      </c>
      <c r="K1627">
        <v>1095</v>
      </c>
      <c r="L1627">
        <v>2</v>
      </c>
      <c r="M1627">
        <v>21</v>
      </c>
      <c r="N1627">
        <v>0.92269736842105265</v>
      </c>
      <c r="O1627">
        <v>349620</v>
      </c>
      <c r="P1627">
        <v>1191</v>
      </c>
      <c r="Q1627">
        <v>2</v>
      </c>
      <c r="R1627">
        <v>22</v>
      </c>
      <c r="S1627">
        <v>11.962758482232484</v>
      </c>
      <c r="T1627">
        <v>0.96811594168345139</v>
      </c>
    </row>
    <row r="1628" spans="1:20" x14ac:dyDescent="0.25">
      <c r="A1628" t="s">
        <v>295</v>
      </c>
      <c r="B1628">
        <v>5</v>
      </c>
      <c r="C1628">
        <v>2</v>
      </c>
      <c r="D1628">
        <v>0</v>
      </c>
      <c r="E1628" t="s">
        <v>309</v>
      </c>
      <c r="F1628">
        <v>977</v>
      </c>
      <c r="G1628">
        <v>6066817.0967741935</v>
      </c>
      <c r="H1628">
        <v>0.93972835425407653</v>
      </c>
      <c r="I1628">
        <v>0.9252971137521222</v>
      </c>
      <c r="J1628">
        <v>412313.12903225806</v>
      </c>
      <c r="K1628">
        <v>1395</v>
      </c>
      <c r="L1628">
        <v>2</v>
      </c>
      <c r="M1628">
        <v>24</v>
      </c>
      <c r="N1628">
        <v>0.92444821731748728</v>
      </c>
      <c r="O1628">
        <v>297556.61290322582</v>
      </c>
      <c r="P1628">
        <v>1503</v>
      </c>
      <c r="Q1628">
        <v>2</v>
      </c>
      <c r="R1628">
        <v>25</v>
      </c>
      <c r="S1628">
        <v>11.962064645452267</v>
      </c>
      <c r="T1628">
        <v>0.97826087474822998</v>
      </c>
    </row>
    <row r="1629" spans="1:20" x14ac:dyDescent="0.25">
      <c r="A1629" t="s">
        <v>295</v>
      </c>
      <c r="B1629">
        <v>5</v>
      </c>
      <c r="C1629">
        <v>2</v>
      </c>
      <c r="D1629">
        <v>0</v>
      </c>
      <c r="E1629" t="s">
        <v>299</v>
      </c>
      <c r="F1629">
        <v>1099</v>
      </c>
      <c r="G1629">
        <v>4460789.2826086953</v>
      </c>
      <c r="H1629">
        <v>0.9393592710080354</v>
      </c>
      <c r="I1629">
        <v>0.93363844393592677</v>
      </c>
      <c r="J1629">
        <v>483869.41304347827</v>
      </c>
      <c r="K1629">
        <v>1615</v>
      </c>
      <c r="L1629">
        <v>2</v>
      </c>
      <c r="M1629">
        <v>26</v>
      </c>
      <c r="N1629">
        <v>0.92276887871853541</v>
      </c>
      <c r="O1629">
        <v>411660.67391304346</v>
      </c>
      <c r="P1629">
        <v>1731</v>
      </c>
      <c r="Q1629">
        <v>2</v>
      </c>
      <c r="R1629">
        <v>27</v>
      </c>
      <c r="S1629">
        <v>11.95345232738363</v>
      </c>
      <c r="T1629">
        <v>0.98550724983215332</v>
      </c>
    </row>
    <row r="1630" spans="1:20" x14ac:dyDescent="0.25">
      <c r="A1630" t="s">
        <v>295</v>
      </c>
      <c r="B1630">
        <v>5</v>
      </c>
      <c r="C1630">
        <v>2</v>
      </c>
      <c r="D1630">
        <v>0</v>
      </c>
      <c r="E1630" t="s">
        <v>312</v>
      </c>
      <c r="F1630">
        <v>1219</v>
      </c>
      <c r="G1630">
        <v>4642230.6875</v>
      </c>
      <c r="H1630">
        <v>0.93585526943206787</v>
      </c>
      <c r="I1630">
        <v>0.92105263157894735</v>
      </c>
      <c r="J1630">
        <v>399297.5625</v>
      </c>
      <c r="K1630">
        <v>1731</v>
      </c>
      <c r="L1630">
        <v>2</v>
      </c>
      <c r="M1630">
        <v>27</v>
      </c>
      <c r="N1630">
        <v>0.92598684210526316</v>
      </c>
      <c r="O1630">
        <v>323439.4375</v>
      </c>
      <c r="P1630">
        <v>1851</v>
      </c>
      <c r="Q1630">
        <v>2</v>
      </c>
      <c r="R1630">
        <v>28</v>
      </c>
      <c r="S1630">
        <v>11.950442124194435</v>
      </c>
      <c r="T1630">
        <v>0.96521739959716801</v>
      </c>
    </row>
    <row r="1631" spans="1:20" x14ac:dyDescent="0.25">
      <c r="A1631" t="s">
        <v>295</v>
      </c>
      <c r="B1631">
        <v>5</v>
      </c>
      <c r="C1631">
        <v>2</v>
      </c>
      <c r="D1631">
        <v>0</v>
      </c>
      <c r="E1631" t="s">
        <v>300</v>
      </c>
      <c r="F1631">
        <v>1401</v>
      </c>
      <c r="G1631">
        <v>4229250.7096774196</v>
      </c>
      <c r="H1631">
        <v>0.94567063739222867</v>
      </c>
      <c r="I1631">
        <v>0.93208828522920195</v>
      </c>
      <c r="J1631">
        <v>432097.48387096776</v>
      </c>
      <c r="K1631">
        <v>1975</v>
      </c>
      <c r="L1631">
        <v>2</v>
      </c>
      <c r="M1631">
        <v>29</v>
      </c>
      <c r="N1631">
        <v>0.94057724957555178</v>
      </c>
      <c r="O1631">
        <v>324256.58064516127</v>
      </c>
      <c r="P1631">
        <v>2103</v>
      </c>
      <c r="Q1631">
        <v>2</v>
      </c>
      <c r="R1631">
        <v>30</v>
      </c>
      <c r="S1631">
        <v>11.943934557063049</v>
      </c>
      <c r="T1631">
        <v>0.98985507488250735</v>
      </c>
    </row>
    <row r="1632" spans="1:20" x14ac:dyDescent="0.25">
      <c r="A1632" t="s">
        <v>295</v>
      </c>
      <c r="B1632">
        <v>5</v>
      </c>
      <c r="C1632">
        <v>2</v>
      </c>
      <c r="D1632">
        <v>0</v>
      </c>
      <c r="E1632" t="s">
        <v>298</v>
      </c>
      <c r="F1632">
        <v>1461</v>
      </c>
      <c r="G1632">
        <v>4693209.875</v>
      </c>
      <c r="H1632">
        <v>0.95888157933950424</v>
      </c>
      <c r="I1632">
        <v>0.93092105263157898</v>
      </c>
      <c r="J1632">
        <v>519088.875</v>
      </c>
      <c r="K1632">
        <v>2103</v>
      </c>
      <c r="L1632">
        <v>2</v>
      </c>
      <c r="M1632">
        <v>30</v>
      </c>
      <c r="N1632">
        <v>0.91940789473684204</v>
      </c>
      <c r="O1632">
        <v>295522.8125</v>
      </c>
      <c r="P1632">
        <v>2235</v>
      </c>
      <c r="Q1632">
        <v>2</v>
      </c>
      <c r="R1632">
        <v>31</v>
      </c>
      <c r="S1632">
        <v>11.94093899521531</v>
      </c>
      <c r="T1632">
        <v>0.99130434989929195</v>
      </c>
    </row>
    <row r="1633" spans="1:20" x14ac:dyDescent="0.25">
      <c r="A1633" t="s">
        <v>295</v>
      </c>
      <c r="B1633">
        <v>5</v>
      </c>
      <c r="C1633">
        <v>2</v>
      </c>
      <c r="D1633">
        <v>0</v>
      </c>
      <c r="E1633" t="s">
        <v>301</v>
      </c>
      <c r="F1633">
        <v>1703</v>
      </c>
      <c r="G1633">
        <v>4575225.0625</v>
      </c>
      <c r="H1633">
        <v>0.94736842811107635</v>
      </c>
      <c r="I1633">
        <v>0.91776315789473684</v>
      </c>
      <c r="J1633">
        <v>430990</v>
      </c>
      <c r="K1633">
        <v>2511</v>
      </c>
      <c r="L1633">
        <v>2</v>
      </c>
      <c r="M1633">
        <v>33</v>
      </c>
      <c r="N1633">
        <v>0.92598684210526316</v>
      </c>
      <c r="O1633">
        <v>375047.25</v>
      </c>
      <c r="P1633">
        <v>2655</v>
      </c>
      <c r="Q1633">
        <v>2</v>
      </c>
      <c r="R1633">
        <v>34</v>
      </c>
      <c r="S1633">
        <v>11.93784860557769</v>
      </c>
      <c r="T1633">
        <v>0.98550724983215332</v>
      </c>
    </row>
    <row r="1634" spans="1:20" x14ac:dyDescent="0.25">
      <c r="A1634" t="s">
        <v>295</v>
      </c>
      <c r="B1634">
        <v>5</v>
      </c>
      <c r="C1634">
        <v>3</v>
      </c>
      <c r="D1634">
        <v>0</v>
      </c>
      <c r="E1634" t="s">
        <v>302</v>
      </c>
      <c r="F1634">
        <v>237</v>
      </c>
      <c r="G1634">
        <v>4740221.6875</v>
      </c>
      <c r="H1634">
        <v>0.93914474546909332</v>
      </c>
      <c r="I1634">
        <v>0.93421052631578949</v>
      </c>
      <c r="J1634">
        <v>469221.4375</v>
      </c>
      <c r="K1634">
        <v>355</v>
      </c>
      <c r="L1634">
        <v>2</v>
      </c>
      <c r="M1634">
        <v>11</v>
      </c>
      <c r="N1634">
        <v>0.92598684210526316</v>
      </c>
      <c r="O1634">
        <v>375221.0625</v>
      </c>
      <c r="P1634">
        <v>411</v>
      </c>
      <c r="Q1634">
        <v>2</v>
      </c>
      <c r="R1634">
        <v>12</v>
      </c>
      <c r="S1634">
        <v>11.935011942675159</v>
      </c>
      <c r="T1634">
        <v>0.98260869979858401</v>
      </c>
    </row>
    <row r="1635" spans="1:20" x14ac:dyDescent="0.25">
      <c r="A1635" t="s">
        <v>295</v>
      </c>
      <c r="B1635">
        <v>5</v>
      </c>
      <c r="C1635">
        <v>3</v>
      </c>
      <c r="D1635">
        <v>0</v>
      </c>
      <c r="E1635" t="s">
        <v>306</v>
      </c>
      <c r="F1635">
        <v>393</v>
      </c>
      <c r="G1635">
        <v>3354201.4375</v>
      </c>
      <c r="H1635">
        <v>0.93092105910181999</v>
      </c>
      <c r="I1635">
        <v>0.94243421052631582</v>
      </c>
      <c r="J1635">
        <v>735071.375</v>
      </c>
      <c r="K1635">
        <v>603</v>
      </c>
      <c r="L1635">
        <v>2</v>
      </c>
      <c r="M1635">
        <v>15</v>
      </c>
      <c r="N1635">
        <v>0.92598684210526316</v>
      </c>
      <c r="O1635">
        <v>468717.375</v>
      </c>
      <c r="P1635">
        <v>675</v>
      </c>
      <c r="Q1635">
        <v>2</v>
      </c>
      <c r="R1635">
        <v>16</v>
      </c>
      <c r="S1635">
        <v>11.932428400954654</v>
      </c>
      <c r="T1635">
        <v>0.97101449966430664</v>
      </c>
    </row>
    <row r="1636" spans="1:20" x14ac:dyDescent="0.25">
      <c r="A1636" t="s">
        <v>295</v>
      </c>
      <c r="B1636">
        <v>5</v>
      </c>
      <c r="C1636">
        <v>3</v>
      </c>
      <c r="D1636">
        <v>0</v>
      </c>
      <c r="E1636" t="s">
        <v>303</v>
      </c>
      <c r="F1636">
        <v>495</v>
      </c>
      <c r="G1636">
        <v>3003959.875</v>
      </c>
      <c r="H1636">
        <v>0.90131579712033272</v>
      </c>
      <c r="I1636">
        <v>0.93421052631578949</v>
      </c>
      <c r="J1636">
        <v>645492.375</v>
      </c>
      <c r="K1636">
        <v>751</v>
      </c>
      <c r="L1636">
        <v>2</v>
      </c>
      <c r="M1636">
        <v>17</v>
      </c>
      <c r="N1636">
        <v>0.94243421052631582</v>
      </c>
      <c r="O1636">
        <v>659355.375</v>
      </c>
      <c r="P1636">
        <v>831</v>
      </c>
      <c r="Q1636">
        <v>2</v>
      </c>
      <c r="R1636">
        <v>18</v>
      </c>
      <c r="S1636">
        <v>11.929352146263911</v>
      </c>
      <c r="T1636">
        <v>0.97971014976501469</v>
      </c>
    </row>
    <row r="1637" spans="1:20" x14ac:dyDescent="0.25">
      <c r="A1637" t="s">
        <v>295</v>
      </c>
      <c r="B1637">
        <v>5</v>
      </c>
      <c r="C1637">
        <v>3</v>
      </c>
      <c r="D1637">
        <v>0</v>
      </c>
      <c r="E1637" t="s">
        <v>310</v>
      </c>
      <c r="F1637">
        <v>549</v>
      </c>
      <c r="G1637">
        <v>5484862.625</v>
      </c>
      <c r="H1637">
        <v>0.90789473801851273</v>
      </c>
      <c r="I1637">
        <v>0.92434210526315785</v>
      </c>
      <c r="J1637">
        <v>522657.625</v>
      </c>
      <c r="K1637">
        <v>831</v>
      </c>
      <c r="L1637">
        <v>2</v>
      </c>
      <c r="M1637">
        <v>18</v>
      </c>
      <c r="N1637">
        <v>0.93092105263157887</v>
      </c>
      <c r="O1637">
        <v>426781.9375</v>
      </c>
      <c r="P1637">
        <v>915</v>
      </c>
      <c r="Q1637">
        <v>2</v>
      </c>
      <c r="R1637">
        <v>19</v>
      </c>
      <c r="S1637">
        <v>11.927323272438443</v>
      </c>
      <c r="T1637">
        <v>0.96811594168345139</v>
      </c>
    </row>
    <row r="1638" spans="1:20" x14ac:dyDescent="0.25">
      <c r="A1638" t="s">
        <v>295</v>
      </c>
      <c r="B1638">
        <v>5</v>
      </c>
      <c r="C1638">
        <v>3</v>
      </c>
      <c r="D1638">
        <v>0</v>
      </c>
      <c r="E1638" t="s">
        <v>304</v>
      </c>
      <c r="F1638">
        <v>651</v>
      </c>
      <c r="G1638">
        <v>3027350.25</v>
      </c>
      <c r="H1638">
        <v>0.88651315867900848</v>
      </c>
      <c r="I1638">
        <v>0.91447368421052633</v>
      </c>
      <c r="J1638">
        <v>472616.625</v>
      </c>
      <c r="K1638">
        <v>1003</v>
      </c>
      <c r="L1638">
        <v>2</v>
      </c>
      <c r="M1638">
        <v>20</v>
      </c>
      <c r="N1638">
        <v>0.93914473684210531</v>
      </c>
      <c r="O1638">
        <v>403610.8125</v>
      </c>
      <c r="P1638">
        <v>1095</v>
      </c>
      <c r="Q1638">
        <v>2</v>
      </c>
      <c r="R1638">
        <v>21</v>
      </c>
      <c r="S1638">
        <v>11.923908730158731</v>
      </c>
      <c r="T1638">
        <v>0.98550724983215332</v>
      </c>
    </row>
    <row r="1639" spans="1:20" x14ac:dyDescent="0.25">
      <c r="A1639" t="s">
        <v>295</v>
      </c>
      <c r="B1639">
        <v>5</v>
      </c>
      <c r="C1639">
        <v>3</v>
      </c>
      <c r="D1639">
        <v>0</v>
      </c>
      <c r="E1639" t="s">
        <v>313</v>
      </c>
      <c r="F1639">
        <v>705</v>
      </c>
      <c r="G1639">
        <v>5130605.1290322579</v>
      </c>
      <c r="H1639">
        <v>0.93293718368776379</v>
      </c>
      <c r="I1639">
        <v>0.92020373514431242</v>
      </c>
      <c r="J1639">
        <v>474548.6451612903</v>
      </c>
      <c r="K1639">
        <v>1095</v>
      </c>
      <c r="L1639">
        <v>2</v>
      </c>
      <c r="M1639">
        <v>21</v>
      </c>
      <c r="N1639">
        <v>0.9252971137521222</v>
      </c>
      <c r="O1639">
        <v>313845.06451612903</v>
      </c>
      <c r="P1639">
        <v>1191</v>
      </c>
      <c r="Q1639">
        <v>2</v>
      </c>
      <c r="R1639">
        <v>22</v>
      </c>
      <c r="S1639">
        <v>11.918973800208013</v>
      </c>
      <c r="T1639">
        <v>0.97971014976501469</v>
      </c>
    </row>
    <row r="1640" spans="1:20" x14ac:dyDescent="0.25">
      <c r="A1640" t="s">
        <v>295</v>
      </c>
      <c r="B1640">
        <v>5</v>
      </c>
      <c r="C1640">
        <v>3</v>
      </c>
      <c r="D1640">
        <v>0</v>
      </c>
      <c r="E1640" t="s">
        <v>305</v>
      </c>
      <c r="F1640">
        <v>807</v>
      </c>
      <c r="G1640">
        <v>3346474.375</v>
      </c>
      <c r="H1640">
        <v>0.92598684877157211</v>
      </c>
      <c r="I1640">
        <v>0.9391447368421052</v>
      </c>
      <c r="J1640">
        <v>464152.8125</v>
      </c>
      <c r="K1640">
        <v>1291</v>
      </c>
      <c r="L1640">
        <v>2</v>
      </c>
      <c r="M1640">
        <v>23</v>
      </c>
      <c r="N1640">
        <v>0.92434210526315785</v>
      </c>
      <c r="O1640">
        <v>494908.25</v>
      </c>
      <c r="P1640">
        <v>1395</v>
      </c>
      <c r="Q1640">
        <v>2</v>
      </c>
      <c r="R1640">
        <v>24</v>
      </c>
      <c r="S1640">
        <v>11.915375859850547</v>
      </c>
      <c r="T1640">
        <v>0.95942029953002927</v>
      </c>
    </row>
    <row r="1641" spans="1:20" x14ac:dyDescent="0.25">
      <c r="A1641" t="s">
        <v>295</v>
      </c>
      <c r="B1641">
        <v>5</v>
      </c>
      <c r="C1641">
        <v>3</v>
      </c>
      <c r="D1641">
        <v>0</v>
      </c>
      <c r="E1641" t="s">
        <v>308</v>
      </c>
      <c r="F1641">
        <v>873</v>
      </c>
      <c r="G1641">
        <v>5182986.2258064514</v>
      </c>
      <c r="H1641">
        <v>0.92699490824053365</v>
      </c>
      <c r="I1641">
        <v>0.92444821731748728</v>
      </c>
      <c r="J1641">
        <v>460189.22580645164</v>
      </c>
      <c r="K1641">
        <v>1395</v>
      </c>
      <c r="L1641">
        <v>2</v>
      </c>
      <c r="M1641">
        <v>24</v>
      </c>
      <c r="N1641">
        <v>0.92190152801358227</v>
      </c>
      <c r="O1641">
        <v>364496</v>
      </c>
      <c r="P1641">
        <v>1503</v>
      </c>
      <c r="Q1641">
        <v>2</v>
      </c>
      <c r="R1641">
        <v>25</v>
      </c>
      <c r="S1641">
        <v>11.910416049016701</v>
      </c>
      <c r="T1641">
        <v>0.98115942478179929</v>
      </c>
    </row>
    <row r="1642" spans="1:20" x14ac:dyDescent="0.25">
      <c r="A1642" t="s">
        <v>295</v>
      </c>
      <c r="B1642">
        <v>5</v>
      </c>
      <c r="C1642">
        <v>3</v>
      </c>
      <c r="D1642">
        <v>0</v>
      </c>
      <c r="E1642" t="s">
        <v>296</v>
      </c>
      <c r="F1642">
        <v>1029</v>
      </c>
      <c r="G1642">
        <v>5939934.125</v>
      </c>
      <c r="H1642">
        <v>0.90460526570677757</v>
      </c>
      <c r="I1642">
        <v>0.93421052631578949</v>
      </c>
      <c r="J1642">
        <v>362659.5</v>
      </c>
      <c r="K1642">
        <v>1615</v>
      </c>
      <c r="L1642">
        <v>2</v>
      </c>
      <c r="M1642">
        <v>26</v>
      </c>
      <c r="N1642">
        <v>0.91776315789473684</v>
      </c>
      <c r="O1642">
        <v>401507.0625</v>
      </c>
      <c r="P1642">
        <v>1731</v>
      </c>
      <c r="Q1642">
        <v>2</v>
      </c>
      <c r="R1642">
        <v>27</v>
      </c>
      <c r="S1642">
        <v>11.908857509627728</v>
      </c>
      <c r="T1642">
        <v>0.96521739562352493</v>
      </c>
    </row>
    <row r="1643" spans="1:20" x14ac:dyDescent="0.25">
      <c r="A1643" t="s">
        <v>295</v>
      </c>
      <c r="B1643">
        <v>5</v>
      </c>
      <c r="C1643">
        <v>3</v>
      </c>
      <c r="D1643">
        <v>0</v>
      </c>
      <c r="E1643" t="s">
        <v>309</v>
      </c>
      <c r="F1643">
        <v>1073</v>
      </c>
      <c r="G1643">
        <v>5367524.75</v>
      </c>
      <c r="H1643">
        <v>0.94572368636727333</v>
      </c>
      <c r="I1643">
        <v>0.91940789473684204</v>
      </c>
      <c r="J1643">
        <v>432242.75</v>
      </c>
      <c r="K1643">
        <v>1731</v>
      </c>
      <c r="L1643">
        <v>2</v>
      </c>
      <c r="M1643">
        <v>27</v>
      </c>
      <c r="N1643">
        <v>0.92434210526315785</v>
      </c>
      <c r="O1643">
        <v>367329.375</v>
      </c>
      <c r="P1643">
        <v>1851</v>
      </c>
      <c r="Q1643">
        <v>2</v>
      </c>
      <c r="R1643">
        <v>28</v>
      </c>
      <c r="S1643">
        <v>11.906117414898866</v>
      </c>
      <c r="T1643">
        <v>0.97971014976501469</v>
      </c>
    </row>
    <row r="1644" spans="1:20" x14ac:dyDescent="0.25">
      <c r="A1644" t="s">
        <v>295</v>
      </c>
      <c r="B1644">
        <v>5</v>
      </c>
      <c r="C1644">
        <v>3</v>
      </c>
      <c r="D1644">
        <v>0</v>
      </c>
      <c r="E1644" t="s">
        <v>299</v>
      </c>
      <c r="F1644">
        <v>1207</v>
      </c>
      <c r="G1644">
        <v>5458309.7741935486</v>
      </c>
      <c r="H1644">
        <v>0.92444821903782504</v>
      </c>
      <c r="I1644">
        <v>0.93208828522920195</v>
      </c>
      <c r="J1644">
        <v>541947.51612903224</v>
      </c>
      <c r="K1644">
        <v>1851</v>
      </c>
      <c r="L1644">
        <v>2</v>
      </c>
      <c r="M1644">
        <v>28</v>
      </c>
      <c r="N1644">
        <v>0.93208828522920206</v>
      </c>
      <c r="O1644">
        <v>415203.93548387097</v>
      </c>
      <c r="P1644">
        <v>1975</v>
      </c>
      <c r="Q1644">
        <v>2</v>
      </c>
      <c r="R1644">
        <v>29</v>
      </c>
      <c r="S1644">
        <v>11.901433426924783</v>
      </c>
      <c r="T1644">
        <v>0.98405797481536861</v>
      </c>
    </row>
    <row r="1645" spans="1:20" x14ac:dyDescent="0.25">
      <c r="A1645" t="s">
        <v>295</v>
      </c>
      <c r="B1645">
        <v>5</v>
      </c>
      <c r="C1645">
        <v>3</v>
      </c>
      <c r="D1645">
        <v>0</v>
      </c>
      <c r="E1645" t="s">
        <v>312</v>
      </c>
      <c r="F1645">
        <v>1339</v>
      </c>
      <c r="G1645">
        <v>5792583.125</v>
      </c>
      <c r="H1645">
        <v>0.91611843183636665</v>
      </c>
      <c r="I1645">
        <v>0.92763157894736836</v>
      </c>
      <c r="J1645">
        <v>390297.3125</v>
      </c>
      <c r="K1645">
        <v>2103</v>
      </c>
      <c r="L1645">
        <v>2</v>
      </c>
      <c r="M1645">
        <v>30</v>
      </c>
      <c r="N1645">
        <v>0.91940789473684204</v>
      </c>
      <c r="O1645">
        <v>297087.25</v>
      </c>
      <c r="P1645">
        <v>2235</v>
      </c>
      <c r="Q1645">
        <v>2</v>
      </c>
      <c r="R1645">
        <v>31</v>
      </c>
      <c r="S1645">
        <v>11.89934537579367</v>
      </c>
      <c r="T1645">
        <v>0.98260869979858401</v>
      </c>
    </row>
    <row r="1646" spans="1:20" x14ac:dyDescent="0.25">
      <c r="A1646" t="s">
        <v>295</v>
      </c>
      <c r="B1646">
        <v>5</v>
      </c>
      <c r="C1646">
        <v>3</v>
      </c>
      <c r="D1646">
        <v>0</v>
      </c>
      <c r="E1646" t="s">
        <v>300</v>
      </c>
      <c r="F1646">
        <v>1539</v>
      </c>
      <c r="G1646">
        <v>5284662.3225806449</v>
      </c>
      <c r="H1646">
        <v>0.93208829241414226</v>
      </c>
      <c r="I1646">
        <v>0.92614601018675724</v>
      </c>
      <c r="J1646">
        <v>434191.87096774194</v>
      </c>
      <c r="K1646">
        <v>2371</v>
      </c>
      <c r="L1646">
        <v>2</v>
      </c>
      <c r="M1646">
        <v>32</v>
      </c>
      <c r="N1646">
        <v>0.93208828522920206</v>
      </c>
      <c r="O1646">
        <v>398374.09677419357</v>
      </c>
      <c r="P1646">
        <v>2511</v>
      </c>
      <c r="Q1646">
        <v>2</v>
      </c>
      <c r="R1646">
        <v>33</v>
      </c>
      <c r="S1646">
        <v>11.893945350894437</v>
      </c>
      <c r="T1646">
        <v>0.98260869979858401</v>
      </c>
    </row>
    <row r="1647" spans="1:20" x14ac:dyDescent="0.25">
      <c r="A1647" t="s">
        <v>295</v>
      </c>
      <c r="B1647">
        <v>5</v>
      </c>
      <c r="C1647">
        <v>3</v>
      </c>
      <c r="D1647">
        <v>0</v>
      </c>
      <c r="E1647" t="s">
        <v>298</v>
      </c>
      <c r="F1647">
        <v>1605</v>
      </c>
      <c r="G1647">
        <v>5951395.625</v>
      </c>
      <c r="H1647">
        <v>0.94901315867900848</v>
      </c>
      <c r="I1647">
        <v>0.92269736842105265</v>
      </c>
      <c r="J1647">
        <v>493338.875</v>
      </c>
      <c r="K1647">
        <v>2511</v>
      </c>
      <c r="L1647">
        <v>2</v>
      </c>
      <c r="M1647">
        <v>33</v>
      </c>
      <c r="N1647">
        <v>0.92434210526315785</v>
      </c>
      <c r="O1647">
        <v>454522.75</v>
      </c>
      <c r="P1647">
        <v>2655</v>
      </c>
      <c r="Q1647">
        <v>2</v>
      </c>
      <c r="R1647">
        <v>34</v>
      </c>
      <c r="S1647">
        <v>11.891720683559223</v>
      </c>
      <c r="T1647">
        <v>0.98260869979858401</v>
      </c>
    </row>
    <row r="1648" spans="1:20" x14ac:dyDescent="0.25">
      <c r="A1648" t="s">
        <v>295</v>
      </c>
      <c r="B1648">
        <v>5</v>
      </c>
      <c r="C1648">
        <v>3</v>
      </c>
      <c r="D1648">
        <v>0</v>
      </c>
      <c r="E1648" t="s">
        <v>301</v>
      </c>
      <c r="F1648">
        <v>1871</v>
      </c>
      <c r="G1648">
        <v>5532933.8125</v>
      </c>
      <c r="H1648">
        <v>0.92763159424066544</v>
      </c>
      <c r="I1648">
        <v>0.9375</v>
      </c>
      <c r="J1648">
        <v>474185.25</v>
      </c>
      <c r="K1648">
        <v>2955</v>
      </c>
      <c r="L1648">
        <v>2</v>
      </c>
      <c r="M1648">
        <v>36</v>
      </c>
      <c r="N1648">
        <v>0.92598684210526316</v>
      </c>
      <c r="O1648">
        <v>330030.25</v>
      </c>
      <c r="P1648">
        <v>3111</v>
      </c>
      <c r="Q1648">
        <v>2</v>
      </c>
      <c r="R1648">
        <v>37</v>
      </c>
      <c r="S1648">
        <v>11.889156035328753</v>
      </c>
      <c r="T1648">
        <v>0.97681159973144527</v>
      </c>
    </row>
    <row r="1649" spans="1:20" x14ac:dyDescent="0.25">
      <c r="A1649" t="s">
        <v>295</v>
      </c>
      <c r="B1649">
        <v>5</v>
      </c>
      <c r="C1649">
        <v>4</v>
      </c>
      <c r="D1649">
        <v>0</v>
      </c>
      <c r="E1649" t="s">
        <v>302</v>
      </c>
      <c r="F1649">
        <v>258</v>
      </c>
      <c r="G1649">
        <v>5742609.8125</v>
      </c>
      <c r="H1649">
        <v>0.9375000037252903</v>
      </c>
      <c r="I1649">
        <v>0.92434210526315785</v>
      </c>
      <c r="J1649">
        <v>412643.5625</v>
      </c>
      <c r="K1649">
        <v>411</v>
      </c>
      <c r="L1649">
        <v>2</v>
      </c>
      <c r="M1649">
        <v>12</v>
      </c>
      <c r="N1649">
        <v>0.92434210526315785</v>
      </c>
      <c r="O1649">
        <v>255173.6875</v>
      </c>
      <c r="P1649">
        <v>471</v>
      </c>
      <c r="Q1649">
        <v>2</v>
      </c>
      <c r="R1649">
        <v>13</v>
      </c>
      <c r="S1649">
        <v>11.886742498529124</v>
      </c>
      <c r="T1649">
        <v>0.98550724983215332</v>
      </c>
    </row>
    <row r="1650" spans="1:20" x14ac:dyDescent="0.25">
      <c r="A1650" t="s">
        <v>295</v>
      </c>
      <c r="B1650">
        <v>5</v>
      </c>
      <c r="C1650">
        <v>4</v>
      </c>
      <c r="D1650">
        <v>0</v>
      </c>
      <c r="E1650" t="s">
        <v>306</v>
      </c>
      <c r="F1650">
        <v>428</v>
      </c>
      <c r="G1650">
        <v>3077684.5625</v>
      </c>
      <c r="H1650">
        <v>0.92927632108330727</v>
      </c>
      <c r="I1650">
        <v>0.91447368421052633</v>
      </c>
      <c r="J1650">
        <v>463354.75</v>
      </c>
      <c r="K1650">
        <v>675</v>
      </c>
      <c r="L1650">
        <v>2</v>
      </c>
      <c r="M1650">
        <v>16</v>
      </c>
      <c r="N1650">
        <v>0.93256578947368418</v>
      </c>
      <c r="O1650">
        <v>453576.5625</v>
      </c>
      <c r="P1650">
        <v>751</v>
      </c>
      <c r="Q1650">
        <v>2</v>
      </c>
      <c r="R1650">
        <v>17</v>
      </c>
      <c r="S1650">
        <v>11.883450911228689</v>
      </c>
      <c r="T1650">
        <v>0.99130434989929195</v>
      </c>
    </row>
    <row r="1651" spans="1:20" x14ac:dyDescent="0.25">
      <c r="A1651" t="s">
        <v>295</v>
      </c>
      <c r="B1651">
        <v>5</v>
      </c>
      <c r="C1651">
        <v>4</v>
      </c>
      <c r="D1651">
        <v>0</v>
      </c>
      <c r="E1651" t="s">
        <v>303</v>
      </c>
      <c r="F1651">
        <v>539</v>
      </c>
      <c r="G1651">
        <v>3205941.25</v>
      </c>
      <c r="H1651">
        <v>0.8470394741743803</v>
      </c>
      <c r="I1651">
        <v>0.92269736842105265</v>
      </c>
      <c r="J1651">
        <v>688277.5</v>
      </c>
      <c r="K1651">
        <v>915</v>
      </c>
      <c r="L1651">
        <v>2</v>
      </c>
      <c r="M1651">
        <v>19</v>
      </c>
      <c r="N1651">
        <v>0.92434210526315785</v>
      </c>
      <c r="O1651">
        <v>598046.1875</v>
      </c>
      <c r="P1651">
        <v>1003</v>
      </c>
      <c r="Q1651">
        <v>2</v>
      </c>
      <c r="R1651">
        <v>20</v>
      </c>
      <c r="S1651">
        <v>11.880311337380066</v>
      </c>
      <c r="T1651">
        <v>0.97971014976501469</v>
      </c>
    </row>
    <row r="1652" spans="1:20" x14ac:dyDescent="0.25">
      <c r="A1652" t="s">
        <v>295</v>
      </c>
      <c r="B1652">
        <v>5</v>
      </c>
      <c r="C1652">
        <v>4</v>
      </c>
      <c r="D1652">
        <v>0</v>
      </c>
      <c r="E1652" t="s">
        <v>310</v>
      </c>
      <c r="F1652">
        <v>598</v>
      </c>
      <c r="G1652">
        <v>5941663.8125</v>
      </c>
      <c r="H1652">
        <v>0.86019737645983696</v>
      </c>
      <c r="I1652">
        <v>0.91940789473684204</v>
      </c>
      <c r="J1652">
        <v>521359.125</v>
      </c>
      <c r="K1652">
        <v>1003</v>
      </c>
      <c r="L1652">
        <v>2</v>
      </c>
      <c r="M1652">
        <v>20</v>
      </c>
      <c r="N1652">
        <v>0.93092105263157887</v>
      </c>
      <c r="O1652">
        <v>505751.875</v>
      </c>
      <c r="P1652">
        <v>1095</v>
      </c>
      <c r="Q1652">
        <v>2</v>
      </c>
      <c r="R1652">
        <v>21</v>
      </c>
      <c r="S1652">
        <v>11.877812561142633</v>
      </c>
      <c r="T1652">
        <v>0.97101449569066367</v>
      </c>
    </row>
    <row r="1653" spans="1:20" x14ac:dyDescent="0.25">
      <c r="A1653" t="s">
        <v>295</v>
      </c>
      <c r="B1653">
        <v>5</v>
      </c>
      <c r="C1653">
        <v>4</v>
      </c>
      <c r="D1653">
        <v>0</v>
      </c>
      <c r="E1653" t="s">
        <v>304</v>
      </c>
      <c r="F1653">
        <v>709</v>
      </c>
      <c r="G1653">
        <v>4196615.625</v>
      </c>
      <c r="H1653">
        <v>0.89638157933950424</v>
      </c>
      <c r="I1653">
        <v>0.92269736842105265</v>
      </c>
      <c r="J1653">
        <v>594553.25</v>
      </c>
      <c r="K1653">
        <v>1191</v>
      </c>
      <c r="L1653">
        <v>2</v>
      </c>
      <c r="M1653">
        <v>22</v>
      </c>
      <c r="N1653">
        <v>0.91611842105263153</v>
      </c>
      <c r="O1653">
        <v>769954.4375</v>
      </c>
      <c r="P1653">
        <v>1291</v>
      </c>
      <c r="Q1653">
        <v>2</v>
      </c>
      <c r="R1653">
        <v>23</v>
      </c>
      <c r="S1653">
        <v>11.875415444770283</v>
      </c>
      <c r="T1653">
        <v>0.98260869979858401</v>
      </c>
    </row>
    <row r="1654" spans="1:20" x14ac:dyDescent="0.25">
      <c r="A1654" t="s">
        <v>295</v>
      </c>
      <c r="B1654">
        <v>5</v>
      </c>
      <c r="C1654">
        <v>4</v>
      </c>
      <c r="D1654">
        <v>0</v>
      </c>
      <c r="E1654" t="s">
        <v>313</v>
      </c>
      <c r="F1654">
        <v>768</v>
      </c>
      <c r="G1654">
        <v>7249199.5</v>
      </c>
      <c r="H1654">
        <v>0.83176692043031963</v>
      </c>
      <c r="I1654">
        <v>0.93045112781954886</v>
      </c>
      <c r="J1654">
        <v>561545.82142857148</v>
      </c>
      <c r="K1654">
        <v>1291</v>
      </c>
      <c r="L1654">
        <v>2</v>
      </c>
      <c r="M1654">
        <v>23</v>
      </c>
      <c r="N1654">
        <v>0.92011278195488722</v>
      </c>
      <c r="O1654">
        <v>416510.64285714284</v>
      </c>
      <c r="P1654">
        <v>1395</v>
      </c>
      <c r="Q1654">
        <v>2</v>
      </c>
      <c r="R1654">
        <v>24</v>
      </c>
      <c r="S1654">
        <v>11.873682155408044</v>
      </c>
      <c r="T1654">
        <v>0.97423510860513762</v>
      </c>
    </row>
    <row r="1655" spans="1:20" x14ac:dyDescent="0.25">
      <c r="A1655" t="s">
        <v>295</v>
      </c>
      <c r="B1655">
        <v>5</v>
      </c>
      <c r="C1655">
        <v>4</v>
      </c>
      <c r="D1655">
        <v>0</v>
      </c>
      <c r="E1655" t="s">
        <v>305</v>
      </c>
      <c r="F1655">
        <v>879</v>
      </c>
      <c r="G1655">
        <v>3479025.5625</v>
      </c>
      <c r="H1655">
        <v>0.91611842438578606</v>
      </c>
      <c r="I1655">
        <v>0.9375</v>
      </c>
      <c r="J1655">
        <v>960327.25</v>
      </c>
      <c r="K1655">
        <v>1503</v>
      </c>
      <c r="L1655">
        <v>2</v>
      </c>
      <c r="M1655">
        <v>25</v>
      </c>
      <c r="N1655">
        <v>0.91118421052631582</v>
      </c>
      <c r="O1655">
        <v>321325.9375</v>
      </c>
      <c r="P1655">
        <v>1615</v>
      </c>
      <c r="Q1655">
        <v>2</v>
      </c>
      <c r="R1655">
        <v>26</v>
      </c>
      <c r="S1655">
        <v>11.870171673819742</v>
      </c>
      <c r="T1655">
        <v>0.98550724983215332</v>
      </c>
    </row>
    <row r="1656" spans="1:20" x14ac:dyDescent="0.25">
      <c r="A1656" t="s">
        <v>295</v>
      </c>
      <c r="B1656">
        <v>5</v>
      </c>
      <c r="C1656">
        <v>4</v>
      </c>
      <c r="D1656">
        <v>0</v>
      </c>
      <c r="E1656" t="s">
        <v>308</v>
      </c>
      <c r="F1656">
        <v>951</v>
      </c>
      <c r="G1656">
        <v>6377958</v>
      </c>
      <c r="H1656">
        <v>0.83528265412207003</v>
      </c>
      <c r="I1656">
        <v>0.92690058479532167</v>
      </c>
      <c r="J1656">
        <v>657066.8518518518</v>
      </c>
      <c r="K1656">
        <v>1615</v>
      </c>
      <c r="L1656">
        <v>2</v>
      </c>
      <c r="M1656">
        <v>26</v>
      </c>
      <c r="N1656">
        <v>0.92007797270955161</v>
      </c>
      <c r="O1656">
        <v>392753.70370370371</v>
      </c>
      <c r="P1656">
        <v>1731</v>
      </c>
      <c r="Q1656">
        <v>2</v>
      </c>
      <c r="R1656">
        <v>27</v>
      </c>
      <c r="S1656">
        <v>11.866494569188058</v>
      </c>
      <c r="T1656">
        <v>0.98160535555619455</v>
      </c>
    </row>
    <row r="1657" spans="1:20" x14ac:dyDescent="0.25">
      <c r="A1657" t="s">
        <v>295</v>
      </c>
      <c r="B1657">
        <v>5</v>
      </c>
      <c r="C1657">
        <v>4</v>
      </c>
      <c r="D1657">
        <v>0</v>
      </c>
      <c r="E1657" t="s">
        <v>296</v>
      </c>
      <c r="F1657">
        <v>1121</v>
      </c>
      <c r="G1657">
        <v>7670718.3571428573</v>
      </c>
      <c r="H1657">
        <v>0.87030075277600971</v>
      </c>
      <c r="I1657">
        <v>0.91729323308270672</v>
      </c>
      <c r="J1657">
        <v>562344.92857142852</v>
      </c>
      <c r="K1657">
        <v>1851</v>
      </c>
      <c r="L1657">
        <v>2</v>
      </c>
      <c r="M1657">
        <v>28</v>
      </c>
      <c r="N1657">
        <v>0.92105263157894735</v>
      </c>
      <c r="O1657">
        <v>408127.64285714284</v>
      </c>
      <c r="P1657">
        <v>1975</v>
      </c>
      <c r="Q1657">
        <v>2</v>
      </c>
      <c r="R1657">
        <v>29</v>
      </c>
      <c r="S1657">
        <v>11.866001460209297</v>
      </c>
      <c r="T1657">
        <v>0.98327759596017694</v>
      </c>
    </row>
    <row r="1658" spans="1:20" x14ac:dyDescent="0.25">
      <c r="A1658" t="s">
        <v>295</v>
      </c>
      <c r="B1658">
        <v>5</v>
      </c>
      <c r="C1658">
        <v>4</v>
      </c>
      <c r="D1658">
        <v>0</v>
      </c>
      <c r="E1658" t="s">
        <v>309</v>
      </c>
      <c r="F1658">
        <v>1169</v>
      </c>
      <c r="G1658">
        <v>6632677.5714285718</v>
      </c>
      <c r="H1658">
        <v>0.8214285756860461</v>
      </c>
      <c r="I1658">
        <v>0.9229323308270676</v>
      </c>
      <c r="J1658">
        <v>574419.78571428568</v>
      </c>
      <c r="K1658">
        <v>1975</v>
      </c>
      <c r="L1658">
        <v>2</v>
      </c>
      <c r="M1658">
        <v>29</v>
      </c>
      <c r="N1658">
        <v>0.91729323308270672</v>
      </c>
      <c r="O1658">
        <v>320794.92857142858</v>
      </c>
      <c r="P1658">
        <v>2103</v>
      </c>
      <c r="Q1658">
        <v>2</v>
      </c>
      <c r="R1658">
        <v>30</v>
      </c>
      <c r="S1658">
        <v>11.864049807870032</v>
      </c>
      <c r="T1658">
        <v>0.96655518733538115</v>
      </c>
    </row>
    <row r="1659" spans="1:20" x14ac:dyDescent="0.25">
      <c r="A1659" t="s">
        <v>295</v>
      </c>
      <c r="B1659">
        <v>5</v>
      </c>
      <c r="C1659">
        <v>4</v>
      </c>
      <c r="D1659">
        <v>0</v>
      </c>
      <c r="E1659" t="s">
        <v>299</v>
      </c>
      <c r="F1659">
        <v>1315</v>
      </c>
      <c r="G1659">
        <v>5892871.666666667</v>
      </c>
      <c r="H1659">
        <v>0.90448343312298807</v>
      </c>
      <c r="I1659">
        <v>0.92495126705653019</v>
      </c>
      <c r="J1659">
        <v>659320.18518518517</v>
      </c>
      <c r="K1659">
        <v>2235</v>
      </c>
      <c r="L1659">
        <v>2</v>
      </c>
      <c r="M1659">
        <v>31</v>
      </c>
      <c r="N1659">
        <v>0.91520467836257313</v>
      </c>
      <c r="O1659">
        <v>383334.44444444444</v>
      </c>
      <c r="P1659">
        <v>2371</v>
      </c>
      <c r="Q1659">
        <v>2</v>
      </c>
      <c r="R1659">
        <v>32</v>
      </c>
      <c r="S1659">
        <v>11.859370445934131</v>
      </c>
      <c r="T1659">
        <v>0.96989967272831845</v>
      </c>
    </row>
    <row r="1660" spans="1:20" x14ac:dyDescent="0.25">
      <c r="A1660" t="s">
        <v>295</v>
      </c>
      <c r="B1660">
        <v>5</v>
      </c>
      <c r="C1660">
        <v>4</v>
      </c>
      <c r="D1660">
        <v>0</v>
      </c>
      <c r="E1660" t="s">
        <v>297</v>
      </c>
      <c r="F1660">
        <v>1435</v>
      </c>
      <c r="G1660">
        <v>5769123.2142857146</v>
      </c>
      <c r="H1660">
        <v>0.91165414026805336</v>
      </c>
      <c r="I1660">
        <v>0.92669172932330823</v>
      </c>
      <c r="J1660">
        <v>564870.57142857148</v>
      </c>
      <c r="K1660">
        <v>2371</v>
      </c>
      <c r="L1660">
        <v>2</v>
      </c>
      <c r="M1660">
        <v>32</v>
      </c>
      <c r="N1660">
        <v>0.9285714285714286</v>
      </c>
      <c r="O1660">
        <v>418793.5</v>
      </c>
      <c r="P1660">
        <v>2511</v>
      </c>
      <c r="Q1660">
        <v>2</v>
      </c>
      <c r="R1660">
        <v>33</v>
      </c>
      <c r="S1660">
        <v>11.856699029126213</v>
      </c>
      <c r="T1660">
        <v>0.95317725951855004</v>
      </c>
    </row>
    <row r="1661" spans="1:20" x14ac:dyDescent="0.25">
      <c r="A1661" t="s">
        <v>295</v>
      </c>
      <c r="B1661">
        <v>5</v>
      </c>
      <c r="C1661">
        <v>4</v>
      </c>
      <c r="D1661">
        <v>0</v>
      </c>
      <c r="E1661" t="s">
        <v>312</v>
      </c>
      <c r="F1661">
        <v>1459</v>
      </c>
      <c r="G1661">
        <v>5775831.6428571427</v>
      </c>
      <c r="H1661">
        <v>0.87030075277600971</v>
      </c>
      <c r="I1661">
        <v>0.9229323308270676</v>
      </c>
      <c r="J1661">
        <v>539087</v>
      </c>
      <c r="K1661">
        <v>2511</v>
      </c>
      <c r="L1661">
        <v>2</v>
      </c>
      <c r="M1661">
        <v>33</v>
      </c>
      <c r="N1661">
        <v>0.92105263157894735</v>
      </c>
      <c r="O1661">
        <v>399707.21428571426</v>
      </c>
      <c r="P1661">
        <v>2655</v>
      </c>
      <c r="Q1661">
        <v>2</v>
      </c>
      <c r="R1661">
        <v>34</v>
      </c>
      <c r="S1661">
        <v>11.854079751625109</v>
      </c>
      <c r="T1661">
        <v>0.98327759596017694</v>
      </c>
    </row>
    <row r="1662" spans="1:20" x14ac:dyDescent="0.25">
      <c r="A1662" t="s">
        <v>295</v>
      </c>
      <c r="B1662">
        <v>5</v>
      </c>
      <c r="C1662">
        <v>4</v>
      </c>
      <c r="D1662">
        <v>0</v>
      </c>
      <c r="E1662" t="s">
        <v>300</v>
      </c>
      <c r="F1662">
        <v>1677</v>
      </c>
      <c r="G1662">
        <v>6281031.0714285718</v>
      </c>
      <c r="H1662">
        <v>0.85902255347796852</v>
      </c>
      <c r="I1662">
        <v>0.9285714285714286</v>
      </c>
      <c r="J1662">
        <v>565083.42857142852</v>
      </c>
      <c r="K1662">
        <v>2803</v>
      </c>
      <c r="L1662">
        <v>2</v>
      </c>
      <c r="M1662">
        <v>35</v>
      </c>
      <c r="N1662">
        <v>0.92481203007518797</v>
      </c>
      <c r="O1662">
        <v>384816.14285714284</v>
      </c>
      <c r="P1662">
        <v>2955</v>
      </c>
      <c r="Q1662">
        <v>2</v>
      </c>
      <c r="R1662">
        <v>36</v>
      </c>
      <c r="S1662">
        <v>11.851851851851851</v>
      </c>
      <c r="T1662">
        <v>0.97324414895131039</v>
      </c>
    </row>
    <row r="1663" spans="1:20" x14ac:dyDescent="0.25">
      <c r="A1663" t="s">
        <v>295</v>
      </c>
      <c r="B1663">
        <v>5</v>
      </c>
      <c r="C1663">
        <v>4</v>
      </c>
      <c r="D1663">
        <v>0</v>
      </c>
      <c r="E1663" t="s">
        <v>298</v>
      </c>
      <c r="F1663">
        <v>1749</v>
      </c>
      <c r="G1663">
        <v>8179051.6428571427</v>
      </c>
      <c r="H1663">
        <v>0.82894736954144066</v>
      </c>
      <c r="I1663">
        <v>0.92481203007518797</v>
      </c>
      <c r="J1663">
        <v>554722.14285714284</v>
      </c>
      <c r="K1663">
        <v>2955</v>
      </c>
      <c r="L1663">
        <v>2</v>
      </c>
      <c r="M1663">
        <v>36</v>
      </c>
      <c r="N1663">
        <v>0.9229323308270676</v>
      </c>
      <c r="O1663">
        <v>476765.92857142858</v>
      </c>
      <c r="P1663">
        <v>3111</v>
      </c>
      <c r="Q1663">
        <v>2</v>
      </c>
      <c r="R1663">
        <v>37</v>
      </c>
      <c r="S1663">
        <v>11.850983431837999</v>
      </c>
      <c r="T1663">
        <v>0.94314381250968349</v>
      </c>
    </row>
    <row r="1664" spans="1:20" x14ac:dyDescent="0.25">
      <c r="A1664" t="s">
        <v>295</v>
      </c>
      <c r="B1664">
        <v>5</v>
      </c>
      <c r="C1664">
        <v>4</v>
      </c>
      <c r="D1664">
        <v>0</v>
      </c>
      <c r="E1664" t="s">
        <v>301</v>
      </c>
      <c r="F1664">
        <v>2039</v>
      </c>
      <c r="G1664">
        <v>7071186.8571428573</v>
      </c>
      <c r="H1664">
        <v>0.87781955088887897</v>
      </c>
      <c r="I1664">
        <v>0.9285714285714286</v>
      </c>
      <c r="J1664">
        <v>653765.14285714284</v>
      </c>
      <c r="K1664">
        <v>3435</v>
      </c>
      <c r="L1664">
        <v>2</v>
      </c>
      <c r="M1664">
        <v>39</v>
      </c>
      <c r="N1664">
        <v>0.92105263157894735</v>
      </c>
      <c r="O1664">
        <v>352804.42857142858</v>
      </c>
      <c r="P1664">
        <v>3603</v>
      </c>
      <c r="Q1664">
        <v>2</v>
      </c>
      <c r="R1664">
        <v>40</v>
      </c>
      <c r="S1664">
        <v>11.849390007745933</v>
      </c>
      <c r="T1664">
        <v>0.97993311515221226</v>
      </c>
    </row>
    <row r="1665" spans="1:20" x14ac:dyDescent="0.25">
      <c r="A1665" t="s">
        <v>295</v>
      </c>
      <c r="B1665">
        <v>5</v>
      </c>
      <c r="C1665">
        <v>5</v>
      </c>
      <c r="D1665">
        <v>0</v>
      </c>
      <c r="E1665" t="s">
        <v>302</v>
      </c>
      <c r="F1665">
        <v>279</v>
      </c>
      <c r="G1665">
        <v>6873780.9285714282</v>
      </c>
      <c r="H1665">
        <v>0.86654135584831238</v>
      </c>
      <c r="I1665">
        <v>0.9285714285714286</v>
      </c>
      <c r="J1665">
        <v>544593.21428571432</v>
      </c>
      <c r="K1665">
        <v>471</v>
      </c>
      <c r="L1665">
        <v>2</v>
      </c>
      <c r="M1665">
        <v>13</v>
      </c>
      <c r="N1665">
        <v>0.92669172932330823</v>
      </c>
      <c r="O1665">
        <v>306582.5</v>
      </c>
      <c r="P1665">
        <v>535</v>
      </c>
      <c r="Q1665">
        <v>2</v>
      </c>
      <c r="R1665">
        <v>14</v>
      </c>
      <c r="S1665">
        <v>11.847798742138364</v>
      </c>
      <c r="T1665">
        <v>0.96655519192035377</v>
      </c>
    </row>
    <row r="1666" spans="1:20" x14ac:dyDescent="0.25">
      <c r="A1666" t="s">
        <v>295</v>
      </c>
      <c r="B1666">
        <v>5</v>
      </c>
      <c r="C1666">
        <v>5</v>
      </c>
      <c r="D1666">
        <v>0</v>
      </c>
      <c r="E1666" t="s">
        <v>306</v>
      </c>
      <c r="F1666">
        <v>463</v>
      </c>
      <c r="G1666">
        <v>3542231.3571428573</v>
      </c>
      <c r="H1666">
        <v>0.95112782716751099</v>
      </c>
      <c r="I1666">
        <v>0.92669172932330823</v>
      </c>
      <c r="J1666">
        <v>472065.21428571426</v>
      </c>
      <c r="K1666">
        <v>831</v>
      </c>
      <c r="L1666">
        <v>2</v>
      </c>
      <c r="M1666">
        <v>18</v>
      </c>
      <c r="N1666">
        <v>0.92105263157894735</v>
      </c>
      <c r="O1666">
        <v>398827.71428571426</v>
      </c>
      <c r="P1666">
        <v>915</v>
      </c>
      <c r="Q1666">
        <v>2</v>
      </c>
      <c r="R1666">
        <v>19</v>
      </c>
      <c r="S1666">
        <v>11.844710887642622</v>
      </c>
      <c r="T1666">
        <v>0.98327759596017694</v>
      </c>
    </row>
    <row r="1667" spans="1:20" x14ac:dyDescent="0.25">
      <c r="A1667" t="s">
        <v>295</v>
      </c>
      <c r="B1667">
        <v>5</v>
      </c>
      <c r="C1667">
        <v>5</v>
      </c>
      <c r="D1667">
        <v>0</v>
      </c>
      <c r="E1667" t="s">
        <v>303</v>
      </c>
      <c r="F1667">
        <v>583</v>
      </c>
      <c r="G1667">
        <v>4464765.8571428573</v>
      </c>
      <c r="H1667">
        <v>0.93233082975660053</v>
      </c>
      <c r="I1667">
        <v>0.92105263157894735</v>
      </c>
      <c r="J1667">
        <v>662784.07142857148</v>
      </c>
      <c r="K1667">
        <v>1003</v>
      </c>
      <c r="L1667">
        <v>2</v>
      </c>
      <c r="M1667">
        <v>20</v>
      </c>
      <c r="N1667">
        <v>0.93233082706766912</v>
      </c>
      <c r="O1667">
        <v>494040.07142857142</v>
      </c>
      <c r="P1667">
        <v>1095</v>
      </c>
      <c r="Q1667">
        <v>2</v>
      </c>
      <c r="R1667">
        <v>21</v>
      </c>
      <c r="S1667">
        <v>11.842641801140207</v>
      </c>
      <c r="T1667">
        <v>0.98662207676814151</v>
      </c>
    </row>
    <row r="1668" spans="1:20" x14ac:dyDescent="0.25">
      <c r="A1668" t="s">
        <v>295</v>
      </c>
      <c r="B1668">
        <v>5</v>
      </c>
      <c r="C1668">
        <v>5</v>
      </c>
      <c r="D1668">
        <v>0</v>
      </c>
      <c r="E1668" t="s">
        <v>310</v>
      </c>
      <c r="F1668">
        <v>647</v>
      </c>
      <c r="G1668">
        <v>6775180.0714285718</v>
      </c>
      <c r="H1668">
        <v>0.85150375962257385</v>
      </c>
      <c r="I1668">
        <v>0.92105263157894735</v>
      </c>
      <c r="J1668">
        <v>542240.28571428568</v>
      </c>
      <c r="K1668">
        <v>1095</v>
      </c>
      <c r="L1668">
        <v>2</v>
      </c>
      <c r="M1668">
        <v>21</v>
      </c>
      <c r="N1668">
        <v>0.9135338345864662</v>
      </c>
      <c r="O1668">
        <v>606198</v>
      </c>
      <c r="P1668">
        <v>1191</v>
      </c>
      <c r="Q1668">
        <v>2</v>
      </c>
      <c r="R1668">
        <v>22</v>
      </c>
      <c r="S1668">
        <v>11.840768636539204</v>
      </c>
      <c r="T1668">
        <v>0.96655519192035377</v>
      </c>
    </row>
    <row r="1669" spans="1:20" x14ac:dyDescent="0.25">
      <c r="A1669" t="s">
        <v>295</v>
      </c>
      <c r="B1669">
        <v>5</v>
      </c>
      <c r="C1669">
        <v>5</v>
      </c>
      <c r="D1669">
        <v>0</v>
      </c>
      <c r="E1669" t="s">
        <v>304</v>
      </c>
      <c r="F1669">
        <v>767</v>
      </c>
      <c r="G1669">
        <v>4031583</v>
      </c>
      <c r="H1669">
        <v>0.90601504274777001</v>
      </c>
      <c r="I1669">
        <v>0.93609022556390975</v>
      </c>
      <c r="J1669">
        <v>529807.5</v>
      </c>
      <c r="K1669">
        <v>1395</v>
      </c>
      <c r="L1669">
        <v>2</v>
      </c>
      <c r="M1669">
        <v>24</v>
      </c>
      <c r="N1669">
        <v>0.91917293233082709</v>
      </c>
      <c r="O1669">
        <v>527919.57142857148</v>
      </c>
      <c r="P1669">
        <v>1503</v>
      </c>
      <c r="Q1669">
        <v>2</v>
      </c>
      <c r="R1669">
        <v>25</v>
      </c>
      <c r="S1669">
        <v>11.838029528128921</v>
      </c>
      <c r="T1669">
        <v>0.97993311056723964</v>
      </c>
    </row>
    <row r="1670" spans="1:20" x14ac:dyDescent="0.25">
      <c r="A1670" t="s">
        <v>295</v>
      </c>
      <c r="B1670">
        <v>5</v>
      </c>
      <c r="C1670">
        <v>5</v>
      </c>
      <c r="D1670">
        <v>0</v>
      </c>
      <c r="E1670" t="s">
        <v>313</v>
      </c>
      <c r="F1670">
        <v>831</v>
      </c>
      <c r="G1670">
        <v>7132959.3703703703</v>
      </c>
      <c r="H1670">
        <v>0.74366472054410859</v>
      </c>
      <c r="I1670">
        <v>0.93079922027290452</v>
      </c>
      <c r="J1670">
        <v>552600.8518518518</v>
      </c>
      <c r="K1670">
        <v>1503</v>
      </c>
      <c r="L1670">
        <v>2</v>
      </c>
      <c r="M1670">
        <v>25</v>
      </c>
      <c r="N1670">
        <v>0.9171539961013645</v>
      </c>
      <c r="O1670">
        <v>672789.25925925921</v>
      </c>
      <c r="P1670">
        <v>1615</v>
      </c>
      <c r="Q1670">
        <v>2</v>
      </c>
      <c r="R1670">
        <v>26</v>
      </c>
      <c r="S1670">
        <v>11.834819062304245</v>
      </c>
      <c r="T1670">
        <v>0.93478261278225827</v>
      </c>
    </row>
    <row r="1671" spans="1:20" x14ac:dyDescent="0.25">
      <c r="A1671" t="s">
        <v>295</v>
      </c>
      <c r="B1671">
        <v>5</v>
      </c>
      <c r="C1671">
        <v>5</v>
      </c>
      <c r="D1671">
        <v>0</v>
      </c>
      <c r="E1671" t="s">
        <v>305</v>
      </c>
      <c r="F1671">
        <v>951</v>
      </c>
      <c r="G1671">
        <v>5104246.5</v>
      </c>
      <c r="H1671">
        <v>0.81954887722219738</v>
      </c>
      <c r="I1671">
        <v>0.92481203007518797</v>
      </c>
      <c r="J1671">
        <v>662578</v>
      </c>
      <c r="K1671">
        <v>1731</v>
      </c>
      <c r="L1671">
        <v>2</v>
      </c>
      <c r="M1671">
        <v>27</v>
      </c>
      <c r="N1671">
        <v>0.92481203007518797</v>
      </c>
      <c r="O1671">
        <v>703716.71428571432</v>
      </c>
      <c r="P1671">
        <v>1851</v>
      </c>
      <c r="Q1671">
        <v>2</v>
      </c>
      <c r="R1671">
        <v>28</v>
      </c>
      <c r="S1671">
        <v>11.832811672364809</v>
      </c>
      <c r="T1671">
        <v>0.98327759596017694</v>
      </c>
    </row>
    <row r="1672" spans="1:20" x14ac:dyDescent="0.25">
      <c r="A1672" t="s">
        <v>295</v>
      </c>
      <c r="B1672">
        <v>5</v>
      </c>
      <c r="C1672">
        <v>5</v>
      </c>
      <c r="D1672">
        <v>0</v>
      </c>
      <c r="E1672" t="s">
        <v>308</v>
      </c>
      <c r="F1672">
        <v>1029</v>
      </c>
      <c r="G1672">
        <v>7307333.6296296297</v>
      </c>
      <c r="H1672">
        <v>0.73196881126474456</v>
      </c>
      <c r="I1672">
        <v>0.92495126705653019</v>
      </c>
      <c r="J1672">
        <v>796774.4444444445</v>
      </c>
      <c r="K1672">
        <v>1851</v>
      </c>
      <c r="L1672">
        <v>2</v>
      </c>
      <c r="M1672">
        <v>28</v>
      </c>
      <c r="N1672">
        <v>0.92202729044834308</v>
      </c>
      <c r="O1672">
        <v>539296.5555555555</v>
      </c>
      <c r="P1672">
        <v>1975</v>
      </c>
      <c r="Q1672">
        <v>2</v>
      </c>
      <c r="R1672">
        <v>29</v>
      </c>
      <c r="S1672">
        <v>11.829037222275657</v>
      </c>
      <c r="T1672">
        <v>0.92809364658135629</v>
      </c>
    </row>
    <row r="1673" spans="1:20" x14ac:dyDescent="0.25">
      <c r="A1673" t="s">
        <v>295</v>
      </c>
      <c r="B1673">
        <v>5</v>
      </c>
      <c r="C1673">
        <v>5</v>
      </c>
      <c r="D1673">
        <v>0</v>
      </c>
      <c r="E1673" t="s">
        <v>296</v>
      </c>
      <c r="F1673">
        <v>1213</v>
      </c>
      <c r="G1673">
        <v>8090045.7142857146</v>
      </c>
      <c r="H1673">
        <v>0.77631579126630512</v>
      </c>
      <c r="I1673">
        <v>0.92105263157894735</v>
      </c>
      <c r="J1673">
        <v>653996.35714285716</v>
      </c>
      <c r="K1673">
        <v>2103</v>
      </c>
      <c r="L1673">
        <v>2</v>
      </c>
      <c r="M1673">
        <v>30</v>
      </c>
      <c r="N1673">
        <v>0.9135338345864662</v>
      </c>
      <c r="O1673">
        <v>405695.14285714284</v>
      </c>
      <c r="P1673">
        <v>2235</v>
      </c>
      <c r="Q1673">
        <v>2</v>
      </c>
      <c r="R1673">
        <v>31</v>
      </c>
      <c r="S1673">
        <v>11.827758554402154</v>
      </c>
      <c r="T1673">
        <v>0.94314381250968349</v>
      </c>
    </row>
    <row r="1674" spans="1:20" x14ac:dyDescent="0.25">
      <c r="A1674" t="s">
        <v>295</v>
      </c>
      <c r="B1674">
        <v>5</v>
      </c>
      <c r="C1674">
        <v>5</v>
      </c>
      <c r="D1674">
        <v>0</v>
      </c>
      <c r="E1674" t="s">
        <v>309</v>
      </c>
      <c r="F1674">
        <v>1265</v>
      </c>
      <c r="G1674">
        <v>7072754.5</v>
      </c>
      <c r="H1674">
        <v>0.76315789137567791</v>
      </c>
      <c r="I1674">
        <v>0.91917293233082709</v>
      </c>
      <c r="J1674">
        <v>539896.71428571432</v>
      </c>
      <c r="K1674">
        <v>2235</v>
      </c>
      <c r="L1674">
        <v>2</v>
      </c>
      <c r="M1674">
        <v>31</v>
      </c>
      <c r="N1674">
        <v>0.92669172932330823</v>
      </c>
      <c r="O1674">
        <v>504240.42857142858</v>
      </c>
      <c r="P1674">
        <v>2371</v>
      </c>
      <c r="Q1674">
        <v>2</v>
      </c>
      <c r="R1674">
        <v>32</v>
      </c>
      <c r="S1674">
        <v>11.825713187974259</v>
      </c>
      <c r="T1674">
        <v>0.93311036550081694</v>
      </c>
    </row>
    <row r="1675" spans="1:20" x14ac:dyDescent="0.25">
      <c r="A1675" t="s">
        <v>295</v>
      </c>
      <c r="B1675">
        <v>5</v>
      </c>
      <c r="C1675">
        <v>5</v>
      </c>
      <c r="D1675">
        <v>0</v>
      </c>
      <c r="E1675" t="s">
        <v>299</v>
      </c>
      <c r="F1675">
        <v>1423</v>
      </c>
      <c r="G1675">
        <v>7783392.666666667</v>
      </c>
      <c r="H1675">
        <v>0.73586745118653329</v>
      </c>
      <c r="I1675">
        <v>0.92105263157894735</v>
      </c>
      <c r="J1675">
        <v>729550.4444444445</v>
      </c>
      <c r="K1675">
        <v>2511</v>
      </c>
      <c r="L1675">
        <v>2</v>
      </c>
      <c r="M1675">
        <v>33</v>
      </c>
      <c r="N1675">
        <v>0.93177387914230014</v>
      </c>
      <c r="O1675">
        <v>488761.62962962961</v>
      </c>
      <c r="P1675">
        <v>2655</v>
      </c>
      <c r="Q1675">
        <v>2</v>
      </c>
      <c r="R1675">
        <v>34</v>
      </c>
      <c r="S1675">
        <v>11.822773274497578</v>
      </c>
      <c r="T1675">
        <v>0.94983277871058536</v>
      </c>
    </row>
    <row r="1676" spans="1:20" x14ac:dyDescent="0.25">
      <c r="A1676" t="s">
        <v>295</v>
      </c>
      <c r="B1676">
        <v>5</v>
      </c>
      <c r="C1676">
        <v>5</v>
      </c>
      <c r="D1676">
        <v>0</v>
      </c>
      <c r="E1676" t="s">
        <v>312</v>
      </c>
      <c r="F1676">
        <v>1579</v>
      </c>
      <c r="G1676">
        <v>7278287.5</v>
      </c>
      <c r="H1676">
        <v>0.81203007698059082</v>
      </c>
      <c r="I1676">
        <v>0.93233082706766912</v>
      </c>
      <c r="J1676">
        <v>535190.14285714284</v>
      </c>
      <c r="K1676">
        <v>2803</v>
      </c>
      <c r="L1676">
        <v>2</v>
      </c>
      <c r="M1676">
        <v>35</v>
      </c>
      <c r="N1676">
        <v>0.92481203007518797</v>
      </c>
      <c r="O1676">
        <v>329926.14285714284</v>
      </c>
      <c r="P1676">
        <v>2955</v>
      </c>
      <c r="Q1676">
        <v>2</v>
      </c>
      <c r="R1676">
        <v>36</v>
      </c>
      <c r="S1676">
        <v>11.820831136461679</v>
      </c>
      <c r="T1676">
        <v>0.98327759596017694</v>
      </c>
    </row>
    <row r="1677" spans="1:20" x14ac:dyDescent="0.25">
      <c r="A1677" t="s">
        <v>295</v>
      </c>
      <c r="B1677">
        <v>5</v>
      </c>
      <c r="C1677">
        <v>5</v>
      </c>
      <c r="D1677">
        <v>0</v>
      </c>
      <c r="E1677" t="s">
        <v>300</v>
      </c>
      <c r="F1677">
        <v>1815</v>
      </c>
      <c r="G1677">
        <v>7128085.6296296297</v>
      </c>
      <c r="H1677">
        <v>0.83430799731501826</v>
      </c>
      <c r="I1677">
        <v>0.92592592592592593</v>
      </c>
      <c r="J1677">
        <v>769617.74074074079</v>
      </c>
      <c r="K1677">
        <v>3271</v>
      </c>
      <c r="L1677">
        <v>2</v>
      </c>
      <c r="M1677">
        <v>38</v>
      </c>
      <c r="N1677">
        <v>0.92007797270955161</v>
      </c>
      <c r="O1677">
        <v>398502.74074074073</v>
      </c>
      <c r="P1677">
        <v>3435</v>
      </c>
      <c r="Q1677">
        <v>2</v>
      </c>
      <c r="R1677">
        <v>39</v>
      </c>
      <c r="S1677">
        <v>11.816467209191</v>
      </c>
      <c r="T1677">
        <v>0.97491638935529268</v>
      </c>
    </row>
    <row r="1678" spans="1:20" x14ac:dyDescent="0.25">
      <c r="A1678" t="s">
        <v>295</v>
      </c>
      <c r="B1678">
        <v>5</v>
      </c>
      <c r="C1678">
        <v>5</v>
      </c>
      <c r="D1678">
        <v>0</v>
      </c>
      <c r="E1678" t="s">
        <v>298</v>
      </c>
      <c r="F1678">
        <v>1893</v>
      </c>
      <c r="G1678">
        <v>8268035.3571428573</v>
      </c>
      <c r="H1678">
        <v>0.8082706715379443</v>
      </c>
      <c r="I1678">
        <v>0.91917293233082709</v>
      </c>
      <c r="J1678">
        <v>742172.78571428568</v>
      </c>
      <c r="K1678">
        <v>3435</v>
      </c>
      <c r="L1678">
        <v>2</v>
      </c>
      <c r="M1678">
        <v>39</v>
      </c>
      <c r="N1678">
        <v>0.91917293233082709</v>
      </c>
      <c r="O1678">
        <v>375944.5</v>
      </c>
      <c r="P1678">
        <v>3603</v>
      </c>
      <c r="Q1678">
        <v>2</v>
      </c>
      <c r="R1678">
        <v>40</v>
      </c>
      <c r="S1678">
        <v>11.815059318790663</v>
      </c>
      <c r="T1678">
        <v>0.96321071111238921</v>
      </c>
    </row>
    <row r="1679" spans="1:20" x14ac:dyDescent="0.25">
      <c r="A1679" t="s">
        <v>295</v>
      </c>
      <c r="B1679">
        <v>5</v>
      </c>
      <c r="C1679">
        <v>5</v>
      </c>
      <c r="D1679">
        <v>0</v>
      </c>
      <c r="E1679" t="s">
        <v>301</v>
      </c>
      <c r="F1679">
        <v>2207</v>
      </c>
      <c r="G1679">
        <v>6730601.3571428573</v>
      </c>
      <c r="H1679">
        <v>0.85902255560670582</v>
      </c>
      <c r="I1679">
        <v>0.93045112781954886</v>
      </c>
      <c r="J1679">
        <v>593021.28571428568</v>
      </c>
      <c r="K1679">
        <v>3951</v>
      </c>
      <c r="L1679">
        <v>2</v>
      </c>
      <c r="M1679">
        <v>42</v>
      </c>
      <c r="N1679">
        <v>0.93984962406015038</v>
      </c>
      <c r="O1679">
        <v>409833.78571428574</v>
      </c>
      <c r="P1679">
        <v>4131</v>
      </c>
      <c r="Q1679">
        <v>2</v>
      </c>
      <c r="R1679">
        <v>43</v>
      </c>
      <c r="S1679">
        <v>11.812553781432259</v>
      </c>
      <c r="T1679">
        <v>0.9765886343442477</v>
      </c>
    </row>
    <row r="1680" spans="1:20" x14ac:dyDescent="0.25">
      <c r="A1680" t="s">
        <v>295</v>
      </c>
      <c r="B1680">
        <v>9</v>
      </c>
      <c r="C1680">
        <v>2</v>
      </c>
      <c r="D1680">
        <v>0</v>
      </c>
      <c r="E1680" t="s">
        <v>302</v>
      </c>
      <c r="F1680">
        <v>300</v>
      </c>
      <c r="G1680">
        <v>7075078.5</v>
      </c>
      <c r="H1680">
        <v>0.69172931781836922</v>
      </c>
      <c r="I1680">
        <v>0.9229323308270676</v>
      </c>
      <c r="J1680">
        <v>755987</v>
      </c>
      <c r="K1680">
        <v>355</v>
      </c>
      <c r="L1680">
        <v>2</v>
      </c>
      <c r="M1680">
        <v>11</v>
      </c>
      <c r="N1680">
        <v>0.93421052631578949</v>
      </c>
      <c r="O1680">
        <v>554268.5</v>
      </c>
      <c r="P1680">
        <v>411</v>
      </c>
      <c r="Q1680">
        <v>2</v>
      </c>
      <c r="R1680">
        <v>12</v>
      </c>
      <c r="S1680">
        <v>11.810242690617237</v>
      </c>
      <c r="T1680">
        <v>0.93311037008578956</v>
      </c>
    </row>
    <row r="1681" spans="1:20" x14ac:dyDescent="0.25">
      <c r="A1681" t="s">
        <v>295</v>
      </c>
      <c r="B1681">
        <v>9</v>
      </c>
      <c r="C1681">
        <v>2</v>
      </c>
      <c r="D1681">
        <v>0</v>
      </c>
      <c r="E1681" t="s">
        <v>306</v>
      </c>
      <c r="F1681">
        <v>498</v>
      </c>
      <c r="G1681">
        <v>2971516.7142857141</v>
      </c>
      <c r="H1681">
        <v>0.92293233530861996</v>
      </c>
      <c r="I1681">
        <v>0.90413533834586468</v>
      </c>
      <c r="J1681">
        <v>458643.57142857142</v>
      </c>
      <c r="K1681">
        <v>603</v>
      </c>
      <c r="L1681">
        <v>2</v>
      </c>
      <c r="M1681">
        <v>15</v>
      </c>
      <c r="N1681">
        <v>0.92481203007518797</v>
      </c>
      <c r="O1681">
        <v>549196.92857142852</v>
      </c>
      <c r="P1681">
        <v>675</v>
      </c>
      <c r="Q1681">
        <v>2</v>
      </c>
      <c r="R1681">
        <v>16</v>
      </c>
      <c r="S1681">
        <v>11.808555332760431</v>
      </c>
      <c r="T1681">
        <v>0.94314381709465611</v>
      </c>
    </row>
    <row r="1682" spans="1:20" x14ac:dyDescent="0.25">
      <c r="A1682" t="s">
        <v>295</v>
      </c>
      <c r="B1682">
        <v>9</v>
      </c>
      <c r="C1682">
        <v>2</v>
      </c>
      <c r="D1682">
        <v>0</v>
      </c>
      <c r="E1682" t="s">
        <v>303</v>
      </c>
      <c r="F1682">
        <v>627</v>
      </c>
      <c r="G1682">
        <v>3854726.6428571427</v>
      </c>
      <c r="H1682">
        <v>0.95112782716751099</v>
      </c>
      <c r="I1682">
        <v>0.93045112781954886</v>
      </c>
      <c r="J1682">
        <v>847431.14285714284</v>
      </c>
      <c r="K1682">
        <v>831</v>
      </c>
      <c r="L1682">
        <v>2</v>
      </c>
      <c r="M1682">
        <v>18</v>
      </c>
      <c r="N1682">
        <v>0.9229323308270676</v>
      </c>
      <c r="O1682">
        <v>1053018.5</v>
      </c>
      <c r="P1682">
        <v>915</v>
      </c>
      <c r="Q1682">
        <v>2</v>
      </c>
      <c r="R1682">
        <v>19</v>
      </c>
      <c r="S1682">
        <v>11.807347328244274</v>
      </c>
      <c r="T1682">
        <v>0.94983277871058536</v>
      </c>
    </row>
    <row r="1683" spans="1:20" x14ac:dyDescent="0.25">
      <c r="A1683" t="s">
        <v>295</v>
      </c>
      <c r="B1683">
        <v>9</v>
      </c>
      <c r="C1683">
        <v>2</v>
      </c>
      <c r="D1683">
        <v>0</v>
      </c>
      <c r="E1683" t="s">
        <v>310</v>
      </c>
      <c r="F1683">
        <v>696</v>
      </c>
      <c r="G1683">
        <v>5027743.2142857146</v>
      </c>
      <c r="H1683">
        <v>0.92481203590120586</v>
      </c>
      <c r="I1683">
        <v>0.91541353383458646</v>
      </c>
      <c r="J1683">
        <v>911451</v>
      </c>
      <c r="K1683">
        <v>915</v>
      </c>
      <c r="L1683">
        <v>2</v>
      </c>
      <c r="M1683">
        <v>19</v>
      </c>
      <c r="N1683">
        <v>0.93984962406015038</v>
      </c>
      <c r="O1683">
        <v>879630.28571428568</v>
      </c>
      <c r="P1683">
        <v>1003</v>
      </c>
      <c r="Q1683">
        <v>2</v>
      </c>
      <c r="R1683">
        <v>20</v>
      </c>
      <c r="S1683">
        <v>11.805235052922667</v>
      </c>
      <c r="T1683">
        <v>0.97324415353628302</v>
      </c>
    </row>
    <row r="1684" spans="1:20" x14ac:dyDescent="0.25">
      <c r="A1684" t="s">
        <v>295</v>
      </c>
      <c r="B1684">
        <v>9</v>
      </c>
      <c r="C1684">
        <v>2</v>
      </c>
      <c r="D1684">
        <v>0</v>
      </c>
      <c r="E1684" t="s">
        <v>304</v>
      </c>
      <c r="F1684">
        <v>825</v>
      </c>
      <c r="G1684">
        <v>3926538.5</v>
      </c>
      <c r="H1684">
        <v>0.89661654404231483</v>
      </c>
      <c r="I1684">
        <v>0.93045112781954886</v>
      </c>
      <c r="J1684">
        <v>765507.64285714284</v>
      </c>
      <c r="K1684">
        <v>1095</v>
      </c>
      <c r="L1684">
        <v>2</v>
      </c>
      <c r="M1684">
        <v>21</v>
      </c>
      <c r="N1684">
        <v>0.93233082706766912</v>
      </c>
      <c r="O1684">
        <v>720630.71428571432</v>
      </c>
      <c r="P1684">
        <v>1191</v>
      </c>
      <c r="Q1684">
        <v>2</v>
      </c>
      <c r="R1684">
        <v>22</v>
      </c>
      <c r="S1684">
        <v>11.804078521059653</v>
      </c>
      <c r="T1684">
        <v>0.96989967272831845</v>
      </c>
    </row>
    <row r="1685" spans="1:20" x14ac:dyDescent="0.25">
      <c r="A1685" t="s">
        <v>295</v>
      </c>
      <c r="B1685">
        <v>9</v>
      </c>
      <c r="C1685">
        <v>2</v>
      </c>
      <c r="D1685">
        <v>0</v>
      </c>
      <c r="E1685" t="s">
        <v>313</v>
      </c>
      <c r="F1685">
        <v>894</v>
      </c>
      <c r="G1685">
        <v>6062734.111111111</v>
      </c>
      <c r="H1685">
        <v>0.90545808827435526</v>
      </c>
      <c r="I1685">
        <v>0.9307992202729044</v>
      </c>
      <c r="J1685">
        <v>730132.4444444445</v>
      </c>
      <c r="K1685">
        <v>1191</v>
      </c>
      <c r="L1685">
        <v>2</v>
      </c>
      <c r="M1685">
        <v>22</v>
      </c>
      <c r="N1685">
        <v>0.92300194931773882</v>
      </c>
      <c r="O1685">
        <v>689187.4444444445</v>
      </c>
      <c r="P1685">
        <v>1291</v>
      </c>
      <c r="Q1685">
        <v>2</v>
      </c>
      <c r="R1685">
        <v>23</v>
      </c>
      <c r="S1685">
        <v>11.802569593147751</v>
      </c>
      <c r="T1685">
        <v>0.93812709588270926</v>
      </c>
    </row>
    <row r="1686" spans="1:20" x14ac:dyDescent="0.25">
      <c r="A1686" t="s">
        <v>295</v>
      </c>
      <c r="B1686">
        <v>9</v>
      </c>
      <c r="C1686">
        <v>2</v>
      </c>
      <c r="D1686">
        <v>0</v>
      </c>
      <c r="E1686" t="s">
        <v>305</v>
      </c>
      <c r="F1686">
        <v>1023</v>
      </c>
      <c r="G1686">
        <v>3967559</v>
      </c>
      <c r="H1686">
        <v>0.94548871261732914</v>
      </c>
      <c r="I1686">
        <v>0.92481203007518797</v>
      </c>
      <c r="J1686">
        <v>631721.28571428568</v>
      </c>
      <c r="K1686">
        <v>1291</v>
      </c>
      <c r="L1686">
        <v>2</v>
      </c>
      <c r="M1686">
        <v>23</v>
      </c>
      <c r="N1686">
        <v>0.91541353383458646</v>
      </c>
      <c r="O1686">
        <v>754269.35714285716</v>
      </c>
      <c r="P1686">
        <v>1395</v>
      </c>
      <c r="Q1686">
        <v>2</v>
      </c>
      <c r="R1686">
        <v>24</v>
      </c>
      <c r="S1686">
        <v>11.801417090684293</v>
      </c>
      <c r="T1686">
        <v>0.92307692766189575</v>
      </c>
    </row>
    <row r="1687" spans="1:20" x14ac:dyDescent="0.25">
      <c r="A1687" t="s">
        <v>295</v>
      </c>
      <c r="B1687">
        <v>9</v>
      </c>
      <c r="C1687">
        <v>2</v>
      </c>
      <c r="D1687">
        <v>0</v>
      </c>
      <c r="E1687" t="s">
        <v>308</v>
      </c>
      <c r="F1687">
        <v>1107</v>
      </c>
      <c r="G1687">
        <v>5032446.9285714282</v>
      </c>
      <c r="H1687">
        <v>0.9285714243139539</v>
      </c>
      <c r="I1687">
        <v>0.92481203007518797</v>
      </c>
      <c r="J1687">
        <v>734880.5</v>
      </c>
      <c r="K1687">
        <v>1395</v>
      </c>
      <c r="L1687">
        <v>2</v>
      </c>
      <c r="M1687">
        <v>24</v>
      </c>
      <c r="N1687">
        <v>0.92481203007518797</v>
      </c>
      <c r="O1687">
        <v>850464.14285714284</v>
      </c>
      <c r="P1687">
        <v>1503</v>
      </c>
      <c r="Q1687">
        <v>2</v>
      </c>
      <c r="R1687">
        <v>25</v>
      </c>
      <c r="S1687">
        <v>11.799220643444375</v>
      </c>
      <c r="T1687">
        <v>0.9765886343442477</v>
      </c>
    </row>
    <row r="1688" spans="1:20" x14ac:dyDescent="0.25">
      <c r="A1688" t="s">
        <v>295</v>
      </c>
      <c r="B1688">
        <v>9</v>
      </c>
      <c r="C1688">
        <v>2</v>
      </c>
      <c r="D1688">
        <v>0</v>
      </c>
      <c r="E1688" t="s">
        <v>309</v>
      </c>
      <c r="F1688">
        <v>1361</v>
      </c>
      <c r="G1688">
        <v>5501072.4814814813</v>
      </c>
      <c r="H1688">
        <v>0.90838207138909233</v>
      </c>
      <c r="I1688">
        <v>0.92495126705653019</v>
      </c>
      <c r="J1688">
        <v>735860.4444444445</v>
      </c>
      <c r="K1688">
        <v>1731</v>
      </c>
      <c r="L1688">
        <v>2</v>
      </c>
      <c r="M1688">
        <v>27</v>
      </c>
      <c r="N1688">
        <v>0.92397660818713445</v>
      </c>
      <c r="O1688">
        <v>810966.8518518518</v>
      </c>
      <c r="P1688">
        <v>1851</v>
      </c>
      <c r="Q1688">
        <v>2</v>
      </c>
      <c r="R1688">
        <v>28</v>
      </c>
      <c r="S1688">
        <v>11.795823445657332</v>
      </c>
      <c r="T1688">
        <v>0.93812709588270926</v>
      </c>
    </row>
    <row r="1689" spans="1:20" x14ac:dyDescent="0.25">
      <c r="A1689" t="s">
        <v>295</v>
      </c>
      <c r="B1689">
        <v>9</v>
      </c>
      <c r="C1689">
        <v>2</v>
      </c>
      <c r="D1689">
        <v>0</v>
      </c>
      <c r="E1689" t="s">
        <v>311</v>
      </c>
      <c r="F1689">
        <v>1389</v>
      </c>
      <c r="G1689">
        <v>4919116.777777778</v>
      </c>
      <c r="H1689">
        <v>0.94346979370823614</v>
      </c>
      <c r="I1689">
        <v>0.92884990253411304</v>
      </c>
      <c r="J1689">
        <v>998445.62962962966</v>
      </c>
      <c r="K1689">
        <v>1851</v>
      </c>
      <c r="L1689">
        <v>2</v>
      </c>
      <c r="M1689">
        <v>28</v>
      </c>
      <c r="N1689">
        <v>0.92884990253411304</v>
      </c>
      <c r="O1689">
        <v>808487.8518518518</v>
      </c>
      <c r="P1689">
        <v>1975</v>
      </c>
      <c r="Q1689">
        <v>2</v>
      </c>
      <c r="R1689">
        <v>29</v>
      </c>
      <c r="S1689">
        <v>11.791107740437029</v>
      </c>
      <c r="T1689">
        <v>0.97826087474822998</v>
      </c>
    </row>
    <row r="1690" spans="1:20" x14ac:dyDescent="0.25">
      <c r="A1690" t="s">
        <v>295</v>
      </c>
      <c r="B1690">
        <v>9</v>
      </c>
      <c r="C1690">
        <v>2</v>
      </c>
      <c r="D1690">
        <v>0</v>
      </c>
      <c r="E1690" t="s">
        <v>299</v>
      </c>
      <c r="F1690">
        <v>1531</v>
      </c>
      <c r="G1690">
        <v>5287076.1428571427</v>
      </c>
      <c r="H1690">
        <v>0.9172932420458112</v>
      </c>
      <c r="I1690">
        <v>0.9229323308270676</v>
      </c>
      <c r="J1690">
        <v>860896.57142857148</v>
      </c>
      <c r="K1690">
        <v>1975</v>
      </c>
      <c r="L1690">
        <v>2</v>
      </c>
      <c r="M1690">
        <v>29</v>
      </c>
      <c r="N1690">
        <v>0.91917293233082709</v>
      </c>
      <c r="O1690">
        <v>555268.5</v>
      </c>
      <c r="P1690">
        <v>2103</v>
      </c>
      <c r="Q1690">
        <v>2</v>
      </c>
      <c r="R1690">
        <v>30</v>
      </c>
      <c r="S1690">
        <v>11.789019942210222</v>
      </c>
      <c r="T1690">
        <v>0.97993311515221226</v>
      </c>
    </row>
    <row r="1691" spans="1:20" x14ac:dyDescent="0.25">
      <c r="A1691" t="s">
        <v>295</v>
      </c>
      <c r="B1691">
        <v>9</v>
      </c>
      <c r="C1691">
        <v>2</v>
      </c>
      <c r="D1691">
        <v>0</v>
      </c>
      <c r="E1691" t="s">
        <v>312</v>
      </c>
      <c r="F1691">
        <v>1699</v>
      </c>
      <c r="G1691">
        <v>6159145.4285714282</v>
      </c>
      <c r="H1691">
        <v>0.87218044485364643</v>
      </c>
      <c r="I1691">
        <v>0.9285714285714286</v>
      </c>
      <c r="J1691">
        <v>873558.42857142852</v>
      </c>
      <c r="K1691">
        <v>2235</v>
      </c>
      <c r="L1691">
        <v>2</v>
      </c>
      <c r="M1691">
        <v>31</v>
      </c>
      <c r="N1691">
        <v>0.9135338345864662</v>
      </c>
      <c r="O1691">
        <v>685187.92857142852</v>
      </c>
      <c r="P1691">
        <v>2371</v>
      </c>
      <c r="Q1691">
        <v>2</v>
      </c>
      <c r="R1691">
        <v>32</v>
      </c>
      <c r="S1691">
        <v>11.787739644970415</v>
      </c>
      <c r="T1691">
        <v>0.9531772549335773</v>
      </c>
    </row>
    <row r="1692" spans="1:20" x14ac:dyDescent="0.25">
      <c r="A1692" t="s">
        <v>295</v>
      </c>
      <c r="B1692">
        <v>9</v>
      </c>
      <c r="C1692">
        <v>2</v>
      </c>
      <c r="D1692">
        <v>0</v>
      </c>
      <c r="E1692" t="s">
        <v>300</v>
      </c>
      <c r="F1692">
        <v>1953</v>
      </c>
      <c r="G1692">
        <v>4976471.7037037034</v>
      </c>
      <c r="H1692">
        <v>0.91228070965519659</v>
      </c>
      <c r="I1692">
        <v>0.92592592592592593</v>
      </c>
      <c r="J1692">
        <v>867861.33333333337</v>
      </c>
      <c r="K1692">
        <v>2511</v>
      </c>
      <c r="L1692">
        <v>2</v>
      </c>
      <c r="M1692">
        <v>33</v>
      </c>
      <c r="N1692">
        <v>0.9278752436647173</v>
      </c>
      <c r="O1692">
        <v>798243.74074074079</v>
      </c>
      <c r="P1692">
        <v>2655</v>
      </c>
      <c r="Q1692">
        <v>2</v>
      </c>
      <c r="R1692">
        <v>34</v>
      </c>
      <c r="S1692">
        <v>11.782951966717095</v>
      </c>
      <c r="T1692">
        <v>0.97826087245574367</v>
      </c>
    </row>
    <row r="1693" spans="1:20" x14ac:dyDescent="0.25">
      <c r="A1693" t="s">
        <v>295</v>
      </c>
      <c r="B1693">
        <v>9</v>
      </c>
      <c r="C1693">
        <v>2</v>
      </c>
      <c r="D1693">
        <v>0</v>
      </c>
      <c r="E1693" t="s">
        <v>298</v>
      </c>
      <c r="F1693">
        <v>2037</v>
      </c>
      <c r="G1693">
        <v>5667441.5</v>
      </c>
      <c r="H1693">
        <v>0.90413534641265869</v>
      </c>
      <c r="I1693">
        <v>0.92481203007518797</v>
      </c>
      <c r="J1693">
        <v>713622.57142857148</v>
      </c>
      <c r="K1693">
        <v>2655</v>
      </c>
      <c r="L1693">
        <v>2</v>
      </c>
      <c r="M1693">
        <v>34</v>
      </c>
      <c r="N1693">
        <v>0.92481203007518797</v>
      </c>
      <c r="O1693">
        <v>638158.5</v>
      </c>
      <c r="P1693">
        <v>2803</v>
      </c>
      <c r="Q1693">
        <v>2</v>
      </c>
      <c r="R1693">
        <v>35</v>
      </c>
      <c r="S1693">
        <v>11.781016724936219</v>
      </c>
      <c r="T1693">
        <v>0.9598662257194519</v>
      </c>
    </row>
    <row r="1694" spans="1:20" x14ac:dyDescent="0.25">
      <c r="A1694" t="s">
        <v>295</v>
      </c>
      <c r="B1694">
        <v>9</v>
      </c>
      <c r="C1694">
        <v>2</v>
      </c>
      <c r="D1694">
        <v>0</v>
      </c>
      <c r="E1694" t="s">
        <v>301</v>
      </c>
      <c r="F1694">
        <v>2375</v>
      </c>
      <c r="G1694">
        <v>5767514.6428571427</v>
      </c>
      <c r="H1694">
        <v>0.93421054312161034</v>
      </c>
      <c r="I1694">
        <v>0.92105263157894735</v>
      </c>
      <c r="J1694">
        <v>886708.42857142852</v>
      </c>
      <c r="K1694">
        <v>3111</v>
      </c>
      <c r="L1694">
        <v>2</v>
      </c>
      <c r="M1694">
        <v>37</v>
      </c>
      <c r="N1694">
        <v>0.91917293233082709</v>
      </c>
      <c r="O1694">
        <v>724687.35714285716</v>
      </c>
      <c r="P1694">
        <v>3271</v>
      </c>
      <c r="Q1694">
        <v>2</v>
      </c>
      <c r="R1694">
        <v>38</v>
      </c>
      <c r="S1694">
        <v>11.77908404154863</v>
      </c>
      <c r="T1694">
        <v>0.94983278329555809</v>
      </c>
    </row>
    <row r="1695" spans="1:20" x14ac:dyDescent="0.25">
      <c r="A1695" t="s">
        <v>295</v>
      </c>
      <c r="B1695">
        <v>9</v>
      </c>
      <c r="C1695">
        <v>3</v>
      </c>
      <c r="D1695">
        <v>0</v>
      </c>
      <c r="E1695" t="s">
        <v>302</v>
      </c>
      <c r="F1695">
        <v>321</v>
      </c>
      <c r="G1695">
        <v>5387495.2857142854</v>
      </c>
      <c r="H1695">
        <v>0.9041353421551841</v>
      </c>
      <c r="I1695">
        <v>0.91729323308270672</v>
      </c>
      <c r="J1695">
        <v>693250.92857142852</v>
      </c>
      <c r="K1695">
        <v>411</v>
      </c>
      <c r="L1695">
        <v>2</v>
      </c>
      <c r="M1695">
        <v>12</v>
      </c>
      <c r="N1695">
        <v>0.91541353383458646</v>
      </c>
      <c r="O1695">
        <v>729457.35714285716</v>
      </c>
      <c r="P1695">
        <v>471</v>
      </c>
      <c r="Q1695">
        <v>2</v>
      </c>
      <c r="R1695">
        <v>13</v>
      </c>
      <c r="S1695">
        <v>11.776917995659149</v>
      </c>
      <c r="T1695">
        <v>0.95652174491148734</v>
      </c>
    </row>
    <row r="1696" spans="1:20" x14ac:dyDescent="0.25">
      <c r="A1696" t="s">
        <v>295</v>
      </c>
      <c r="B1696">
        <v>9</v>
      </c>
      <c r="C1696">
        <v>3</v>
      </c>
      <c r="D1696">
        <v>0</v>
      </c>
      <c r="E1696" t="s">
        <v>306</v>
      </c>
      <c r="F1696">
        <v>533</v>
      </c>
      <c r="G1696">
        <v>4156259.9285714286</v>
      </c>
      <c r="H1696">
        <v>0.87406015821865624</v>
      </c>
      <c r="I1696">
        <v>0.91729323308270672</v>
      </c>
      <c r="J1696">
        <v>767429</v>
      </c>
      <c r="K1696">
        <v>751</v>
      </c>
      <c r="L1696">
        <v>2</v>
      </c>
      <c r="M1696">
        <v>17</v>
      </c>
      <c r="N1696">
        <v>0.92857142857142849</v>
      </c>
      <c r="O1696">
        <v>558123.42857142852</v>
      </c>
      <c r="P1696">
        <v>831</v>
      </c>
      <c r="Q1696">
        <v>2</v>
      </c>
      <c r="R1696">
        <v>18</v>
      </c>
      <c r="S1696">
        <v>11.775462089777443</v>
      </c>
      <c r="T1696">
        <v>0.94648830248759341</v>
      </c>
    </row>
    <row r="1697" spans="1:20" x14ac:dyDescent="0.25">
      <c r="A1697" t="s">
        <v>295</v>
      </c>
      <c r="B1697">
        <v>9</v>
      </c>
      <c r="C1697">
        <v>3</v>
      </c>
      <c r="D1697">
        <v>0</v>
      </c>
      <c r="E1697" t="s">
        <v>303</v>
      </c>
      <c r="F1697">
        <v>671</v>
      </c>
      <c r="G1697">
        <v>4059183.8571428573</v>
      </c>
      <c r="H1697">
        <v>0.91729323353086201</v>
      </c>
      <c r="I1697">
        <v>0.93421052631578949</v>
      </c>
      <c r="J1697">
        <v>959329.85714285716</v>
      </c>
      <c r="K1697">
        <v>915</v>
      </c>
      <c r="L1697">
        <v>2</v>
      </c>
      <c r="M1697">
        <v>19</v>
      </c>
      <c r="N1697">
        <v>0.93233082706766912</v>
      </c>
      <c r="O1697">
        <v>718985.57142857148</v>
      </c>
      <c r="P1697">
        <v>1003</v>
      </c>
      <c r="Q1697">
        <v>2</v>
      </c>
      <c r="R1697">
        <v>20</v>
      </c>
      <c r="S1697">
        <v>11.774055225709169</v>
      </c>
      <c r="T1697">
        <v>0.94314382167962885</v>
      </c>
    </row>
    <row r="1698" spans="1:20" x14ac:dyDescent="0.25">
      <c r="A1698" t="s">
        <v>295</v>
      </c>
      <c r="B1698">
        <v>9</v>
      </c>
      <c r="C1698">
        <v>3</v>
      </c>
      <c r="D1698">
        <v>0</v>
      </c>
      <c r="E1698" t="s">
        <v>310</v>
      </c>
      <c r="F1698">
        <v>745</v>
      </c>
      <c r="G1698">
        <v>4975026.2142857146</v>
      </c>
      <c r="H1698">
        <v>0.90789474334035603</v>
      </c>
      <c r="I1698">
        <v>0.91917293233082709</v>
      </c>
      <c r="J1698">
        <v>1065638.7142857143</v>
      </c>
      <c r="K1698">
        <v>1003</v>
      </c>
      <c r="L1698">
        <v>2</v>
      </c>
      <c r="M1698">
        <v>20</v>
      </c>
      <c r="N1698">
        <v>0.92857142857142849</v>
      </c>
      <c r="O1698">
        <v>655017.14285714284</v>
      </c>
      <c r="P1698">
        <v>1095</v>
      </c>
      <c r="Q1698">
        <v>2</v>
      </c>
      <c r="R1698">
        <v>21</v>
      </c>
      <c r="S1698">
        <v>11.771567150122433</v>
      </c>
      <c r="T1698">
        <v>0.97324415353628302</v>
      </c>
    </row>
    <row r="1699" spans="1:20" x14ac:dyDescent="0.25">
      <c r="A1699" t="s">
        <v>295</v>
      </c>
      <c r="B1699">
        <v>9</v>
      </c>
      <c r="C1699">
        <v>3</v>
      </c>
      <c r="D1699">
        <v>0</v>
      </c>
      <c r="E1699" t="s">
        <v>304</v>
      </c>
      <c r="F1699">
        <v>883</v>
      </c>
      <c r="G1699">
        <v>3667355.2142857141</v>
      </c>
      <c r="H1699">
        <v>0.90789474334035603</v>
      </c>
      <c r="I1699">
        <v>0.9135338345864662</v>
      </c>
      <c r="J1699">
        <v>661233.85714285716</v>
      </c>
      <c r="K1699">
        <v>1191</v>
      </c>
      <c r="L1699">
        <v>2</v>
      </c>
      <c r="M1699">
        <v>22</v>
      </c>
      <c r="N1699">
        <v>0.91165413533834583</v>
      </c>
      <c r="O1699">
        <v>851067</v>
      </c>
      <c r="P1699">
        <v>1291</v>
      </c>
      <c r="Q1699">
        <v>2</v>
      </c>
      <c r="R1699">
        <v>23</v>
      </c>
      <c r="S1699">
        <v>11.769129411764705</v>
      </c>
      <c r="T1699">
        <v>0.98996655757610619</v>
      </c>
    </row>
    <row r="1700" spans="1:20" x14ac:dyDescent="0.25">
      <c r="A1700" t="s">
        <v>295</v>
      </c>
      <c r="B1700">
        <v>9</v>
      </c>
      <c r="C1700">
        <v>3</v>
      </c>
      <c r="D1700">
        <v>0</v>
      </c>
      <c r="E1700" t="s">
        <v>307</v>
      </c>
      <c r="F1700">
        <v>913</v>
      </c>
      <c r="G1700">
        <v>5361859.6428571427</v>
      </c>
      <c r="H1700">
        <v>0.91541353719575069</v>
      </c>
      <c r="I1700">
        <v>0.92669172932330823</v>
      </c>
      <c r="J1700">
        <v>829944.64285714284</v>
      </c>
      <c r="K1700">
        <v>1291</v>
      </c>
      <c r="L1700">
        <v>2</v>
      </c>
      <c r="M1700">
        <v>23</v>
      </c>
      <c r="N1700">
        <v>0.9285714285714286</v>
      </c>
      <c r="O1700">
        <v>879273</v>
      </c>
      <c r="P1700">
        <v>1395</v>
      </c>
      <c r="Q1700">
        <v>2</v>
      </c>
      <c r="R1700">
        <v>24</v>
      </c>
      <c r="S1700">
        <v>11.766647855530474</v>
      </c>
      <c r="T1700">
        <v>0.96989967272831845</v>
      </c>
    </row>
    <row r="1701" spans="1:20" x14ac:dyDescent="0.25">
      <c r="A1701" t="s">
        <v>295</v>
      </c>
      <c r="B1701">
        <v>9</v>
      </c>
      <c r="C1701">
        <v>3</v>
      </c>
      <c r="D1701">
        <v>0</v>
      </c>
      <c r="E1701" t="s">
        <v>313</v>
      </c>
      <c r="F1701">
        <v>957</v>
      </c>
      <c r="G1701">
        <v>7644427.8571428573</v>
      </c>
      <c r="H1701">
        <v>0.85150376388004845</v>
      </c>
      <c r="I1701">
        <v>0.92105263157894735</v>
      </c>
      <c r="J1701">
        <v>959839.64285714284</v>
      </c>
      <c r="K1701">
        <v>1395</v>
      </c>
      <c r="L1701">
        <v>2</v>
      </c>
      <c r="M1701">
        <v>24</v>
      </c>
      <c r="N1701">
        <v>0.9229323308270676</v>
      </c>
      <c r="O1701">
        <v>913686.85714285716</v>
      </c>
      <c r="P1701">
        <v>1503</v>
      </c>
      <c r="Q1701">
        <v>2</v>
      </c>
      <c r="R1701">
        <v>25</v>
      </c>
      <c r="S1701">
        <v>11.766848388006391</v>
      </c>
      <c r="T1701">
        <v>0.89966554825122536</v>
      </c>
    </row>
    <row r="1702" spans="1:20" x14ac:dyDescent="0.25">
      <c r="A1702" t="s">
        <v>295</v>
      </c>
      <c r="B1702">
        <v>9</v>
      </c>
      <c r="C1702">
        <v>3</v>
      </c>
      <c r="D1702">
        <v>0</v>
      </c>
      <c r="E1702" t="s">
        <v>305</v>
      </c>
      <c r="F1702">
        <v>1095</v>
      </c>
      <c r="G1702">
        <v>4609401.7142857146</v>
      </c>
      <c r="H1702">
        <v>0.91917294263839722</v>
      </c>
      <c r="I1702">
        <v>0.92481203007518797</v>
      </c>
      <c r="J1702">
        <v>538195.42857142852</v>
      </c>
      <c r="K1702">
        <v>1503</v>
      </c>
      <c r="L1702">
        <v>2</v>
      </c>
      <c r="M1702">
        <v>25</v>
      </c>
      <c r="N1702">
        <v>0.92481203007518797</v>
      </c>
      <c r="O1702">
        <v>787282.71428571432</v>
      </c>
      <c r="P1702">
        <v>1615</v>
      </c>
      <c r="Q1702">
        <v>2</v>
      </c>
      <c r="R1702">
        <v>26</v>
      </c>
      <c r="S1702">
        <v>11.765780574863799</v>
      </c>
      <c r="T1702">
        <v>0.94983278788053072</v>
      </c>
    </row>
    <row r="1703" spans="1:20" x14ac:dyDescent="0.25">
      <c r="A1703" t="s">
        <v>295</v>
      </c>
      <c r="B1703">
        <v>9</v>
      </c>
      <c r="C1703">
        <v>3</v>
      </c>
      <c r="D1703">
        <v>0</v>
      </c>
      <c r="E1703" t="s">
        <v>308</v>
      </c>
      <c r="F1703">
        <v>1185</v>
      </c>
      <c r="G1703">
        <v>6218764.6428571427</v>
      </c>
      <c r="H1703">
        <v>0.89473685196467811</v>
      </c>
      <c r="I1703">
        <v>0.93045112781954886</v>
      </c>
      <c r="J1703">
        <v>817026.78571428568</v>
      </c>
      <c r="K1703">
        <v>1615</v>
      </c>
      <c r="L1703">
        <v>2</v>
      </c>
      <c r="M1703">
        <v>26</v>
      </c>
      <c r="N1703">
        <v>0.92105263157894735</v>
      </c>
      <c r="O1703">
        <v>581462.42857142852</v>
      </c>
      <c r="P1703">
        <v>1731</v>
      </c>
      <c r="Q1703">
        <v>2</v>
      </c>
      <c r="R1703">
        <v>27</v>
      </c>
      <c r="S1703">
        <v>11.764244813667512</v>
      </c>
      <c r="T1703">
        <v>0.95652174949645996</v>
      </c>
    </row>
    <row r="1704" spans="1:20" x14ac:dyDescent="0.25">
      <c r="A1704" t="s">
        <v>295</v>
      </c>
      <c r="B1704">
        <v>9</v>
      </c>
      <c r="C1704">
        <v>3</v>
      </c>
      <c r="D1704">
        <v>0</v>
      </c>
      <c r="E1704" t="s">
        <v>296</v>
      </c>
      <c r="F1704">
        <v>1397</v>
      </c>
      <c r="G1704">
        <v>5989629.0370370373</v>
      </c>
      <c r="H1704">
        <v>0.86159844751711245</v>
      </c>
      <c r="I1704">
        <v>0.92397660818713445</v>
      </c>
      <c r="J1704">
        <v>707861.59259259258</v>
      </c>
      <c r="K1704">
        <v>1975</v>
      </c>
      <c r="L1704">
        <v>2</v>
      </c>
      <c r="M1704">
        <v>29</v>
      </c>
      <c r="N1704">
        <v>0.92202729044834308</v>
      </c>
      <c r="O1704">
        <v>761265.88888888888</v>
      </c>
      <c r="P1704">
        <v>2103</v>
      </c>
      <c r="Q1704">
        <v>2</v>
      </c>
      <c r="R1704">
        <v>30</v>
      </c>
      <c r="S1704">
        <v>11.760558758730605</v>
      </c>
      <c r="T1704">
        <v>0.92140468038045442</v>
      </c>
    </row>
    <row r="1705" spans="1:20" x14ac:dyDescent="0.25">
      <c r="A1705" t="s">
        <v>295</v>
      </c>
      <c r="B1705">
        <v>9</v>
      </c>
      <c r="C1705">
        <v>3</v>
      </c>
      <c r="D1705">
        <v>0</v>
      </c>
      <c r="E1705" t="s">
        <v>309</v>
      </c>
      <c r="F1705">
        <v>1457</v>
      </c>
      <c r="G1705">
        <v>7798828.4285714282</v>
      </c>
      <c r="H1705">
        <v>0.85902255773544312</v>
      </c>
      <c r="I1705">
        <v>0.92105263157894735</v>
      </c>
      <c r="J1705">
        <v>732309.5</v>
      </c>
      <c r="K1705">
        <v>2103</v>
      </c>
      <c r="L1705">
        <v>2</v>
      </c>
      <c r="M1705">
        <v>30</v>
      </c>
      <c r="N1705">
        <v>0.91541353383458646</v>
      </c>
      <c r="O1705">
        <v>871454.42857142852</v>
      </c>
      <c r="P1705">
        <v>2235</v>
      </c>
      <c r="Q1705">
        <v>2</v>
      </c>
      <c r="R1705">
        <v>31</v>
      </c>
      <c r="S1705">
        <v>11.760434721506535</v>
      </c>
      <c r="T1705">
        <v>0.95986622113447928</v>
      </c>
    </row>
    <row r="1706" spans="1:20" x14ac:dyDescent="0.25">
      <c r="A1706" t="s">
        <v>295</v>
      </c>
      <c r="B1706">
        <v>9</v>
      </c>
      <c r="C1706">
        <v>3</v>
      </c>
      <c r="D1706">
        <v>0</v>
      </c>
      <c r="E1706" t="s">
        <v>299</v>
      </c>
      <c r="F1706">
        <v>1639</v>
      </c>
      <c r="G1706">
        <v>6592910.777777778</v>
      </c>
      <c r="H1706">
        <v>0.90058480368720162</v>
      </c>
      <c r="I1706">
        <v>0.91812865497076024</v>
      </c>
      <c r="J1706">
        <v>1054173.4444444445</v>
      </c>
      <c r="K1706">
        <v>2371</v>
      </c>
      <c r="L1706">
        <v>2</v>
      </c>
      <c r="M1706">
        <v>32</v>
      </c>
      <c r="N1706">
        <v>0.92495126705653019</v>
      </c>
      <c r="O1706">
        <v>821699.48148148146</v>
      </c>
      <c r="P1706">
        <v>2511</v>
      </c>
      <c r="Q1706">
        <v>2</v>
      </c>
      <c r="R1706">
        <v>33</v>
      </c>
      <c r="S1706">
        <v>11.757649480677459</v>
      </c>
      <c r="T1706">
        <v>0.95150501682208133</v>
      </c>
    </row>
    <row r="1707" spans="1:20" x14ac:dyDescent="0.25">
      <c r="A1707" t="s">
        <v>295</v>
      </c>
      <c r="B1707">
        <v>9</v>
      </c>
      <c r="C1707">
        <v>3</v>
      </c>
      <c r="D1707">
        <v>0</v>
      </c>
      <c r="E1707" t="s">
        <v>297</v>
      </c>
      <c r="F1707">
        <v>1789</v>
      </c>
      <c r="G1707">
        <v>7185976.3571428573</v>
      </c>
      <c r="H1707">
        <v>0.87406015396118164</v>
      </c>
      <c r="I1707">
        <v>0.91729323308270672</v>
      </c>
      <c r="J1707">
        <v>775512.57142857148</v>
      </c>
      <c r="K1707">
        <v>2511</v>
      </c>
      <c r="L1707">
        <v>2</v>
      </c>
      <c r="M1707">
        <v>33</v>
      </c>
      <c r="N1707">
        <v>0.91729323308270672</v>
      </c>
      <c r="O1707">
        <v>869244.14285714284</v>
      </c>
      <c r="P1707">
        <v>2655</v>
      </c>
      <c r="Q1707">
        <v>2</v>
      </c>
      <c r="R1707">
        <v>34</v>
      </c>
      <c r="S1707">
        <v>11.75654572657565</v>
      </c>
      <c r="T1707">
        <v>0.94983278329555809</v>
      </c>
    </row>
    <row r="1708" spans="1:20" x14ac:dyDescent="0.25">
      <c r="A1708" t="s">
        <v>295</v>
      </c>
      <c r="B1708">
        <v>9</v>
      </c>
      <c r="C1708">
        <v>3</v>
      </c>
      <c r="D1708">
        <v>0</v>
      </c>
      <c r="E1708" t="s">
        <v>312</v>
      </c>
      <c r="F1708">
        <v>1819</v>
      </c>
      <c r="G1708">
        <v>6500564.0714285718</v>
      </c>
      <c r="H1708">
        <v>0.90037594948496136</v>
      </c>
      <c r="I1708">
        <v>0.92481203007518797</v>
      </c>
      <c r="J1708">
        <v>770519.42857142852</v>
      </c>
      <c r="K1708">
        <v>2655</v>
      </c>
      <c r="L1708">
        <v>2</v>
      </c>
      <c r="M1708">
        <v>34</v>
      </c>
      <c r="N1708">
        <v>0.92481203007518797</v>
      </c>
      <c r="O1708">
        <v>669177.85714285716</v>
      </c>
      <c r="P1708">
        <v>2803</v>
      </c>
      <c r="Q1708">
        <v>2</v>
      </c>
      <c r="R1708">
        <v>35</v>
      </c>
      <c r="S1708">
        <v>11.754789272030651</v>
      </c>
      <c r="T1708">
        <v>0.98327759596017694</v>
      </c>
    </row>
    <row r="1709" spans="1:20" x14ac:dyDescent="0.25">
      <c r="A1709" t="s">
        <v>295</v>
      </c>
      <c r="B1709">
        <v>9</v>
      </c>
      <c r="C1709">
        <v>3</v>
      </c>
      <c r="D1709">
        <v>0</v>
      </c>
      <c r="E1709" t="s">
        <v>300</v>
      </c>
      <c r="F1709">
        <v>2091</v>
      </c>
      <c r="G1709">
        <v>6400865.7142857146</v>
      </c>
      <c r="H1709">
        <v>0.88721805385180885</v>
      </c>
      <c r="I1709">
        <v>0.92105263157894735</v>
      </c>
      <c r="J1709">
        <v>691749.78571428568</v>
      </c>
      <c r="K1709">
        <v>2955</v>
      </c>
      <c r="L1709">
        <v>2</v>
      </c>
      <c r="M1709">
        <v>36</v>
      </c>
      <c r="N1709">
        <v>0.92105263157894735</v>
      </c>
      <c r="O1709">
        <v>631932.64285714284</v>
      </c>
      <c r="P1709">
        <v>3111</v>
      </c>
      <c r="Q1709">
        <v>2</v>
      </c>
      <c r="R1709">
        <v>37</v>
      </c>
      <c r="S1709">
        <v>11.753081807994024</v>
      </c>
      <c r="T1709">
        <v>0.98327759596017694</v>
      </c>
    </row>
    <row r="1710" spans="1:20" x14ac:dyDescent="0.25">
      <c r="A1710" t="s">
        <v>295</v>
      </c>
      <c r="B1710">
        <v>9</v>
      </c>
      <c r="C1710">
        <v>3</v>
      </c>
      <c r="D1710">
        <v>0</v>
      </c>
      <c r="E1710" t="s">
        <v>298</v>
      </c>
      <c r="F1710">
        <v>2181</v>
      </c>
      <c r="G1710">
        <v>7311648.2142857146</v>
      </c>
      <c r="H1710">
        <v>0.90225564156259808</v>
      </c>
      <c r="I1710">
        <v>0.92481203007518797</v>
      </c>
      <c r="J1710">
        <v>884055.85714285716</v>
      </c>
      <c r="K1710">
        <v>3111</v>
      </c>
      <c r="L1710">
        <v>2</v>
      </c>
      <c r="M1710">
        <v>37</v>
      </c>
      <c r="N1710">
        <v>0.92105263157894735</v>
      </c>
      <c r="O1710">
        <v>625212.21428571432</v>
      </c>
      <c r="P1710">
        <v>3271</v>
      </c>
      <c r="Q1710">
        <v>2</v>
      </c>
      <c r="R1710">
        <v>38</v>
      </c>
      <c r="S1710">
        <v>11.7518898740084</v>
      </c>
      <c r="T1710">
        <v>0.96655518733538115</v>
      </c>
    </row>
    <row r="1711" spans="1:20" x14ac:dyDescent="0.25">
      <c r="A1711" t="s">
        <v>295</v>
      </c>
      <c r="B1711">
        <v>9</v>
      </c>
      <c r="C1711">
        <v>3</v>
      </c>
      <c r="D1711">
        <v>0</v>
      </c>
      <c r="E1711" t="s">
        <v>301</v>
      </c>
      <c r="F1711">
        <v>2543</v>
      </c>
      <c r="G1711">
        <v>6059427.8571428573</v>
      </c>
      <c r="H1711">
        <v>0.90601503849029541</v>
      </c>
      <c r="I1711">
        <v>0.92105263157894735</v>
      </c>
      <c r="J1711">
        <v>734411.57142857148</v>
      </c>
      <c r="K1711">
        <v>3603</v>
      </c>
      <c r="L1711">
        <v>2</v>
      </c>
      <c r="M1711">
        <v>40</v>
      </c>
      <c r="N1711">
        <v>0.9229323308270676</v>
      </c>
      <c r="O1711">
        <v>474819.85714285716</v>
      </c>
      <c r="P1711">
        <v>3775</v>
      </c>
      <c r="Q1711">
        <v>2</v>
      </c>
      <c r="R1711">
        <v>41</v>
      </c>
      <c r="S1711">
        <v>11.749720201454952</v>
      </c>
      <c r="T1711">
        <v>0.97658862975927496</v>
      </c>
    </row>
    <row r="1712" spans="1:20" x14ac:dyDescent="0.25">
      <c r="A1712" t="s">
        <v>295</v>
      </c>
      <c r="B1712">
        <v>9</v>
      </c>
      <c r="C1712">
        <v>4</v>
      </c>
      <c r="D1712">
        <v>0</v>
      </c>
      <c r="E1712" t="s">
        <v>302</v>
      </c>
      <c r="F1712">
        <v>342</v>
      </c>
      <c r="G1712">
        <v>6621360.7142857146</v>
      </c>
      <c r="H1712">
        <v>0.90977444393294193</v>
      </c>
      <c r="I1712">
        <v>0.92857142857142849</v>
      </c>
      <c r="J1712">
        <v>903741.5</v>
      </c>
      <c r="K1712">
        <v>471</v>
      </c>
      <c r="L1712">
        <v>2</v>
      </c>
      <c r="M1712">
        <v>13</v>
      </c>
      <c r="N1712">
        <v>0.9135338345864662</v>
      </c>
      <c r="O1712">
        <v>728256.71428571432</v>
      </c>
      <c r="P1712">
        <v>535</v>
      </c>
      <c r="Q1712">
        <v>2</v>
      </c>
      <c r="R1712">
        <v>14</v>
      </c>
      <c r="S1712">
        <v>11.748159194705938</v>
      </c>
      <c r="T1712">
        <v>0.9565217403265146</v>
      </c>
    </row>
    <row r="1713" spans="1:20" x14ac:dyDescent="0.25">
      <c r="A1713" t="s">
        <v>295</v>
      </c>
      <c r="B1713">
        <v>9</v>
      </c>
      <c r="C1713">
        <v>4</v>
      </c>
      <c r="D1713">
        <v>0</v>
      </c>
      <c r="E1713" t="s">
        <v>306</v>
      </c>
      <c r="F1713">
        <v>568</v>
      </c>
      <c r="G1713">
        <v>4403818</v>
      </c>
      <c r="H1713">
        <v>0.89097745077950619</v>
      </c>
      <c r="I1713">
        <v>0.93984962406015038</v>
      </c>
      <c r="J1713">
        <v>602554.5</v>
      </c>
      <c r="K1713">
        <v>831</v>
      </c>
      <c r="L1713">
        <v>2</v>
      </c>
      <c r="M1713">
        <v>18</v>
      </c>
      <c r="N1713">
        <v>0.91729323308270672</v>
      </c>
      <c r="O1713">
        <v>764845.35714285716</v>
      </c>
      <c r="P1713">
        <v>915</v>
      </c>
      <c r="Q1713">
        <v>2</v>
      </c>
      <c r="R1713">
        <v>19</v>
      </c>
      <c r="S1713">
        <v>11.746553651266765</v>
      </c>
      <c r="T1713">
        <v>0.94648830707256615</v>
      </c>
    </row>
    <row r="1714" spans="1:20" x14ac:dyDescent="0.25">
      <c r="A1714" t="s">
        <v>295</v>
      </c>
      <c r="B1714">
        <v>9</v>
      </c>
      <c r="C1714">
        <v>4</v>
      </c>
      <c r="D1714">
        <v>0</v>
      </c>
      <c r="E1714" t="s">
        <v>303</v>
      </c>
      <c r="F1714">
        <v>715</v>
      </c>
      <c r="G1714">
        <v>3960156.9285714286</v>
      </c>
      <c r="H1714">
        <v>0.84022556458200726</v>
      </c>
      <c r="I1714">
        <v>0.92481203007518797</v>
      </c>
      <c r="J1714">
        <v>774498.64285714284</v>
      </c>
      <c r="K1714">
        <v>1095</v>
      </c>
      <c r="L1714">
        <v>2</v>
      </c>
      <c r="M1714">
        <v>21</v>
      </c>
      <c r="N1714">
        <v>0.93233082706766912</v>
      </c>
      <c r="O1714">
        <v>532027.78571428568</v>
      </c>
      <c r="P1714">
        <v>1191</v>
      </c>
      <c r="Q1714">
        <v>2</v>
      </c>
      <c r="R1714">
        <v>22</v>
      </c>
      <c r="S1714">
        <v>11.743879735641814</v>
      </c>
      <c r="T1714">
        <v>0.97324415353628302</v>
      </c>
    </row>
    <row r="1715" spans="1:20" x14ac:dyDescent="0.25">
      <c r="A1715" t="s">
        <v>295</v>
      </c>
      <c r="B1715">
        <v>9</v>
      </c>
      <c r="C1715">
        <v>4</v>
      </c>
      <c r="D1715">
        <v>0</v>
      </c>
      <c r="E1715" t="s">
        <v>310</v>
      </c>
      <c r="F1715">
        <v>794</v>
      </c>
      <c r="G1715">
        <v>6758313.2857142854</v>
      </c>
      <c r="H1715">
        <v>0.80263157401766094</v>
      </c>
      <c r="I1715">
        <v>0.93421052631578938</v>
      </c>
      <c r="J1715">
        <v>1042561</v>
      </c>
      <c r="K1715">
        <v>1191</v>
      </c>
      <c r="L1715">
        <v>2</v>
      </c>
      <c r="M1715">
        <v>22</v>
      </c>
      <c r="N1715">
        <v>0.92669172932330823</v>
      </c>
      <c r="O1715">
        <v>483616.92857142858</v>
      </c>
      <c r="P1715">
        <v>1291</v>
      </c>
      <c r="Q1715">
        <v>2</v>
      </c>
      <c r="R1715">
        <v>23</v>
      </c>
      <c r="S1715">
        <v>11.742465116279069</v>
      </c>
      <c r="T1715">
        <v>0.96655518733538115</v>
      </c>
    </row>
    <row r="1716" spans="1:20" x14ac:dyDescent="0.25">
      <c r="A1716" t="s">
        <v>295</v>
      </c>
      <c r="B1716">
        <v>9</v>
      </c>
      <c r="C1716">
        <v>4</v>
      </c>
      <c r="D1716">
        <v>0</v>
      </c>
      <c r="E1716" t="s">
        <v>304</v>
      </c>
      <c r="F1716">
        <v>941</v>
      </c>
      <c r="G1716">
        <v>4297963.9285714282</v>
      </c>
      <c r="H1716">
        <v>0.85526316080774578</v>
      </c>
      <c r="I1716">
        <v>0.92481203007518797</v>
      </c>
      <c r="J1716">
        <v>777865.21428571432</v>
      </c>
      <c r="K1716">
        <v>1395</v>
      </c>
      <c r="L1716">
        <v>2</v>
      </c>
      <c r="M1716">
        <v>24</v>
      </c>
      <c r="N1716">
        <v>0.92669172932330823</v>
      </c>
      <c r="O1716">
        <v>759555.07142857148</v>
      </c>
      <c r="P1716">
        <v>1503</v>
      </c>
      <c r="Q1716">
        <v>2</v>
      </c>
      <c r="R1716">
        <v>25</v>
      </c>
      <c r="S1716">
        <v>11.740634005763688</v>
      </c>
      <c r="T1716">
        <v>0.94983278329555809</v>
      </c>
    </row>
    <row r="1717" spans="1:20" x14ac:dyDescent="0.25">
      <c r="A1717" t="s">
        <v>295</v>
      </c>
      <c r="B1717">
        <v>9</v>
      </c>
      <c r="C1717">
        <v>4</v>
      </c>
      <c r="D1717">
        <v>0</v>
      </c>
      <c r="E1717" t="s">
        <v>313</v>
      </c>
      <c r="F1717">
        <v>1020</v>
      </c>
      <c r="G1717">
        <v>5971899.6428571427</v>
      </c>
      <c r="H1717">
        <v>0.87593985029629295</v>
      </c>
      <c r="I1717">
        <v>0.92481203007518797</v>
      </c>
      <c r="J1717">
        <v>898590.57142857148</v>
      </c>
      <c r="K1717">
        <v>1503</v>
      </c>
      <c r="L1717">
        <v>2</v>
      </c>
      <c r="M1717">
        <v>25</v>
      </c>
      <c r="N1717">
        <v>0.92481203007518797</v>
      </c>
      <c r="O1717">
        <v>936740</v>
      </c>
      <c r="P1717">
        <v>1615</v>
      </c>
      <c r="Q1717">
        <v>2</v>
      </c>
      <c r="R1717">
        <v>26</v>
      </c>
      <c r="S1717">
        <v>11.738294314381271</v>
      </c>
      <c r="T1717">
        <v>0.95652174491148734</v>
      </c>
    </row>
    <row r="1718" spans="1:20" x14ac:dyDescent="0.25">
      <c r="A1718" t="s">
        <v>295</v>
      </c>
      <c r="B1718">
        <v>9</v>
      </c>
      <c r="C1718">
        <v>4</v>
      </c>
      <c r="D1718">
        <v>0</v>
      </c>
      <c r="E1718" t="s">
        <v>305</v>
      </c>
      <c r="F1718">
        <v>1167</v>
      </c>
      <c r="G1718">
        <v>5642374.7037037034</v>
      </c>
      <c r="H1718">
        <v>0.86257310487605909</v>
      </c>
      <c r="I1718">
        <v>0.92397660818713445</v>
      </c>
      <c r="J1718">
        <v>996072.8518518518</v>
      </c>
      <c r="K1718">
        <v>1731</v>
      </c>
      <c r="L1718">
        <v>2</v>
      </c>
      <c r="M1718">
        <v>27</v>
      </c>
      <c r="N1718">
        <v>0.91423001949317739</v>
      </c>
      <c r="O1718">
        <v>845156.81481481483</v>
      </c>
      <c r="P1718">
        <v>1851</v>
      </c>
      <c r="Q1718">
        <v>2</v>
      </c>
      <c r="R1718">
        <v>28</v>
      </c>
      <c r="S1718">
        <v>11.735328230109024</v>
      </c>
      <c r="T1718">
        <v>0.94816053830660307</v>
      </c>
    </row>
    <row r="1719" spans="1:20" x14ac:dyDescent="0.25">
      <c r="A1719" t="s">
        <v>295</v>
      </c>
      <c r="B1719">
        <v>9</v>
      </c>
      <c r="C1719">
        <v>4</v>
      </c>
      <c r="D1719">
        <v>0</v>
      </c>
      <c r="E1719" t="s">
        <v>308</v>
      </c>
      <c r="F1719">
        <v>1263</v>
      </c>
      <c r="G1719">
        <v>7306879.9285714282</v>
      </c>
      <c r="H1719">
        <v>0.85338346447263447</v>
      </c>
      <c r="I1719">
        <v>0.92669172932330823</v>
      </c>
      <c r="J1719">
        <v>680524.07142857148</v>
      </c>
      <c r="K1719">
        <v>1851</v>
      </c>
      <c r="L1719">
        <v>2</v>
      </c>
      <c r="M1719">
        <v>28</v>
      </c>
      <c r="N1719">
        <v>0.93233082706766912</v>
      </c>
      <c r="O1719">
        <v>631632.71428571432</v>
      </c>
      <c r="P1719">
        <v>1975</v>
      </c>
      <c r="Q1719">
        <v>2</v>
      </c>
      <c r="R1719">
        <v>29</v>
      </c>
      <c r="S1719">
        <v>11.733923686772682</v>
      </c>
      <c r="T1719">
        <v>0.95317725951855004</v>
      </c>
    </row>
    <row r="1720" spans="1:20" x14ac:dyDescent="0.25">
      <c r="A1720" t="s">
        <v>295</v>
      </c>
      <c r="B1720">
        <v>9</v>
      </c>
      <c r="C1720">
        <v>4</v>
      </c>
      <c r="D1720">
        <v>0</v>
      </c>
      <c r="E1720" t="s">
        <v>296</v>
      </c>
      <c r="F1720">
        <v>1489</v>
      </c>
      <c r="G1720">
        <v>6610582.333333333</v>
      </c>
      <c r="H1720">
        <v>0.84307992237585561</v>
      </c>
      <c r="I1720">
        <v>0.92690058479532156</v>
      </c>
      <c r="J1720">
        <v>719051.37037037034</v>
      </c>
      <c r="K1720">
        <v>2235</v>
      </c>
      <c r="L1720">
        <v>2</v>
      </c>
      <c r="M1720">
        <v>31</v>
      </c>
      <c r="N1720">
        <v>0.91617933723196876</v>
      </c>
      <c r="O1720">
        <v>670119.07407407404</v>
      </c>
      <c r="P1720">
        <v>2371</v>
      </c>
      <c r="Q1720">
        <v>2</v>
      </c>
      <c r="R1720">
        <v>32</v>
      </c>
      <c r="S1720">
        <v>11.730135210224116</v>
      </c>
      <c r="T1720">
        <v>0.95317726410352266</v>
      </c>
    </row>
    <row r="1721" spans="1:20" x14ac:dyDescent="0.25">
      <c r="A1721" t="s">
        <v>295</v>
      </c>
      <c r="B1721">
        <v>9</v>
      </c>
      <c r="C1721">
        <v>4</v>
      </c>
      <c r="D1721">
        <v>0</v>
      </c>
      <c r="E1721" t="s">
        <v>309</v>
      </c>
      <c r="F1721">
        <v>1553</v>
      </c>
      <c r="G1721">
        <v>6560599.1428571427</v>
      </c>
      <c r="H1721">
        <v>0.82706767320632935</v>
      </c>
      <c r="I1721">
        <v>0.92481203007518797</v>
      </c>
      <c r="J1721">
        <v>923624.85714285716</v>
      </c>
      <c r="K1721">
        <v>2371</v>
      </c>
      <c r="L1721">
        <v>2</v>
      </c>
      <c r="M1721">
        <v>32</v>
      </c>
      <c r="N1721">
        <v>0.92481203007518797</v>
      </c>
      <c r="O1721">
        <v>698279.21428571432</v>
      </c>
      <c r="P1721">
        <v>2511</v>
      </c>
      <c r="Q1721">
        <v>2</v>
      </c>
      <c r="R1721">
        <v>33</v>
      </c>
      <c r="S1721">
        <v>11.727950023137437</v>
      </c>
      <c r="T1721">
        <v>0.96655519192035377</v>
      </c>
    </row>
    <row r="1722" spans="1:20" x14ac:dyDescent="0.25">
      <c r="A1722" t="s">
        <v>295</v>
      </c>
      <c r="B1722">
        <v>9</v>
      </c>
      <c r="C1722">
        <v>4</v>
      </c>
      <c r="D1722">
        <v>0</v>
      </c>
      <c r="E1722" t="s">
        <v>299</v>
      </c>
      <c r="F1722">
        <v>1747</v>
      </c>
      <c r="G1722">
        <v>6643985.0740740737</v>
      </c>
      <c r="H1722">
        <v>0.83235868038954564</v>
      </c>
      <c r="I1722">
        <v>0.92007797270955161</v>
      </c>
      <c r="J1722">
        <v>859000.07407407404</v>
      </c>
      <c r="K1722">
        <v>2655</v>
      </c>
      <c r="L1722">
        <v>2</v>
      </c>
      <c r="M1722">
        <v>34</v>
      </c>
      <c r="N1722">
        <v>0.92007797270955161</v>
      </c>
      <c r="O1722">
        <v>919612.07407407404</v>
      </c>
      <c r="P1722">
        <v>2803</v>
      </c>
      <c r="Q1722">
        <v>2</v>
      </c>
      <c r="R1722">
        <v>35</v>
      </c>
      <c r="S1722">
        <v>11.723852659795721</v>
      </c>
      <c r="T1722">
        <v>0.97157191313230074</v>
      </c>
    </row>
    <row r="1723" spans="1:20" x14ac:dyDescent="0.25">
      <c r="A1723" t="s">
        <v>295</v>
      </c>
      <c r="B1723">
        <v>9</v>
      </c>
      <c r="C1723">
        <v>4</v>
      </c>
      <c r="D1723">
        <v>0</v>
      </c>
      <c r="E1723" t="s">
        <v>312</v>
      </c>
      <c r="F1723">
        <v>1939</v>
      </c>
      <c r="G1723">
        <v>7596454.1428571427</v>
      </c>
      <c r="H1723">
        <v>0.74624060307230267</v>
      </c>
      <c r="I1723">
        <v>0.91729323308270672</v>
      </c>
      <c r="J1723">
        <v>1016089</v>
      </c>
      <c r="K1723">
        <v>2955</v>
      </c>
      <c r="L1723">
        <v>2</v>
      </c>
      <c r="M1723">
        <v>36</v>
      </c>
      <c r="N1723">
        <v>0.92105263157894735</v>
      </c>
      <c r="O1723">
        <v>616944.85714285716</v>
      </c>
      <c r="P1723">
        <v>3111</v>
      </c>
      <c r="Q1723">
        <v>2</v>
      </c>
      <c r="R1723">
        <v>37</v>
      </c>
      <c r="S1723">
        <v>11.722460856311487</v>
      </c>
      <c r="T1723">
        <v>0.89297658205032349</v>
      </c>
    </row>
    <row r="1724" spans="1:20" x14ac:dyDescent="0.25">
      <c r="A1724" t="s">
        <v>295</v>
      </c>
      <c r="B1724">
        <v>9</v>
      </c>
      <c r="C1724">
        <v>4</v>
      </c>
      <c r="D1724">
        <v>0</v>
      </c>
      <c r="E1724" t="s">
        <v>300</v>
      </c>
      <c r="F1724">
        <v>2229</v>
      </c>
      <c r="G1724">
        <v>7473143</v>
      </c>
      <c r="H1724">
        <v>0.81286550230450105</v>
      </c>
      <c r="I1724">
        <v>0.92105263157894735</v>
      </c>
      <c r="J1724">
        <v>994133.07407407404</v>
      </c>
      <c r="K1724">
        <v>3435</v>
      </c>
      <c r="L1724">
        <v>2</v>
      </c>
      <c r="M1724">
        <v>39</v>
      </c>
      <c r="N1724">
        <v>0.92397660818713445</v>
      </c>
      <c r="O1724">
        <v>603463.8518518518</v>
      </c>
      <c r="P1724">
        <v>3603</v>
      </c>
      <c r="Q1724">
        <v>2</v>
      </c>
      <c r="R1724">
        <v>40</v>
      </c>
      <c r="S1724">
        <v>11.719162284343573</v>
      </c>
      <c r="T1724">
        <v>0.96488294922388518</v>
      </c>
    </row>
    <row r="1725" spans="1:20" x14ac:dyDescent="0.25">
      <c r="A1725" t="s">
        <v>295</v>
      </c>
      <c r="B1725">
        <v>9</v>
      </c>
      <c r="C1725">
        <v>4</v>
      </c>
      <c r="D1725">
        <v>0</v>
      </c>
      <c r="E1725" t="s">
        <v>298</v>
      </c>
      <c r="F1725">
        <v>2325</v>
      </c>
      <c r="G1725">
        <v>7279560.7857142854</v>
      </c>
      <c r="H1725">
        <v>0.87030075703348431</v>
      </c>
      <c r="I1725">
        <v>0.92857142857142849</v>
      </c>
      <c r="J1725">
        <v>732388.14285714284</v>
      </c>
      <c r="K1725">
        <v>3603</v>
      </c>
      <c r="L1725">
        <v>2</v>
      </c>
      <c r="M1725">
        <v>40</v>
      </c>
      <c r="N1725">
        <v>0.93609022556390975</v>
      </c>
      <c r="O1725">
        <v>511578.57142857142</v>
      </c>
      <c r="P1725">
        <v>3775</v>
      </c>
      <c r="Q1725">
        <v>2</v>
      </c>
      <c r="R1725">
        <v>41</v>
      </c>
      <c r="S1725">
        <v>11.717222939332473</v>
      </c>
      <c r="T1725">
        <v>0.96321070652741647</v>
      </c>
    </row>
    <row r="1726" spans="1:20" x14ac:dyDescent="0.25">
      <c r="A1726" t="s">
        <v>295</v>
      </c>
      <c r="B1726">
        <v>9</v>
      </c>
      <c r="C1726">
        <v>4</v>
      </c>
      <c r="D1726">
        <v>0</v>
      </c>
      <c r="E1726" t="s">
        <v>301</v>
      </c>
      <c r="F1726">
        <v>2711</v>
      </c>
      <c r="G1726">
        <v>7749605.0714285718</v>
      </c>
      <c r="H1726">
        <v>0.83458647131919861</v>
      </c>
      <c r="I1726">
        <v>0.93233082706766912</v>
      </c>
      <c r="J1726">
        <v>1135739.0714285714</v>
      </c>
      <c r="K1726">
        <v>4131</v>
      </c>
      <c r="L1726">
        <v>2</v>
      </c>
      <c r="M1726">
        <v>43</v>
      </c>
      <c r="N1726">
        <v>0.91917293233082709</v>
      </c>
      <c r="O1726">
        <v>945107.07142857148</v>
      </c>
      <c r="P1726">
        <v>4315</v>
      </c>
      <c r="Q1726">
        <v>2</v>
      </c>
      <c r="R1726">
        <v>44</v>
      </c>
      <c r="S1726">
        <v>11.715654657698332</v>
      </c>
      <c r="T1726">
        <v>0.94314381709465611</v>
      </c>
    </row>
    <row r="1727" spans="1:20" x14ac:dyDescent="0.25">
      <c r="A1727" t="s">
        <v>295</v>
      </c>
      <c r="B1727">
        <v>9</v>
      </c>
      <c r="C1727">
        <v>5</v>
      </c>
      <c r="D1727">
        <v>0</v>
      </c>
      <c r="E1727" t="s">
        <v>302</v>
      </c>
      <c r="F1727">
        <v>363</v>
      </c>
      <c r="G1727">
        <v>7697758.2142857146</v>
      </c>
      <c r="H1727">
        <v>0.81203007698059082</v>
      </c>
      <c r="I1727">
        <v>0.93045112781954886</v>
      </c>
      <c r="J1727">
        <v>997964.78571428568</v>
      </c>
      <c r="K1727">
        <v>535</v>
      </c>
      <c r="L1727">
        <v>2</v>
      </c>
      <c r="M1727">
        <v>14</v>
      </c>
      <c r="N1727">
        <v>0.91729323308270672</v>
      </c>
      <c r="O1727">
        <v>916958.14285714284</v>
      </c>
      <c r="P1727">
        <v>603</v>
      </c>
      <c r="Q1727">
        <v>2</v>
      </c>
      <c r="R1727">
        <v>15</v>
      </c>
      <c r="S1727">
        <v>11.713950276243095</v>
      </c>
      <c r="T1727">
        <v>0.94314382167962885</v>
      </c>
    </row>
    <row r="1728" spans="1:20" x14ac:dyDescent="0.25">
      <c r="A1728" t="s">
        <v>295</v>
      </c>
      <c r="B1728">
        <v>9</v>
      </c>
      <c r="C1728">
        <v>5</v>
      </c>
      <c r="D1728">
        <v>0</v>
      </c>
      <c r="E1728" t="s">
        <v>306</v>
      </c>
      <c r="F1728">
        <v>603</v>
      </c>
      <c r="G1728">
        <v>4571604.2142857146</v>
      </c>
      <c r="H1728">
        <v>0.87406016247613094</v>
      </c>
      <c r="I1728">
        <v>0.90977443609022557</v>
      </c>
      <c r="J1728">
        <v>400955.92857142858</v>
      </c>
      <c r="K1728">
        <v>915</v>
      </c>
      <c r="L1728">
        <v>2</v>
      </c>
      <c r="M1728">
        <v>19</v>
      </c>
      <c r="N1728">
        <v>0.92105263157894735</v>
      </c>
      <c r="O1728">
        <v>424053.71428571426</v>
      </c>
      <c r="P1728">
        <v>1003</v>
      </c>
      <c r="Q1728">
        <v>2</v>
      </c>
      <c r="R1728">
        <v>20</v>
      </c>
      <c r="S1728">
        <v>11.711972025397994</v>
      </c>
      <c r="T1728">
        <v>0.98662207676814151</v>
      </c>
    </row>
    <row r="1729" spans="1:20" x14ac:dyDescent="0.25">
      <c r="A1729" t="s">
        <v>295</v>
      </c>
      <c r="B1729">
        <v>9</v>
      </c>
      <c r="C1729">
        <v>5</v>
      </c>
      <c r="D1729">
        <v>0</v>
      </c>
      <c r="E1729" t="s">
        <v>303</v>
      </c>
      <c r="F1729">
        <v>759</v>
      </c>
      <c r="G1729">
        <v>4910195.0714285718</v>
      </c>
      <c r="H1729">
        <v>0.7857142857142857</v>
      </c>
      <c r="I1729">
        <v>0.92669172932330823</v>
      </c>
      <c r="J1729">
        <v>805087.35714285716</v>
      </c>
      <c r="K1729">
        <v>1191</v>
      </c>
      <c r="L1729">
        <v>2</v>
      </c>
      <c r="M1729">
        <v>22</v>
      </c>
      <c r="N1729">
        <v>0.92857142857142849</v>
      </c>
      <c r="O1729">
        <v>771448.35714285716</v>
      </c>
      <c r="P1729">
        <v>1291</v>
      </c>
      <c r="Q1729">
        <v>2</v>
      </c>
      <c r="R1729">
        <v>23</v>
      </c>
      <c r="S1729">
        <v>11.709950340261173</v>
      </c>
      <c r="T1729">
        <v>0.96655518733538115</v>
      </c>
    </row>
    <row r="1730" spans="1:20" x14ac:dyDescent="0.25">
      <c r="A1730" t="s">
        <v>295</v>
      </c>
      <c r="B1730">
        <v>9</v>
      </c>
      <c r="C1730">
        <v>5</v>
      </c>
      <c r="D1730">
        <v>0</v>
      </c>
      <c r="E1730" t="s">
        <v>310</v>
      </c>
      <c r="F1730">
        <v>843</v>
      </c>
      <c r="G1730">
        <v>7021003.2857142854</v>
      </c>
      <c r="H1730">
        <v>0.68421053460666115</v>
      </c>
      <c r="I1730">
        <v>0.93233082706766912</v>
      </c>
      <c r="J1730">
        <v>732899.78571428568</v>
      </c>
      <c r="K1730">
        <v>1291</v>
      </c>
      <c r="L1730">
        <v>2</v>
      </c>
      <c r="M1730">
        <v>23</v>
      </c>
      <c r="N1730">
        <v>0.9229323308270676</v>
      </c>
      <c r="O1730">
        <v>720204</v>
      </c>
      <c r="P1730">
        <v>1395</v>
      </c>
      <c r="Q1730">
        <v>2</v>
      </c>
      <c r="R1730">
        <v>24</v>
      </c>
      <c r="S1730">
        <v>11.708161014612628</v>
      </c>
      <c r="T1730">
        <v>0.93311037925573492</v>
      </c>
    </row>
    <row r="1731" spans="1:20" x14ac:dyDescent="0.25">
      <c r="A1731" t="s">
        <v>295</v>
      </c>
      <c r="B1731">
        <v>9</v>
      </c>
      <c r="C1731">
        <v>5</v>
      </c>
      <c r="D1731">
        <v>0</v>
      </c>
      <c r="E1731" t="s">
        <v>304</v>
      </c>
      <c r="F1731">
        <v>999</v>
      </c>
      <c r="G1731">
        <v>4754619.6428571427</v>
      </c>
      <c r="H1731">
        <v>0.87218045762607033</v>
      </c>
      <c r="I1731">
        <v>0.91917293233082709</v>
      </c>
      <c r="J1731">
        <v>783664.28571428568</v>
      </c>
      <c r="K1731">
        <v>1615</v>
      </c>
      <c r="L1731">
        <v>2</v>
      </c>
      <c r="M1731">
        <v>26</v>
      </c>
      <c r="N1731">
        <v>0.92669172932330823</v>
      </c>
      <c r="O1731">
        <v>1066962</v>
      </c>
      <c r="P1731">
        <v>1731</v>
      </c>
      <c r="Q1731">
        <v>2</v>
      </c>
      <c r="R1731">
        <v>27</v>
      </c>
      <c r="S1731">
        <v>11.706052534900808</v>
      </c>
      <c r="T1731">
        <v>0.93979933628669154</v>
      </c>
    </row>
    <row r="1732" spans="1:20" x14ac:dyDescent="0.25">
      <c r="A1732" t="s">
        <v>295</v>
      </c>
      <c r="B1732">
        <v>9</v>
      </c>
      <c r="C1732">
        <v>5</v>
      </c>
      <c r="D1732">
        <v>0</v>
      </c>
      <c r="E1732" t="s">
        <v>313</v>
      </c>
      <c r="F1732">
        <v>1083</v>
      </c>
      <c r="G1732">
        <v>6996759.3703703703</v>
      </c>
      <c r="H1732">
        <v>0.81871345308091903</v>
      </c>
      <c r="I1732">
        <v>0.91910331384015598</v>
      </c>
      <c r="J1732">
        <v>528889.59259259258</v>
      </c>
      <c r="K1732">
        <v>1731</v>
      </c>
      <c r="L1732">
        <v>2</v>
      </c>
      <c r="M1732">
        <v>27</v>
      </c>
      <c r="N1732">
        <v>0.92397660818713445</v>
      </c>
      <c r="O1732">
        <v>685216.03703703708</v>
      </c>
      <c r="P1732">
        <v>1851</v>
      </c>
      <c r="Q1732">
        <v>2</v>
      </c>
      <c r="R1732">
        <v>28</v>
      </c>
      <c r="S1732">
        <v>11.702059349630785</v>
      </c>
      <c r="T1732">
        <v>0.93979933857917786</v>
      </c>
    </row>
    <row r="1733" spans="1:20" x14ac:dyDescent="0.25">
      <c r="A1733" t="s">
        <v>295</v>
      </c>
      <c r="B1733">
        <v>9</v>
      </c>
      <c r="C1733">
        <v>5</v>
      </c>
      <c r="D1733">
        <v>0</v>
      </c>
      <c r="E1733" t="s">
        <v>305</v>
      </c>
      <c r="F1733">
        <v>1239</v>
      </c>
      <c r="G1733">
        <v>4754677.7142857146</v>
      </c>
      <c r="H1733">
        <v>0.84962405902998783</v>
      </c>
      <c r="I1733">
        <v>0.9229323308270676</v>
      </c>
      <c r="J1733">
        <v>1012147.1428571428</v>
      </c>
      <c r="K1733">
        <v>1975</v>
      </c>
      <c r="L1733">
        <v>2</v>
      </c>
      <c r="M1733">
        <v>29</v>
      </c>
      <c r="N1733">
        <v>0.9229323308270676</v>
      </c>
      <c r="O1733">
        <v>992568.57142857148</v>
      </c>
      <c r="P1733">
        <v>2103</v>
      </c>
      <c r="Q1733">
        <v>2</v>
      </c>
      <c r="R1733">
        <v>30</v>
      </c>
      <c r="S1733">
        <v>11.699821240317183</v>
      </c>
      <c r="T1733">
        <v>0.95986623030442453</v>
      </c>
    </row>
    <row r="1734" spans="1:20" x14ac:dyDescent="0.25">
      <c r="A1734" t="s">
        <v>295</v>
      </c>
      <c r="B1734">
        <v>9</v>
      </c>
      <c r="C1734">
        <v>5</v>
      </c>
      <c r="D1734">
        <v>0</v>
      </c>
      <c r="E1734" t="s">
        <v>308</v>
      </c>
      <c r="F1734">
        <v>1341</v>
      </c>
      <c r="G1734">
        <v>8366993.9285714282</v>
      </c>
      <c r="H1734">
        <v>0.7387218070881707</v>
      </c>
      <c r="I1734">
        <v>0.91541353383458646</v>
      </c>
      <c r="J1734">
        <v>787229</v>
      </c>
      <c r="K1734">
        <v>2103</v>
      </c>
      <c r="L1734">
        <v>2</v>
      </c>
      <c r="M1734">
        <v>30</v>
      </c>
      <c r="N1734">
        <v>0.91729323308270672</v>
      </c>
      <c r="O1734">
        <v>891615.78571428568</v>
      </c>
      <c r="P1734">
        <v>2235</v>
      </c>
      <c r="Q1734">
        <v>2</v>
      </c>
      <c r="R1734">
        <v>31</v>
      </c>
      <c r="S1734">
        <v>11.698593742842746</v>
      </c>
      <c r="T1734">
        <v>0.89966555283619809</v>
      </c>
    </row>
    <row r="1735" spans="1:20" x14ac:dyDescent="0.25">
      <c r="A1735" t="s">
        <v>295</v>
      </c>
      <c r="B1735">
        <v>9</v>
      </c>
      <c r="C1735">
        <v>5</v>
      </c>
      <c r="D1735">
        <v>0</v>
      </c>
      <c r="E1735" t="s">
        <v>296</v>
      </c>
      <c r="F1735">
        <v>1581</v>
      </c>
      <c r="G1735">
        <v>6950274.777777778</v>
      </c>
      <c r="H1735">
        <v>0.68128655078234501</v>
      </c>
      <c r="I1735">
        <v>0.92007797270955161</v>
      </c>
      <c r="J1735">
        <v>833233</v>
      </c>
      <c r="K1735">
        <v>2511</v>
      </c>
      <c r="L1735">
        <v>2</v>
      </c>
      <c r="M1735">
        <v>33</v>
      </c>
      <c r="N1735">
        <v>0.92592592592592593</v>
      </c>
      <c r="O1735">
        <v>870574.18518518517</v>
      </c>
      <c r="P1735">
        <v>2655</v>
      </c>
      <c r="Q1735">
        <v>2</v>
      </c>
      <c r="R1735">
        <v>34</v>
      </c>
      <c r="S1735">
        <v>11.694802818190137</v>
      </c>
      <c r="T1735">
        <v>0.87290969720253575</v>
      </c>
    </row>
    <row r="1736" spans="1:20" x14ac:dyDescent="0.25">
      <c r="A1736" t="s">
        <v>295</v>
      </c>
      <c r="B1736">
        <v>9</v>
      </c>
      <c r="C1736">
        <v>5</v>
      </c>
      <c r="D1736">
        <v>0</v>
      </c>
      <c r="E1736" t="s">
        <v>309</v>
      </c>
      <c r="F1736">
        <v>1649</v>
      </c>
      <c r="G1736">
        <v>7428717.2142857146</v>
      </c>
      <c r="H1736">
        <v>0.77255639220987049</v>
      </c>
      <c r="I1736">
        <v>0.92481203007518797</v>
      </c>
      <c r="J1736">
        <v>893081.42857142852</v>
      </c>
      <c r="K1736">
        <v>2655</v>
      </c>
      <c r="L1736">
        <v>2</v>
      </c>
      <c r="M1736">
        <v>34</v>
      </c>
      <c r="N1736">
        <v>0.92105263157894735</v>
      </c>
      <c r="O1736">
        <v>847330.42857142852</v>
      </c>
      <c r="P1736">
        <v>2803</v>
      </c>
      <c r="Q1736">
        <v>2</v>
      </c>
      <c r="R1736">
        <v>35</v>
      </c>
      <c r="S1736">
        <v>11.692803584491587</v>
      </c>
      <c r="T1736">
        <v>0.93311037008578956</v>
      </c>
    </row>
    <row r="1737" spans="1:20" x14ac:dyDescent="0.25">
      <c r="A1737" t="s">
        <v>295</v>
      </c>
      <c r="B1737">
        <v>9</v>
      </c>
      <c r="C1737">
        <v>5</v>
      </c>
      <c r="D1737">
        <v>0</v>
      </c>
      <c r="E1737" t="s">
        <v>299</v>
      </c>
      <c r="F1737">
        <v>1855</v>
      </c>
      <c r="G1737">
        <v>7765843.666666667</v>
      </c>
      <c r="H1737">
        <v>0.75438596584178785</v>
      </c>
      <c r="I1737">
        <v>0.92300194931773871</v>
      </c>
      <c r="J1737">
        <v>954940.07407407404</v>
      </c>
      <c r="K1737">
        <v>2955</v>
      </c>
      <c r="L1737">
        <v>2</v>
      </c>
      <c r="M1737">
        <v>36</v>
      </c>
      <c r="N1737">
        <v>0.92105263157894735</v>
      </c>
      <c r="O1737">
        <v>1094624.4814814816</v>
      </c>
      <c r="P1737">
        <v>3111</v>
      </c>
      <c r="Q1737">
        <v>2</v>
      </c>
      <c r="R1737">
        <v>37</v>
      </c>
      <c r="S1737">
        <v>11.689163888762044</v>
      </c>
      <c r="T1737">
        <v>0.93311037237827599</v>
      </c>
    </row>
    <row r="1738" spans="1:20" x14ac:dyDescent="0.25">
      <c r="A1738" t="s">
        <v>295</v>
      </c>
      <c r="B1738">
        <v>9</v>
      </c>
      <c r="C1738">
        <v>5</v>
      </c>
      <c r="D1738">
        <v>0</v>
      </c>
      <c r="E1738" t="s">
        <v>312</v>
      </c>
      <c r="F1738">
        <v>2059</v>
      </c>
      <c r="G1738">
        <v>7054971.5714285718</v>
      </c>
      <c r="H1738">
        <v>0.72368420873369488</v>
      </c>
      <c r="I1738">
        <v>0.91729323308270672</v>
      </c>
      <c r="J1738">
        <v>1059747</v>
      </c>
      <c r="K1738">
        <v>3271</v>
      </c>
      <c r="L1738">
        <v>2</v>
      </c>
      <c r="M1738">
        <v>38</v>
      </c>
      <c r="N1738">
        <v>0.92105263157894735</v>
      </c>
      <c r="O1738">
        <v>820510.78571428568</v>
      </c>
      <c r="P1738">
        <v>3435</v>
      </c>
      <c r="Q1738">
        <v>2</v>
      </c>
      <c r="R1738">
        <v>39</v>
      </c>
      <c r="S1738">
        <v>11.686670013234153</v>
      </c>
      <c r="T1738">
        <v>0.8628762501936692</v>
      </c>
    </row>
    <row r="1739" spans="1:20" x14ac:dyDescent="0.25">
      <c r="A1739" t="s">
        <v>295</v>
      </c>
      <c r="B1739">
        <v>9</v>
      </c>
      <c r="C1739">
        <v>5</v>
      </c>
      <c r="D1739">
        <v>0</v>
      </c>
      <c r="E1739" t="s">
        <v>300</v>
      </c>
      <c r="F1739">
        <v>2367</v>
      </c>
      <c r="G1739">
        <v>8075951.2962962966</v>
      </c>
      <c r="H1739">
        <v>0.76608187677683659</v>
      </c>
      <c r="I1739">
        <v>0.91423001949317739</v>
      </c>
      <c r="J1739">
        <v>857892.18518518517</v>
      </c>
      <c r="K1739">
        <v>3775</v>
      </c>
      <c r="L1739">
        <v>2</v>
      </c>
      <c r="M1739">
        <v>41</v>
      </c>
      <c r="N1739">
        <v>0.92495126705653019</v>
      </c>
      <c r="O1739">
        <v>925325.74074074079</v>
      </c>
      <c r="P1739">
        <v>3951</v>
      </c>
      <c r="Q1739">
        <v>2</v>
      </c>
      <c r="R1739">
        <v>42</v>
      </c>
      <c r="S1739">
        <v>11.683272561531449</v>
      </c>
      <c r="T1739">
        <v>0.93812709588270926</v>
      </c>
    </row>
    <row r="1740" spans="1:20" x14ac:dyDescent="0.25">
      <c r="A1740" t="s">
        <v>295</v>
      </c>
      <c r="B1740">
        <v>9</v>
      </c>
      <c r="C1740">
        <v>5</v>
      </c>
      <c r="D1740">
        <v>0</v>
      </c>
      <c r="E1740" t="s">
        <v>298</v>
      </c>
      <c r="F1740">
        <v>2469</v>
      </c>
      <c r="G1740">
        <v>8382755.5714285718</v>
      </c>
      <c r="H1740">
        <v>0.74060150342328213</v>
      </c>
      <c r="I1740">
        <v>0.93045112781954886</v>
      </c>
      <c r="J1740">
        <v>935471.21428571432</v>
      </c>
      <c r="K1740">
        <v>3951</v>
      </c>
      <c r="L1740">
        <v>2</v>
      </c>
      <c r="M1740">
        <v>42</v>
      </c>
      <c r="N1740">
        <v>0.92105263157894735</v>
      </c>
      <c r="O1740">
        <v>887412.07142857148</v>
      </c>
      <c r="P1740">
        <v>4131</v>
      </c>
      <c r="Q1740">
        <v>2</v>
      </c>
      <c r="R1740">
        <v>43</v>
      </c>
      <c r="S1740">
        <v>11.681470347089368</v>
      </c>
      <c r="T1740">
        <v>0.89966555283619809</v>
      </c>
    </row>
    <row r="1741" spans="1:20" x14ac:dyDescent="0.25">
      <c r="A1741" t="s">
        <v>295</v>
      </c>
      <c r="B1741">
        <v>9</v>
      </c>
      <c r="C1741">
        <v>5</v>
      </c>
      <c r="D1741">
        <v>0</v>
      </c>
      <c r="E1741" t="s">
        <v>301</v>
      </c>
      <c r="F1741">
        <v>2879</v>
      </c>
      <c r="G1741">
        <v>7433270.7142857146</v>
      </c>
      <c r="H1741">
        <v>0.79699249352727619</v>
      </c>
      <c r="I1741">
        <v>0.93045112781954886</v>
      </c>
      <c r="J1741">
        <v>919749.07142857148</v>
      </c>
      <c r="K1741">
        <v>4695</v>
      </c>
      <c r="L1741">
        <v>2</v>
      </c>
      <c r="M1741">
        <v>46</v>
      </c>
      <c r="N1741">
        <v>0.92669172932330823</v>
      </c>
      <c r="O1741">
        <v>666139.5</v>
      </c>
      <c r="P1741">
        <v>4891</v>
      </c>
      <c r="Q1741">
        <v>2</v>
      </c>
      <c r="R1741">
        <v>47</v>
      </c>
      <c r="S1741">
        <v>11.679306263656228</v>
      </c>
      <c r="T1741">
        <v>0.9565217403265146</v>
      </c>
    </row>
    <row r="1742" spans="1:20" x14ac:dyDescent="0.25">
      <c r="A1742" t="s">
        <v>314</v>
      </c>
      <c r="B1742">
        <v>3</v>
      </c>
      <c r="C1742">
        <v>2</v>
      </c>
      <c r="D1742">
        <v>0</v>
      </c>
      <c r="E1742" t="s">
        <v>360</v>
      </c>
      <c r="F1742">
        <v>1164</v>
      </c>
      <c r="G1742">
        <v>7933622</v>
      </c>
      <c r="H1742">
        <v>0.80697577340262272</v>
      </c>
      <c r="I1742">
        <v>0.9028822055137844</v>
      </c>
      <c r="J1742">
        <v>1083406.142857143</v>
      </c>
      <c r="K1742">
        <v>1849</v>
      </c>
      <c r="L1742">
        <v>2</v>
      </c>
      <c r="M1742">
        <v>26</v>
      </c>
      <c r="N1742">
        <v>0.92815371762740184</v>
      </c>
      <c r="O1742">
        <v>1017511</v>
      </c>
      <c r="P1742">
        <v>1974</v>
      </c>
      <c r="Q1742">
        <v>2</v>
      </c>
      <c r="R1742">
        <v>27</v>
      </c>
      <c r="S1742">
        <v>11.677281412064417</v>
      </c>
      <c r="T1742">
        <v>0.95751270422568691</v>
      </c>
    </row>
    <row r="1743" spans="1:20" x14ac:dyDescent="0.25">
      <c r="A1743" t="s">
        <v>314</v>
      </c>
      <c r="B1743">
        <v>3</v>
      </c>
      <c r="C1743">
        <v>2</v>
      </c>
      <c r="D1743">
        <v>0</v>
      </c>
      <c r="E1743" t="s">
        <v>315</v>
      </c>
      <c r="F1743">
        <v>1422</v>
      </c>
      <c r="G1743">
        <v>2985941.1666666665</v>
      </c>
      <c r="H1743">
        <v>0.9481481512387594</v>
      </c>
      <c r="I1743">
        <v>0.6777777777777777</v>
      </c>
      <c r="J1743">
        <v>219239.33333333334</v>
      </c>
      <c r="K1743">
        <v>2236</v>
      </c>
      <c r="L1743">
        <v>2</v>
      </c>
      <c r="M1743">
        <v>29</v>
      </c>
      <c r="N1743">
        <v>0.70370370370370372</v>
      </c>
      <c r="O1743">
        <v>174499.33333333334</v>
      </c>
      <c r="P1743">
        <v>2373</v>
      </c>
      <c r="Q1743">
        <v>2</v>
      </c>
      <c r="R1743">
        <v>30</v>
      </c>
      <c r="S1743">
        <v>11.676687283973076</v>
      </c>
      <c r="T1743">
        <v>0.92592591047286987</v>
      </c>
    </row>
    <row r="1744" spans="1:20" x14ac:dyDescent="0.25">
      <c r="A1744" t="s">
        <v>314</v>
      </c>
      <c r="B1744">
        <v>3</v>
      </c>
      <c r="C1744">
        <v>2</v>
      </c>
      <c r="D1744">
        <v>0</v>
      </c>
      <c r="E1744" t="s">
        <v>324</v>
      </c>
      <c r="F1744">
        <v>1680</v>
      </c>
      <c r="G1744">
        <v>4445683</v>
      </c>
      <c r="H1744">
        <v>0.90740741292635596</v>
      </c>
      <c r="I1744">
        <v>0.71481481481481479</v>
      </c>
      <c r="J1744">
        <v>180685</v>
      </c>
      <c r="K1744">
        <v>2659</v>
      </c>
      <c r="L1744">
        <v>2</v>
      </c>
      <c r="M1744">
        <v>32</v>
      </c>
      <c r="N1744">
        <v>0.68148148148148147</v>
      </c>
      <c r="O1744">
        <v>179754.5</v>
      </c>
      <c r="P1744">
        <v>2808</v>
      </c>
      <c r="Q1744">
        <v>2</v>
      </c>
      <c r="R1744">
        <v>33</v>
      </c>
      <c r="S1744">
        <v>11.677048285896154</v>
      </c>
      <c r="T1744">
        <v>0.94814815521240237</v>
      </c>
    </row>
    <row r="1745" spans="1:20" x14ac:dyDescent="0.25">
      <c r="A1745" t="s">
        <v>314</v>
      </c>
      <c r="B1745">
        <v>3</v>
      </c>
      <c r="C1745">
        <v>2</v>
      </c>
      <c r="D1745">
        <v>0</v>
      </c>
      <c r="E1745" t="s">
        <v>332</v>
      </c>
      <c r="F1745">
        <v>1938</v>
      </c>
      <c r="G1745">
        <v>2587454.5</v>
      </c>
      <c r="H1745">
        <v>0.93333333730697632</v>
      </c>
      <c r="I1745">
        <v>0.76296296296296295</v>
      </c>
      <c r="J1745">
        <v>194307.83333333334</v>
      </c>
      <c r="K1745">
        <v>3118</v>
      </c>
      <c r="L1745">
        <v>2</v>
      </c>
      <c r="M1745">
        <v>35</v>
      </c>
      <c r="N1745">
        <v>0.66666666666666663</v>
      </c>
      <c r="O1745">
        <v>191661.66666666666</v>
      </c>
      <c r="P1745">
        <v>3279</v>
      </c>
      <c r="Q1745">
        <v>2</v>
      </c>
      <c r="R1745">
        <v>36</v>
      </c>
      <c r="S1745">
        <v>11.676272727272726</v>
      </c>
      <c r="T1745">
        <v>0.97777779102325435</v>
      </c>
    </row>
    <row r="1746" spans="1:20" x14ac:dyDescent="0.25">
      <c r="A1746" t="s">
        <v>314</v>
      </c>
      <c r="B1746">
        <v>3</v>
      </c>
      <c r="C1746">
        <v>2</v>
      </c>
      <c r="D1746">
        <v>0</v>
      </c>
      <c r="E1746" t="s">
        <v>339</v>
      </c>
      <c r="F1746">
        <v>2196</v>
      </c>
      <c r="G1746">
        <v>3530282</v>
      </c>
      <c r="H1746">
        <v>0.96296296517054236</v>
      </c>
      <c r="I1746">
        <v>0.65925925925925921</v>
      </c>
      <c r="J1746">
        <v>197801.5</v>
      </c>
      <c r="K1746">
        <v>3444</v>
      </c>
      <c r="L1746">
        <v>2</v>
      </c>
      <c r="M1746">
        <v>37</v>
      </c>
      <c r="N1746">
        <v>0.68888888888888888</v>
      </c>
      <c r="O1746">
        <v>174850.33333333334</v>
      </c>
      <c r="P1746">
        <v>3613</v>
      </c>
      <c r="Q1746">
        <v>2</v>
      </c>
      <c r="R1746">
        <v>38</v>
      </c>
      <c r="S1746">
        <v>11.675679360174497</v>
      </c>
      <c r="T1746">
        <v>0.97037037611007693</v>
      </c>
    </row>
    <row r="1747" spans="1:20" x14ac:dyDescent="0.25">
      <c r="A1747" t="s">
        <v>314</v>
      </c>
      <c r="B1747">
        <v>3</v>
      </c>
      <c r="C1747">
        <v>2</v>
      </c>
      <c r="D1747">
        <v>0</v>
      </c>
      <c r="E1747" t="s">
        <v>348</v>
      </c>
      <c r="F1747">
        <v>2454</v>
      </c>
      <c r="G1747">
        <v>2320719</v>
      </c>
      <c r="H1747">
        <v>0.9407407442728678</v>
      </c>
      <c r="I1747">
        <v>0.59259259259259256</v>
      </c>
      <c r="J1747">
        <v>184668.16666666666</v>
      </c>
      <c r="K1747">
        <v>3963</v>
      </c>
      <c r="L1747">
        <v>2</v>
      </c>
      <c r="M1747">
        <v>40</v>
      </c>
      <c r="N1747">
        <v>0.7407407407407407</v>
      </c>
      <c r="O1747">
        <v>190337</v>
      </c>
      <c r="P1747">
        <v>4144</v>
      </c>
      <c r="Q1747">
        <v>2</v>
      </c>
      <c r="R1747">
        <v>41</v>
      </c>
      <c r="S1747">
        <v>11.674722878429947</v>
      </c>
      <c r="T1747">
        <v>0.97037037611007693</v>
      </c>
    </row>
    <row r="1748" spans="1:20" x14ac:dyDescent="0.25">
      <c r="A1748" t="s">
        <v>314</v>
      </c>
      <c r="B1748">
        <v>3</v>
      </c>
      <c r="C1748">
        <v>2</v>
      </c>
      <c r="D1748">
        <v>0</v>
      </c>
      <c r="E1748" t="s">
        <v>356</v>
      </c>
      <c r="F1748">
        <v>2712</v>
      </c>
      <c r="G1748">
        <v>3664624.8333333335</v>
      </c>
      <c r="H1748">
        <v>0.91481481989224755</v>
      </c>
      <c r="I1748">
        <v>0.70370370370370372</v>
      </c>
      <c r="J1748">
        <v>209242</v>
      </c>
      <c r="K1748">
        <v>4329</v>
      </c>
      <c r="L1748">
        <v>2</v>
      </c>
      <c r="M1748">
        <v>42</v>
      </c>
      <c r="N1748">
        <v>0.68148148148148147</v>
      </c>
      <c r="O1748">
        <v>187448.66666666666</v>
      </c>
      <c r="P1748">
        <v>4518</v>
      </c>
      <c r="Q1748">
        <v>2</v>
      </c>
      <c r="R1748">
        <v>43</v>
      </c>
      <c r="S1748">
        <v>11.674402761377054</v>
      </c>
      <c r="T1748">
        <v>0.97037037611007693</v>
      </c>
    </row>
    <row r="1749" spans="1:20" x14ac:dyDescent="0.25">
      <c r="A1749" t="s">
        <v>314</v>
      </c>
      <c r="B1749">
        <v>3</v>
      </c>
      <c r="C1749">
        <v>2</v>
      </c>
      <c r="D1749">
        <v>0</v>
      </c>
      <c r="E1749" t="s">
        <v>357</v>
      </c>
      <c r="F1749">
        <v>2970</v>
      </c>
      <c r="G1749">
        <v>2736460.5</v>
      </c>
      <c r="H1749">
        <v>0.9407407442728678</v>
      </c>
      <c r="I1749">
        <v>0.71111111111111114</v>
      </c>
      <c r="J1749">
        <v>214060.83333333334</v>
      </c>
      <c r="K1749">
        <v>4711</v>
      </c>
      <c r="L1749">
        <v>2</v>
      </c>
      <c r="M1749">
        <v>44</v>
      </c>
      <c r="N1749">
        <v>0.76296296296296295</v>
      </c>
      <c r="O1749">
        <v>191990.16666666666</v>
      </c>
      <c r="P1749">
        <v>4908</v>
      </c>
      <c r="Q1749">
        <v>2</v>
      </c>
      <c r="R1749">
        <v>45</v>
      </c>
      <c r="S1749">
        <v>11.673583363603342</v>
      </c>
      <c r="T1749">
        <v>0.96296296119689939</v>
      </c>
    </row>
    <row r="1750" spans="1:20" x14ac:dyDescent="0.25">
      <c r="A1750" t="s">
        <v>314</v>
      </c>
      <c r="B1750">
        <v>3</v>
      </c>
      <c r="C1750">
        <v>2</v>
      </c>
      <c r="D1750">
        <v>0</v>
      </c>
      <c r="E1750" t="s">
        <v>316</v>
      </c>
      <c r="F1750">
        <v>3045</v>
      </c>
      <c r="G1750">
        <v>2600628</v>
      </c>
      <c r="H1750">
        <v>0.92222222685813904</v>
      </c>
      <c r="I1750">
        <v>0.625925925925926</v>
      </c>
      <c r="J1750">
        <v>210903.16666666666</v>
      </c>
      <c r="K1750">
        <v>4908</v>
      </c>
      <c r="L1750">
        <v>2</v>
      </c>
      <c r="M1750">
        <v>45</v>
      </c>
      <c r="N1750">
        <v>0.84444444444444444</v>
      </c>
      <c r="O1750">
        <v>205786</v>
      </c>
      <c r="P1750">
        <v>5109</v>
      </c>
      <c r="Q1750">
        <v>2</v>
      </c>
      <c r="R1750">
        <v>46</v>
      </c>
      <c r="S1750">
        <v>11.672628234226055</v>
      </c>
      <c r="T1750">
        <v>0.94074076414108276</v>
      </c>
    </row>
    <row r="1751" spans="1:20" x14ac:dyDescent="0.25">
      <c r="A1751" t="s">
        <v>314</v>
      </c>
      <c r="B1751">
        <v>3</v>
      </c>
      <c r="C1751">
        <v>2</v>
      </c>
      <c r="D1751">
        <v>0</v>
      </c>
      <c r="E1751" t="s">
        <v>358</v>
      </c>
      <c r="F1751">
        <v>3228</v>
      </c>
      <c r="G1751">
        <v>4937531.166666667</v>
      </c>
      <c r="H1751">
        <v>0.91111111640930176</v>
      </c>
      <c r="I1751">
        <v>0.64814814814814814</v>
      </c>
      <c r="J1751">
        <v>231800.66666666666</v>
      </c>
      <c r="K1751">
        <v>5109</v>
      </c>
      <c r="L1751">
        <v>2</v>
      </c>
      <c r="M1751">
        <v>46</v>
      </c>
      <c r="N1751">
        <v>0.63703703703703707</v>
      </c>
      <c r="O1751">
        <v>203424.33333333334</v>
      </c>
      <c r="P1751">
        <v>5314</v>
      </c>
      <c r="Q1751">
        <v>2</v>
      </c>
      <c r="R1751">
        <v>47</v>
      </c>
      <c r="S1751">
        <v>11.671945906698131</v>
      </c>
      <c r="T1751">
        <v>0.93333333730697632</v>
      </c>
    </row>
    <row r="1752" spans="1:20" x14ac:dyDescent="0.25">
      <c r="A1752" t="s">
        <v>314</v>
      </c>
      <c r="B1752">
        <v>3</v>
      </c>
      <c r="C1752">
        <v>2</v>
      </c>
      <c r="D1752">
        <v>0</v>
      </c>
      <c r="E1752" t="s">
        <v>317</v>
      </c>
      <c r="F1752">
        <v>3303</v>
      </c>
      <c r="G1752">
        <v>4110432.3333333335</v>
      </c>
      <c r="H1752">
        <v>0.92962963382403052</v>
      </c>
      <c r="I1752">
        <v>0.68518518518518512</v>
      </c>
      <c r="J1752">
        <v>245565.5</v>
      </c>
      <c r="K1752">
        <v>5314</v>
      </c>
      <c r="L1752">
        <v>2</v>
      </c>
      <c r="M1752">
        <v>47</v>
      </c>
      <c r="N1752">
        <v>0.71111111111111114</v>
      </c>
      <c r="O1752">
        <v>225052.66666666666</v>
      </c>
      <c r="P1752">
        <v>5523</v>
      </c>
      <c r="Q1752">
        <v>2</v>
      </c>
      <c r="R1752">
        <v>48</v>
      </c>
      <c r="S1752">
        <v>11.671581526177297</v>
      </c>
      <c r="T1752">
        <v>0.99259259700775149</v>
      </c>
    </row>
    <row r="1753" spans="1:20" x14ac:dyDescent="0.25">
      <c r="A1753" t="s">
        <v>314</v>
      </c>
      <c r="B1753">
        <v>3</v>
      </c>
      <c r="C1753">
        <v>2</v>
      </c>
      <c r="D1753">
        <v>0</v>
      </c>
      <c r="E1753" t="s">
        <v>359</v>
      </c>
      <c r="F1753">
        <v>3486</v>
      </c>
      <c r="G1753">
        <v>7738488.666666667</v>
      </c>
      <c r="H1753">
        <v>0.85555556416511536</v>
      </c>
      <c r="I1753">
        <v>0.7407407407407407</v>
      </c>
      <c r="J1753">
        <v>268166.33333333331</v>
      </c>
      <c r="K1753">
        <v>5523</v>
      </c>
      <c r="L1753">
        <v>2</v>
      </c>
      <c r="M1753">
        <v>48</v>
      </c>
      <c r="N1753">
        <v>0.73703703703703705</v>
      </c>
      <c r="O1753">
        <v>238974.5</v>
      </c>
      <c r="P1753">
        <v>5736</v>
      </c>
      <c r="Q1753">
        <v>2</v>
      </c>
      <c r="R1753">
        <v>49</v>
      </c>
      <c r="S1753">
        <v>11.67198838896952</v>
      </c>
      <c r="T1753">
        <v>0.91111111640930176</v>
      </c>
    </row>
    <row r="1754" spans="1:20" x14ac:dyDescent="0.25">
      <c r="A1754" t="s">
        <v>314</v>
      </c>
      <c r="B1754">
        <v>3</v>
      </c>
      <c r="C1754">
        <v>2</v>
      </c>
      <c r="D1754">
        <v>0</v>
      </c>
      <c r="E1754" t="s">
        <v>318</v>
      </c>
      <c r="F1754">
        <v>3561</v>
      </c>
      <c r="G1754">
        <v>4878742.7272727275</v>
      </c>
      <c r="H1754">
        <v>0.85252525860613038</v>
      </c>
      <c r="I1754">
        <v>0.69696969696969691</v>
      </c>
      <c r="J1754">
        <v>235149.09090909091</v>
      </c>
      <c r="K1754">
        <v>5736</v>
      </c>
      <c r="L1754">
        <v>2</v>
      </c>
      <c r="M1754">
        <v>49</v>
      </c>
      <c r="N1754">
        <v>0.74949494949494944</v>
      </c>
      <c r="O1754">
        <v>222538.81818181818</v>
      </c>
      <c r="P1754">
        <v>5953</v>
      </c>
      <c r="Q1754">
        <v>2</v>
      </c>
      <c r="R1754">
        <v>50</v>
      </c>
      <c r="S1754">
        <v>11.670837299968268</v>
      </c>
      <c r="T1754">
        <v>0.88518518805503843</v>
      </c>
    </row>
    <row r="1755" spans="1:20" x14ac:dyDescent="0.25">
      <c r="A1755" t="s">
        <v>314</v>
      </c>
      <c r="B1755">
        <v>3</v>
      </c>
      <c r="C1755">
        <v>2</v>
      </c>
      <c r="D1755">
        <v>0</v>
      </c>
      <c r="E1755" t="s">
        <v>326</v>
      </c>
      <c r="F1755">
        <v>3753</v>
      </c>
      <c r="G1755">
        <v>6325081.666666667</v>
      </c>
      <c r="H1755">
        <v>0.90740741292635596</v>
      </c>
      <c r="I1755">
        <v>0.66296296296296298</v>
      </c>
      <c r="J1755">
        <v>285081.66666666669</v>
      </c>
      <c r="K1755">
        <v>5953</v>
      </c>
      <c r="L1755">
        <v>2</v>
      </c>
      <c r="M1755">
        <v>50</v>
      </c>
      <c r="N1755">
        <v>0.7407407407407407</v>
      </c>
      <c r="O1755">
        <v>253959.5</v>
      </c>
      <c r="P1755">
        <v>6174</v>
      </c>
      <c r="Q1755">
        <v>2</v>
      </c>
      <c r="R1755">
        <v>51</v>
      </c>
      <c r="S1755">
        <v>11.670382959438024</v>
      </c>
      <c r="T1755">
        <v>0.92592592239379878</v>
      </c>
    </row>
    <row r="1756" spans="1:20" x14ac:dyDescent="0.25">
      <c r="A1756" t="s">
        <v>314</v>
      </c>
      <c r="B1756">
        <v>3</v>
      </c>
      <c r="C1756">
        <v>2</v>
      </c>
      <c r="D1756">
        <v>0</v>
      </c>
      <c r="E1756" t="s">
        <v>319</v>
      </c>
      <c r="F1756">
        <v>3819</v>
      </c>
      <c r="G1756">
        <v>7727787.666666667</v>
      </c>
      <c r="H1756">
        <v>0.91111111640930176</v>
      </c>
      <c r="I1756">
        <v>0.70370370370370372</v>
      </c>
      <c r="J1756">
        <v>281151.33333333331</v>
      </c>
      <c r="K1756">
        <v>6174</v>
      </c>
      <c r="L1756">
        <v>2</v>
      </c>
      <c r="M1756">
        <v>51</v>
      </c>
      <c r="N1756">
        <v>0.78888888888888886</v>
      </c>
      <c r="O1756">
        <v>239540</v>
      </c>
      <c r="P1756">
        <v>6399</v>
      </c>
      <c r="Q1756">
        <v>2</v>
      </c>
      <c r="R1756">
        <v>52</v>
      </c>
      <c r="S1756">
        <v>11.670517874133479</v>
      </c>
      <c r="T1756">
        <v>0.92592593431472781</v>
      </c>
    </row>
    <row r="1757" spans="1:20" x14ac:dyDescent="0.25">
      <c r="A1757" t="s">
        <v>314</v>
      </c>
      <c r="B1757">
        <v>3</v>
      </c>
      <c r="C1757">
        <v>2</v>
      </c>
      <c r="D1757">
        <v>0</v>
      </c>
      <c r="E1757" t="s">
        <v>320</v>
      </c>
      <c r="F1757">
        <v>4077</v>
      </c>
      <c r="G1757">
        <v>8008123.9090909092</v>
      </c>
      <c r="H1757">
        <v>0.9252525297078219</v>
      </c>
      <c r="I1757">
        <v>0.65858585858585861</v>
      </c>
      <c r="J1757">
        <v>255523.45454545456</v>
      </c>
      <c r="K1757">
        <v>6399</v>
      </c>
      <c r="L1757">
        <v>2</v>
      </c>
      <c r="M1757">
        <v>52</v>
      </c>
      <c r="N1757">
        <v>0.69696969696969702</v>
      </c>
      <c r="O1757">
        <v>243742.90909090909</v>
      </c>
      <c r="P1757">
        <v>6628</v>
      </c>
      <c r="Q1757">
        <v>2</v>
      </c>
      <c r="R1757">
        <v>53</v>
      </c>
      <c r="S1757">
        <v>11.670817860701023</v>
      </c>
      <c r="T1757">
        <v>0.94814814925193791</v>
      </c>
    </row>
    <row r="1758" spans="1:20" x14ac:dyDescent="0.25">
      <c r="A1758" t="s">
        <v>314</v>
      </c>
      <c r="B1758">
        <v>3</v>
      </c>
      <c r="C1758">
        <v>2</v>
      </c>
      <c r="D1758">
        <v>0</v>
      </c>
      <c r="E1758" t="s">
        <v>334</v>
      </c>
      <c r="F1758">
        <v>4203</v>
      </c>
      <c r="G1758">
        <v>8505440.8181818184</v>
      </c>
      <c r="H1758">
        <v>0.9171717221086676</v>
      </c>
      <c r="I1758">
        <v>0.6828282828282829</v>
      </c>
      <c r="J1758">
        <v>278812.27272727271</v>
      </c>
      <c r="K1758">
        <v>6628</v>
      </c>
      <c r="L1758">
        <v>2</v>
      </c>
      <c r="M1758">
        <v>53</v>
      </c>
      <c r="N1758">
        <v>0.65252525252525251</v>
      </c>
      <c r="O1758">
        <v>254266.36363636365</v>
      </c>
      <c r="P1758">
        <v>6861</v>
      </c>
      <c r="Q1758">
        <v>2</v>
      </c>
      <c r="R1758">
        <v>54</v>
      </c>
      <c r="S1758">
        <v>11.671434390983569</v>
      </c>
      <c r="T1758">
        <v>0.94444445371627805</v>
      </c>
    </row>
    <row r="1759" spans="1:20" x14ac:dyDescent="0.25">
      <c r="A1759" t="s">
        <v>314</v>
      </c>
      <c r="B1759">
        <v>3</v>
      </c>
      <c r="C1759">
        <v>2</v>
      </c>
      <c r="D1759">
        <v>0</v>
      </c>
      <c r="E1759" t="s">
        <v>321</v>
      </c>
      <c r="F1759">
        <v>4335</v>
      </c>
      <c r="G1759">
        <v>7364137.333333333</v>
      </c>
      <c r="H1759">
        <v>0.91111111640930176</v>
      </c>
      <c r="I1759">
        <v>0.70370370370370372</v>
      </c>
      <c r="J1759">
        <v>294043.5</v>
      </c>
      <c r="K1759">
        <v>6861</v>
      </c>
      <c r="L1759">
        <v>2</v>
      </c>
      <c r="M1759">
        <v>54</v>
      </c>
      <c r="N1759">
        <v>0.68888888888888888</v>
      </c>
      <c r="O1759">
        <v>254397.16666666666</v>
      </c>
      <c r="P1759">
        <v>7098</v>
      </c>
      <c r="Q1759">
        <v>2</v>
      </c>
      <c r="R1759">
        <v>55</v>
      </c>
      <c r="S1759">
        <v>11.67125209285488</v>
      </c>
      <c r="T1759">
        <v>0.94074075222015385</v>
      </c>
    </row>
    <row r="1760" spans="1:20" x14ac:dyDescent="0.25">
      <c r="A1760" t="s">
        <v>314</v>
      </c>
      <c r="B1760">
        <v>3</v>
      </c>
      <c r="C1760">
        <v>2</v>
      </c>
      <c r="D1760">
        <v>0</v>
      </c>
      <c r="E1760" t="s">
        <v>335</v>
      </c>
      <c r="F1760">
        <v>4525</v>
      </c>
      <c r="G1760">
        <v>10160990.375</v>
      </c>
      <c r="H1760">
        <v>0.91388889402151108</v>
      </c>
      <c r="I1760">
        <v>0.65833333333333333</v>
      </c>
      <c r="J1760">
        <v>289136.625</v>
      </c>
      <c r="K1760">
        <v>7098</v>
      </c>
      <c r="L1760">
        <v>2</v>
      </c>
      <c r="M1760">
        <v>55</v>
      </c>
      <c r="N1760">
        <v>0.66666666666666663</v>
      </c>
      <c r="O1760">
        <v>282580.1875</v>
      </c>
      <c r="P1760">
        <v>7339</v>
      </c>
      <c r="Q1760">
        <v>2</v>
      </c>
      <c r="R1760">
        <v>56</v>
      </c>
      <c r="S1760">
        <v>11.673705629663125</v>
      </c>
      <c r="T1760">
        <v>0.93086419900258377</v>
      </c>
    </row>
    <row r="1761" spans="1:20" x14ac:dyDescent="0.25">
      <c r="A1761" t="s">
        <v>314</v>
      </c>
      <c r="B1761">
        <v>3</v>
      </c>
      <c r="C1761">
        <v>2</v>
      </c>
      <c r="D1761">
        <v>0</v>
      </c>
      <c r="E1761" t="s">
        <v>322</v>
      </c>
      <c r="F1761">
        <v>4593</v>
      </c>
      <c r="G1761">
        <v>9475139.333333334</v>
      </c>
      <c r="H1761">
        <v>0.93333333730697632</v>
      </c>
      <c r="I1761">
        <v>0.63703703703703707</v>
      </c>
      <c r="J1761">
        <v>275016.5</v>
      </c>
      <c r="K1761">
        <v>7339</v>
      </c>
      <c r="L1761">
        <v>2</v>
      </c>
      <c r="M1761">
        <v>56</v>
      </c>
      <c r="N1761">
        <v>0.68888888888888888</v>
      </c>
      <c r="O1761">
        <v>270561.66666666669</v>
      </c>
      <c r="P1761">
        <v>7584</v>
      </c>
      <c r="Q1761">
        <v>2</v>
      </c>
      <c r="R1761">
        <v>57</v>
      </c>
      <c r="S1761">
        <v>11.674291397314768</v>
      </c>
      <c r="T1761">
        <v>0.91851850748062136</v>
      </c>
    </row>
    <row r="1762" spans="1:20" x14ac:dyDescent="0.25">
      <c r="A1762" t="s">
        <v>314</v>
      </c>
      <c r="B1762">
        <v>3</v>
      </c>
      <c r="C1762">
        <v>2</v>
      </c>
      <c r="D1762">
        <v>0</v>
      </c>
      <c r="E1762" t="s">
        <v>349</v>
      </c>
      <c r="F1762">
        <v>4717</v>
      </c>
      <c r="G1762">
        <v>9754765.6875</v>
      </c>
      <c r="H1762">
        <v>0.92222222685813904</v>
      </c>
      <c r="I1762">
        <v>0.6875</v>
      </c>
      <c r="J1762">
        <v>263516.75</v>
      </c>
      <c r="K1762">
        <v>7584</v>
      </c>
      <c r="L1762">
        <v>2</v>
      </c>
      <c r="M1762">
        <v>57</v>
      </c>
      <c r="N1762">
        <v>0.68055555555555558</v>
      </c>
      <c r="O1762">
        <v>260167</v>
      </c>
      <c r="P1762">
        <v>7833</v>
      </c>
      <c r="Q1762">
        <v>2</v>
      </c>
      <c r="R1762">
        <v>58</v>
      </c>
      <c r="S1762">
        <v>11.675791661020012</v>
      </c>
      <c r="T1762">
        <v>0.93827160994211833</v>
      </c>
    </row>
    <row r="1763" spans="1:20" x14ac:dyDescent="0.25">
      <c r="A1763" t="s">
        <v>314</v>
      </c>
      <c r="B1763">
        <v>3</v>
      </c>
      <c r="C1763">
        <v>2</v>
      </c>
      <c r="D1763">
        <v>0</v>
      </c>
      <c r="E1763" t="s">
        <v>323</v>
      </c>
      <c r="F1763">
        <v>4851</v>
      </c>
      <c r="G1763">
        <v>7959066.5</v>
      </c>
      <c r="H1763">
        <v>0.92592593034108484</v>
      </c>
      <c r="I1763">
        <v>0.70370370370370372</v>
      </c>
      <c r="J1763">
        <v>311014.5</v>
      </c>
      <c r="K1763">
        <v>7833</v>
      </c>
      <c r="L1763">
        <v>2</v>
      </c>
      <c r="M1763">
        <v>58</v>
      </c>
      <c r="N1763">
        <v>0.65925925925925921</v>
      </c>
      <c r="O1763">
        <v>278515.66666666669</v>
      </c>
      <c r="P1763">
        <v>8086</v>
      </c>
      <c r="Q1763">
        <v>2</v>
      </c>
      <c r="R1763">
        <v>59</v>
      </c>
      <c r="S1763">
        <v>11.675653705459965</v>
      </c>
      <c r="T1763">
        <v>0.92592591047286987</v>
      </c>
    </row>
    <row r="1764" spans="1:20" x14ac:dyDescent="0.25">
      <c r="A1764" t="s">
        <v>314</v>
      </c>
      <c r="B1764">
        <v>3</v>
      </c>
      <c r="C1764">
        <v>2</v>
      </c>
      <c r="D1764">
        <v>0</v>
      </c>
      <c r="E1764" t="s">
        <v>342</v>
      </c>
      <c r="F1764">
        <v>5007</v>
      </c>
      <c r="G1764">
        <v>9440984.5625</v>
      </c>
      <c r="H1764">
        <v>0.87222222983837128</v>
      </c>
      <c r="I1764">
        <v>0.66111111111111109</v>
      </c>
      <c r="J1764">
        <v>274959.625</v>
      </c>
      <c r="K1764">
        <v>8086</v>
      </c>
      <c r="L1764">
        <v>2</v>
      </c>
      <c r="M1764">
        <v>59</v>
      </c>
      <c r="N1764">
        <v>0.68472222222222223</v>
      </c>
      <c r="O1764">
        <v>262425.25</v>
      </c>
      <c r="P1764">
        <v>8343</v>
      </c>
      <c r="Q1764">
        <v>2</v>
      </c>
      <c r="R1764">
        <v>60</v>
      </c>
      <c r="S1764">
        <v>11.676790468883976</v>
      </c>
      <c r="T1764">
        <v>0.90864197413126624</v>
      </c>
    </row>
    <row r="1765" spans="1:20" x14ac:dyDescent="0.25">
      <c r="A1765" t="s">
        <v>314</v>
      </c>
      <c r="B1765">
        <v>3</v>
      </c>
      <c r="C1765">
        <v>2</v>
      </c>
      <c r="D1765">
        <v>0</v>
      </c>
      <c r="E1765" t="s">
        <v>330</v>
      </c>
      <c r="F1765">
        <v>5203</v>
      </c>
      <c r="G1765">
        <v>10212690.636363637</v>
      </c>
      <c r="H1765">
        <v>0.92323232780803333</v>
      </c>
      <c r="I1765">
        <v>0.64646464646464652</v>
      </c>
      <c r="J1765">
        <v>299087.90909090912</v>
      </c>
      <c r="K1765">
        <v>8343</v>
      </c>
      <c r="L1765">
        <v>2</v>
      </c>
      <c r="M1765">
        <v>60</v>
      </c>
      <c r="N1765">
        <v>0.65252525252525251</v>
      </c>
      <c r="O1765">
        <v>255056.72727272726</v>
      </c>
      <c r="P1765">
        <v>8604</v>
      </c>
      <c r="Q1765">
        <v>2</v>
      </c>
      <c r="R1765">
        <v>61</v>
      </c>
      <c r="S1765">
        <v>11.677807848443843</v>
      </c>
      <c r="T1765">
        <v>0.92222222089767458</v>
      </c>
    </row>
    <row r="1766" spans="1:20" x14ac:dyDescent="0.25">
      <c r="A1766" t="s">
        <v>314</v>
      </c>
      <c r="B1766">
        <v>3</v>
      </c>
      <c r="C1766">
        <v>2</v>
      </c>
      <c r="D1766">
        <v>0</v>
      </c>
      <c r="E1766" t="s">
        <v>343</v>
      </c>
      <c r="F1766">
        <v>5361</v>
      </c>
      <c r="G1766">
        <v>7262367.8181818184</v>
      </c>
      <c r="H1766">
        <v>0.89090909741141577</v>
      </c>
      <c r="I1766">
        <v>0.65050505050505047</v>
      </c>
      <c r="J1766">
        <v>331893.81818181818</v>
      </c>
      <c r="K1766">
        <v>8604</v>
      </c>
      <c r="L1766">
        <v>2</v>
      </c>
      <c r="M1766">
        <v>61</v>
      </c>
      <c r="N1766">
        <v>0.61818181818181817</v>
      </c>
      <c r="O1766">
        <v>306671.72727272729</v>
      </c>
      <c r="P1766">
        <v>8869</v>
      </c>
      <c r="Q1766">
        <v>2</v>
      </c>
      <c r="R1766">
        <v>62</v>
      </c>
      <c r="S1766">
        <v>11.676885622830349</v>
      </c>
      <c r="T1766">
        <v>0.93703703284263606</v>
      </c>
    </row>
    <row r="1767" spans="1:20" x14ac:dyDescent="0.25">
      <c r="A1767" t="s">
        <v>314</v>
      </c>
      <c r="B1767">
        <v>3</v>
      </c>
      <c r="C1767">
        <v>2</v>
      </c>
      <c r="D1767">
        <v>0</v>
      </c>
      <c r="E1767" t="s">
        <v>331</v>
      </c>
      <c r="F1767">
        <v>5493</v>
      </c>
      <c r="G1767">
        <v>7961690.5</v>
      </c>
      <c r="H1767">
        <v>0.91111111640930176</v>
      </c>
      <c r="I1767">
        <v>0.76296296296296295</v>
      </c>
      <c r="J1767">
        <v>313032.66666666669</v>
      </c>
      <c r="K1767">
        <v>8869</v>
      </c>
      <c r="L1767">
        <v>2</v>
      </c>
      <c r="M1767">
        <v>62</v>
      </c>
      <c r="N1767">
        <v>0.67777777777777781</v>
      </c>
      <c r="O1767">
        <v>332634.83333333331</v>
      </c>
      <c r="P1767">
        <v>9138</v>
      </c>
      <c r="Q1767">
        <v>2</v>
      </c>
      <c r="R1767">
        <v>63</v>
      </c>
      <c r="S1767">
        <v>11.676567359264434</v>
      </c>
      <c r="T1767">
        <v>0.9703703641891479</v>
      </c>
    </row>
    <row r="1768" spans="1:20" x14ac:dyDescent="0.25">
      <c r="A1768" t="s">
        <v>314</v>
      </c>
      <c r="B1768">
        <v>3</v>
      </c>
      <c r="C1768">
        <v>2</v>
      </c>
      <c r="D1768">
        <v>0</v>
      </c>
      <c r="E1768" t="s">
        <v>344</v>
      </c>
      <c r="F1768">
        <v>5715</v>
      </c>
      <c r="G1768">
        <v>8332716.5625</v>
      </c>
      <c r="H1768">
        <v>0.91388889402151108</v>
      </c>
      <c r="I1768">
        <v>0.63888888888888895</v>
      </c>
      <c r="J1768">
        <v>328248.4375</v>
      </c>
      <c r="K1768">
        <v>9138</v>
      </c>
      <c r="L1768">
        <v>2</v>
      </c>
      <c r="M1768">
        <v>63</v>
      </c>
      <c r="N1768">
        <v>0.68472222222222223</v>
      </c>
      <c r="O1768">
        <v>780374.6875</v>
      </c>
      <c r="P1768">
        <v>9411</v>
      </c>
      <c r="Q1768">
        <v>2</v>
      </c>
      <c r="R1768">
        <v>64</v>
      </c>
      <c r="S1768">
        <v>11.676079809034816</v>
      </c>
      <c r="T1768">
        <v>0.92345678011576338</v>
      </c>
    </row>
    <row r="1769" spans="1:20" x14ac:dyDescent="0.25">
      <c r="A1769" t="s">
        <v>314</v>
      </c>
      <c r="B1769">
        <v>3</v>
      </c>
      <c r="C1769">
        <v>2</v>
      </c>
      <c r="D1769">
        <v>0</v>
      </c>
      <c r="E1769" t="s">
        <v>337</v>
      </c>
      <c r="F1769">
        <v>5813</v>
      </c>
      <c r="G1769">
        <v>8385759.5</v>
      </c>
      <c r="H1769">
        <v>0.81481482088565826</v>
      </c>
      <c r="I1769">
        <v>0.73333333333333339</v>
      </c>
      <c r="J1769">
        <v>529345</v>
      </c>
      <c r="K1769">
        <v>9411</v>
      </c>
      <c r="L1769">
        <v>2</v>
      </c>
      <c r="M1769">
        <v>64</v>
      </c>
      <c r="N1769">
        <v>0.6962962962962963</v>
      </c>
      <c r="O1769">
        <v>381118.16666666669</v>
      </c>
      <c r="P1769">
        <v>9688</v>
      </c>
      <c r="Q1769">
        <v>2</v>
      </c>
      <c r="R1769">
        <v>65</v>
      </c>
      <c r="S1769">
        <v>11.675852132018552</v>
      </c>
      <c r="T1769">
        <v>0.91851851940155027</v>
      </c>
    </row>
    <row r="1770" spans="1:20" x14ac:dyDescent="0.25">
      <c r="A1770" t="s">
        <v>314</v>
      </c>
      <c r="B1770">
        <v>3</v>
      </c>
      <c r="C1770">
        <v>2</v>
      </c>
      <c r="D1770">
        <v>0</v>
      </c>
      <c r="E1770" t="s">
        <v>338</v>
      </c>
      <c r="F1770">
        <v>6135</v>
      </c>
      <c r="G1770">
        <v>9942104.5454545449</v>
      </c>
      <c r="H1770">
        <v>0.93131313540718774</v>
      </c>
      <c r="I1770">
        <v>0.66262626262626267</v>
      </c>
      <c r="J1770">
        <v>595945.81818181823</v>
      </c>
      <c r="K1770">
        <v>9688</v>
      </c>
      <c r="L1770">
        <v>2</v>
      </c>
      <c r="M1770">
        <v>65</v>
      </c>
      <c r="N1770">
        <v>0.71919191919191916</v>
      </c>
      <c r="O1770">
        <v>545176.09090909094</v>
      </c>
      <c r="P1770">
        <v>9969</v>
      </c>
      <c r="Q1770">
        <v>2</v>
      </c>
      <c r="R1770">
        <v>66</v>
      </c>
      <c r="S1770">
        <v>11.676507650765076</v>
      </c>
      <c r="T1770">
        <v>0.95555557012557979</v>
      </c>
    </row>
    <row r="1771" spans="1:20" x14ac:dyDescent="0.25">
      <c r="A1771" t="s">
        <v>314</v>
      </c>
      <c r="B1771">
        <v>3</v>
      </c>
      <c r="C1771">
        <v>2</v>
      </c>
      <c r="D1771">
        <v>0</v>
      </c>
      <c r="E1771" t="s">
        <v>352</v>
      </c>
      <c r="F1771">
        <v>6261</v>
      </c>
      <c r="G1771">
        <v>8994933.8181818184</v>
      </c>
      <c r="H1771">
        <v>0.9252525297078219</v>
      </c>
      <c r="I1771">
        <v>0.67272727272727273</v>
      </c>
      <c r="J1771">
        <v>745377.72727272729</v>
      </c>
      <c r="K1771">
        <v>9969</v>
      </c>
      <c r="L1771">
        <v>2</v>
      </c>
      <c r="M1771">
        <v>66</v>
      </c>
      <c r="N1771">
        <v>0.69898989898989894</v>
      </c>
      <c r="O1771">
        <v>860136.09090909094</v>
      </c>
      <c r="P1771">
        <v>10254</v>
      </c>
      <c r="Q1771">
        <v>2</v>
      </c>
      <c r="R1771">
        <v>67</v>
      </c>
      <c r="S1771">
        <v>11.676487787324007</v>
      </c>
      <c r="T1771">
        <v>0.93333332538604741</v>
      </c>
    </row>
    <row r="1772" spans="1:20" x14ac:dyDescent="0.25">
      <c r="A1772" t="s">
        <v>314</v>
      </c>
      <c r="B1772">
        <v>3</v>
      </c>
      <c r="C1772">
        <v>2</v>
      </c>
      <c r="D1772">
        <v>0</v>
      </c>
      <c r="E1772" t="s">
        <v>346</v>
      </c>
      <c r="F1772">
        <v>6423</v>
      </c>
      <c r="G1772">
        <v>9139681.333333334</v>
      </c>
      <c r="H1772">
        <v>0.90370370944341027</v>
      </c>
      <c r="I1772">
        <v>0.66666666666666674</v>
      </c>
      <c r="J1772">
        <v>708744.83333333337</v>
      </c>
      <c r="K1772">
        <v>10254</v>
      </c>
      <c r="L1772">
        <v>2</v>
      </c>
      <c r="M1772">
        <v>67</v>
      </c>
      <c r="N1772">
        <v>0.67037037037037039</v>
      </c>
      <c r="O1772">
        <v>510531.33333333331</v>
      </c>
      <c r="P1772">
        <v>10543</v>
      </c>
      <c r="Q1772">
        <v>2</v>
      </c>
      <c r="R1772">
        <v>68</v>
      </c>
      <c r="S1772">
        <v>11.676395197193866</v>
      </c>
      <c r="T1772">
        <v>0.89629629850387571</v>
      </c>
    </row>
    <row r="1773" spans="1:20" x14ac:dyDescent="0.25">
      <c r="A1773" t="s">
        <v>314</v>
      </c>
      <c r="B1773">
        <v>3</v>
      </c>
      <c r="C1773">
        <v>2</v>
      </c>
      <c r="D1773">
        <v>0</v>
      </c>
      <c r="E1773" t="s">
        <v>353</v>
      </c>
      <c r="F1773">
        <v>6647</v>
      </c>
      <c r="G1773">
        <v>7229134.5</v>
      </c>
      <c r="H1773">
        <v>0.90740741292635596</v>
      </c>
      <c r="I1773">
        <v>0.68518518518518523</v>
      </c>
      <c r="J1773">
        <v>421306.33333333331</v>
      </c>
      <c r="K1773">
        <v>10543</v>
      </c>
      <c r="L1773">
        <v>2</v>
      </c>
      <c r="M1773">
        <v>68</v>
      </c>
      <c r="N1773">
        <v>0.61851851851851847</v>
      </c>
      <c r="O1773">
        <v>605978.83333333337</v>
      </c>
      <c r="P1773">
        <v>10836</v>
      </c>
      <c r="Q1773">
        <v>2</v>
      </c>
      <c r="R1773">
        <v>69</v>
      </c>
      <c r="S1773">
        <v>11.675718203479747</v>
      </c>
      <c r="T1773">
        <v>0.94074072837829592</v>
      </c>
    </row>
    <row r="1774" spans="1:20" x14ac:dyDescent="0.25">
      <c r="A1774" t="s">
        <v>314</v>
      </c>
      <c r="B1774">
        <v>3</v>
      </c>
      <c r="C1774">
        <v>2</v>
      </c>
      <c r="D1774">
        <v>0</v>
      </c>
      <c r="E1774" t="s">
        <v>347</v>
      </c>
      <c r="F1774">
        <v>6777</v>
      </c>
      <c r="G1774">
        <v>8502183.333333334</v>
      </c>
      <c r="H1774">
        <v>0.92592593034108484</v>
      </c>
      <c r="I1774">
        <v>0.66666666666666674</v>
      </c>
      <c r="J1774">
        <v>707337.66666666663</v>
      </c>
      <c r="K1774">
        <v>10836</v>
      </c>
      <c r="L1774">
        <v>2</v>
      </c>
      <c r="M1774">
        <v>69</v>
      </c>
      <c r="N1774">
        <v>0.6518518518518519</v>
      </c>
      <c r="O1774">
        <v>623577.33333333337</v>
      </c>
      <c r="P1774">
        <v>11133</v>
      </c>
      <c r="Q1774">
        <v>2</v>
      </c>
      <c r="R1774">
        <v>70</v>
      </c>
      <c r="S1774">
        <v>11.675311249943817</v>
      </c>
      <c r="T1774">
        <v>0.93333332538604741</v>
      </c>
    </row>
    <row r="1775" spans="1:20" x14ac:dyDescent="0.25">
      <c r="A1775" t="s">
        <v>314</v>
      </c>
      <c r="B1775">
        <v>3</v>
      </c>
      <c r="C1775">
        <v>2</v>
      </c>
      <c r="D1775">
        <v>0</v>
      </c>
      <c r="E1775" t="s">
        <v>354</v>
      </c>
      <c r="F1775">
        <v>7033</v>
      </c>
      <c r="G1775">
        <v>9968300.833333334</v>
      </c>
      <c r="H1775">
        <v>0.92592593034108484</v>
      </c>
      <c r="I1775">
        <v>0.7407407407407407</v>
      </c>
      <c r="J1775">
        <v>657216</v>
      </c>
      <c r="K1775">
        <v>11133</v>
      </c>
      <c r="L1775">
        <v>2</v>
      </c>
      <c r="M1775">
        <v>70</v>
      </c>
      <c r="N1775">
        <v>0.6962962962962963</v>
      </c>
      <c r="O1775">
        <v>634692.16666666663</v>
      </c>
      <c r="P1775">
        <v>11434</v>
      </c>
      <c r="Q1775">
        <v>2</v>
      </c>
      <c r="R1775">
        <v>71</v>
      </c>
      <c r="S1775">
        <v>11.675308919343967</v>
      </c>
      <c r="T1775">
        <v>0.92592592239379878</v>
      </c>
    </row>
    <row r="1776" spans="1:20" x14ac:dyDescent="0.25">
      <c r="A1776" t="s">
        <v>314</v>
      </c>
      <c r="B1776">
        <v>3</v>
      </c>
      <c r="C1776">
        <v>2</v>
      </c>
      <c r="D1776">
        <v>0</v>
      </c>
      <c r="E1776" t="s">
        <v>355</v>
      </c>
      <c r="F1776">
        <v>7419</v>
      </c>
      <c r="G1776">
        <v>8559436.166666666</v>
      </c>
      <c r="H1776">
        <v>0.92592593034108484</v>
      </c>
      <c r="I1776">
        <v>0.7</v>
      </c>
      <c r="J1776">
        <v>907132.5</v>
      </c>
      <c r="K1776">
        <v>11739</v>
      </c>
      <c r="L1776">
        <v>2</v>
      </c>
      <c r="M1776">
        <v>72</v>
      </c>
      <c r="N1776">
        <v>0.64814814814814814</v>
      </c>
      <c r="O1776">
        <v>580027.5</v>
      </c>
      <c r="P1776">
        <v>12048</v>
      </c>
      <c r="Q1776">
        <v>2</v>
      </c>
      <c r="R1776">
        <v>73</v>
      </c>
      <c r="S1776">
        <v>11.674812452270787</v>
      </c>
      <c r="T1776">
        <v>0.89629629850387571</v>
      </c>
    </row>
    <row r="1777" spans="1:20" x14ac:dyDescent="0.25">
      <c r="A1777" t="s">
        <v>314</v>
      </c>
      <c r="B1777">
        <v>3</v>
      </c>
      <c r="C1777">
        <v>3</v>
      </c>
      <c r="D1777">
        <v>0</v>
      </c>
      <c r="E1777" t="s">
        <v>360</v>
      </c>
      <c r="F1777">
        <v>1308</v>
      </c>
      <c r="G1777">
        <v>8182401</v>
      </c>
      <c r="H1777">
        <v>0.91481481989224755</v>
      </c>
      <c r="I1777">
        <v>0.74444444444444446</v>
      </c>
      <c r="J1777">
        <v>541786.5</v>
      </c>
      <c r="K1777">
        <v>2236</v>
      </c>
      <c r="L1777">
        <v>2</v>
      </c>
      <c r="M1777">
        <v>29</v>
      </c>
      <c r="N1777">
        <v>0.68888888888888888</v>
      </c>
      <c r="O1777">
        <v>446829.66666666669</v>
      </c>
      <c r="P1777">
        <v>2373</v>
      </c>
      <c r="Q1777">
        <v>2</v>
      </c>
      <c r="R1777">
        <v>30</v>
      </c>
      <c r="S1777">
        <v>11.674316252750707</v>
      </c>
      <c r="T1777">
        <v>0.92592592239379878</v>
      </c>
    </row>
    <row r="1778" spans="1:20" x14ac:dyDescent="0.25">
      <c r="A1778" t="s">
        <v>314</v>
      </c>
      <c r="B1778">
        <v>3</v>
      </c>
      <c r="C1778">
        <v>3</v>
      </c>
      <c r="D1778">
        <v>0</v>
      </c>
      <c r="E1778" t="s">
        <v>315</v>
      </c>
      <c r="F1778">
        <v>1598</v>
      </c>
      <c r="G1778">
        <v>3196097.1666666665</v>
      </c>
      <c r="H1778">
        <v>0.93333333730697632</v>
      </c>
      <c r="I1778">
        <v>0.68518518518518512</v>
      </c>
      <c r="J1778">
        <v>237112.16666666666</v>
      </c>
      <c r="K1778">
        <v>2808</v>
      </c>
      <c r="L1778">
        <v>2</v>
      </c>
      <c r="M1778">
        <v>33</v>
      </c>
      <c r="N1778">
        <v>0.71851851851851856</v>
      </c>
      <c r="O1778">
        <v>235476.66666666666</v>
      </c>
      <c r="P1778">
        <v>2961</v>
      </c>
      <c r="Q1778">
        <v>2</v>
      </c>
      <c r="R1778">
        <v>34</v>
      </c>
      <c r="S1778">
        <v>11.673461141292147</v>
      </c>
      <c r="T1778">
        <v>0.96296296119689939</v>
      </c>
    </row>
    <row r="1779" spans="1:20" x14ac:dyDescent="0.25">
      <c r="A1779" t="s">
        <v>314</v>
      </c>
      <c r="B1779">
        <v>3</v>
      </c>
      <c r="C1779">
        <v>3</v>
      </c>
      <c r="D1779">
        <v>0</v>
      </c>
      <c r="E1779" t="s">
        <v>324</v>
      </c>
      <c r="F1779">
        <v>1888</v>
      </c>
      <c r="G1779">
        <v>5166722.5</v>
      </c>
      <c r="H1779">
        <v>0.91111111640930176</v>
      </c>
      <c r="I1779">
        <v>0.72962962962962963</v>
      </c>
      <c r="J1779">
        <v>253035.33333333334</v>
      </c>
      <c r="K1779">
        <v>3279</v>
      </c>
      <c r="L1779">
        <v>2</v>
      </c>
      <c r="M1779">
        <v>36</v>
      </c>
      <c r="N1779">
        <v>0.75555555555555554</v>
      </c>
      <c r="O1779">
        <v>244395.83333333334</v>
      </c>
      <c r="P1779">
        <v>3444</v>
      </c>
      <c r="Q1779">
        <v>2</v>
      </c>
      <c r="R1779">
        <v>37</v>
      </c>
      <c r="S1779">
        <v>11.67305534359711</v>
      </c>
      <c r="T1779">
        <v>0.94074074029922483</v>
      </c>
    </row>
    <row r="1780" spans="1:20" x14ac:dyDescent="0.25">
      <c r="A1780" t="s">
        <v>314</v>
      </c>
      <c r="B1780">
        <v>3</v>
      </c>
      <c r="C1780">
        <v>3</v>
      </c>
      <c r="D1780">
        <v>0</v>
      </c>
      <c r="E1780" t="s">
        <v>332</v>
      </c>
      <c r="F1780">
        <v>2178</v>
      </c>
      <c r="G1780">
        <v>6147869.5</v>
      </c>
      <c r="H1780">
        <v>0.85185186068216956</v>
      </c>
      <c r="I1780">
        <v>0.78148148148148144</v>
      </c>
      <c r="J1780">
        <v>294688.66666666669</v>
      </c>
      <c r="K1780">
        <v>3786</v>
      </c>
      <c r="L1780">
        <v>2</v>
      </c>
      <c r="M1780">
        <v>39</v>
      </c>
      <c r="N1780">
        <v>0.71111111111111114</v>
      </c>
      <c r="O1780">
        <v>247509</v>
      </c>
      <c r="P1780">
        <v>3963</v>
      </c>
      <c r="Q1780">
        <v>2</v>
      </c>
      <c r="R1780">
        <v>40</v>
      </c>
      <c r="S1780">
        <v>11.673188243212923</v>
      </c>
      <c r="T1780">
        <v>0.96296296119689939</v>
      </c>
    </row>
    <row r="1781" spans="1:20" x14ac:dyDescent="0.25">
      <c r="A1781" t="s">
        <v>314</v>
      </c>
      <c r="B1781">
        <v>3</v>
      </c>
      <c r="C1781">
        <v>3</v>
      </c>
      <c r="D1781">
        <v>0</v>
      </c>
      <c r="E1781" t="s">
        <v>339</v>
      </c>
      <c r="F1781">
        <v>2468</v>
      </c>
      <c r="G1781">
        <v>6987112.833333333</v>
      </c>
      <c r="H1781">
        <v>0.91851852337519324</v>
      </c>
      <c r="I1781">
        <v>0.67407407407407405</v>
      </c>
      <c r="J1781">
        <v>296793</v>
      </c>
      <c r="K1781">
        <v>4329</v>
      </c>
      <c r="L1781">
        <v>2</v>
      </c>
      <c r="M1781">
        <v>42</v>
      </c>
      <c r="N1781">
        <v>0.6518518518518519</v>
      </c>
      <c r="O1781">
        <v>221985.83333333334</v>
      </c>
      <c r="P1781">
        <v>4518</v>
      </c>
      <c r="Q1781">
        <v>2</v>
      </c>
      <c r="R1781">
        <v>43</v>
      </c>
      <c r="S1781">
        <v>11.673545377058005</v>
      </c>
      <c r="T1781">
        <v>0.96296297311782841</v>
      </c>
    </row>
    <row r="1782" spans="1:20" x14ac:dyDescent="0.25">
      <c r="A1782" t="s">
        <v>314</v>
      </c>
      <c r="B1782">
        <v>3</v>
      </c>
      <c r="C1782">
        <v>3</v>
      </c>
      <c r="D1782">
        <v>0</v>
      </c>
      <c r="E1782" t="s">
        <v>348</v>
      </c>
      <c r="F1782">
        <v>2758</v>
      </c>
      <c r="G1782">
        <v>4724682.833333333</v>
      </c>
      <c r="H1782">
        <v>0.91481481989224755</v>
      </c>
      <c r="I1782">
        <v>0.71111111111111114</v>
      </c>
      <c r="J1782">
        <v>288459.83333333331</v>
      </c>
      <c r="K1782">
        <v>4711</v>
      </c>
      <c r="L1782">
        <v>2</v>
      </c>
      <c r="M1782">
        <v>44</v>
      </c>
      <c r="N1782">
        <v>0.71481481481481479</v>
      </c>
      <c r="O1782">
        <v>247772.5</v>
      </c>
      <c r="P1782">
        <v>4908</v>
      </c>
      <c r="Q1782">
        <v>2</v>
      </c>
      <c r="R1782">
        <v>45</v>
      </c>
      <c r="S1782">
        <v>11.67273624254384</v>
      </c>
      <c r="T1782">
        <v>0.97777777910232544</v>
      </c>
    </row>
    <row r="1783" spans="1:20" x14ac:dyDescent="0.25">
      <c r="A1783" t="s">
        <v>314</v>
      </c>
      <c r="B1783">
        <v>3</v>
      </c>
      <c r="C1783">
        <v>3</v>
      </c>
      <c r="D1783">
        <v>0</v>
      </c>
      <c r="E1783" t="s">
        <v>356</v>
      </c>
      <c r="F1783">
        <v>3048</v>
      </c>
      <c r="G1783">
        <v>5151311.833333333</v>
      </c>
      <c r="H1783">
        <v>0.86666667461395264</v>
      </c>
      <c r="I1783">
        <v>0.76666666666666661</v>
      </c>
      <c r="J1783">
        <v>290391.5</v>
      </c>
      <c r="K1783">
        <v>5314</v>
      </c>
      <c r="L1783">
        <v>2</v>
      </c>
      <c r="M1783">
        <v>47</v>
      </c>
      <c r="N1783">
        <v>0.7</v>
      </c>
      <c r="O1783">
        <v>281719.83333333331</v>
      </c>
      <c r="P1783">
        <v>5523</v>
      </c>
      <c r="Q1783">
        <v>2</v>
      </c>
      <c r="R1783">
        <v>48</v>
      </c>
      <c r="S1783">
        <v>11.672241402501905</v>
      </c>
      <c r="T1783">
        <v>0.99259259700775149</v>
      </c>
    </row>
    <row r="1784" spans="1:20" x14ac:dyDescent="0.25">
      <c r="A1784" t="s">
        <v>314</v>
      </c>
      <c r="B1784">
        <v>3</v>
      </c>
      <c r="C1784">
        <v>3</v>
      </c>
      <c r="D1784">
        <v>0</v>
      </c>
      <c r="E1784" t="s">
        <v>357</v>
      </c>
      <c r="F1784">
        <v>3338</v>
      </c>
      <c r="G1784">
        <v>4806627.166666667</v>
      </c>
      <c r="H1784">
        <v>0.90740741292635596</v>
      </c>
      <c r="I1784">
        <v>0.78148148148148144</v>
      </c>
      <c r="J1784">
        <v>286522.83333333331</v>
      </c>
      <c r="K1784">
        <v>5736</v>
      </c>
      <c r="L1784">
        <v>2</v>
      </c>
      <c r="M1784">
        <v>49</v>
      </c>
      <c r="N1784">
        <v>0.62222222222222223</v>
      </c>
      <c r="O1784">
        <v>236624.83333333334</v>
      </c>
      <c r="P1784">
        <v>5953</v>
      </c>
      <c r="Q1784">
        <v>2</v>
      </c>
      <c r="R1784">
        <v>50</v>
      </c>
      <c r="S1784">
        <v>11.671388228965888</v>
      </c>
      <c r="T1784">
        <v>0.97777779102325435</v>
      </c>
    </row>
    <row r="1785" spans="1:20" x14ac:dyDescent="0.25">
      <c r="A1785" t="s">
        <v>314</v>
      </c>
      <c r="B1785">
        <v>3</v>
      </c>
      <c r="C1785">
        <v>3</v>
      </c>
      <c r="D1785">
        <v>0</v>
      </c>
      <c r="E1785" t="s">
        <v>316</v>
      </c>
      <c r="F1785">
        <v>3422</v>
      </c>
      <c r="G1785">
        <v>3836478.8333333335</v>
      </c>
      <c r="H1785">
        <v>0.9481481512387594</v>
      </c>
      <c r="I1785">
        <v>0.70740740740740748</v>
      </c>
      <c r="J1785">
        <v>331092.33333333331</v>
      </c>
      <c r="K1785">
        <v>5953</v>
      </c>
      <c r="L1785">
        <v>2</v>
      </c>
      <c r="M1785">
        <v>50</v>
      </c>
      <c r="N1785">
        <v>0.7592592592592593</v>
      </c>
      <c r="O1785">
        <v>312974</v>
      </c>
      <c r="P1785">
        <v>6174</v>
      </c>
      <c r="Q1785">
        <v>2</v>
      </c>
      <c r="R1785">
        <v>51</v>
      </c>
      <c r="S1785">
        <v>11.670401075509746</v>
      </c>
      <c r="T1785">
        <v>0.95555555820465088</v>
      </c>
    </row>
    <row r="1786" spans="1:20" x14ac:dyDescent="0.25">
      <c r="A1786" t="s">
        <v>314</v>
      </c>
      <c r="B1786">
        <v>3</v>
      </c>
      <c r="C1786">
        <v>3</v>
      </c>
      <c r="D1786">
        <v>0</v>
      </c>
      <c r="E1786" t="s">
        <v>358</v>
      </c>
      <c r="F1786">
        <v>3628</v>
      </c>
      <c r="G1786">
        <v>7364277.333333333</v>
      </c>
      <c r="H1786">
        <v>0.90740741292635596</v>
      </c>
      <c r="I1786">
        <v>0.72962962962962963</v>
      </c>
      <c r="J1786">
        <v>330527.66666666669</v>
      </c>
      <c r="K1786">
        <v>6399</v>
      </c>
      <c r="L1786">
        <v>2</v>
      </c>
      <c r="M1786">
        <v>52</v>
      </c>
      <c r="N1786">
        <v>0.71111111111111114</v>
      </c>
      <c r="O1786">
        <v>267632.16666666669</v>
      </c>
      <c r="P1786">
        <v>6628</v>
      </c>
      <c r="Q1786">
        <v>2</v>
      </c>
      <c r="R1786">
        <v>53</v>
      </c>
      <c r="S1786">
        <v>11.669907262219434</v>
      </c>
      <c r="T1786">
        <v>0.94074075222015385</v>
      </c>
    </row>
    <row r="1787" spans="1:20" x14ac:dyDescent="0.25">
      <c r="A1787" t="s">
        <v>314</v>
      </c>
      <c r="B1787">
        <v>3</v>
      </c>
      <c r="C1787">
        <v>3</v>
      </c>
      <c r="D1787">
        <v>0</v>
      </c>
      <c r="E1787" t="s">
        <v>359</v>
      </c>
      <c r="F1787">
        <v>3918</v>
      </c>
      <c r="G1787">
        <v>7277972.7272727275</v>
      </c>
      <c r="H1787">
        <v>0.90909091450951318</v>
      </c>
      <c r="I1787">
        <v>0.61818181818181817</v>
      </c>
      <c r="J1787">
        <v>297196.90909090912</v>
      </c>
      <c r="K1787">
        <v>6861</v>
      </c>
      <c r="L1787">
        <v>2</v>
      </c>
      <c r="M1787">
        <v>54</v>
      </c>
      <c r="N1787">
        <v>0.68282828282828278</v>
      </c>
      <c r="O1787">
        <v>291260.27272727271</v>
      </c>
      <c r="P1787">
        <v>7098</v>
      </c>
      <c r="Q1787">
        <v>2</v>
      </c>
      <c r="R1787">
        <v>55</v>
      </c>
      <c r="S1787">
        <v>11.669353394232491</v>
      </c>
      <c r="T1787">
        <v>0.93333333134651186</v>
      </c>
    </row>
    <row r="1788" spans="1:20" x14ac:dyDescent="0.25">
      <c r="A1788" t="s">
        <v>314</v>
      </c>
      <c r="B1788">
        <v>3</v>
      </c>
      <c r="C1788">
        <v>3</v>
      </c>
      <c r="D1788">
        <v>0</v>
      </c>
      <c r="E1788" t="s">
        <v>326</v>
      </c>
      <c r="F1788">
        <v>4218</v>
      </c>
      <c r="G1788">
        <v>7502629.4375</v>
      </c>
      <c r="H1788">
        <v>0.88333334028720856</v>
      </c>
      <c r="I1788">
        <v>0.62777777777777777</v>
      </c>
      <c r="J1788">
        <v>318083.75</v>
      </c>
      <c r="K1788">
        <v>7339</v>
      </c>
      <c r="L1788">
        <v>2</v>
      </c>
      <c r="M1788">
        <v>56</v>
      </c>
      <c r="N1788">
        <v>0.65555555555555556</v>
      </c>
      <c r="O1788">
        <v>273509.3125</v>
      </c>
      <c r="P1788">
        <v>7584</v>
      </c>
      <c r="Q1788">
        <v>2</v>
      </c>
      <c r="R1788">
        <v>57</v>
      </c>
      <c r="S1788">
        <v>11.668292464650081</v>
      </c>
      <c r="T1788">
        <v>0.91604938904444377</v>
      </c>
    </row>
    <row r="1789" spans="1:20" x14ac:dyDescent="0.25">
      <c r="A1789" t="s">
        <v>314</v>
      </c>
      <c r="B1789">
        <v>3</v>
      </c>
      <c r="C1789">
        <v>3</v>
      </c>
      <c r="D1789">
        <v>0</v>
      </c>
      <c r="E1789" t="s">
        <v>319</v>
      </c>
      <c r="F1789">
        <v>4292</v>
      </c>
      <c r="G1789">
        <v>12415721.166666666</v>
      </c>
      <c r="H1789">
        <v>0.88148148854573571</v>
      </c>
      <c r="I1789">
        <v>0.68148148148148147</v>
      </c>
      <c r="J1789">
        <v>317363.16666666669</v>
      </c>
      <c r="K1789">
        <v>7584</v>
      </c>
      <c r="L1789">
        <v>2</v>
      </c>
      <c r="M1789">
        <v>57</v>
      </c>
      <c r="N1789">
        <v>0.7</v>
      </c>
      <c r="O1789">
        <v>269655.66666666669</v>
      </c>
      <c r="P1789">
        <v>7833</v>
      </c>
      <c r="Q1789">
        <v>2</v>
      </c>
      <c r="R1789">
        <v>58</v>
      </c>
      <c r="S1789">
        <v>11.669141988011095</v>
      </c>
      <c r="T1789">
        <v>0.94074075222015385</v>
      </c>
    </row>
    <row r="1790" spans="1:20" x14ac:dyDescent="0.25">
      <c r="A1790" t="s">
        <v>314</v>
      </c>
      <c r="B1790">
        <v>3</v>
      </c>
      <c r="C1790">
        <v>3</v>
      </c>
      <c r="D1790">
        <v>0</v>
      </c>
      <c r="E1790" t="s">
        <v>327</v>
      </c>
      <c r="F1790">
        <v>4544</v>
      </c>
      <c r="G1790">
        <v>10538977.363636363</v>
      </c>
      <c r="H1790">
        <v>0.89292929931120435</v>
      </c>
      <c r="I1790">
        <v>0.72323232323232323</v>
      </c>
      <c r="J1790">
        <v>328172.45454545453</v>
      </c>
      <c r="K1790">
        <v>7833</v>
      </c>
      <c r="L1790">
        <v>2</v>
      </c>
      <c r="M1790">
        <v>58</v>
      </c>
      <c r="N1790">
        <v>0.6767676767676768</v>
      </c>
      <c r="O1790">
        <v>279033.63636363635</v>
      </c>
      <c r="P1790">
        <v>8086</v>
      </c>
      <c r="Q1790">
        <v>2</v>
      </c>
      <c r="R1790">
        <v>59</v>
      </c>
      <c r="S1790">
        <v>11.669483568075117</v>
      </c>
      <c r="T1790">
        <v>0.9148148119449615</v>
      </c>
    </row>
    <row r="1791" spans="1:20" x14ac:dyDescent="0.25">
      <c r="A1791" t="s">
        <v>314</v>
      </c>
      <c r="B1791">
        <v>3</v>
      </c>
      <c r="C1791">
        <v>3</v>
      </c>
      <c r="D1791">
        <v>0</v>
      </c>
      <c r="E1791" t="s">
        <v>320</v>
      </c>
      <c r="F1791">
        <v>4582</v>
      </c>
      <c r="G1791">
        <v>9901959.166666666</v>
      </c>
      <c r="H1791">
        <v>0.90740741292635596</v>
      </c>
      <c r="I1791">
        <v>0.7</v>
      </c>
      <c r="J1791">
        <v>359380</v>
      </c>
      <c r="K1791">
        <v>8086</v>
      </c>
      <c r="L1791">
        <v>2</v>
      </c>
      <c r="M1791">
        <v>59</v>
      </c>
      <c r="N1791">
        <v>0.6962962962962963</v>
      </c>
      <c r="O1791">
        <v>302082.66666666669</v>
      </c>
      <c r="P1791">
        <v>8343</v>
      </c>
      <c r="Q1791">
        <v>2</v>
      </c>
      <c r="R1791">
        <v>60</v>
      </c>
      <c r="S1791">
        <v>11.669572214027088</v>
      </c>
      <c r="T1791">
        <v>0.91111111640930176</v>
      </c>
    </row>
    <row r="1792" spans="1:20" x14ac:dyDescent="0.25">
      <c r="A1792" t="s">
        <v>314</v>
      </c>
      <c r="B1792">
        <v>3</v>
      </c>
      <c r="C1792">
        <v>3</v>
      </c>
      <c r="D1792">
        <v>0</v>
      </c>
      <c r="E1792" t="s">
        <v>334</v>
      </c>
      <c r="F1792">
        <v>4724</v>
      </c>
      <c r="G1792">
        <v>8991131.833333334</v>
      </c>
      <c r="H1792">
        <v>0.86666667461395264</v>
      </c>
      <c r="I1792">
        <v>0.62962962962962965</v>
      </c>
      <c r="J1792">
        <v>359448.33333333331</v>
      </c>
      <c r="K1792">
        <v>8343</v>
      </c>
      <c r="L1792">
        <v>2</v>
      </c>
      <c r="M1792">
        <v>60</v>
      </c>
      <c r="N1792">
        <v>0.62962962962962965</v>
      </c>
      <c r="O1792">
        <v>283024.33333333331</v>
      </c>
      <c r="P1792">
        <v>8604</v>
      </c>
      <c r="Q1792">
        <v>2</v>
      </c>
      <c r="R1792">
        <v>61</v>
      </c>
      <c r="S1792">
        <v>11.669303302498101</v>
      </c>
      <c r="T1792">
        <v>0.88148148059844966</v>
      </c>
    </row>
    <row r="1793" spans="1:20" x14ac:dyDescent="0.25">
      <c r="A1793" t="s">
        <v>314</v>
      </c>
      <c r="B1793">
        <v>3</v>
      </c>
      <c r="C1793">
        <v>3</v>
      </c>
      <c r="D1793">
        <v>0</v>
      </c>
      <c r="E1793" t="s">
        <v>321</v>
      </c>
      <c r="F1793">
        <v>4872</v>
      </c>
      <c r="G1793">
        <v>11812757.363636363</v>
      </c>
      <c r="H1793">
        <v>0.91515152020887891</v>
      </c>
      <c r="I1793">
        <v>0.69898989898989894</v>
      </c>
      <c r="J1793">
        <v>373770.18181818182</v>
      </c>
      <c r="K1793">
        <v>8604</v>
      </c>
      <c r="L1793">
        <v>2</v>
      </c>
      <c r="M1793">
        <v>61</v>
      </c>
      <c r="N1793">
        <v>0.63232323232323229</v>
      </c>
      <c r="O1793">
        <v>317485</v>
      </c>
      <c r="P1793">
        <v>8869</v>
      </c>
      <c r="Q1793">
        <v>2</v>
      </c>
      <c r="R1793">
        <v>62</v>
      </c>
      <c r="S1793">
        <v>11.670225120600321</v>
      </c>
      <c r="T1793">
        <v>0.88518518209457397</v>
      </c>
    </row>
    <row r="1794" spans="1:20" x14ac:dyDescent="0.25">
      <c r="A1794" t="s">
        <v>314</v>
      </c>
      <c r="B1794">
        <v>3</v>
      </c>
      <c r="C1794">
        <v>3</v>
      </c>
      <c r="D1794">
        <v>0</v>
      </c>
      <c r="E1794" t="s">
        <v>335</v>
      </c>
      <c r="F1794">
        <v>5086</v>
      </c>
      <c r="G1794">
        <v>10591050.181818182</v>
      </c>
      <c r="H1794">
        <v>0.93737374110655347</v>
      </c>
      <c r="I1794">
        <v>0.74141414141414141</v>
      </c>
      <c r="J1794">
        <v>367161.90909090912</v>
      </c>
      <c r="K1794">
        <v>8869</v>
      </c>
      <c r="L1794">
        <v>2</v>
      </c>
      <c r="M1794">
        <v>62</v>
      </c>
      <c r="N1794">
        <v>0.65454545454545454</v>
      </c>
      <c r="O1794">
        <v>324618.36363636365</v>
      </c>
      <c r="P1794">
        <v>9138</v>
      </c>
      <c r="Q1794">
        <v>2</v>
      </c>
      <c r="R1794">
        <v>63</v>
      </c>
      <c r="S1794">
        <v>11.67047636055181</v>
      </c>
      <c r="T1794">
        <v>0.92222223281860349</v>
      </c>
    </row>
    <row r="1795" spans="1:20" x14ac:dyDescent="0.25">
      <c r="A1795" t="s">
        <v>314</v>
      </c>
      <c r="B1795">
        <v>3</v>
      </c>
      <c r="C1795">
        <v>3</v>
      </c>
      <c r="D1795">
        <v>0</v>
      </c>
      <c r="E1795" t="s">
        <v>322</v>
      </c>
      <c r="F1795">
        <v>5162</v>
      </c>
      <c r="G1795">
        <v>9879770.166666666</v>
      </c>
      <c r="H1795">
        <v>0.89629630247751868</v>
      </c>
      <c r="I1795">
        <v>0.66296296296296298</v>
      </c>
      <c r="J1795">
        <v>385298.66666666669</v>
      </c>
      <c r="K1795">
        <v>9138</v>
      </c>
      <c r="L1795">
        <v>2</v>
      </c>
      <c r="M1795">
        <v>63</v>
      </c>
      <c r="N1795">
        <v>0.65555555555555556</v>
      </c>
      <c r="O1795">
        <v>671264.66666666663</v>
      </c>
      <c r="P1795">
        <v>9411</v>
      </c>
      <c r="Q1795">
        <v>2</v>
      </c>
      <c r="R1795">
        <v>64</v>
      </c>
      <c r="S1795">
        <v>11.670252175853603</v>
      </c>
      <c r="T1795">
        <v>0.89629629850387571</v>
      </c>
    </row>
    <row r="1796" spans="1:20" x14ac:dyDescent="0.25">
      <c r="A1796" t="s">
        <v>314</v>
      </c>
      <c r="B1796">
        <v>3</v>
      </c>
      <c r="C1796">
        <v>3</v>
      </c>
      <c r="D1796">
        <v>0</v>
      </c>
      <c r="E1796" t="s">
        <v>323</v>
      </c>
      <c r="F1796">
        <v>5452</v>
      </c>
      <c r="G1796">
        <v>11522252.333333334</v>
      </c>
      <c r="H1796">
        <v>0.86560847219966708</v>
      </c>
      <c r="I1796">
        <v>0.70793650793650797</v>
      </c>
      <c r="J1796">
        <v>979905.80952380947</v>
      </c>
      <c r="K1796">
        <v>9411</v>
      </c>
      <c r="L1796">
        <v>2</v>
      </c>
      <c r="M1796">
        <v>64</v>
      </c>
      <c r="N1796">
        <v>0.67195767195767198</v>
      </c>
      <c r="O1796">
        <v>843650.90476190473</v>
      </c>
      <c r="P1796">
        <v>9688</v>
      </c>
      <c r="Q1796">
        <v>2</v>
      </c>
      <c r="R1796">
        <v>65</v>
      </c>
      <c r="S1796">
        <v>11.671363595826273</v>
      </c>
      <c r="T1796">
        <v>0.91296296715736391</v>
      </c>
    </row>
    <row r="1797" spans="1:20" x14ac:dyDescent="0.25">
      <c r="A1797" t="s">
        <v>314</v>
      </c>
      <c r="B1797">
        <v>3</v>
      </c>
      <c r="C1797">
        <v>3</v>
      </c>
      <c r="D1797">
        <v>0</v>
      </c>
      <c r="E1797" t="s">
        <v>329</v>
      </c>
      <c r="F1797">
        <v>5522</v>
      </c>
      <c r="G1797">
        <v>11972366.363636363</v>
      </c>
      <c r="H1797">
        <v>0.89898990501057019</v>
      </c>
      <c r="I1797">
        <v>0.66262626262626267</v>
      </c>
      <c r="J1797">
        <v>660059.36363636365</v>
      </c>
      <c r="K1797">
        <v>9688</v>
      </c>
      <c r="L1797">
        <v>2</v>
      </c>
      <c r="M1797">
        <v>65</v>
      </c>
      <c r="N1797">
        <v>0.65656565656565657</v>
      </c>
      <c r="O1797">
        <v>687285.72727272729</v>
      </c>
      <c r="P1797">
        <v>9969</v>
      </c>
      <c r="Q1797">
        <v>2</v>
      </c>
      <c r="R1797">
        <v>66</v>
      </c>
      <c r="S1797">
        <v>11.672193252217319</v>
      </c>
      <c r="T1797">
        <v>0.92222222089767458</v>
      </c>
    </row>
    <row r="1798" spans="1:20" x14ac:dyDescent="0.25">
      <c r="A1798" t="s">
        <v>314</v>
      </c>
      <c r="B1798">
        <v>3</v>
      </c>
      <c r="C1798">
        <v>3</v>
      </c>
      <c r="D1798">
        <v>0</v>
      </c>
      <c r="E1798" t="s">
        <v>342</v>
      </c>
      <c r="F1798">
        <v>5628</v>
      </c>
      <c r="G1798">
        <v>12958554.166666666</v>
      </c>
      <c r="H1798">
        <v>0.8851851920286814</v>
      </c>
      <c r="I1798">
        <v>0.67407407407407405</v>
      </c>
      <c r="J1798">
        <v>675785.16666666663</v>
      </c>
      <c r="K1798">
        <v>9969</v>
      </c>
      <c r="L1798">
        <v>2</v>
      </c>
      <c r="M1798">
        <v>66</v>
      </c>
      <c r="N1798">
        <v>0.70740740740740737</v>
      </c>
      <c r="O1798">
        <v>570630</v>
      </c>
      <c r="P1798">
        <v>10254</v>
      </c>
      <c r="Q1798">
        <v>2</v>
      </c>
      <c r="R1798">
        <v>67</v>
      </c>
      <c r="S1798">
        <v>11.672904691886112</v>
      </c>
      <c r="T1798">
        <v>0.92592592239379878</v>
      </c>
    </row>
    <row r="1799" spans="1:20" x14ac:dyDescent="0.25">
      <c r="A1799" t="s">
        <v>314</v>
      </c>
      <c r="B1799">
        <v>3</v>
      </c>
      <c r="C1799">
        <v>3</v>
      </c>
      <c r="D1799">
        <v>0</v>
      </c>
      <c r="E1799" t="s">
        <v>330</v>
      </c>
      <c r="F1799">
        <v>5848</v>
      </c>
      <c r="G1799">
        <v>12031238</v>
      </c>
      <c r="H1799">
        <v>0.89696970311078161</v>
      </c>
      <c r="I1799">
        <v>0.68888888888888888</v>
      </c>
      <c r="J1799">
        <v>1296923.1818181819</v>
      </c>
      <c r="K1799">
        <v>10254</v>
      </c>
      <c r="L1799">
        <v>2</v>
      </c>
      <c r="M1799">
        <v>67</v>
      </c>
      <c r="N1799">
        <v>0.70909090909090911</v>
      </c>
      <c r="O1799">
        <v>976159.27272727271</v>
      </c>
      <c r="P1799">
        <v>10543</v>
      </c>
      <c r="Q1799">
        <v>2</v>
      </c>
      <c r="R1799">
        <v>68</v>
      </c>
      <c r="S1799">
        <v>11.673643894183664</v>
      </c>
      <c r="T1799">
        <v>0.9111111104488373</v>
      </c>
    </row>
    <row r="1800" spans="1:20" x14ac:dyDescent="0.25">
      <c r="A1800" t="s">
        <v>314</v>
      </c>
      <c r="B1800">
        <v>3</v>
      </c>
      <c r="C1800">
        <v>3</v>
      </c>
      <c r="D1800">
        <v>0</v>
      </c>
      <c r="E1800" t="s">
        <v>343</v>
      </c>
      <c r="F1800">
        <v>6026</v>
      </c>
      <c r="G1800">
        <v>10795566.545454545</v>
      </c>
      <c r="H1800">
        <v>0.90707071260972461</v>
      </c>
      <c r="I1800">
        <v>0.70707070707070707</v>
      </c>
      <c r="J1800">
        <v>840388.18181818177</v>
      </c>
      <c r="K1800">
        <v>10543</v>
      </c>
      <c r="L1800">
        <v>2</v>
      </c>
      <c r="M1800">
        <v>68</v>
      </c>
      <c r="N1800">
        <v>0.64040404040404042</v>
      </c>
      <c r="O1800">
        <v>727646.27272727271</v>
      </c>
      <c r="P1800">
        <v>10836</v>
      </c>
      <c r="Q1800">
        <v>2</v>
      </c>
      <c r="R1800">
        <v>69</v>
      </c>
      <c r="S1800">
        <v>11.673714667260182</v>
      </c>
      <c r="T1800">
        <v>0.95555557012557979</v>
      </c>
    </row>
    <row r="1801" spans="1:20" x14ac:dyDescent="0.25">
      <c r="A1801" t="s">
        <v>314</v>
      </c>
      <c r="B1801">
        <v>3</v>
      </c>
      <c r="C1801">
        <v>3</v>
      </c>
      <c r="D1801">
        <v>0</v>
      </c>
      <c r="E1801" t="s">
        <v>331</v>
      </c>
      <c r="F1801">
        <v>6174</v>
      </c>
      <c r="G1801">
        <v>10562922.333333334</v>
      </c>
      <c r="H1801">
        <v>0.90740741292635596</v>
      </c>
      <c r="I1801">
        <v>0.67777777777777781</v>
      </c>
      <c r="J1801">
        <v>1026183</v>
      </c>
      <c r="K1801">
        <v>10836</v>
      </c>
      <c r="L1801">
        <v>2</v>
      </c>
      <c r="M1801">
        <v>69</v>
      </c>
      <c r="N1801">
        <v>0.64814814814814814</v>
      </c>
      <c r="O1801">
        <v>824056.83333333337</v>
      </c>
      <c r="P1801">
        <v>11133</v>
      </c>
      <c r="Q1801">
        <v>2</v>
      </c>
      <c r="R1801">
        <v>70</v>
      </c>
      <c r="S1801">
        <v>11.673579279960839</v>
      </c>
      <c r="T1801">
        <v>0.93333333730697632</v>
      </c>
    </row>
    <row r="1802" spans="1:20" x14ac:dyDescent="0.25">
      <c r="A1802" t="s">
        <v>314</v>
      </c>
      <c r="B1802">
        <v>3</v>
      </c>
      <c r="C1802">
        <v>3</v>
      </c>
      <c r="D1802">
        <v>0</v>
      </c>
      <c r="E1802" t="s">
        <v>344</v>
      </c>
      <c r="F1802">
        <v>6424</v>
      </c>
      <c r="G1802">
        <v>12315548.625</v>
      </c>
      <c r="H1802">
        <v>0.90555556118488312</v>
      </c>
      <c r="I1802">
        <v>0.7055555555555556</v>
      </c>
      <c r="J1802">
        <v>1065586.1875</v>
      </c>
      <c r="K1802">
        <v>11133</v>
      </c>
      <c r="L1802">
        <v>2</v>
      </c>
      <c r="M1802">
        <v>70</v>
      </c>
      <c r="N1802">
        <v>0.69861111111111107</v>
      </c>
      <c r="O1802">
        <v>996681</v>
      </c>
      <c r="P1802">
        <v>11434</v>
      </c>
      <c r="Q1802">
        <v>2</v>
      </c>
      <c r="R1802">
        <v>71</v>
      </c>
      <c r="S1802">
        <v>11.674656468181617</v>
      </c>
      <c r="T1802">
        <v>0.93827160994211833</v>
      </c>
    </row>
    <row r="1803" spans="1:20" x14ac:dyDescent="0.25">
      <c r="A1803" t="s">
        <v>314</v>
      </c>
      <c r="B1803">
        <v>3</v>
      </c>
      <c r="C1803">
        <v>3</v>
      </c>
      <c r="D1803">
        <v>0</v>
      </c>
      <c r="E1803" t="s">
        <v>337</v>
      </c>
      <c r="F1803">
        <v>6534</v>
      </c>
      <c r="G1803">
        <v>11685785.333333334</v>
      </c>
      <c r="H1803">
        <v>0.90740741292635596</v>
      </c>
      <c r="I1803">
        <v>0.6333333333333333</v>
      </c>
      <c r="J1803">
        <v>1257150.3333333333</v>
      </c>
      <c r="K1803">
        <v>11434</v>
      </c>
      <c r="L1803">
        <v>2</v>
      </c>
      <c r="M1803">
        <v>71</v>
      </c>
      <c r="N1803">
        <v>0.62962962962962965</v>
      </c>
      <c r="O1803">
        <v>857347.33333333337</v>
      </c>
      <c r="P1803">
        <v>11739</v>
      </c>
      <c r="Q1803">
        <v>2</v>
      </c>
      <c r="R1803">
        <v>72</v>
      </c>
      <c r="S1803">
        <v>11.674743253456631</v>
      </c>
      <c r="T1803">
        <v>0.84444445371627808</v>
      </c>
    </row>
    <row r="1804" spans="1:20" x14ac:dyDescent="0.25">
      <c r="A1804" t="s">
        <v>314</v>
      </c>
      <c r="B1804">
        <v>3</v>
      </c>
      <c r="C1804">
        <v>3</v>
      </c>
      <c r="D1804">
        <v>0</v>
      </c>
      <c r="E1804" t="s">
        <v>338</v>
      </c>
      <c r="F1804">
        <v>6896</v>
      </c>
      <c r="G1804">
        <v>12450640.363636363</v>
      </c>
      <c r="H1804">
        <v>0.92323232780803333</v>
      </c>
      <c r="I1804">
        <v>0.68888888888888888</v>
      </c>
      <c r="J1804">
        <v>1486446.0909090908</v>
      </c>
      <c r="K1804">
        <v>12048</v>
      </c>
      <c r="L1804">
        <v>2</v>
      </c>
      <c r="M1804">
        <v>73</v>
      </c>
      <c r="N1804">
        <v>0.6707070707070707</v>
      </c>
      <c r="O1804">
        <v>1372000.0909090908</v>
      </c>
      <c r="P1804">
        <v>12361</v>
      </c>
      <c r="Q1804">
        <v>2</v>
      </c>
      <c r="R1804">
        <v>74</v>
      </c>
      <c r="S1804">
        <v>11.675391041592606</v>
      </c>
      <c r="T1804">
        <v>0.94444445371627805</v>
      </c>
    </row>
    <row r="1805" spans="1:20" x14ac:dyDescent="0.25">
      <c r="A1805" t="s">
        <v>314</v>
      </c>
      <c r="B1805">
        <v>3</v>
      </c>
      <c r="C1805">
        <v>3</v>
      </c>
      <c r="D1805">
        <v>0</v>
      </c>
      <c r="E1805" t="s">
        <v>352</v>
      </c>
      <c r="F1805">
        <v>7038</v>
      </c>
      <c r="G1805">
        <v>11995791.727272727</v>
      </c>
      <c r="H1805">
        <v>0.8888888955116272</v>
      </c>
      <c r="I1805">
        <v>0.70505050505050504</v>
      </c>
      <c r="J1805">
        <v>895756.63636363635</v>
      </c>
      <c r="K1805">
        <v>12361</v>
      </c>
      <c r="L1805">
        <v>2</v>
      </c>
      <c r="M1805">
        <v>74</v>
      </c>
      <c r="N1805">
        <v>0.68888888888888888</v>
      </c>
      <c r="O1805">
        <v>560120.36363636365</v>
      </c>
      <c r="P1805">
        <v>12678</v>
      </c>
      <c r="Q1805">
        <v>2</v>
      </c>
      <c r="R1805">
        <v>75</v>
      </c>
      <c r="S1805">
        <v>11.675549633577615</v>
      </c>
      <c r="T1805">
        <v>0.92222222089767458</v>
      </c>
    </row>
    <row r="1806" spans="1:20" x14ac:dyDescent="0.25">
      <c r="A1806" t="s">
        <v>314</v>
      </c>
      <c r="B1806">
        <v>3</v>
      </c>
      <c r="C1806">
        <v>3</v>
      </c>
      <c r="D1806">
        <v>0</v>
      </c>
      <c r="E1806" t="s">
        <v>346</v>
      </c>
      <c r="F1806">
        <v>7220</v>
      </c>
      <c r="G1806">
        <v>10679301.166666666</v>
      </c>
      <c r="H1806">
        <v>0.80000000695387519</v>
      </c>
      <c r="I1806">
        <v>0.70740740740740737</v>
      </c>
      <c r="J1806">
        <v>785795.5</v>
      </c>
      <c r="K1806">
        <v>12678</v>
      </c>
      <c r="L1806">
        <v>2</v>
      </c>
      <c r="M1806">
        <v>75</v>
      </c>
      <c r="N1806">
        <v>0.65555555555555556</v>
      </c>
      <c r="O1806">
        <v>429751.66666666669</v>
      </c>
      <c r="P1806">
        <v>12999</v>
      </c>
      <c r="Q1806">
        <v>2</v>
      </c>
      <c r="R1806">
        <v>76</v>
      </c>
      <c r="S1806">
        <v>11.675236445983748</v>
      </c>
      <c r="T1806">
        <v>0.90370370149612422</v>
      </c>
    </row>
    <row r="1807" spans="1:20" x14ac:dyDescent="0.25">
      <c r="A1807" t="s">
        <v>314</v>
      </c>
      <c r="B1807">
        <v>3</v>
      </c>
      <c r="C1807">
        <v>3</v>
      </c>
      <c r="D1807">
        <v>0</v>
      </c>
      <c r="E1807" t="s">
        <v>353</v>
      </c>
      <c r="F1807">
        <v>7472</v>
      </c>
      <c r="G1807">
        <v>12813678</v>
      </c>
      <c r="H1807">
        <v>0.91111111640930176</v>
      </c>
      <c r="I1807">
        <v>0.71111111111111114</v>
      </c>
      <c r="J1807">
        <v>777128.5</v>
      </c>
      <c r="K1807">
        <v>12999</v>
      </c>
      <c r="L1807">
        <v>2</v>
      </c>
      <c r="M1807">
        <v>76</v>
      </c>
      <c r="N1807">
        <v>0.65925925925925921</v>
      </c>
      <c r="O1807">
        <v>749559.5</v>
      </c>
      <c r="P1807">
        <v>13324</v>
      </c>
      <c r="Q1807">
        <v>2</v>
      </c>
      <c r="R1807">
        <v>77</v>
      </c>
      <c r="S1807">
        <v>11.675544901673547</v>
      </c>
      <c r="T1807">
        <v>0.95555557012557979</v>
      </c>
    </row>
    <row r="1808" spans="1:20" x14ac:dyDescent="0.25">
      <c r="A1808" t="s">
        <v>314</v>
      </c>
      <c r="B1808">
        <v>3</v>
      </c>
      <c r="C1808">
        <v>3</v>
      </c>
      <c r="D1808">
        <v>0</v>
      </c>
      <c r="E1808" t="s">
        <v>347</v>
      </c>
      <c r="F1808">
        <v>7618</v>
      </c>
      <c r="G1808">
        <v>15171384.5</v>
      </c>
      <c r="H1808">
        <v>0.90000000596046448</v>
      </c>
      <c r="I1808">
        <v>0.76666666666666661</v>
      </c>
      <c r="J1808">
        <v>916303.83333333337</v>
      </c>
      <c r="K1808">
        <v>13324</v>
      </c>
      <c r="L1808">
        <v>2</v>
      </c>
      <c r="M1808">
        <v>77</v>
      </c>
      <c r="N1808">
        <v>0.68888888888888888</v>
      </c>
      <c r="O1808">
        <v>795722.66666666663</v>
      </c>
      <c r="P1808">
        <v>13653</v>
      </c>
      <c r="Q1808">
        <v>2</v>
      </c>
      <c r="R1808">
        <v>78</v>
      </c>
      <c r="S1808">
        <v>11.676296986641814</v>
      </c>
      <c r="T1808">
        <v>0.88888888359069829</v>
      </c>
    </row>
    <row r="1809" spans="1:20" x14ac:dyDescent="0.25">
      <c r="A1809" t="s">
        <v>314</v>
      </c>
      <c r="B1809">
        <v>3</v>
      </c>
      <c r="C1809">
        <v>3</v>
      </c>
      <c r="D1809">
        <v>0</v>
      </c>
      <c r="E1809" t="s">
        <v>354</v>
      </c>
      <c r="F1809">
        <v>7906</v>
      </c>
      <c r="G1809">
        <v>12595081</v>
      </c>
      <c r="H1809">
        <v>0.92592593034108484</v>
      </c>
      <c r="I1809">
        <v>0.70740740740740737</v>
      </c>
      <c r="J1809">
        <v>1037230.8333333334</v>
      </c>
      <c r="K1809">
        <v>13986</v>
      </c>
      <c r="L1809">
        <v>2</v>
      </c>
      <c r="M1809">
        <v>79</v>
      </c>
      <c r="N1809">
        <v>0.68888888888888888</v>
      </c>
      <c r="O1809">
        <v>578114.16666666663</v>
      </c>
      <c r="P1809">
        <v>14323</v>
      </c>
      <c r="Q1809">
        <v>2</v>
      </c>
      <c r="R1809">
        <v>80</v>
      </c>
      <c r="S1809">
        <v>11.676338790540841</v>
      </c>
      <c r="T1809">
        <v>0.92592593431472781</v>
      </c>
    </row>
    <row r="1810" spans="1:20" x14ac:dyDescent="0.25">
      <c r="A1810" t="s">
        <v>314</v>
      </c>
      <c r="B1810">
        <v>3</v>
      </c>
      <c r="C1810">
        <v>3</v>
      </c>
      <c r="D1810">
        <v>0</v>
      </c>
      <c r="E1810" t="s">
        <v>355</v>
      </c>
      <c r="F1810">
        <v>8340</v>
      </c>
      <c r="G1810">
        <v>12350982.833333334</v>
      </c>
      <c r="H1810">
        <v>0.92222222685813904</v>
      </c>
      <c r="I1810">
        <v>0.67037037037037039</v>
      </c>
      <c r="J1810">
        <v>2211869.6666666665</v>
      </c>
      <c r="K1810">
        <v>14664</v>
      </c>
      <c r="L1810">
        <v>2</v>
      </c>
      <c r="M1810">
        <v>81</v>
      </c>
      <c r="N1810">
        <v>0.71481481481481479</v>
      </c>
      <c r="O1810">
        <v>1388965.8333333333</v>
      </c>
      <c r="P1810">
        <v>15009</v>
      </c>
      <c r="Q1810">
        <v>2</v>
      </c>
      <c r="R1810">
        <v>82</v>
      </c>
      <c r="S1810">
        <v>11.676424927921934</v>
      </c>
      <c r="T1810">
        <v>0.94074074029922483</v>
      </c>
    </row>
    <row r="1811" spans="1:20" x14ac:dyDescent="0.25">
      <c r="A1811" t="s">
        <v>314</v>
      </c>
      <c r="B1811">
        <v>3</v>
      </c>
      <c r="C1811">
        <v>4</v>
      </c>
      <c r="D1811">
        <v>0</v>
      </c>
      <c r="E1811" t="s">
        <v>360</v>
      </c>
      <c r="F1811">
        <v>1452</v>
      </c>
      <c r="G1811">
        <v>11550908.333333334</v>
      </c>
      <c r="H1811">
        <v>0.92222222685813904</v>
      </c>
      <c r="I1811">
        <v>0.67037037037037039</v>
      </c>
      <c r="J1811">
        <v>1362540</v>
      </c>
      <c r="K1811">
        <v>2659</v>
      </c>
      <c r="L1811">
        <v>2</v>
      </c>
      <c r="M1811">
        <v>32</v>
      </c>
      <c r="N1811">
        <v>0.67037037037037039</v>
      </c>
      <c r="O1811">
        <v>1150906.6666666667</v>
      </c>
      <c r="P1811">
        <v>2808</v>
      </c>
      <c r="Q1811">
        <v>2</v>
      </c>
      <c r="R1811">
        <v>33</v>
      </c>
      <c r="S1811">
        <v>11.676511019466986</v>
      </c>
      <c r="T1811">
        <v>0.95555555820465088</v>
      </c>
    </row>
    <row r="1812" spans="1:20" x14ac:dyDescent="0.25">
      <c r="A1812" t="s">
        <v>314</v>
      </c>
      <c r="B1812">
        <v>3</v>
      </c>
      <c r="C1812">
        <v>4</v>
      </c>
      <c r="D1812">
        <v>0</v>
      </c>
      <c r="E1812" t="s">
        <v>315</v>
      </c>
      <c r="F1812">
        <v>1774</v>
      </c>
      <c r="G1812">
        <v>2916793</v>
      </c>
      <c r="H1812">
        <v>0.92962963382403052</v>
      </c>
      <c r="I1812">
        <v>0.7592592592592593</v>
      </c>
      <c r="J1812">
        <v>262931.5</v>
      </c>
      <c r="K1812">
        <v>3279</v>
      </c>
      <c r="L1812">
        <v>2</v>
      </c>
      <c r="M1812">
        <v>36</v>
      </c>
      <c r="N1812">
        <v>0.7</v>
      </c>
      <c r="O1812">
        <v>282212.33333333331</v>
      </c>
      <c r="P1812">
        <v>3444</v>
      </c>
      <c r="Q1812">
        <v>2</v>
      </c>
      <c r="R1812">
        <v>37</v>
      </c>
      <c r="S1812">
        <v>11.675621758212529</v>
      </c>
      <c r="T1812">
        <v>0.97777779102325435</v>
      </c>
    </row>
    <row r="1813" spans="1:20" x14ac:dyDescent="0.25">
      <c r="A1813" t="s">
        <v>314</v>
      </c>
      <c r="B1813">
        <v>3</v>
      </c>
      <c r="C1813">
        <v>4</v>
      </c>
      <c r="D1813">
        <v>0</v>
      </c>
      <c r="E1813" t="s">
        <v>324</v>
      </c>
      <c r="F1813">
        <v>2096</v>
      </c>
      <c r="G1813">
        <v>5674666</v>
      </c>
      <c r="H1813">
        <v>0.83703704675038659</v>
      </c>
      <c r="I1813">
        <v>0.74444444444444446</v>
      </c>
      <c r="J1813">
        <v>286125.66666666669</v>
      </c>
      <c r="K1813">
        <v>3963</v>
      </c>
      <c r="L1813">
        <v>2</v>
      </c>
      <c r="M1813">
        <v>40</v>
      </c>
      <c r="N1813">
        <v>0.70370370370370372</v>
      </c>
      <c r="O1813">
        <v>281193.66666666669</v>
      </c>
      <c r="P1813">
        <v>4144</v>
      </c>
      <c r="Q1813">
        <v>2</v>
      </c>
      <c r="R1813">
        <v>41</v>
      </c>
      <c r="S1813">
        <v>11.675131853033728</v>
      </c>
      <c r="T1813">
        <v>0.90370371341705324</v>
      </c>
    </row>
    <row r="1814" spans="1:20" x14ac:dyDescent="0.25">
      <c r="A1814" t="s">
        <v>314</v>
      </c>
      <c r="B1814">
        <v>3</v>
      </c>
      <c r="C1814">
        <v>4</v>
      </c>
      <c r="D1814">
        <v>0</v>
      </c>
      <c r="E1814" t="s">
        <v>332</v>
      </c>
      <c r="F1814">
        <v>2418</v>
      </c>
      <c r="G1814">
        <v>6584556.166666667</v>
      </c>
      <c r="H1814">
        <v>0.89259259899457299</v>
      </c>
      <c r="I1814">
        <v>0.71481481481481479</v>
      </c>
      <c r="J1814">
        <v>282288.83333333331</v>
      </c>
      <c r="K1814">
        <v>4518</v>
      </c>
      <c r="L1814">
        <v>2</v>
      </c>
      <c r="M1814">
        <v>43</v>
      </c>
      <c r="N1814">
        <v>0.67037037037037039</v>
      </c>
      <c r="O1814">
        <v>307083.16666666669</v>
      </c>
      <c r="P1814">
        <v>4711</v>
      </c>
      <c r="Q1814">
        <v>2</v>
      </c>
      <c r="R1814">
        <v>44</v>
      </c>
      <c r="S1814">
        <v>11.674730825468563</v>
      </c>
      <c r="T1814">
        <v>0.95555557012557979</v>
      </c>
    </row>
    <row r="1815" spans="1:20" x14ac:dyDescent="0.25">
      <c r="A1815" t="s">
        <v>314</v>
      </c>
      <c r="B1815">
        <v>3</v>
      </c>
      <c r="C1815">
        <v>4</v>
      </c>
      <c r="D1815">
        <v>0</v>
      </c>
      <c r="E1815" t="s">
        <v>339</v>
      </c>
      <c r="F1815">
        <v>2740</v>
      </c>
      <c r="G1815">
        <v>7608537.666666667</v>
      </c>
      <c r="H1815">
        <v>0.92222222685813904</v>
      </c>
      <c r="I1815">
        <v>0.67777777777777781</v>
      </c>
      <c r="J1815">
        <v>289928.5</v>
      </c>
      <c r="K1815">
        <v>5109</v>
      </c>
      <c r="L1815">
        <v>2</v>
      </c>
      <c r="M1815">
        <v>46</v>
      </c>
      <c r="N1815">
        <v>0.68518518518518512</v>
      </c>
      <c r="O1815">
        <v>290623.5</v>
      </c>
      <c r="P1815">
        <v>5314</v>
      </c>
      <c r="Q1815">
        <v>2</v>
      </c>
      <c r="R1815">
        <v>47</v>
      </c>
      <c r="S1815">
        <v>11.674640088593577</v>
      </c>
      <c r="T1815">
        <v>0.96296298503875732</v>
      </c>
    </row>
    <row r="1816" spans="1:20" x14ac:dyDescent="0.25">
      <c r="A1816" t="s">
        <v>314</v>
      </c>
      <c r="B1816">
        <v>3</v>
      </c>
      <c r="C1816">
        <v>4</v>
      </c>
      <c r="D1816">
        <v>0</v>
      </c>
      <c r="E1816" t="s">
        <v>348</v>
      </c>
      <c r="F1816">
        <v>3062</v>
      </c>
      <c r="G1816">
        <v>7036762.333333333</v>
      </c>
      <c r="H1816">
        <v>0.89629630247751868</v>
      </c>
      <c r="I1816">
        <v>0.67407407407407405</v>
      </c>
      <c r="J1816">
        <v>314300</v>
      </c>
      <c r="K1816">
        <v>5736</v>
      </c>
      <c r="L1816">
        <v>2</v>
      </c>
      <c r="M1816">
        <v>49</v>
      </c>
      <c r="N1816">
        <v>0.71111111111111114</v>
      </c>
      <c r="O1816">
        <v>311475.16666666669</v>
      </c>
      <c r="P1816">
        <v>5953</v>
      </c>
      <c r="Q1816">
        <v>2</v>
      </c>
      <c r="R1816">
        <v>50</v>
      </c>
      <c r="S1816">
        <v>11.674195119790975</v>
      </c>
      <c r="T1816">
        <v>0.88148149251937868</v>
      </c>
    </row>
    <row r="1817" spans="1:20" x14ac:dyDescent="0.25">
      <c r="A1817" t="s">
        <v>314</v>
      </c>
      <c r="B1817">
        <v>3</v>
      </c>
      <c r="C1817">
        <v>4</v>
      </c>
      <c r="D1817">
        <v>0</v>
      </c>
      <c r="E1817" t="s">
        <v>356</v>
      </c>
      <c r="F1817">
        <v>3384</v>
      </c>
      <c r="G1817">
        <v>6735005.833333333</v>
      </c>
      <c r="H1817">
        <v>0.84074075023333228</v>
      </c>
      <c r="I1817">
        <v>0.65185185185185179</v>
      </c>
      <c r="J1817">
        <v>351490.83333333331</v>
      </c>
      <c r="K1817">
        <v>6399</v>
      </c>
      <c r="L1817">
        <v>2</v>
      </c>
      <c r="M1817">
        <v>52</v>
      </c>
      <c r="N1817">
        <v>0.71481481481481479</v>
      </c>
      <c r="O1817">
        <v>333878.16666666669</v>
      </c>
      <c r="P1817">
        <v>6628</v>
      </c>
      <c r="Q1817">
        <v>2</v>
      </c>
      <c r="R1817">
        <v>53</v>
      </c>
      <c r="S1817">
        <v>11.673661840881923</v>
      </c>
      <c r="T1817">
        <v>0.95555555820465088</v>
      </c>
    </row>
    <row r="1818" spans="1:20" x14ac:dyDescent="0.25">
      <c r="A1818" t="s">
        <v>314</v>
      </c>
      <c r="B1818">
        <v>3</v>
      </c>
      <c r="C1818">
        <v>4</v>
      </c>
      <c r="D1818">
        <v>0</v>
      </c>
      <c r="E1818" t="s">
        <v>357</v>
      </c>
      <c r="F1818">
        <v>3706</v>
      </c>
      <c r="G1818">
        <v>5886620.166666667</v>
      </c>
      <c r="H1818">
        <v>0.89629630247751868</v>
      </c>
      <c r="I1818">
        <v>0.61851851851851847</v>
      </c>
      <c r="J1818">
        <v>278839</v>
      </c>
      <c r="K1818">
        <v>6861</v>
      </c>
      <c r="L1818">
        <v>2</v>
      </c>
      <c r="M1818">
        <v>54</v>
      </c>
      <c r="N1818">
        <v>0.6962962962962963</v>
      </c>
      <c r="O1818">
        <v>323327</v>
      </c>
      <c r="P1818">
        <v>7098</v>
      </c>
      <c r="Q1818">
        <v>2</v>
      </c>
      <c r="R1818">
        <v>55</v>
      </c>
      <c r="S1818">
        <v>11.672863276236003</v>
      </c>
      <c r="T1818">
        <v>0.95555555820465088</v>
      </c>
    </row>
    <row r="1819" spans="1:20" x14ac:dyDescent="0.25">
      <c r="A1819" t="s">
        <v>314</v>
      </c>
      <c r="B1819">
        <v>3</v>
      </c>
      <c r="C1819">
        <v>4</v>
      </c>
      <c r="D1819">
        <v>0</v>
      </c>
      <c r="E1819" t="s">
        <v>316</v>
      </c>
      <c r="F1819">
        <v>3799</v>
      </c>
      <c r="G1819">
        <v>5956684.333333333</v>
      </c>
      <c r="H1819">
        <v>0.92222222685813904</v>
      </c>
      <c r="I1819">
        <v>0.625925925925926</v>
      </c>
      <c r="J1819">
        <v>370943.5</v>
      </c>
      <c r="K1819">
        <v>7098</v>
      </c>
      <c r="L1819">
        <v>2</v>
      </c>
      <c r="M1819">
        <v>55</v>
      </c>
      <c r="N1819">
        <v>0.64074074074074072</v>
      </c>
      <c r="O1819">
        <v>354961.16666666669</v>
      </c>
      <c r="P1819">
        <v>7339</v>
      </c>
      <c r="Q1819">
        <v>2</v>
      </c>
      <c r="R1819">
        <v>56</v>
      </c>
      <c r="S1819">
        <v>11.672197884862163</v>
      </c>
      <c r="T1819">
        <v>0.97037038803100584</v>
      </c>
    </row>
    <row r="1820" spans="1:20" x14ac:dyDescent="0.25">
      <c r="A1820" t="s">
        <v>314</v>
      </c>
      <c r="B1820">
        <v>3</v>
      </c>
      <c r="C1820">
        <v>4</v>
      </c>
      <c r="D1820">
        <v>0</v>
      </c>
      <c r="E1820" t="s">
        <v>358</v>
      </c>
      <c r="F1820">
        <v>4028</v>
      </c>
      <c r="G1820">
        <v>13189916.833333334</v>
      </c>
      <c r="H1820">
        <v>0.80000001192092896</v>
      </c>
      <c r="I1820">
        <v>0.67407407407407405</v>
      </c>
      <c r="J1820">
        <v>431071.5</v>
      </c>
      <c r="K1820">
        <v>7584</v>
      </c>
      <c r="L1820">
        <v>2</v>
      </c>
      <c r="M1820">
        <v>57</v>
      </c>
      <c r="N1820">
        <v>0.66666666666666663</v>
      </c>
      <c r="O1820">
        <v>370061.5</v>
      </c>
      <c r="P1820">
        <v>7833</v>
      </c>
      <c r="Q1820">
        <v>2</v>
      </c>
      <c r="R1820">
        <v>58</v>
      </c>
      <c r="S1820">
        <v>11.672550320725502</v>
      </c>
      <c r="T1820">
        <v>0.91111111640930176</v>
      </c>
    </row>
    <row r="1821" spans="1:20" x14ac:dyDescent="0.25">
      <c r="A1821" t="s">
        <v>314</v>
      </c>
      <c r="B1821">
        <v>3</v>
      </c>
      <c r="C1821">
        <v>4</v>
      </c>
      <c r="D1821">
        <v>0</v>
      </c>
      <c r="E1821" t="s">
        <v>359</v>
      </c>
      <c r="F1821">
        <v>4350</v>
      </c>
      <c r="G1821">
        <v>9221174.8181818184</v>
      </c>
      <c r="H1821">
        <v>0.87676768411289563</v>
      </c>
      <c r="I1821">
        <v>0.72727272727272729</v>
      </c>
      <c r="J1821">
        <v>380011</v>
      </c>
      <c r="K1821">
        <v>8086</v>
      </c>
      <c r="L1821">
        <v>2</v>
      </c>
      <c r="M1821">
        <v>59</v>
      </c>
      <c r="N1821">
        <v>0.65858585858585861</v>
      </c>
      <c r="O1821">
        <v>370956.45454545453</v>
      </c>
      <c r="P1821">
        <v>8343</v>
      </c>
      <c r="Q1821">
        <v>2</v>
      </c>
      <c r="R1821">
        <v>60</v>
      </c>
      <c r="S1821">
        <v>11.672046338875132</v>
      </c>
      <c r="T1821">
        <v>0.93333333730697632</v>
      </c>
    </row>
    <row r="1822" spans="1:20" x14ac:dyDescent="0.25">
      <c r="A1822" t="s">
        <v>314</v>
      </c>
      <c r="B1822">
        <v>3</v>
      </c>
      <c r="C1822">
        <v>4</v>
      </c>
      <c r="D1822">
        <v>0</v>
      </c>
      <c r="E1822" t="s">
        <v>318</v>
      </c>
      <c r="F1822">
        <v>4443</v>
      </c>
      <c r="G1822">
        <v>9329316.8181818184</v>
      </c>
      <c r="H1822">
        <v>0.87676768411289563</v>
      </c>
      <c r="I1822">
        <v>0.64242424242424245</v>
      </c>
      <c r="J1822">
        <v>373627.45454545453</v>
      </c>
      <c r="K1822">
        <v>8343</v>
      </c>
      <c r="L1822">
        <v>2</v>
      </c>
      <c r="M1822">
        <v>60</v>
      </c>
      <c r="N1822">
        <v>0.64646464646464641</v>
      </c>
      <c r="O1822">
        <v>343723.54545454547</v>
      </c>
      <c r="P1822">
        <v>8604</v>
      </c>
      <c r="Q1822">
        <v>2</v>
      </c>
      <c r="R1822">
        <v>61</v>
      </c>
      <c r="S1822">
        <v>11.671410262076281</v>
      </c>
      <c r="T1822">
        <v>0.92962964177131657</v>
      </c>
    </row>
    <row r="1823" spans="1:20" x14ac:dyDescent="0.25">
      <c r="A1823" t="s">
        <v>314</v>
      </c>
      <c r="B1823">
        <v>3</v>
      </c>
      <c r="C1823">
        <v>4</v>
      </c>
      <c r="D1823">
        <v>0</v>
      </c>
      <c r="E1823" t="s">
        <v>326</v>
      </c>
      <c r="F1823">
        <v>4683</v>
      </c>
      <c r="G1823">
        <v>13316349.5</v>
      </c>
      <c r="H1823">
        <v>0.84444445371627808</v>
      </c>
      <c r="I1823">
        <v>0.63703703703703707</v>
      </c>
      <c r="J1823">
        <v>389802.83333333331</v>
      </c>
      <c r="K1823">
        <v>8604</v>
      </c>
      <c r="L1823">
        <v>2</v>
      </c>
      <c r="M1823">
        <v>61</v>
      </c>
      <c r="N1823">
        <v>0.62222222222222223</v>
      </c>
      <c r="O1823">
        <v>375724</v>
      </c>
      <c r="P1823">
        <v>8869</v>
      </c>
      <c r="Q1823">
        <v>2</v>
      </c>
      <c r="R1823">
        <v>62</v>
      </c>
      <c r="S1823">
        <v>11.671718287456368</v>
      </c>
      <c r="T1823">
        <v>0.90370370149612422</v>
      </c>
    </row>
    <row r="1824" spans="1:20" x14ac:dyDescent="0.25">
      <c r="A1824" t="s">
        <v>314</v>
      </c>
      <c r="B1824">
        <v>3</v>
      </c>
      <c r="C1824">
        <v>4</v>
      </c>
      <c r="D1824">
        <v>0</v>
      </c>
      <c r="E1824" t="s">
        <v>319</v>
      </c>
      <c r="F1824">
        <v>4765</v>
      </c>
      <c r="G1824">
        <v>15350566.666666666</v>
      </c>
      <c r="H1824">
        <v>0.85555556416511536</v>
      </c>
      <c r="I1824">
        <v>0.77407407407407403</v>
      </c>
      <c r="J1824">
        <v>400504.5</v>
      </c>
      <c r="K1824">
        <v>8869</v>
      </c>
      <c r="L1824">
        <v>2</v>
      </c>
      <c r="M1824">
        <v>62</v>
      </c>
      <c r="N1824">
        <v>0.67407407407407405</v>
      </c>
      <c r="O1824">
        <v>1279355.1666666667</v>
      </c>
      <c r="P1824">
        <v>9138</v>
      </c>
      <c r="Q1824">
        <v>2</v>
      </c>
      <c r="R1824">
        <v>63</v>
      </c>
      <c r="S1824">
        <v>11.672600379875437</v>
      </c>
      <c r="T1824">
        <v>0.89629629850387571</v>
      </c>
    </row>
    <row r="1825" spans="1:20" x14ac:dyDescent="0.25">
      <c r="A1825" t="s">
        <v>314</v>
      </c>
      <c r="B1825">
        <v>3</v>
      </c>
      <c r="C1825">
        <v>4</v>
      </c>
      <c r="D1825">
        <v>0</v>
      </c>
      <c r="E1825" t="s">
        <v>333</v>
      </c>
      <c r="F1825">
        <v>4843</v>
      </c>
      <c r="G1825">
        <v>17643311.833333332</v>
      </c>
      <c r="H1825">
        <v>0.81111112236976624</v>
      </c>
      <c r="I1825">
        <v>0.67407407407407405</v>
      </c>
      <c r="J1825">
        <v>504713.83333333331</v>
      </c>
      <c r="K1825">
        <v>9138</v>
      </c>
      <c r="L1825">
        <v>2</v>
      </c>
      <c r="M1825">
        <v>63</v>
      </c>
      <c r="N1825">
        <v>0.64814814814814814</v>
      </c>
      <c r="O1825">
        <v>4039701.3333333335</v>
      </c>
      <c r="P1825">
        <v>9411</v>
      </c>
      <c r="Q1825">
        <v>2</v>
      </c>
      <c r="R1825">
        <v>64</v>
      </c>
      <c r="S1825">
        <v>11.673702804151027</v>
      </c>
      <c r="T1825">
        <v>0.90370368957519531</v>
      </c>
    </row>
    <row r="1826" spans="1:20" x14ac:dyDescent="0.25">
      <c r="A1826" t="s">
        <v>314</v>
      </c>
      <c r="B1826">
        <v>3</v>
      </c>
      <c r="C1826">
        <v>4</v>
      </c>
      <c r="D1826">
        <v>0</v>
      </c>
      <c r="E1826" t="s">
        <v>320</v>
      </c>
      <c r="F1826">
        <v>5087</v>
      </c>
      <c r="G1826">
        <v>13518244.833333334</v>
      </c>
      <c r="H1826">
        <v>0.85555556416511536</v>
      </c>
      <c r="I1826">
        <v>0.67037037037037039</v>
      </c>
      <c r="J1826">
        <v>1424998.1666666667</v>
      </c>
      <c r="K1826">
        <v>9411</v>
      </c>
      <c r="L1826">
        <v>2</v>
      </c>
      <c r="M1826">
        <v>64</v>
      </c>
      <c r="N1826">
        <v>0.65555555555555556</v>
      </c>
      <c r="O1826">
        <v>1134367.8333333333</v>
      </c>
      <c r="P1826">
        <v>9688</v>
      </c>
      <c r="Q1826">
        <v>2</v>
      </c>
      <c r="R1826">
        <v>65</v>
      </c>
      <c r="S1826">
        <v>11.674142421968124</v>
      </c>
      <c r="T1826">
        <v>0.91851851940155027</v>
      </c>
    </row>
    <row r="1827" spans="1:20" x14ac:dyDescent="0.25">
      <c r="A1827" t="s">
        <v>314</v>
      </c>
      <c r="B1827">
        <v>3</v>
      </c>
      <c r="C1827">
        <v>4</v>
      </c>
      <c r="D1827">
        <v>0</v>
      </c>
      <c r="E1827" t="s">
        <v>334</v>
      </c>
      <c r="F1827">
        <v>5245</v>
      </c>
      <c r="G1827">
        <v>13601533.818181818</v>
      </c>
      <c r="H1827">
        <v>0.85858586701479822</v>
      </c>
      <c r="I1827">
        <v>0.67272727272727273</v>
      </c>
      <c r="J1827">
        <v>1739702.3636363635</v>
      </c>
      <c r="K1827">
        <v>9688</v>
      </c>
      <c r="L1827">
        <v>2</v>
      </c>
      <c r="M1827">
        <v>65</v>
      </c>
      <c r="N1827">
        <v>0.68282828282828278</v>
      </c>
      <c r="O1827">
        <v>928202.27272727271</v>
      </c>
      <c r="P1827">
        <v>9969</v>
      </c>
      <c r="Q1827">
        <v>2</v>
      </c>
      <c r="R1827">
        <v>66</v>
      </c>
      <c r="S1827">
        <v>11.675094872473744</v>
      </c>
      <c r="T1827">
        <v>0.86296296119689941</v>
      </c>
    </row>
    <row r="1828" spans="1:20" x14ac:dyDescent="0.25">
      <c r="A1828" t="s">
        <v>314</v>
      </c>
      <c r="B1828">
        <v>3</v>
      </c>
      <c r="C1828">
        <v>4</v>
      </c>
      <c r="D1828">
        <v>0</v>
      </c>
      <c r="E1828" t="s">
        <v>321</v>
      </c>
      <c r="F1828">
        <v>5409</v>
      </c>
      <c r="G1828">
        <v>11767039.666666666</v>
      </c>
      <c r="H1828">
        <v>0.82222223281860352</v>
      </c>
      <c r="I1828">
        <v>0.68888888888888888</v>
      </c>
      <c r="J1828">
        <v>1279878.8333333333</v>
      </c>
      <c r="K1828">
        <v>9969</v>
      </c>
      <c r="L1828">
        <v>2</v>
      </c>
      <c r="M1828">
        <v>66</v>
      </c>
      <c r="N1828">
        <v>0.70740740740740737</v>
      </c>
      <c r="O1828">
        <v>980046.33333333337</v>
      </c>
      <c r="P1828">
        <v>10254</v>
      </c>
      <c r="Q1828">
        <v>2</v>
      </c>
      <c r="R1828">
        <v>67</v>
      </c>
      <c r="S1828">
        <v>11.675004411505206</v>
      </c>
      <c r="T1828">
        <v>0.91851853132247929</v>
      </c>
    </row>
    <row r="1829" spans="1:20" x14ac:dyDescent="0.25">
      <c r="A1829" t="s">
        <v>314</v>
      </c>
      <c r="B1829">
        <v>3</v>
      </c>
      <c r="C1829">
        <v>4</v>
      </c>
      <c r="D1829">
        <v>0</v>
      </c>
      <c r="E1829" t="s">
        <v>335</v>
      </c>
      <c r="F1829">
        <v>5647</v>
      </c>
      <c r="G1829">
        <v>11825309.0625</v>
      </c>
      <c r="H1829">
        <v>0.81527778878808022</v>
      </c>
      <c r="I1829">
        <v>0.67222222222222217</v>
      </c>
      <c r="J1829">
        <v>1410411.3125</v>
      </c>
      <c r="K1829">
        <v>10543</v>
      </c>
      <c r="L1829">
        <v>2</v>
      </c>
      <c r="M1829">
        <v>68</v>
      </c>
      <c r="N1829">
        <v>0.69861111111111107</v>
      </c>
      <c r="O1829">
        <v>1021042.9375</v>
      </c>
      <c r="P1829">
        <v>10836</v>
      </c>
      <c r="Q1829">
        <v>2</v>
      </c>
      <c r="R1829">
        <v>69</v>
      </c>
      <c r="S1829">
        <v>11.674440134015164</v>
      </c>
      <c r="T1829">
        <v>0.8567901293436686</v>
      </c>
    </row>
    <row r="1830" spans="1:20" x14ac:dyDescent="0.25">
      <c r="A1830" t="s">
        <v>314</v>
      </c>
      <c r="B1830">
        <v>3</v>
      </c>
      <c r="C1830">
        <v>4</v>
      </c>
      <c r="D1830">
        <v>0</v>
      </c>
      <c r="E1830" t="s">
        <v>322</v>
      </c>
      <c r="F1830">
        <v>5731</v>
      </c>
      <c r="G1830">
        <v>13800305.166666666</v>
      </c>
      <c r="H1830">
        <v>0.85185186068216956</v>
      </c>
      <c r="I1830">
        <v>0.66296296296296298</v>
      </c>
      <c r="J1830">
        <v>1500291.3333333333</v>
      </c>
      <c r="K1830">
        <v>10836</v>
      </c>
      <c r="L1830">
        <v>2</v>
      </c>
      <c r="M1830">
        <v>69</v>
      </c>
      <c r="N1830">
        <v>0.66296296296296298</v>
      </c>
      <c r="O1830">
        <v>1127407.3333333333</v>
      </c>
      <c r="P1830">
        <v>11133</v>
      </c>
      <c r="Q1830">
        <v>2</v>
      </c>
      <c r="R1830">
        <v>70</v>
      </c>
      <c r="S1830">
        <v>11.674746584398413</v>
      </c>
      <c r="T1830">
        <v>0.90370368957519531</v>
      </c>
    </row>
    <row r="1831" spans="1:20" x14ac:dyDescent="0.25">
      <c r="A1831" t="s">
        <v>314</v>
      </c>
      <c r="B1831">
        <v>3</v>
      </c>
      <c r="C1831">
        <v>4</v>
      </c>
      <c r="D1831">
        <v>0</v>
      </c>
      <c r="E1831" t="s">
        <v>349</v>
      </c>
      <c r="F1831">
        <v>5887</v>
      </c>
      <c r="G1831">
        <v>13453207.6875</v>
      </c>
      <c r="H1831">
        <v>0.84305556491017342</v>
      </c>
      <c r="I1831">
        <v>0.72916666666666663</v>
      </c>
      <c r="J1831">
        <v>1979435.375</v>
      </c>
      <c r="K1831">
        <v>11133</v>
      </c>
      <c r="L1831">
        <v>2</v>
      </c>
      <c r="M1831">
        <v>70</v>
      </c>
      <c r="N1831">
        <v>0.68333333333333335</v>
      </c>
      <c r="O1831">
        <v>1207943.5625</v>
      </c>
      <c r="P1831">
        <v>11434</v>
      </c>
      <c r="Q1831">
        <v>2</v>
      </c>
      <c r="R1831">
        <v>71</v>
      </c>
      <c r="S1831">
        <v>11.675195983440501</v>
      </c>
      <c r="T1831">
        <v>0.90370370944341027</v>
      </c>
    </row>
    <row r="1832" spans="1:20" x14ac:dyDescent="0.25">
      <c r="A1832" t="s">
        <v>314</v>
      </c>
      <c r="B1832">
        <v>3</v>
      </c>
      <c r="C1832">
        <v>4</v>
      </c>
      <c r="D1832">
        <v>0</v>
      </c>
      <c r="E1832" t="s">
        <v>323</v>
      </c>
      <c r="F1832">
        <v>6053</v>
      </c>
      <c r="G1832">
        <v>15601988.166666666</v>
      </c>
      <c r="H1832">
        <v>0.80000001192092896</v>
      </c>
      <c r="I1832">
        <v>0.6333333333333333</v>
      </c>
      <c r="J1832">
        <v>1450912.5</v>
      </c>
      <c r="K1832">
        <v>11434</v>
      </c>
      <c r="L1832">
        <v>2</v>
      </c>
      <c r="M1832">
        <v>71</v>
      </c>
      <c r="N1832">
        <v>0.64814814814814814</v>
      </c>
      <c r="O1832">
        <v>811595.83333333337</v>
      </c>
      <c r="P1832">
        <v>11739</v>
      </c>
      <c r="Q1832">
        <v>2</v>
      </c>
      <c r="R1832">
        <v>72</v>
      </c>
      <c r="S1832">
        <v>11.675369848538217</v>
      </c>
      <c r="T1832">
        <v>0.82222223281860352</v>
      </c>
    </row>
    <row r="1833" spans="1:20" x14ac:dyDescent="0.25">
      <c r="A1833" t="s">
        <v>314</v>
      </c>
      <c r="B1833">
        <v>3</v>
      </c>
      <c r="C1833">
        <v>4</v>
      </c>
      <c r="D1833">
        <v>0</v>
      </c>
      <c r="E1833" t="s">
        <v>342</v>
      </c>
      <c r="F1833">
        <v>6249</v>
      </c>
      <c r="G1833">
        <v>13922304.5</v>
      </c>
      <c r="H1833">
        <v>0.83750000968575478</v>
      </c>
      <c r="I1833">
        <v>0.69444444444444442</v>
      </c>
      <c r="J1833">
        <v>1680294.875</v>
      </c>
      <c r="K1833">
        <v>11739</v>
      </c>
      <c r="L1833">
        <v>2</v>
      </c>
      <c r="M1833">
        <v>72</v>
      </c>
      <c r="N1833">
        <v>0.65972222222222221</v>
      </c>
      <c r="O1833">
        <v>1097393.25</v>
      </c>
      <c r="P1833">
        <v>12048</v>
      </c>
      <c r="Q1833">
        <v>2</v>
      </c>
      <c r="R1833">
        <v>73</v>
      </c>
      <c r="S1833">
        <v>11.675730376627948</v>
      </c>
      <c r="T1833">
        <v>0.87407408555348709</v>
      </c>
    </row>
    <row r="1834" spans="1:20" x14ac:dyDescent="0.25">
      <c r="A1834" t="s">
        <v>314</v>
      </c>
      <c r="B1834">
        <v>3</v>
      </c>
      <c r="C1834">
        <v>4</v>
      </c>
      <c r="D1834">
        <v>0</v>
      </c>
      <c r="E1834" t="s">
        <v>330</v>
      </c>
      <c r="F1834">
        <v>6493</v>
      </c>
      <c r="G1834">
        <v>16338808.333333334</v>
      </c>
      <c r="H1834">
        <v>0.87407408157984412</v>
      </c>
      <c r="I1834">
        <v>0.67037037037037039</v>
      </c>
      <c r="J1834">
        <v>1491394.3333333333</v>
      </c>
      <c r="K1834">
        <v>12048</v>
      </c>
      <c r="L1834">
        <v>2</v>
      </c>
      <c r="M1834">
        <v>73</v>
      </c>
      <c r="N1834">
        <v>0.65925925925925921</v>
      </c>
      <c r="O1834">
        <v>655776</v>
      </c>
      <c r="P1834">
        <v>12361</v>
      </c>
      <c r="Q1834">
        <v>2</v>
      </c>
      <c r="R1834">
        <v>74</v>
      </c>
      <c r="S1834">
        <v>11.676123867335269</v>
      </c>
      <c r="T1834">
        <v>0.92592593431472781</v>
      </c>
    </row>
    <row r="1835" spans="1:20" x14ac:dyDescent="0.25">
      <c r="A1835" t="s">
        <v>314</v>
      </c>
      <c r="B1835">
        <v>3</v>
      </c>
      <c r="C1835">
        <v>4</v>
      </c>
      <c r="D1835">
        <v>0</v>
      </c>
      <c r="E1835" t="s">
        <v>343</v>
      </c>
      <c r="F1835">
        <v>6691</v>
      </c>
      <c r="G1835">
        <v>15177377</v>
      </c>
      <c r="H1835">
        <v>0.83888889849185944</v>
      </c>
      <c r="I1835">
        <v>0.68888888888888888</v>
      </c>
      <c r="J1835">
        <v>1494549.125</v>
      </c>
      <c r="K1835">
        <v>12361</v>
      </c>
      <c r="L1835">
        <v>2</v>
      </c>
      <c r="M1835">
        <v>74</v>
      </c>
      <c r="N1835">
        <v>0.68333333333333335</v>
      </c>
      <c r="O1835">
        <v>792214.75</v>
      </c>
      <c r="P1835">
        <v>12678</v>
      </c>
      <c r="Q1835">
        <v>2</v>
      </c>
      <c r="R1835">
        <v>75</v>
      </c>
      <c r="S1835">
        <v>11.676615384615385</v>
      </c>
      <c r="T1835">
        <v>0.87901235421498614</v>
      </c>
    </row>
    <row r="1836" spans="1:20" x14ac:dyDescent="0.25">
      <c r="A1836" t="s">
        <v>314</v>
      </c>
      <c r="B1836">
        <v>3</v>
      </c>
      <c r="C1836">
        <v>4</v>
      </c>
      <c r="D1836">
        <v>0</v>
      </c>
      <c r="E1836" t="s">
        <v>331</v>
      </c>
      <c r="F1836">
        <v>6855</v>
      </c>
      <c r="G1836">
        <v>15209024.5</v>
      </c>
      <c r="H1836">
        <v>0.84074075023333228</v>
      </c>
      <c r="I1836">
        <v>0.67037037037037039</v>
      </c>
      <c r="J1836">
        <v>1623432.8333333333</v>
      </c>
      <c r="K1836">
        <v>12678</v>
      </c>
      <c r="L1836">
        <v>2</v>
      </c>
      <c r="M1836">
        <v>75</v>
      </c>
      <c r="N1836">
        <v>0.6333333333333333</v>
      </c>
      <c r="O1836">
        <v>631912.33333333337</v>
      </c>
      <c r="P1836">
        <v>12999</v>
      </c>
      <c r="Q1836">
        <v>2</v>
      </c>
      <c r="R1836">
        <v>76</v>
      </c>
      <c r="S1836">
        <v>11.676700650377922</v>
      </c>
      <c r="T1836">
        <v>0.92592592239379878</v>
      </c>
    </row>
    <row r="1837" spans="1:20" x14ac:dyDescent="0.25">
      <c r="A1837" t="s">
        <v>314</v>
      </c>
      <c r="B1837">
        <v>3</v>
      </c>
      <c r="C1837">
        <v>4</v>
      </c>
      <c r="D1837">
        <v>0</v>
      </c>
      <c r="E1837" t="s">
        <v>344</v>
      </c>
      <c r="F1837">
        <v>7133</v>
      </c>
      <c r="G1837">
        <v>14902777.5625</v>
      </c>
      <c r="H1837">
        <v>0.84444445185363293</v>
      </c>
      <c r="I1837">
        <v>0.66805555555555551</v>
      </c>
      <c r="J1837">
        <v>1310140.625</v>
      </c>
      <c r="K1837">
        <v>13324</v>
      </c>
      <c r="L1837">
        <v>2</v>
      </c>
      <c r="M1837">
        <v>77</v>
      </c>
      <c r="N1837">
        <v>0.65138888888888891</v>
      </c>
      <c r="O1837">
        <v>913266.0625</v>
      </c>
      <c r="P1837">
        <v>13653</v>
      </c>
      <c r="Q1837">
        <v>2</v>
      </c>
      <c r="R1837">
        <v>78</v>
      </c>
      <c r="S1837">
        <v>11.676839978921482</v>
      </c>
      <c r="T1837">
        <v>0.90617284377415974</v>
      </c>
    </row>
    <row r="1838" spans="1:20" x14ac:dyDescent="0.25">
      <c r="A1838" t="s">
        <v>314</v>
      </c>
      <c r="B1838">
        <v>3</v>
      </c>
      <c r="C1838">
        <v>4</v>
      </c>
      <c r="D1838">
        <v>0</v>
      </c>
      <c r="E1838" t="s">
        <v>337</v>
      </c>
      <c r="F1838">
        <v>7255</v>
      </c>
      <c r="G1838">
        <v>14515957.5</v>
      </c>
      <c r="H1838">
        <v>0.85555556416511536</v>
      </c>
      <c r="I1838">
        <v>0.6962962962962963</v>
      </c>
      <c r="J1838">
        <v>1792579.8333333333</v>
      </c>
      <c r="K1838">
        <v>13653</v>
      </c>
      <c r="L1838">
        <v>2</v>
      </c>
      <c r="M1838">
        <v>78</v>
      </c>
      <c r="N1838">
        <v>0.66296296296296298</v>
      </c>
      <c r="O1838">
        <v>897540.66666666663</v>
      </c>
      <c r="P1838">
        <v>13986</v>
      </c>
      <c r="Q1838">
        <v>2</v>
      </c>
      <c r="R1838">
        <v>79</v>
      </c>
      <c r="S1838">
        <v>11.676661691105453</v>
      </c>
      <c r="T1838">
        <v>0.91111110448837285</v>
      </c>
    </row>
    <row r="1839" spans="1:20" x14ac:dyDescent="0.25">
      <c r="A1839" t="s">
        <v>314</v>
      </c>
      <c r="B1839">
        <v>3</v>
      </c>
      <c r="C1839">
        <v>4</v>
      </c>
      <c r="D1839">
        <v>0</v>
      </c>
      <c r="E1839" t="s">
        <v>338</v>
      </c>
      <c r="F1839">
        <v>7657</v>
      </c>
      <c r="G1839">
        <v>15713790.272727273</v>
      </c>
      <c r="H1839">
        <v>0.83232324231754651</v>
      </c>
      <c r="I1839">
        <v>0.68080808080808075</v>
      </c>
      <c r="J1839">
        <v>1341014.2727272727</v>
      </c>
      <c r="K1839">
        <v>14323</v>
      </c>
      <c r="L1839">
        <v>2</v>
      </c>
      <c r="M1839">
        <v>80</v>
      </c>
      <c r="N1839">
        <v>0.73737373737373735</v>
      </c>
      <c r="O1839">
        <v>1005664.6363636364</v>
      </c>
      <c r="P1839">
        <v>14664</v>
      </c>
      <c r="Q1839">
        <v>2</v>
      </c>
      <c r="R1839">
        <v>81</v>
      </c>
      <c r="S1839">
        <v>11.676773882136118</v>
      </c>
      <c r="T1839">
        <v>0.91111111640930176</v>
      </c>
    </row>
    <row r="1840" spans="1:20" x14ac:dyDescent="0.25">
      <c r="A1840" t="s">
        <v>314</v>
      </c>
      <c r="B1840">
        <v>3</v>
      </c>
      <c r="C1840">
        <v>4</v>
      </c>
      <c r="D1840">
        <v>0</v>
      </c>
      <c r="E1840" t="s">
        <v>352</v>
      </c>
      <c r="F1840">
        <v>7815</v>
      </c>
      <c r="G1840">
        <v>15891178.363636363</v>
      </c>
      <c r="H1840">
        <v>0.82222223281860352</v>
      </c>
      <c r="I1840">
        <v>0.66262626262626267</v>
      </c>
      <c r="J1840">
        <v>1338219.7272727273</v>
      </c>
      <c r="K1840">
        <v>14664</v>
      </c>
      <c r="L1840">
        <v>2</v>
      </c>
      <c r="M1840">
        <v>81</v>
      </c>
      <c r="N1840">
        <v>0.64040404040404042</v>
      </c>
      <c r="O1840">
        <v>752562.54545454541</v>
      </c>
      <c r="P1840">
        <v>15009</v>
      </c>
      <c r="Q1840">
        <v>2</v>
      </c>
      <c r="R1840">
        <v>82</v>
      </c>
      <c r="S1840">
        <v>11.676798245614036</v>
      </c>
      <c r="T1840">
        <v>0.92592592239379878</v>
      </c>
    </row>
    <row r="1841" spans="1:20" x14ac:dyDescent="0.25">
      <c r="A1841" t="s">
        <v>314</v>
      </c>
      <c r="B1841">
        <v>3</v>
      </c>
      <c r="C1841">
        <v>4</v>
      </c>
      <c r="D1841">
        <v>0</v>
      </c>
      <c r="E1841" t="s">
        <v>346</v>
      </c>
      <c r="F1841">
        <v>8017</v>
      </c>
      <c r="G1841">
        <v>16032632.166666666</v>
      </c>
      <c r="H1841">
        <v>0.82592593630154931</v>
      </c>
      <c r="I1841">
        <v>0.69259259259259265</v>
      </c>
      <c r="J1841">
        <v>1411697.1666666667</v>
      </c>
      <c r="K1841">
        <v>15009</v>
      </c>
      <c r="L1841">
        <v>2</v>
      </c>
      <c r="M1841">
        <v>82</v>
      </c>
      <c r="N1841">
        <v>0.68888888888888888</v>
      </c>
      <c r="O1841">
        <v>764526.5</v>
      </c>
      <c r="P1841">
        <v>15358</v>
      </c>
      <c r="Q1841">
        <v>2</v>
      </c>
      <c r="R1841">
        <v>83</v>
      </c>
      <c r="S1841">
        <v>11.676970972551082</v>
      </c>
      <c r="T1841">
        <v>0.90370370149612422</v>
      </c>
    </row>
    <row r="1842" spans="1:20" x14ac:dyDescent="0.25">
      <c r="A1842" t="s">
        <v>314</v>
      </c>
      <c r="B1842">
        <v>3</v>
      </c>
      <c r="C1842">
        <v>4</v>
      </c>
      <c r="D1842">
        <v>0</v>
      </c>
      <c r="E1842" t="s">
        <v>347</v>
      </c>
      <c r="F1842">
        <v>8459</v>
      </c>
      <c r="G1842">
        <v>17132458</v>
      </c>
      <c r="H1842">
        <v>0.85925926764806115</v>
      </c>
      <c r="I1842">
        <v>0.64814814814814814</v>
      </c>
      <c r="J1842">
        <v>1041286.1666666666</v>
      </c>
      <c r="K1842">
        <v>15711</v>
      </c>
      <c r="L1842">
        <v>2</v>
      </c>
      <c r="M1842">
        <v>84</v>
      </c>
      <c r="N1842">
        <v>0.75185185185185188</v>
      </c>
      <c r="O1842">
        <v>1123903.6666666667</v>
      </c>
      <c r="P1842">
        <v>16068</v>
      </c>
      <c r="Q1842">
        <v>2</v>
      </c>
      <c r="R1842">
        <v>85</v>
      </c>
      <c r="S1842">
        <v>11.677012098895318</v>
      </c>
      <c r="T1842">
        <v>0.91111111640930176</v>
      </c>
    </row>
    <row r="1843" spans="1:20" x14ac:dyDescent="0.25">
      <c r="A1843" t="s">
        <v>314</v>
      </c>
      <c r="B1843">
        <v>3</v>
      </c>
      <c r="C1843">
        <v>4</v>
      </c>
      <c r="D1843">
        <v>0</v>
      </c>
      <c r="E1843" t="s">
        <v>354</v>
      </c>
      <c r="F1843">
        <v>8779</v>
      </c>
      <c r="G1843">
        <v>18610038</v>
      </c>
      <c r="H1843">
        <v>0.8424242518164895</v>
      </c>
      <c r="I1843">
        <v>0.68080808080808075</v>
      </c>
      <c r="J1843">
        <v>1160982.3636363635</v>
      </c>
      <c r="K1843">
        <v>16429</v>
      </c>
      <c r="L1843">
        <v>2</v>
      </c>
      <c r="M1843">
        <v>86</v>
      </c>
      <c r="N1843">
        <v>0.71717171717171713</v>
      </c>
      <c r="O1843">
        <v>646478.18181818177</v>
      </c>
      <c r="P1843">
        <v>16794</v>
      </c>
      <c r="Q1843">
        <v>2</v>
      </c>
      <c r="R1843">
        <v>87</v>
      </c>
      <c r="S1843">
        <v>11.678000262892695</v>
      </c>
      <c r="T1843">
        <v>0.88518519401550289</v>
      </c>
    </row>
    <row r="1844" spans="1:20" x14ac:dyDescent="0.25">
      <c r="A1844" t="s">
        <v>314</v>
      </c>
      <c r="B1844">
        <v>3</v>
      </c>
      <c r="C1844">
        <v>4</v>
      </c>
      <c r="D1844">
        <v>0</v>
      </c>
      <c r="E1844" t="s">
        <v>355</v>
      </c>
      <c r="F1844">
        <v>9261</v>
      </c>
      <c r="G1844">
        <v>18638163.5</v>
      </c>
      <c r="H1844">
        <v>0.89259259899457299</v>
      </c>
      <c r="I1844">
        <v>0.66296296296296298</v>
      </c>
      <c r="J1844">
        <v>960405.66666666663</v>
      </c>
      <c r="K1844">
        <v>17536</v>
      </c>
      <c r="L1844">
        <v>2</v>
      </c>
      <c r="M1844">
        <v>89</v>
      </c>
      <c r="N1844">
        <v>0.67037037037037039</v>
      </c>
      <c r="O1844">
        <v>629524.5</v>
      </c>
      <c r="P1844">
        <v>17913</v>
      </c>
      <c r="Q1844">
        <v>2</v>
      </c>
      <c r="R1844">
        <v>90</v>
      </c>
      <c r="S1844">
        <v>11.678698147093609</v>
      </c>
      <c r="T1844">
        <v>0.8888888955116272</v>
      </c>
    </row>
    <row r="1845" spans="1:20" x14ac:dyDescent="0.25">
      <c r="A1845" t="s">
        <v>314</v>
      </c>
      <c r="B1845">
        <v>3</v>
      </c>
      <c r="C1845">
        <v>5</v>
      </c>
      <c r="D1845">
        <v>0</v>
      </c>
      <c r="E1845" t="s">
        <v>360</v>
      </c>
      <c r="F1845">
        <v>1596</v>
      </c>
      <c r="G1845">
        <v>12913442</v>
      </c>
      <c r="H1845">
        <v>0.76666667560736335</v>
      </c>
      <c r="I1845">
        <v>0.71481481481481479</v>
      </c>
      <c r="J1845">
        <v>1140479.8333333333</v>
      </c>
      <c r="K1845">
        <v>3118</v>
      </c>
      <c r="L1845">
        <v>2</v>
      </c>
      <c r="M1845">
        <v>35</v>
      </c>
      <c r="N1845">
        <v>0.67037037037037028</v>
      </c>
      <c r="O1845">
        <v>570368.66666666663</v>
      </c>
      <c r="P1845">
        <v>3279</v>
      </c>
      <c r="Q1845">
        <v>2</v>
      </c>
      <c r="R1845">
        <v>36</v>
      </c>
      <c r="S1845">
        <v>11.678476023647908</v>
      </c>
      <c r="T1845">
        <v>0.8888888955116272</v>
      </c>
    </row>
    <row r="1846" spans="1:20" x14ac:dyDescent="0.25">
      <c r="A1846" t="s">
        <v>314</v>
      </c>
      <c r="B1846">
        <v>3</v>
      </c>
      <c r="C1846">
        <v>5</v>
      </c>
      <c r="D1846">
        <v>0</v>
      </c>
      <c r="E1846" t="s">
        <v>315</v>
      </c>
      <c r="F1846">
        <v>1950</v>
      </c>
      <c r="G1846">
        <v>4517295.833333333</v>
      </c>
      <c r="H1846">
        <v>0.92222222685813904</v>
      </c>
      <c r="I1846">
        <v>0.68888888888888888</v>
      </c>
      <c r="J1846">
        <v>270153.16666666669</v>
      </c>
      <c r="K1846">
        <v>3786</v>
      </c>
      <c r="L1846">
        <v>2</v>
      </c>
      <c r="M1846">
        <v>39</v>
      </c>
      <c r="N1846">
        <v>0.68148148148148147</v>
      </c>
      <c r="O1846">
        <v>278180</v>
      </c>
      <c r="P1846">
        <v>3963</v>
      </c>
      <c r="Q1846">
        <v>2</v>
      </c>
      <c r="R1846">
        <v>40</v>
      </c>
      <c r="S1846">
        <v>11.677597303095311</v>
      </c>
      <c r="T1846">
        <v>0.94814815521240237</v>
      </c>
    </row>
    <row r="1847" spans="1:20" x14ac:dyDescent="0.25">
      <c r="A1847" t="s">
        <v>314</v>
      </c>
      <c r="B1847">
        <v>3</v>
      </c>
      <c r="C1847">
        <v>5</v>
      </c>
      <c r="D1847">
        <v>0</v>
      </c>
      <c r="E1847" t="s">
        <v>324</v>
      </c>
      <c r="F1847">
        <v>2304</v>
      </c>
      <c r="G1847">
        <v>6717962.333333333</v>
      </c>
      <c r="H1847">
        <v>0.86296297113100684</v>
      </c>
      <c r="I1847">
        <v>0.67037037037037039</v>
      </c>
      <c r="J1847">
        <v>289208.33333333331</v>
      </c>
      <c r="K1847">
        <v>4518</v>
      </c>
      <c r="L1847">
        <v>2</v>
      </c>
      <c r="M1847">
        <v>43</v>
      </c>
      <c r="N1847">
        <v>0.68148148148148147</v>
      </c>
      <c r="O1847">
        <v>251465</v>
      </c>
      <c r="P1847">
        <v>4711</v>
      </c>
      <c r="Q1847">
        <v>2</v>
      </c>
      <c r="R1847">
        <v>44</v>
      </c>
      <c r="S1847">
        <v>11.677069199457259</v>
      </c>
      <c r="T1847">
        <v>0.91111111640930176</v>
      </c>
    </row>
    <row r="1848" spans="1:20" x14ac:dyDescent="0.25">
      <c r="A1848" t="s">
        <v>314</v>
      </c>
      <c r="B1848">
        <v>3</v>
      </c>
      <c r="C1848">
        <v>5</v>
      </c>
      <c r="D1848">
        <v>0</v>
      </c>
      <c r="E1848" t="s">
        <v>332</v>
      </c>
      <c r="F1848">
        <v>2658</v>
      </c>
      <c r="G1848">
        <v>7890822</v>
      </c>
      <c r="H1848">
        <v>0.90370370944341027</v>
      </c>
      <c r="I1848">
        <v>0.7</v>
      </c>
      <c r="J1848">
        <v>272488.66666666669</v>
      </c>
      <c r="K1848">
        <v>5109</v>
      </c>
      <c r="L1848">
        <v>2</v>
      </c>
      <c r="M1848">
        <v>46</v>
      </c>
      <c r="N1848">
        <v>0.73703703703703705</v>
      </c>
      <c r="O1848">
        <v>287764</v>
      </c>
      <c r="P1848">
        <v>5314</v>
      </c>
      <c r="Q1848">
        <v>2</v>
      </c>
      <c r="R1848">
        <v>47</v>
      </c>
      <c r="S1848">
        <v>11.677241500021879</v>
      </c>
      <c r="T1848">
        <v>0.95555555820465088</v>
      </c>
    </row>
    <row r="1849" spans="1:20" x14ac:dyDescent="0.25">
      <c r="A1849" t="s">
        <v>314</v>
      </c>
      <c r="B1849">
        <v>3</v>
      </c>
      <c r="C1849">
        <v>5</v>
      </c>
      <c r="D1849">
        <v>0</v>
      </c>
      <c r="E1849" t="s">
        <v>339</v>
      </c>
      <c r="F1849">
        <v>3012</v>
      </c>
      <c r="G1849">
        <v>7372469.333333333</v>
      </c>
      <c r="H1849">
        <v>0.86666667461395264</v>
      </c>
      <c r="I1849">
        <v>0.68888888888888888</v>
      </c>
      <c r="J1849">
        <v>328754.83333333331</v>
      </c>
      <c r="K1849">
        <v>5953</v>
      </c>
      <c r="L1849">
        <v>2</v>
      </c>
      <c r="M1849">
        <v>50</v>
      </c>
      <c r="N1849">
        <v>0.65555555555555556</v>
      </c>
      <c r="O1849">
        <v>330183.66666666669</v>
      </c>
      <c r="P1849">
        <v>6174</v>
      </c>
      <c r="Q1849">
        <v>2</v>
      </c>
      <c r="R1849">
        <v>51</v>
      </c>
      <c r="S1849">
        <v>11.676888752788836</v>
      </c>
      <c r="T1849">
        <v>0.94074074029922483</v>
      </c>
    </row>
    <row r="1850" spans="1:20" x14ac:dyDescent="0.25">
      <c r="A1850" t="s">
        <v>314</v>
      </c>
      <c r="B1850">
        <v>3</v>
      </c>
      <c r="C1850">
        <v>5</v>
      </c>
      <c r="D1850">
        <v>0</v>
      </c>
      <c r="E1850" t="s">
        <v>348</v>
      </c>
      <c r="F1850">
        <v>3366</v>
      </c>
      <c r="G1850">
        <v>7488215.333333333</v>
      </c>
      <c r="H1850">
        <v>0.89259259899457299</v>
      </c>
      <c r="I1850">
        <v>0.72592592592592586</v>
      </c>
      <c r="J1850">
        <v>346675.83333333331</v>
      </c>
      <c r="K1850">
        <v>6628</v>
      </c>
      <c r="L1850">
        <v>2</v>
      </c>
      <c r="M1850">
        <v>53</v>
      </c>
      <c r="N1850">
        <v>0.73703703703703705</v>
      </c>
      <c r="O1850">
        <v>346073.66666666669</v>
      </c>
      <c r="P1850">
        <v>6861</v>
      </c>
      <c r="Q1850">
        <v>2</v>
      </c>
      <c r="R1850">
        <v>54</v>
      </c>
      <c r="S1850">
        <v>11.676579925650557</v>
      </c>
      <c r="T1850">
        <v>0.92592593431472781</v>
      </c>
    </row>
    <row r="1851" spans="1:20" x14ac:dyDescent="0.25">
      <c r="A1851" t="s">
        <v>314</v>
      </c>
      <c r="B1851">
        <v>3</v>
      </c>
      <c r="C1851">
        <v>5</v>
      </c>
      <c r="D1851">
        <v>0</v>
      </c>
      <c r="E1851" t="s">
        <v>356</v>
      </c>
      <c r="F1851">
        <v>3720</v>
      </c>
      <c r="G1851">
        <v>6960179.166666667</v>
      </c>
      <c r="H1851">
        <v>0.90370370944341027</v>
      </c>
      <c r="I1851">
        <v>0.67037037037037039</v>
      </c>
      <c r="J1851">
        <v>343617.5</v>
      </c>
      <c r="K1851">
        <v>7339</v>
      </c>
      <c r="L1851">
        <v>2</v>
      </c>
      <c r="M1851">
        <v>56</v>
      </c>
      <c r="N1851">
        <v>0.75185185185185188</v>
      </c>
      <c r="O1851">
        <v>313762.66666666669</v>
      </c>
      <c r="P1851">
        <v>7584</v>
      </c>
      <c r="Q1851">
        <v>2</v>
      </c>
      <c r="R1851">
        <v>57</v>
      </c>
      <c r="S1851">
        <v>11.675965196099865</v>
      </c>
      <c r="T1851">
        <v>0.96296297311782841</v>
      </c>
    </row>
    <row r="1852" spans="1:20" x14ac:dyDescent="0.25">
      <c r="A1852" t="s">
        <v>314</v>
      </c>
      <c r="B1852">
        <v>3</v>
      </c>
      <c r="C1852">
        <v>5</v>
      </c>
      <c r="D1852">
        <v>0</v>
      </c>
      <c r="E1852" t="s">
        <v>357</v>
      </c>
      <c r="F1852">
        <v>4074</v>
      </c>
      <c r="G1852">
        <v>6732372.833333333</v>
      </c>
      <c r="H1852">
        <v>0.90740741292635596</v>
      </c>
      <c r="I1852">
        <v>0.71481481481481479</v>
      </c>
      <c r="J1852">
        <v>373699.83333333331</v>
      </c>
      <c r="K1852">
        <v>8086</v>
      </c>
      <c r="L1852">
        <v>2</v>
      </c>
      <c r="M1852">
        <v>59</v>
      </c>
      <c r="N1852">
        <v>0.71851851851851856</v>
      </c>
      <c r="O1852">
        <v>397637.66666666669</v>
      </c>
      <c r="P1852">
        <v>8343</v>
      </c>
      <c r="Q1852">
        <v>2</v>
      </c>
      <c r="R1852">
        <v>60</v>
      </c>
      <c r="S1852">
        <v>11.675044804825808</v>
      </c>
      <c r="T1852">
        <v>0.93333333730697632</v>
      </c>
    </row>
    <row r="1853" spans="1:20" x14ac:dyDescent="0.25">
      <c r="A1853" t="s">
        <v>314</v>
      </c>
      <c r="B1853">
        <v>3</v>
      </c>
      <c r="C1853">
        <v>5</v>
      </c>
      <c r="D1853">
        <v>0</v>
      </c>
      <c r="E1853" t="s">
        <v>358</v>
      </c>
      <c r="F1853">
        <v>4428</v>
      </c>
      <c r="G1853">
        <v>9999348</v>
      </c>
      <c r="H1853">
        <v>0.79595960541204969</v>
      </c>
      <c r="I1853">
        <v>0.66666666666666663</v>
      </c>
      <c r="J1853">
        <v>387066.81818181818</v>
      </c>
      <c r="K1853">
        <v>8604</v>
      </c>
      <c r="L1853">
        <v>2</v>
      </c>
      <c r="M1853">
        <v>61</v>
      </c>
      <c r="N1853">
        <v>0.75555555555555554</v>
      </c>
      <c r="O1853">
        <v>346789.45454545453</v>
      </c>
      <c r="P1853">
        <v>8869</v>
      </c>
      <c r="Q1853">
        <v>2</v>
      </c>
      <c r="R1853">
        <v>62</v>
      </c>
      <c r="S1853">
        <v>11.674283467319119</v>
      </c>
      <c r="T1853">
        <v>0.92962963581085201</v>
      </c>
    </row>
    <row r="1854" spans="1:20" x14ac:dyDescent="0.25">
      <c r="A1854" t="s">
        <v>314</v>
      </c>
      <c r="B1854">
        <v>3</v>
      </c>
      <c r="C1854">
        <v>5</v>
      </c>
      <c r="D1854">
        <v>0</v>
      </c>
      <c r="E1854" t="s">
        <v>317</v>
      </c>
      <c r="F1854">
        <v>4530</v>
      </c>
      <c r="G1854">
        <v>9600183.166666666</v>
      </c>
      <c r="H1854">
        <v>0.78518519302209222</v>
      </c>
      <c r="I1854">
        <v>0.7</v>
      </c>
      <c r="J1854">
        <v>368630.66666666669</v>
      </c>
      <c r="K1854">
        <v>8869</v>
      </c>
      <c r="L1854">
        <v>2</v>
      </c>
      <c r="M1854">
        <v>62</v>
      </c>
      <c r="N1854">
        <v>0.6962962962962963</v>
      </c>
      <c r="O1854">
        <v>1395831.3333333333</v>
      </c>
      <c r="P1854">
        <v>9138</v>
      </c>
      <c r="Q1854">
        <v>2</v>
      </c>
      <c r="R1854">
        <v>63</v>
      </c>
      <c r="S1854">
        <v>11.673888355027518</v>
      </c>
      <c r="T1854">
        <v>0.89629629850387571</v>
      </c>
    </row>
    <row r="1855" spans="1:20" x14ac:dyDescent="0.25">
      <c r="A1855" t="s">
        <v>314</v>
      </c>
      <c r="B1855">
        <v>3</v>
      </c>
      <c r="C1855">
        <v>5</v>
      </c>
      <c r="D1855">
        <v>0</v>
      </c>
      <c r="E1855" t="s">
        <v>359</v>
      </c>
      <c r="F1855">
        <v>4782</v>
      </c>
      <c r="G1855">
        <v>14303895.5</v>
      </c>
      <c r="H1855">
        <v>0.70740741491317749</v>
      </c>
      <c r="I1855">
        <v>0.67037037037037039</v>
      </c>
      <c r="J1855">
        <v>622219.5</v>
      </c>
      <c r="K1855">
        <v>9411</v>
      </c>
      <c r="L1855">
        <v>2</v>
      </c>
      <c r="M1855">
        <v>64</v>
      </c>
      <c r="N1855">
        <v>0.69259259259259254</v>
      </c>
      <c r="O1855">
        <v>3033955.8333333335</v>
      </c>
      <c r="P1855">
        <v>9688</v>
      </c>
      <c r="Q1855">
        <v>2</v>
      </c>
      <c r="R1855">
        <v>65</v>
      </c>
      <c r="S1855">
        <v>11.674148471615721</v>
      </c>
      <c r="T1855">
        <v>0.77777777910232548</v>
      </c>
    </row>
    <row r="1856" spans="1:20" x14ac:dyDescent="0.25">
      <c r="A1856" t="s">
        <v>314</v>
      </c>
      <c r="B1856">
        <v>3</v>
      </c>
      <c r="C1856">
        <v>5</v>
      </c>
      <c r="D1856">
        <v>0</v>
      </c>
      <c r="E1856" t="s">
        <v>318</v>
      </c>
      <c r="F1856">
        <v>4884</v>
      </c>
      <c r="G1856">
        <v>15781320.727272727</v>
      </c>
      <c r="H1856">
        <v>0.80606061491099268</v>
      </c>
      <c r="I1856">
        <v>0.71717171717171713</v>
      </c>
      <c r="J1856">
        <v>3953424</v>
      </c>
      <c r="K1856">
        <v>9688</v>
      </c>
      <c r="L1856">
        <v>2</v>
      </c>
      <c r="M1856">
        <v>65</v>
      </c>
      <c r="N1856">
        <v>0.69494949494949498</v>
      </c>
      <c r="O1856">
        <v>2070283.0909090908</v>
      </c>
      <c r="P1856">
        <v>9969</v>
      </c>
      <c r="Q1856">
        <v>2</v>
      </c>
      <c r="R1856">
        <v>66</v>
      </c>
      <c r="S1856">
        <v>11.675396097944219</v>
      </c>
      <c r="T1856">
        <v>0.87777778506278992</v>
      </c>
    </row>
    <row r="1857" spans="1:20" x14ac:dyDescent="0.25">
      <c r="A1857" t="s">
        <v>314</v>
      </c>
      <c r="B1857">
        <v>3</v>
      </c>
      <c r="C1857">
        <v>5</v>
      </c>
      <c r="D1857">
        <v>0</v>
      </c>
      <c r="E1857" t="s">
        <v>319</v>
      </c>
      <c r="F1857">
        <v>5238</v>
      </c>
      <c r="G1857">
        <v>16136460</v>
      </c>
      <c r="H1857">
        <v>0.76666667560736335</v>
      </c>
      <c r="I1857">
        <v>0.72222222222222221</v>
      </c>
      <c r="J1857">
        <v>3199058.8333333335</v>
      </c>
      <c r="K1857">
        <v>10254</v>
      </c>
      <c r="L1857">
        <v>2</v>
      </c>
      <c r="M1857">
        <v>67</v>
      </c>
      <c r="N1857">
        <v>0.68518518518518512</v>
      </c>
      <c r="O1857">
        <v>2137455.1666666665</v>
      </c>
      <c r="P1857">
        <v>10543</v>
      </c>
      <c r="Q1857">
        <v>2</v>
      </c>
      <c r="R1857">
        <v>68</v>
      </c>
      <c r="S1857">
        <v>11.675437448182572</v>
      </c>
      <c r="T1857">
        <v>0.84444446563720699</v>
      </c>
    </row>
    <row r="1858" spans="1:20" x14ac:dyDescent="0.25">
      <c r="A1858" t="s">
        <v>314</v>
      </c>
      <c r="B1858">
        <v>3</v>
      </c>
      <c r="C1858">
        <v>5</v>
      </c>
      <c r="D1858">
        <v>0</v>
      </c>
      <c r="E1858" t="s">
        <v>333</v>
      </c>
      <c r="F1858">
        <v>5324</v>
      </c>
      <c r="G1858">
        <v>18933991.272727273</v>
      </c>
      <c r="H1858">
        <v>0.7676767788150094</v>
      </c>
      <c r="I1858">
        <v>0.70303030303030301</v>
      </c>
      <c r="J1858">
        <v>2632776.6363636362</v>
      </c>
      <c r="K1858">
        <v>10543</v>
      </c>
      <c r="L1858">
        <v>2</v>
      </c>
      <c r="M1858">
        <v>68</v>
      </c>
      <c r="N1858">
        <v>0.68080808080808075</v>
      </c>
      <c r="O1858">
        <v>1341055.4545454546</v>
      </c>
      <c r="P1858">
        <v>10836</v>
      </c>
      <c r="Q1858">
        <v>2</v>
      </c>
      <c r="R1858">
        <v>69</v>
      </c>
      <c r="S1858">
        <v>11.676421842288905</v>
      </c>
      <c r="T1858">
        <v>0.81851852536201475</v>
      </c>
    </row>
    <row r="1859" spans="1:20" x14ac:dyDescent="0.25">
      <c r="A1859" t="s">
        <v>314</v>
      </c>
      <c r="B1859">
        <v>3</v>
      </c>
      <c r="C1859">
        <v>5</v>
      </c>
      <c r="D1859">
        <v>0</v>
      </c>
      <c r="E1859" t="s">
        <v>327</v>
      </c>
      <c r="F1859">
        <v>5546</v>
      </c>
      <c r="G1859">
        <v>14754483.666666666</v>
      </c>
      <c r="H1859">
        <v>0.80370371540387475</v>
      </c>
      <c r="I1859">
        <v>0.66296296296296298</v>
      </c>
      <c r="J1859">
        <v>2193430.6666666665</v>
      </c>
      <c r="K1859">
        <v>10836</v>
      </c>
      <c r="L1859">
        <v>2</v>
      </c>
      <c r="M1859">
        <v>69</v>
      </c>
      <c r="N1859">
        <v>0.68888888888888888</v>
      </c>
      <c r="O1859">
        <v>711572</v>
      </c>
      <c r="P1859">
        <v>11133</v>
      </c>
      <c r="Q1859">
        <v>2</v>
      </c>
      <c r="R1859">
        <v>70</v>
      </c>
      <c r="S1859">
        <v>11.676375686753293</v>
      </c>
      <c r="T1859">
        <v>0.84444444179534917</v>
      </c>
    </row>
    <row r="1860" spans="1:20" x14ac:dyDescent="0.25">
      <c r="A1860" t="s">
        <v>314</v>
      </c>
      <c r="B1860">
        <v>3</v>
      </c>
      <c r="C1860">
        <v>5</v>
      </c>
      <c r="D1860">
        <v>0</v>
      </c>
      <c r="E1860" t="s">
        <v>320</v>
      </c>
      <c r="F1860">
        <v>5592</v>
      </c>
      <c r="G1860">
        <v>16018557.166666666</v>
      </c>
      <c r="H1860">
        <v>0.7925925999879837</v>
      </c>
      <c r="I1860">
        <v>0.68518518518518512</v>
      </c>
      <c r="J1860">
        <v>1692721.3333333333</v>
      </c>
      <c r="K1860">
        <v>11133</v>
      </c>
      <c r="L1860">
        <v>2</v>
      </c>
      <c r="M1860">
        <v>70</v>
      </c>
      <c r="N1860">
        <v>0.65925925925925921</v>
      </c>
      <c r="O1860">
        <v>1454502.6666666667</v>
      </c>
      <c r="P1860">
        <v>11434</v>
      </c>
      <c r="Q1860">
        <v>2</v>
      </c>
      <c r="R1860">
        <v>71</v>
      </c>
      <c r="S1860">
        <v>11.676503923278117</v>
      </c>
      <c r="T1860">
        <v>0.8592592597007751</v>
      </c>
    </row>
    <row r="1861" spans="1:20" x14ac:dyDescent="0.25">
      <c r="A1861" t="s">
        <v>314</v>
      </c>
      <c r="B1861">
        <v>3</v>
      </c>
      <c r="C1861">
        <v>5</v>
      </c>
      <c r="D1861">
        <v>0</v>
      </c>
      <c r="E1861" t="s">
        <v>334</v>
      </c>
      <c r="F1861">
        <v>5766</v>
      </c>
      <c r="G1861">
        <v>15702586.5</v>
      </c>
      <c r="H1861">
        <v>0.83703704675038659</v>
      </c>
      <c r="I1861">
        <v>0.63703703703703707</v>
      </c>
      <c r="J1861">
        <v>2982375.1666666665</v>
      </c>
      <c r="K1861">
        <v>11434</v>
      </c>
      <c r="L1861">
        <v>2</v>
      </c>
      <c r="M1861">
        <v>71</v>
      </c>
      <c r="N1861">
        <v>0.67037037037037039</v>
      </c>
      <c r="O1861">
        <v>2437244.1666666665</v>
      </c>
      <c r="P1861">
        <v>11739</v>
      </c>
      <c r="Q1861">
        <v>2</v>
      </c>
      <c r="R1861">
        <v>72</v>
      </c>
      <c r="S1861">
        <v>11.67641418983701</v>
      </c>
      <c r="T1861">
        <v>0.80740741491317747</v>
      </c>
    </row>
    <row r="1862" spans="1:20" x14ac:dyDescent="0.25">
      <c r="A1862" t="s">
        <v>314</v>
      </c>
      <c r="B1862">
        <v>3</v>
      </c>
      <c r="C1862">
        <v>5</v>
      </c>
      <c r="D1862">
        <v>0</v>
      </c>
      <c r="E1862" t="s">
        <v>321</v>
      </c>
      <c r="F1862">
        <v>5946</v>
      </c>
      <c r="G1862">
        <v>12209074.666666666</v>
      </c>
      <c r="H1862">
        <v>0.71481482684612274</v>
      </c>
      <c r="I1862">
        <v>0.68518518518518523</v>
      </c>
      <c r="J1862">
        <v>1770043.8333333333</v>
      </c>
      <c r="K1862">
        <v>11739</v>
      </c>
      <c r="L1862">
        <v>2</v>
      </c>
      <c r="M1862">
        <v>72</v>
      </c>
      <c r="N1862">
        <v>0.79259259259259263</v>
      </c>
      <c r="O1862">
        <v>992106.83333333337</v>
      </c>
      <c r="P1862">
        <v>12048</v>
      </c>
      <c r="Q1862">
        <v>2</v>
      </c>
      <c r="R1862">
        <v>73</v>
      </c>
      <c r="S1862">
        <v>11.675845242244684</v>
      </c>
      <c r="T1862">
        <v>0.7555555462837219</v>
      </c>
    </row>
    <row r="1863" spans="1:20" x14ac:dyDescent="0.25">
      <c r="A1863" t="s">
        <v>314</v>
      </c>
      <c r="B1863">
        <v>3</v>
      </c>
      <c r="C1863">
        <v>5</v>
      </c>
      <c r="D1863">
        <v>0</v>
      </c>
      <c r="E1863" t="s">
        <v>322</v>
      </c>
      <c r="F1863">
        <v>6300</v>
      </c>
      <c r="G1863">
        <v>17064014.625</v>
      </c>
      <c r="H1863">
        <v>0.76805556751787663</v>
      </c>
      <c r="I1863">
        <v>0.69305555555555554</v>
      </c>
      <c r="J1863">
        <v>3091045.9375</v>
      </c>
      <c r="K1863">
        <v>12361</v>
      </c>
      <c r="L1863">
        <v>2</v>
      </c>
      <c r="M1863">
        <v>74</v>
      </c>
      <c r="N1863">
        <v>0.67777777777777781</v>
      </c>
      <c r="O1863">
        <v>1643602.875</v>
      </c>
      <c r="P1863">
        <v>12678</v>
      </c>
      <c r="Q1863">
        <v>2</v>
      </c>
      <c r="R1863">
        <v>75</v>
      </c>
      <c r="S1863">
        <v>11.676158133054685</v>
      </c>
      <c r="T1863">
        <v>0.7827160517374675</v>
      </c>
    </row>
    <row r="1864" spans="1:20" x14ac:dyDescent="0.25">
      <c r="A1864" t="s">
        <v>314</v>
      </c>
      <c r="B1864">
        <v>3</v>
      </c>
      <c r="C1864">
        <v>5</v>
      </c>
      <c r="D1864">
        <v>0</v>
      </c>
      <c r="E1864" t="s">
        <v>341</v>
      </c>
      <c r="F1864">
        <v>6384</v>
      </c>
      <c r="G1864">
        <v>14638101.25</v>
      </c>
      <c r="H1864">
        <v>0.75277779251337051</v>
      </c>
      <c r="I1864">
        <v>0.70833333333333337</v>
      </c>
      <c r="J1864">
        <v>3149639.625</v>
      </c>
      <c r="K1864">
        <v>12678</v>
      </c>
      <c r="L1864">
        <v>2</v>
      </c>
      <c r="M1864">
        <v>75</v>
      </c>
      <c r="N1864">
        <v>0.66111111111111109</v>
      </c>
      <c r="O1864">
        <v>1181164.75</v>
      </c>
      <c r="P1864">
        <v>12999</v>
      </c>
      <c r="Q1864">
        <v>2</v>
      </c>
      <c r="R1864">
        <v>76</v>
      </c>
      <c r="S1864">
        <v>11.675339366515837</v>
      </c>
      <c r="T1864">
        <v>0.76296296914418538</v>
      </c>
    </row>
    <row r="1865" spans="1:20" x14ac:dyDescent="0.25">
      <c r="A1865" t="s">
        <v>314</v>
      </c>
      <c r="B1865">
        <v>3</v>
      </c>
      <c r="C1865">
        <v>5</v>
      </c>
      <c r="D1865">
        <v>0</v>
      </c>
      <c r="E1865" t="s">
        <v>323</v>
      </c>
      <c r="F1865">
        <v>6654</v>
      </c>
      <c r="G1865">
        <v>17382542.363636363</v>
      </c>
      <c r="H1865">
        <v>0.77171718532388855</v>
      </c>
      <c r="I1865">
        <v>0.67474747474747476</v>
      </c>
      <c r="J1865">
        <v>2735396.4545454546</v>
      </c>
      <c r="K1865">
        <v>12999</v>
      </c>
      <c r="L1865">
        <v>2</v>
      </c>
      <c r="M1865">
        <v>76</v>
      </c>
      <c r="N1865">
        <v>0.68888888888888888</v>
      </c>
      <c r="O1865">
        <v>2470916.8181818184</v>
      </c>
      <c r="P1865">
        <v>13324</v>
      </c>
      <c r="Q1865">
        <v>2</v>
      </c>
      <c r="R1865">
        <v>77</v>
      </c>
      <c r="S1865">
        <v>11.675712111328549</v>
      </c>
      <c r="T1865">
        <v>0.78888889551162722</v>
      </c>
    </row>
    <row r="1866" spans="1:20" x14ac:dyDescent="0.25">
      <c r="A1866" t="s">
        <v>314</v>
      </c>
      <c r="B1866">
        <v>3</v>
      </c>
      <c r="C1866">
        <v>5</v>
      </c>
      <c r="D1866">
        <v>0</v>
      </c>
      <c r="E1866" t="s">
        <v>329</v>
      </c>
      <c r="F1866">
        <v>6740</v>
      </c>
      <c r="G1866">
        <v>20081695.545454547</v>
      </c>
      <c r="H1866">
        <v>0.80808081952008337</v>
      </c>
      <c r="I1866">
        <v>0.70303030303030301</v>
      </c>
      <c r="J1866">
        <v>2805578.5454545454</v>
      </c>
      <c r="K1866">
        <v>13324</v>
      </c>
      <c r="L1866">
        <v>2</v>
      </c>
      <c r="M1866">
        <v>77</v>
      </c>
      <c r="N1866">
        <v>0.73333333333333328</v>
      </c>
      <c r="O1866">
        <v>2931714.6363636362</v>
      </c>
      <c r="P1866">
        <v>13653</v>
      </c>
      <c r="Q1866">
        <v>2</v>
      </c>
      <c r="R1866">
        <v>78</v>
      </c>
      <c r="S1866">
        <v>11.676953838129183</v>
      </c>
      <c r="T1866">
        <v>0.86666668057441709</v>
      </c>
    </row>
    <row r="1867" spans="1:20" x14ac:dyDescent="0.25">
      <c r="A1867" t="s">
        <v>314</v>
      </c>
      <c r="B1867">
        <v>3</v>
      </c>
      <c r="C1867">
        <v>5</v>
      </c>
      <c r="D1867">
        <v>0</v>
      </c>
      <c r="E1867" t="s">
        <v>342</v>
      </c>
      <c r="F1867">
        <v>6870</v>
      </c>
      <c r="G1867">
        <v>19097830.166666668</v>
      </c>
      <c r="H1867">
        <v>0.70000001291433966</v>
      </c>
      <c r="I1867">
        <v>0.69259259259259265</v>
      </c>
      <c r="J1867">
        <v>2008533.6666666667</v>
      </c>
      <c r="K1867">
        <v>13653</v>
      </c>
      <c r="L1867">
        <v>2</v>
      </c>
      <c r="M1867">
        <v>78</v>
      </c>
      <c r="N1867">
        <v>0.68888888888888888</v>
      </c>
      <c r="O1867">
        <v>1516296.3333333333</v>
      </c>
      <c r="P1867">
        <v>13986</v>
      </c>
      <c r="Q1867">
        <v>2</v>
      </c>
      <c r="R1867">
        <v>79</v>
      </c>
      <c r="S1867">
        <v>11.677472622979316</v>
      </c>
      <c r="T1867">
        <v>0.785185182094574</v>
      </c>
    </row>
    <row r="1868" spans="1:20" x14ac:dyDescent="0.25">
      <c r="A1868" t="s">
        <v>314</v>
      </c>
      <c r="B1868">
        <v>3</v>
      </c>
      <c r="C1868">
        <v>5</v>
      </c>
      <c r="D1868">
        <v>0</v>
      </c>
      <c r="E1868" t="s">
        <v>330</v>
      </c>
      <c r="F1868">
        <v>7138</v>
      </c>
      <c r="G1868">
        <v>14665881.363636363</v>
      </c>
      <c r="H1868">
        <v>0.81212122331966052</v>
      </c>
      <c r="I1868">
        <v>0.70707070707070707</v>
      </c>
      <c r="J1868">
        <v>2269409.9090909092</v>
      </c>
      <c r="K1868">
        <v>13986</v>
      </c>
      <c r="L1868">
        <v>2</v>
      </c>
      <c r="M1868">
        <v>79</v>
      </c>
      <c r="N1868">
        <v>0.66666666666666663</v>
      </c>
      <c r="O1868">
        <v>1169022.6363636365</v>
      </c>
      <c r="P1868">
        <v>14323</v>
      </c>
      <c r="Q1868">
        <v>2</v>
      </c>
      <c r="R1868">
        <v>80</v>
      </c>
      <c r="S1868">
        <v>11.676888329062242</v>
      </c>
      <c r="T1868">
        <v>0.80740740299224856</v>
      </c>
    </row>
    <row r="1869" spans="1:20" x14ac:dyDescent="0.25">
      <c r="A1869" t="s">
        <v>314</v>
      </c>
      <c r="B1869">
        <v>3</v>
      </c>
      <c r="C1869">
        <v>5</v>
      </c>
      <c r="D1869">
        <v>0</v>
      </c>
      <c r="E1869" t="s">
        <v>343</v>
      </c>
      <c r="F1869">
        <v>7356</v>
      </c>
      <c r="G1869">
        <v>17739662.181818184</v>
      </c>
      <c r="H1869">
        <v>0.80808081952008337</v>
      </c>
      <c r="I1869">
        <v>0.70101010101010097</v>
      </c>
      <c r="J1869">
        <v>1966968</v>
      </c>
      <c r="K1869">
        <v>14664</v>
      </c>
      <c r="L1869">
        <v>2</v>
      </c>
      <c r="M1869">
        <v>81</v>
      </c>
      <c r="N1869">
        <v>0.70505050505050504</v>
      </c>
      <c r="O1869">
        <v>712916.54545454541</v>
      </c>
      <c r="P1869">
        <v>15009</v>
      </c>
      <c r="Q1869">
        <v>2</v>
      </c>
      <c r="R1869">
        <v>82</v>
      </c>
      <c r="S1869">
        <v>11.677476773465312</v>
      </c>
      <c r="T1869">
        <v>0.86666666865348818</v>
      </c>
    </row>
    <row r="1870" spans="1:20" x14ac:dyDescent="0.25">
      <c r="A1870" t="s">
        <v>314</v>
      </c>
      <c r="B1870">
        <v>3</v>
      </c>
      <c r="C1870">
        <v>5</v>
      </c>
      <c r="D1870">
        <v>0</v>
      </c>
      <c r="E1870" t="s">
        <v>331</v>
      </c>
      <c r="F1870">
        <v>7536</v>
      </c>
      <c r="G1870">
        <v>16220422.5</v>
      </c>
      <c r="H1870">
        <v>0.74444445967674255</v>
      </c>
      <c r="I1870">
        <v>0.7</v>
      </c>
      <c r="J1870">
        <v>2331201.6666666665</v>
      </c>
      <c r="K1870">
        <v>15009</v>
      </c>
      <c r="L1870">
        <v>2</v>
      </c>
      <c r="M1870">
        <v>82</v>
      </c>
      <c r="N1870">
        <v>0.6518518518518519</v>
      </c>
      <c r="O1870">
        <v>841498.66666666663</v>
      </c>
      <c r="P1870">
        <v>15358</v>
      </c>
      <c r="Q1870">
        <v>2</v>
      </c>
      <c r="R1870">
        <v>83</v>
      </c>
      <c r="S1870">
        <v>11.677256944444444</v>
      </c>
      <c r="T1870">
        <v>0.7481481552124023</v>
      </c>
    </row>
    <row r="1871" spans="1:20" x14ac:dyDescent="0.25">
      <c r="A1871" t="s">
        <v>314</v>
      </c>
      <c r="B1871">
        <v>3</v>
      </c>
      <c r="C1871">
        <v>5</v>
      </c>
      <c r="D1871">
        <v>0</v>
      </c>
      <c r="E1871" t="s">
        <v>344</v>
      </c>
      <c r="F1871">
        <v>7842</v>
      </c>
      <c r="G1871">
        <v>16981180.6875</v>
      </c>
      <c r="H1871">
        <v>0.78888890147209167</v>
      </c>
      <c r="I1871">
        <v>0.66111111111111109</v>
      </c>
      <c r="J1871">
        <v>2306655.875</v>
      </c>
      <c r="K1871">
        <v>15358</v>
      </c>
      <c r="L1871">
        <v>2</v>
      </c>
      <c r="M1871">
        <v>83</v>
      </c>
      <c r="N1871">
        <v>0.67638888888888893</v>
      </c>
      <c r="O1871">
        <v>1130768.6875</v>
      </c>
      <c r="P1871">
        <v>15711</v>
      </c>
      <c r="Q1871">
        <v>2</v>
      </c>
      <c r="R1871">
        <v>84</v>
      </c>
      <c r="S1871">
        <v>11.677741151977793</v>
      </c>
      <c r="T1871">
        <v>0.80246913830439248</v>
      </c>
    </row>
    <row r="1872" spans="1:20" x14ac:dyDescent="0.25">
      <c r="A1872" t="s">
        <v>314</v>
      </c>
      <c r="B1872">
        <v>3</v>
      </c>
      <c r="C1872">
        <v>5</v>
      </c>
      <c r="D1872">
        <v>0</v>
      </c>
      <c r="E1872" t="s">
        <v>337</v>
      </c>
      <c r="F1872">
        <v>7976</v>
      </c>
      <c r="G1872">
        <v>16672274.5</v>
      </c>
      <c r="H1872">
        <v>0.75555557012557983</v>
      </c>
      <c r="I1872">
        <v>0.68148148148148147</v>
      </c>
      <c r="J1872">
        <v>2096934.6666666667</v>
      </c>
      <c r="K1872">
        <v>15711</v>
      </c>
      <c r="L1872">
        <v>2</v>
      </c>
      <c r="M1872">
        <v>84</v>
      </c>
      <c r="N1872">
        <v>0.66296296296296298</v>
      </c>
      <c r="O1872">
        <v>761222.83333333337</v>
      </c>
      <c r="P1872">
        <v>16068</v>
      </c>
      <c r="Q1872">
        <v>2</v>
      </c>
      <c r="R1872">
        <v>85</v>
      </c>
      <c r="S1872">
        <v>11.677521463879975</v>
      </c>
      <c r="T1872">
        <v>0.79259259700775142</v>
      </c>
    </row>
    <row r="1873" spans="1:20" x14ac:dyDescent="0.25">
      <c r="A1873" t="s">
        <v>314</v>
      </c>
      <c r="B1873">
        <v>3</v>
      </c>
      <c r="C1873">
        <v>5</v>
      </c>
      <c r="D1873">
        <v>0</v>
      </c>
      <c r="E1873" t="s">
        <v>351</v>
      </c>
      <c r="F1873">
        <v>8062</v>
      </c>
      <c r="G1873">
        <v>18257295.666666668</v>
      </c>
      <c r="H1873">
        <v>0.82592593630154931</v>
      </c>
      <c r="I1873">
        <v>0.66666666666666663</v>
      </c>
      <c r="J1873">
        <v>1713731.5</v>
      </c>
      <c r="K1873">
        <v>16068</v>
      </c>
      <c r="L1873">
        <v>2</v>
      </c>
      <c r="M1873">
        <v>85</v>
      </c>
      <c r="N1873">
        <v>0.67037037037037028</v>
      </c>
      <c r="O1873">
        <v>1611540.8333333333</v>
      </c>
      <c r="P1873">
        <v>16429</v>
      </c>
      <c r="Q1873">
        <v>2</v>
      </c>
      <c r="R1873">
        <v>86</v>
      </c>
      <c r="S1873">
        <v>11.677952141494711</v>
      </c>
      <c r="T1873">
        <v>0.88148148059844966</v>
      </c>
    </row>
    <row r="1874" spans="1:20" x14ac:dyDescent="0.25">
      <c r="A1874" t="s">
        <v>314</v>
      </c>
      <c r="B1874">
        <v>3</v>
      </c>
      <c r="C1874">
        <v>5</v>
      </c>
      <c r="D1874">
        <v>0</v>
      </c>
      <c r="E1874" t="s">
        <v>338</v>
      </c>
      <c r="F1874">
        <v>8418</v>
      </c>
      <c r="G1874">
        <v>17942651.666666668</v>
      </c>
      <c r="H1874">
        <v>0.80740741888682044</v>
      </c>
      <c r="I1874">
        <v>0.68888888888888888</v>
      </c>
      <c r="J1874">
        <v>1958927.6666666667</v>
      </c>
      <c r="K1874">
        <v>16429</v>
      </c>
      <c r="L1874">
        <v>2</v>
      </c>
      <c r="M1874">
        <v>86</v>
      </c>
      <c r="N1874">
        <v>0.72592592592592597</v>
      </c>
      <c r="O1874">
        <v>2264143</v>
      </c>
      <c r="P1874">
        <v>16794</v>
      </c>
      <c r="Q1874">
        <v>2</v>
      </c>
      <c r="R1874">
        <v>87</v>
      </c>
      <c r="S1874">
        <v>11.678252578659963</v>
      </c>
      <c r="T1874">
        <v>0.82222223281860352</v>
      </c>
    </row>
    <row r="1875" spans="1:20" x14ac:dyDescent="0.25">
      <c r="A1875" t="s">
        <v>314</v>
      </c>
      <c r="B1875">
        <v>3</v>
      </c>
      <c r="C1875">
        <v>5</v>
      </c>
      <c r="D1875">
        <v>0</v>
      </c>
      <c r="E1875" t="s">
        <v>352</v>
      </c>
      <c r="F1875">
        <v>8592</v>
      </c>
      <c r="G1875">
        <v>17425041.454545453</v>
      </c>
      <c r="H1875">
        <v>0.79191920161247253</v>
      </c>
      <c r="I1875">
        <v>0.6707070707070707</v>
      </c>
      <c r="J1875">
        <v>2418568.4545454546</v>
      </c>
      <c r="K1875">
        <v>16794</v>
      </c>
      <c r="L1875">
        <v>2</v>
      </c>
      <c r="M1875">
        <v>87</v>
      </c>
      <c r="N1875">
        <v>0.71313131313131317</v>
      </c>
      <c r="O1875">
        <v>1492998.1818181819</v>
      </c>
      <c r="P1875">
        <v>17163</v>
      </c>
      <c r="Q1875">
        <v>2</v>
      </c>
      <c r="R1875">
        <v>88</v>
      </c>
      <c r="S1875">
        <v>11.678275936755469</v>
      </c>
      <c r="T1875">
        <v>0.81851851940155029</v>
      </c>
    </row>
    <row r="1876" spans="1:20" x14ac:dyDescent="0.25">
      <c r="A1876" t="s">
        <v>314</v>
      </c>
      <c r="B1876">
        <v>3</v>
      </c>
      <c r="C1876">
        <v>5</v>
      </c>
      <c r="D1876">
        <v>0</v>
      </c>
      <c r="E1876" t="s">
        <v>346</v>
      </c>
      <c r="F1876">
        <v>8814</v>
      </c>
      <c r="G1876">
        <v>14656455.5</v>
      </c>
      <c r="H1876">
        <v>0.72962964574495948</v>
      </c>
      <c r="I1876">
        <v>0.64074074074074072</v>
      </c>
      <c r="J1876">
        <v>1734148.5</v>
      </c>
      <c r="K1876">
        <v>17536</v>
      </c>
      <c r="L1876">
        <v>2</v>
      </c>
      <c r="M1876">
        <v>89</v>
      </c>
      <c r="N1876">
        <v>0.68518518518518523</v>
      </c>
      <c r="O1876">
        <v>1435952.5</v>
      </c>
      <c r="P1876">
        <v>17913</v>
      </c>
      <c r="Q1876">
        <v>2</v>
      </c>
      <c r="R1876">
        <v>90</v>
      </c>
      <c r="S1876">
        <v>11.677709930275865</v>
      </c>
      <c r="T1876">
        <v>0.77037035226821904</v>
      </c>
    </row>
    <row r="1877" spans="1:20" x14ac:dyDescent="0.25">
      <c r="A1877" t="s">
        <v>314</v>
      </c>
      <c r="B1877">
        <v>3</v>
      </c>
      <c r="C1877">
        <v>5</v>
      </c>
      <c r="D1877">
        <v>0</v>
      </c>
      <c r="E1877" t="s">
        <v>353</v>
      </c>
      <c r="F1877">
        <v>9122</v>
      </c>
      <c r="G1877">
        <v>17524221.5</v>
      </c>
      <c r="H1877">
        <v>0.81481482585271203</v>
      </c>
      <c r="I1877">
        <v>0.71851851851851856</v>
      </c>
      <c r="J1877">
        <v>2150172.8333333335</v>
      </c>
      <c r="K1877">
        <v>17913</v>
      </c>
      <c r="L1877">
        <v>2</v>
      </c>
      <c r="M1877">
        <v>90</v>
      </c>
      <c r="N1877">
        <v>0.6962962962962963</v>
      </c>
      <c r="O1877">
        <v>1016582.3333333334</v>
      </c>
      <c r="P1877">
        <v>18294</v>
      </c>
      <c r="Q1877">
        <v>2</v>
      </c>
      <c r="R1877">
        <v>91</v>
      </c>
      <c r="S1877">
        <v>11.67757717452483</v>
      </c>
      <c r="T1877">
        <v>0.80740741491317747</v>
      </c>
    </row>
    <row r="1878" spans="1:20" x14ac:dyDescent="0.25">
      <c r="A1878" t="s">
        <v>314</v>
      </c>
      <c r="B1878">
        <v>3</v>
      </c>
      <c r="C1878">
        <v>5</v>
      </c>
      <c r="D1878">
        <v>0</v>
      </c>
      <c r="E1878" t="s">
        <v>347</v>
      </c>
      <c r="F1878">
        <v>9300</v>
      </c>
      <c r="G1878">
        <v>17568462.166666668</v>
      </c>
      <c r="H1878">
        <v>0.69259260594844818</v>
      </c>
      <c r="I1878">
        <v>0.68888888888888888</v>
      </c>
      <c r="J1878">
        <v>2862488.6666666665</v>
      </c>
      <c r="K1878">
        <v>18294</v>
      </c>
      <c r="L1878">
        <v>2</v>
      </c>
      <c r="M1878">
        <v>91</v>
      </c>
      <c r="N1878">
        <v>0.67407407407407405</v>
      </c>
      <c r="O1878">
        <v>1830272.3333333333</v>
      </c>
      <c r="P1878">
        <v>18679</v>
      </c>
      <c r="Q1878">
        <v>2</v>
      </c>
      <c r="R1878">
        <v>92</v>
      </c>
      <c r="S1878">
        <v>11.677617625416612</v>
      </c>
      <c r="T1878">
        <v>0.7481481552124023</v>
      </c>
    </row>
    <row r="1879" spans="1:20" x14ac:dyDescent="0.25">
      <c r="A1879" t="s">
        <v>314</v>
      </c>
      <c r="B1879">
        <v>3</v>
      </c>
      <c r="C1879">
        <v>5</v>
      </c>
      <c r="D1879">
        <v>0</v>
      </c>
      <c r="E1879" t="s">
        <v>354</v>
      </c>
      <c r="F1879">
        <v>9652</v>
      </c>
      <c r="G1879">
        <v>22930363.333333332</v>
      </c>
      <c r="H1879">
        <v>0.79629630843798316</v>
      </c>
      <c r="I1879">
        <v>0.70740740740740748</v>
      </c>
      <c r="J1879">
        <v>3336478.1666666665</v>
      </c>
      <c r="K1879">
        <v>19068</v>
      </c>
      <c r="L1879">
        <v>2</v>
      </c>
      <c r="M1879">
        <v>93</v>
      </c>
      <c r="N1879">
        <v>0.67037037037037028</v>
      </c>
      <c r="O1879">
        <v>6997105.833333333</v>
      </c>
      <c r="P1879">
        <v>19461</v>
      </c>
      <c r="Q1879">
        <v>2</v>
      </c>
      <c r="R1879">
        <v>94</v>
      </c>
      <c r="S1879">
        <v>11.678653338526116</v>
      </c>
      <c r="T1879">
        <v>0.89629631042480473</v>
      </c>
    </row>
    <row r="1880" spans="1:20" x14ac:dyDescent="0.25">
      <c r="A1880" t="s">
        <v>314</v>
      </c>
      <c r="B1880">
        <v>3</v>
      </c>
      <c r="C1880">
        <v>5</v>
      </c>
      <c r="D1880">
        <v>0</v>
      </c>
      <c r="E1880" t="s">
        <v>355</v>
      </c>
      <c r="F1880">
        <v>10182</v>
      </c>
      <c r="G1880">
        <v>17889790.5</v>
      </c>
      <c r="H1880">
        <v>0.83703704675038659</v>
      </c>
      <c r="I1880">
        <v>0.67777777777777781</v>
      </c>
      <c r="J1880">
        <v>9397598.666666666</v>
      </c>
      <c r="K1880">
        <v>20259</v>
      </c>
      <c r="L1880">
        <v>2</v>
      </c>
      <c r="M1880">
        <v>96</v>
      </c>
      <c r="N1880">
        <v>0.71851851851851856</v>
      </c>
      <c r="O1880">
        <v>7654202.333333333</v>
      </c>
      <c r="P1880">
        <v>20664</v>
      </c>
      <c r="Q1880">
        <v>2</v>
      </c>
      <c r="R1880">
        <v>97</v>
      </c>
      <c r="S1880">
        <v>11.678953060783041</v>
      </c>
      <c r="T1880">
        <v>0.86666667461395264</v>
      </c>
    </row>
    <row r="1881" spans="1:20" x14ac:dyDescent="0.25">
      <c r="A1881" t="s">
        <v>314</v>
      </c>
      <c r="B1881">
        <v>5</v>
      </c>
      <c r="C1881">
        <v>2</v>
      </c>
      <c r="D1881">
        <v>0</v>
      </c>
      <c r="E1881" t="s">
        <v>360</v>
      </c>
      <c r="F1881">
        <v>1452</v>
      </c>
      <c r="G1881">
        <v>12899540.5</v>
      </c>
      <c r="H1881">
        <v>0.74814815819263458</v>
      </c>
      <c r="I1881">
        <v>0.74444444444444446</v>
      </c>
      <c r="J1881">
        <v>7170118.5</v>
      </c>
      <c r="K1881">
        <v>2103</v>
      </c>
      <c r="L1881">
        <v>2</v>
      </c>
      <c r="M1881">
        <v>28</v>
      </c>
      <c r="N1881">
        <v>0.65925925925925921</v>
      </c>
      <c r="O1881">
        <v>6283389.5</v>
      </c>
      <c r="P1881">
        <v>2236</v>
      </c>
      <c r="Q1881">
        <v>2</v>
      </c>
      <c r="R1881">
        <v>29</v>
      </c>
      <c r="S1881">
        <v>11.678301111543618</v>
      </c>
      <c r="T1881">
        <v>0.78518519401550291</v>
      </c>
    </row>
    <row r="1882" spans="1:20" x14ac:dyDescent="0.25">
      <c r="A1882" t="s">
        <v>314</v>
      </c>
      <c r="B1882">
        <v>5</v>
      </c>
      <c r="C1882">
        <v>2</v>
      </c>
      <c r="D1882">
        <v>0</v>
      </c>
      <c r="E1882" t="s">
        <v>315</v>
      </c>
      <c r="F1882">
        <v>1774</v>
      </c>
      <c r="G1882">
        <v>2338809.6666666665</v>
      </c>
      <c r="H1882">
        <v>0.9444444477558136</v>
      </c>
      <c r="I1882">
        <v>0.73333333333333328</v>
      </c>
      <c r="J1882">
        <v>248576.16666666666</v>
      </c>
      <c r="K1882">
        <v>2514</v>
      </c>
      <c r="L1882">
        <v>2</v>
      </c>
      <c r="M1882">
        <v>31</v>
      </c>
      <c r="N1882">
        <v>0.6518518518518519</v>
      </c>
      <c r="O1882">
        <v>240874.5</v>
      </c>
      <c r="P1882">
        <v>2659</v>
      </c>
      <c r="Q1882">
        <v>2</v>
      </c>
      <c r="R1882">
        <v>32</v>
      </c>
      <c r="S1882">
        <v>11.677346824058461</v>
      </c>
      <c r="T1882">
        <v>0.93333333730697632</v>
      </c>
    </row>
    <row r="1883" spans="1:20" x14ac:dyDescent="0.25">
      <c r="A1883" t="s">
        <v>314</v>
      </c>
      <c r="B1883">
        <v>5</v>
      </c>
      <c r="C1883">
        <v>2</v>
      </c>
      <c r="D1883">
        <v>0</v>
      </c>
      <c r="E1883" t="s">
        <v>324</v>
      </c>
      <c r="F1883">
        <v>2096</v>
      </c>
      <c r="G1883">
        <v>4285256</v>
      </c>
      <c r="H1883">
        <v>0.92592593034108484</v>
      </c>
      <c r="I1883">
        <v>0.7</v>
      </c>
      <c r="J1883">
        <v>277564.16666666669</v>
      </c>
      <c r="K1883">
        <v>3118</v>
      </c>
      <c r="L1883">
        <v>2</v>
      </c>
      <c r="M1883">
        <v>35</v>
      </c>
      <c r="N1883">
        <v>0.74444444444444446</v>
      </c>
      <c r="O1883">
        <v>245807.66666666666</v>
      </c>
      <c r="P1883">
        <v>3279</v>
      </c>
      <c r="Q1883">
        <v>2</v>
      </c>
      <c r="R1883">
        <v>36</v>
      </c>
      <c r="S1883">
        <v>11.676998227640167</v>
      </c>
      <c r="T1883">
        <v>0.97777777910232544</v>
      </c>
    </row>
    <row r="1884" spans="1:20" x14ac:dyDescent="0.25">
      <c r="A1884" t="s">
        <v>314</v>
      </c>
      <c r="B1884">
        <v>5</v>
      </c>
      <c r="C1884">
        <v>2</v>
      </c>
      <c r="D1884">
        <v>0</v>
      </c>
      <c r="E1884" t="s">
        <v>332</v>
      </c>
      <c r="F1884">
        <v>2418</v>
      </c>
      <c r="G1884">
        <v>5255262</v>
      </c>
      <c r="H1884">
        <v>0.89259259899457299</v>
      </c>
      <c r="I1884">
        <v>0.66666666666666663</v>
      </c>
      <c r="J1884">
        <v>267454.83333333331</v>
      </c>
      <c r="K1884">
        <v>3613</v>
      </c>
      <c r="L1884">
        <v>2</v>
      </c>
      <c r="M1884">
        <v>38</v>
      </c>
      <c r="N1884">
        <v>0.66666666666666663</v>
      </c>
      <c r="O1884">
        <v>284354</v>
      </c>
      <c r="P1884">
        <v>3786</v>
      </c>
      <c r="Q1884">
        <v>2</v>
      </c>
      <c r="R1884">
        <v>39</v>
      </c>
      <c r="S1884">
        <v>11.676952331561433</v>
      </c>
      <c r="T1884">
        <v>0.97037038803100584</v>
      </c>
    </row>
    <row r="1885" spans="1:20" x14ac:dyDescent="0.25">
      <c r="A1885" t="s">
        <v>314</v>
      </c>
      <c r="B1885">
        <v>5</v>
      </c>
      <c r="C1885">
        <v>2</v>
      </c>
      <c r="D1885">
        <v>0</v>
      </c>
      <c r="E1885" t="s">
        <v>339</v>
      </c>
      <c r="F1885">
        <v>2740</v>
      </c>
      <c r="G1885">
        <v>2925456.6666666665</v>
      </c>
      <c r="H1885">
        <v>0.91481481989224755</v>
      </c>
      <c r="I1885">
        <v>0.61111111111111105</v>
      </c>
      <c r="J1885">
        <v>277764.16666666669</v>
      </c>
      <c r="K1885">
        <v>3963</v>
      </c>
      <c r="L1885">
        <v>2</v>
      </c>
      <c r="M1885">
        <v>40</v>
      </c>
      <c r="N1885">
        <v>0.68518518518518512</v>
      </c>
      <c r="O1885">
        <v>304644.83333333331</v>
      </c>
      <c r="P1885">
        <v>4144</v>
      </c>
      <c r="Q1885">
        <v>2</v>
      </c>
      <c r="R1885">
        <v>41</v>
      </c>
      <c r="S1885">
        <v>11.67604234175848</v>
      </c>
      <c r="T1885">
        <v>0.96296298503875732</v>
      </c>
    </row>
    <row r="1886" spans="1:20" x14ac:dyDescent="0.25">
      <c r="A1886" t="s">
        <v>314</v>
      </c>
      <c r="B1886">
        <v>5</v>
      </c>
      <c r="C1886">
        <v>2</v>
      </c>
      <c r="D1886">
        <v>0</v>
      </c>
      <c r="E1886" t="s">
        <v>348</v>
      </c>
      <c r="F1886">
        <v>3062</v>
      </c>
      <c r="G1886">
        <v>4514630</v>
      </c>
      <c r="H1886">
        <v>0.89629630247751868</v>
      </c>
      <c r="I1886">
        <v>0.72592592592592597</v>
      </c>
      <c r="J1886">
        <v>316875.66666666669</v>
      </c>
      <c r="K1886">
        <v>4518</v>
      </c>
      <c r="L1886">
        <v>2</v>
      </c>
      <c r="M1886">
        <v>43</v>
      </c>
      <c r="N1886">
        <v>0.67407407407407405</v>
      </c>
      <c r="O1886">
        <v>337903.66666666669</v>
      </c>
      <c r="P1886">
        <v>4711</v>
      </c>
      <c r="Q1886">
        <v>2</v>
      </c>
      <c r="R1886">
        <v>44</v>
      </c>
      <c r="S1886">
        <v>11.675521575741868</v>
      </c>
      <c r="T1886">
        <v>0.98518519401550297</v>
      </c>
    </row>
    <row r="1887" spans="1:20" x14ac:dyDescent="0.25">
      <c r="A1887" t="s">
        <v>314</v>
      </c>
      <c r="B1887">
        <v>5</v>
      </c>
      <c r="C1887">
        <v>2</v>
      </c>
      <c r="D1887">
        <v>0</v>
      </c>
      <c r="E1887" t="s">
        <v>356</v>
      </c>
      <c r="F1887">
        <v>3384</v>
      </c>
      <c r="G1887">
        <v>3885210.5</v>
      </c>
      <c r="H1887">
        <v>0.92962963382403052</v>
      </c>
      <c r="I1887">
        <v>0.70370370370370372</v>
      </c>
      <c r="J1887">
        <v>298200.5</v>
      </c>
      <c r="K1887">
        <v>4908</v>
      </c>
      <c r="L1887">
        <v>2</v>
      </c>
      <c r="M1887">
        <v>45</v>
      </c>
      <c r="N1887">
        <v>0.6962962962962963</v>
      </c>
      <c r="O1887">
        <v>317652.16666666669</v>
      </c>
      <c r="P1887">
        <v>5109</v>
      </c>
      <c r="Q1887">
        <v>2</v>
      </c>
      <c r="R1887">
        <v>46</v>
      </c>
      <c r="S1887">
        <v>11.674655611694089</v>
      </c>
      <c r="T1887">
        <v>0.94814814329147334</v>
      </c>
    </row>
    <row r="1888" spans="1:20" x14ac:dyDescent="0.25">
      <c r="A1888" t="s">
        <v>314</v>
      </c>
      <c r="B1888">
        <v>5</v>
      </c>
      <c r="C1888">
        <v>2</v>
      </c>
      <c r="D1888">
        <v>0</v>
      </c>
      <c r="E1888" t="s">
        <v>357</v>
      </c>
      <c r="F1888">
        <v>3706</v>
      </c>
      <c r="G1888">
        <v>3015159.1666666665</v>
      </c>
      <c r="H1888">
        <v>0.9444444477558136</v>
      </c>
      <c r="I1888">
        <v>0.64814814814814814</v>
      </c>
      <c r="J1888">
        <v>288624.5</v>
      </c>
      <c r="K1888">
        <v>5523</v>
      </c>
      <c r="L1888">
        <v>2</v>
      </c>
      <c r="M1888">
        <v>48</v>
      </c>
      <c r="N1888">
        <v>0.71851851851851856</v>
      </c>
      <c r="O1888">
        <v>304141.83333333331</v>
      </c>
      <c r="P1888">
        <v>5736</v>
      </c>
      <c r="Q1888">
        <v>2</v>
      </c>
      <c r="R1888">
        <v>49</v>
      </c>
      <c r="S1888">
        <v>11.673703751672926</v>
      </c>
      <c r="T1888">
        <v>0.95555557012557979</v>
      </c>
    </row>
    <row r="1889" spans="1:20" x14ac:dyDescent="0.25">
      <c r="A1889" t="s">
        <v>314</v>
      </c>
      <c r="B1889">
        <v>5</v>
      </c>
      <c r="C1889">
        <v>2</v>
      </c>
      <c r="D1889">
        <v>0</v>
      </c>
      <c r="E1889" t="s">
        <v>358</v>
      </c>
      <c r="F1889">
        <v>4028</v>
      </c>
      <c r="G1889">
        <v>7237648.1818181816</v>
      </c>
      <c r="H1889">
        <v>0.82222223281860352</v>
      </c>
      <c r="I1889">
        <v>0.65656565656565657</v>
      </c>
      <c r="J1889">
        <v>322422.72727272729</v>
      </c>
      <c r="K1889">
        <v>5953</v>
      </c>
      <c r="L1889">
        <v>2</v>
      </c>
      <c r="M1889">
        <v>50</v>
      </c>
      <c r="N1889">
        <v>0.7595959595959596</v>
      </c>
      <c r="O1889">
        <v>319687.81818181818</v>
      </c>
      <c r="P1889">
        <v>6174</v>
      </c>
      <c r="Q1889">
        <v>2</v>
      </c>
      <c r="R1889">
        <v>51</v>
      </c>
      <c r="S1889">
        <v>11.673513420212307</v>
      </c>
      <c r="T1889">
        <v>0.90740740895271299</v>
      </c>
    </row>
    <row r="1890" spans="1:20" x14ac:dyDescent="0.25">
      <c r="A1890" t="s">
        <v>314</v>
      </c>
      <c r="B1890">
        <v>5</v>
      </c>
      <c r="C1890">
        <v>2</v>
      </c>
      <c r="D1890">
        <v>0</v>
      </c>
      <c r="E1890" t="s">
        <v>359</v>
      </c>
      <c r="F1890">
        <v>4350</v>
      </c>
      <c r="G1890">
        <v>5856911.5454545459</v>
      </c>
      <c r="H1890">
        <v>0.90303030881014734</v>
      </c>
      <c r="I1890">
        <v>0.71919191919191916</v>
      </c>
      <c r="J1890">
        <v>350568.18181818182</v>
      </c>
      <c r="K1890">
        <v>6399</v>
      </c>
      <c r="L1890">
        <v>2</v>
      </c>
      <c r="M1890">
        <v>52</v>
      </c>
      <c r="N1890">
        <v>0.77777777777777779</v>
      </c>
      <c r="O1890">
        <v>330636.09090909088</v>
      </c>
      <c r="P1890">
        <v>6628</v>
      </c>
      <c r="Q1890">
        <v>2</v>
      </c>
      <c r="R1890">
        <v>53</v>
      </c>
      <c r="S1890">
        <v>11.672331248652146</v>
      </c>
      <c r="T1890">
        <v>0.95185185074806211</v>
      </c>
    </row>
    <row r="1891" spans="1:20" x14ac:dyDescent="0.25">
      <c r="A1891" t="s">
        <v>314</v>
      </c>
      <c r="B1891">
        <v>5</v>
      </c>
      <c r="C1891">
        <v>2</v>
      </c>
      <c r="D1891">
        <v>0</v>
      </c>
      <c r="E1891" t="s">
        <v>318</v>
      </c>
      <c r="F1891">
        <v>4443</v>
      </c>
      <c r="G1891">
        <v>7097021.4545454541</v>
      </c>
      <c r="H1891">
        <v>0.83434344150803308</v>
      </c>
      <c r="I1891">
        <v>0.6646464646464646</v>
      </c>
      <c r="J1891">
        <v>352834</v>
      </c>
      <c r="K1891">
        <v>6628</v>
      </c>
      <c r="L1891">
        <v>2</v>
      </c>
      <c r="M1891">
        <v>53</v>
      </c>
      <c r="N1891">
        <v>0.66060606060606064</v>
      </c>
      <c r="O1891">
        <v>360766.81818181818</v>
      </c>
      <c r="P1891">
        <v>6861</v>
      </c>
      <c r="Q1891">
        <v>2</v>
      </c>
      <c r="R1891">
        <v>54</v>
      </c>
      <c r="S1891">
        <v>11.671753750646664</v>
      </c>
      <c r="T1891">
        <v>0.87407408356666561</v>
      </c>
    </row>
    <row r="1892" spans="1:20" x14ac:dyDescent="0.25">
      <c r="A1892" t="s">
        <v>314</v>
      </c>
      <c r="B1892">
        <v>5</v>
      </c>
      <c r="C1892">
        <v>2</v>
      </c>
      <c r="D1892">
        <v>0</v>
      </c>
      <c r="E1892" t="s">
        <v>326</v>
      </c>
      <c r="F1892">
        <v>4683</v>
      </c>
      <c r="G1892">
        <v>13375705.166666666</v>
      </c>
      <c r="H1892">
        <v>0.62592593828837073</v>
      </c>
      <c r="I1892">
        <v>0.67777777777777781</v>
      </c>
      <c r="J1892">
        <v>354468</v>
      </c>
      <c r="K1892">
        <v>6861</v>
      </c>
      <c r="L1892">
        <v>2</v>
      </c>
      <c r="M1892">
        <v>54</v>
      </c>
      <c r="N1892">
        <v>0.72222222222222221</v>
      </c>
      <c r="O1892">
        <v>305550.33333333331</v>
      </c>
      <c r="P1892">
        <v>7098</v>
      </c>
      <c r="Q1892">
        <v>2</v>
      </c>
      <c r="R1892">
        <v>55</v>
      </c>
      <c r="S1892">
        <v>11.67274372898888</v>
      </c>
      <c r="T1892">
        <v>0.74814813137054448</v>
      </c>
    </row>
    <row r="1893" spans="1:20" x14ac:dyDescent="0.25">
      <c r="A1893" t="s">
        <v>314</v>
      </c>
      <c r="B1893">
        <v>5</v>
      </c>
      <c r="C1893">
        <v>2</v>
      </c>
      <c r="D1893">
        <v>0</v>
      </c>
      <c r="E1893" t="s">
        <v>319</v>
      </c>
      <c r="F1893">
        <v>4765</v>
      </c>
      <c r="G1893">
        <v>9768009</v>
      </c>
      <c r="H1893">
        <v>0.86666667461395264</v>
      </c>
      <c r="I1893">
        <v>0.62222222222222223</v>
      </c>
      <c r="J1893">
        <v>370888.5</v>
      </c>
      <c r="K1893">
        <v>7098</v>
      </c>
      <c r="L1893">
        <v>2</v>
      </c>
      <c r="M1893">
        <v>55</v>
      </c>
      <c r="N1893">
        <v>0.68148148148148147</v>
      </c>
      <c r="O1893">
        <v>317662</v>
      </c>
      <c r="P1893">
        <v>7339</v>
      </c>
      <c r="Q1893">
        <v>2</v>
      </c>
      <c r="R1893">
        <v>56</v>
      </c>
      <c r="S1893">
        <v>11.672612892106171</v>
      </c>
      <c r="T1893">
        <v>0.8222222208976746</v>
      </c>
    </row>
    <row r="1894" spans="1:20" x14ac:dyDescent="0.25">
      <c r="A1894" t="s">
        <v>314</v>
      </c>
      <c r="B1894">
        <v>5</v>
      </c>
      <c r="C1894">
        <v>2</v>
      </c>
      <c r="D1894">
        <v>0</v>
      </c>
      <c r="E1894" t="s">
        <v>327</v>
      </c>
      <c r="F1894">
        <v>5045</v>
      </c>
      <c r="G1894">
        <v>10656875.909090908</v>
      </c>
      <c r="H1894">
        <v>0.87272728031331848</v>
      </c>
      <c r="I1894">
        <v>0.66262626262626256</v>
      </c>
      <c r="J1894">
        <v>363197.27272727271</v>
      </c>
      <c r="K1894">
        <v>7339</v>
      </c>
      <c r="L1894">
        <v>2</v>
      </c>
      <c r="M1894">
        <v>56</v>
      </c>
      <c r="N1894">
        <v>0.69494949494949498</v>
      </c>
      <c r="O1894">
        <v>374220.09090909088</v>
      </c>
      <c r="P1894">
        <v>7584</v>
      </c>
      <c r="Q1894">
        <v>2</v>
      </c>
      <c r="R1894">
        <v>57</v>
      </c>
      <c r="S1894">
        <v>11.672724923553986</v>
      </c>
      <c r="T1894">
        <v>0.88518518209457397</v>
      </c>
    </row>
    <row r="1895" spans="1:20" x14ac:dyDescent="0.25">
      <c r="A1895" t="s">
        <v>314</v>
      </c>
      <c r="B1895">
        <v>5</v>
      </c>
      <c r="C1895">
        <v>2</v>
      </c>
      <c r="D1895">
        <v>0</v>
      </c>
      <c r="E1895" t="s">
        <v>320</v>
      </c>
      <c r="F1895">
        <v>5087</v>
      </c>
      <c r="G1895">
        <v>13779105.666666666</v>
      </c>
      <c r="H1895">
        <v>0.84444445371627808</v>
      </c>
      <c r="I1895">
        <v>0.71111111111111114</v>
      </c>
      <c r="J1895">
        <v>340469.33333333331</v>
      </c>
      <c r="K1895">
        <v>7584</v>
      </c>
      <c r="L1895">
        <v>2</v>
      </c>
      <c r="M1895">
        <v>57</v>
      </c>
      <c r="N1895">
        <v>0.64074074074074072</v>
      </c>
      <c r="O1895">
        <v>353065.66666666669</v>
      </c>
      <c r="P1895">
        <v>7833</v>
      </c>
      <c r="Q1895">
        <v>2</v>
      </c>
      <c r="R1895">
        <v>58</v>
      </c>
      <c r="S1895">
        <v>11.673584499461787</v>
      </c>
      <c r="T1895">
        <v>0.88148148059844966</v>
      </c>
    </row>
    <row r="1896" spans="1:20" x14ac:dyDescent="0.25">
      <c r="A1896" t="s">
        <v>314</v>
      </c>
      <c r="B1896">
        <v>5</v>
      </c>
      <c r="C1896">
        <v>2</v>
      </c>
      <c r="D1896">
        <v>0</v>
      </c>
      <c r="E1896" t="s">
        <v>334</v>
      </c>
      <c r="F1896">
        <v>5245</v>
      </c>
      <c r="G1896">
        <v>13456196.333333334</v>
      </c>
      <c r="H1896">
        <v>0.86296297113100684</v>
      </c>
      <c r="I1896">
        <v>0.72962962962962963</v>
      </c>
      <c r="J1896">
        <v>419414</v>
      </c>
      <c r="K1896">
        <v>7833</v>
      </c>
      <c r="L1896">
        <v>2</v>
      </c>
      <c r="M1896">
        <v>58</v>
      </c>
      <c r="N1896">
        <v>0.66296296296296298</v>
      </c>
      <c r="O1896">
        <v>359744</v>
      </c>
      <c r="P1896">
        <v>8086</v>
      </c>
      <c r="Q1896">
        <v>2</v>
      </c>
      <c r="R1896">
        <v>59</v>
      </c>
      <c r="S1896">
        <v>11.674056217984589</v>
      </c>
      <c r="T1896">
        <v>0.95555555820465088</v>
      </c>
    </row>
    <row r="1897" spans="1:20" x14ac:dyDescent="0.25">
      <c r="A1897" t="s">
        <v>314</v>
      </c>
      <c r="B1897">
        <v>5</v>
      </c>
      <c r="C1897">
        <v>2</v>
      </c>
      <c r="D1897">
        <v>0</v>
      </c>
      <c r="E1897" t="s">
        <v>321</v>
      </c>
      <c r="F1897">
        <v>5409</v>
      </c>
      <c r="G1897">
        <v>10292223.363636363</v>
      </c>
      <c r="H1897">
        <v>0.87474748221310705</v>
      </c>
      <c r="I1897">
        <v>0.68080808080808075</v>
      </c>
      <c r="J1897">
        <v>390131.63636363635</v>
      </c>
      <c r="K1897">
        <v>8086</v>
      </c>
      <c r="L1897">
        <v>2</v>
      </c>
      <c r="M1897">
        <v>59</v>
      </c>
      <c r="N1897">
        <v>0.6767676767676768</v>
      </c>
      <c r="O1897">
        <v>383968.27272727271</v>
      </c>
      <c r="P1897">
        <v>8343</v>
      </c>
      <c r="Q1897">
        <v>2</v>
      </c>
      <c r="R1897">
        <v>60</v>
      </c>
      <c r="S1897">
        <v>11.673608123225195</v>
      </c>
      <c r="T1897">
        <v>0.8555555582046509</v>
      </c>
    </row>
    <row r="1898" spans="1:20" x14ac:dyDescent="0.25">
      <c r="A1898" t="s">
        <v>314</v>
      </c>
      <c r="B1898">
        <v>5</v>
      </c>
      <c r="C1898">
        <v>2</v>
      </c>
      <c r="D1898">
        <v>0</v>
      </c>
      <c r="E1898" t="s">
        <v>322</v>
      </c>
      <c r="F1898">
        <v>5731</v>
      </c>
      <c r="G1898">
        <v>12772690.545454545</v>
      </c>
      <c r="H1898">
        <v>0.86666667461395264</v>
      </c>
      <c r="I1898">
        <v>0.6707070707070707</v>
      </c>
      <c r="J1898">
        <v>386089.27272727271</v>
      </c>
      <c r="K1898">
        <v>8343</v>
      </c>
      <c r="L1898">
        <v>2</v>
      </c>
      <c r="M1898">
        <v>60</v>
      </c>
      <c r="N1898">
        <v>0.64444444444444438</v>
      </c>
      <c r="O1898">
        <v>373991.45454545453</v>
      </c>
      <c r="P1898">
        <v>8604</v>
      </c>
      <c r="Q1898">
        <v>2</v>
      </c>
      <c r="R1898">
        <v>61</v>
      </c>
      <c r="S1898">
        <v>11.674278587709113</v>
      </c>
      <c r="T1898">
        <v>0.87777777314186101</v>
      </c>
    </row>
    <row r="1899" spans="1:20" x14ac:dyDescent="0.25">
      <c r="A1899" t="s">
        <v>314</v>
      </c>
      <c r="B1899">
        <v>5</v>
      </c>
      <c r="C1899">
        <v>2</v>
      </c>
      <c r="D1899">
        <v>0</v>
      </c>
      <c r="E1899" t="s">
        <v>328</v>
      </c>
      <c r="F1899">
        <v>5769</v>
      </c>
      <c r="G1899">
        <v>12398497.090909092</v>
      </c>
      <c r="H1899">
        <v>0.86262627081437548</v>
      </c>
      <c r="I1899">
        <v>0.76363636363636367</v>
      </c>
      <c r="J1899">
        <v>405305</v>
      </c>
      <c r="K1899">
        <v>8604</v>
      </c>
      <c r="L1899">
        <v>2</v>
      </c>
      <c r="M1899">
        <v>61</v>
      </c>
      <c r="N1899">
        <v>0.62828282828282833</v>
      </c>
      <c r="O1899">
        <v>404791.36363636365</v>
      </c>
      <c r="P1899">
        <v>8869</v>
      </c>
      <c r="Q1899">
        <v>2</v>
      </c>
      <c r="R1899">
        <v>62</v>
      </c>
      <c r="S1899">
        <v>11.674776478679505</v>
      </c>
      <c r="T1899">
        <v>0.89629629850387571</v>
      </c>
    </row>
    <row r="1900" spans="1:20" x14ac:dyDescent="0.25">
      <c r="A1900" t="s">
        <v>314</v>
      </c>
      <c r="B1900">
        <v>5</v>
      </c>
      <c r="C1900">
        <v>2</v>
      </c>
      <c r="D1900">
        <v>0</v>
      </c>
      <c r="E1900" t="s">
        <v>323</v>
      </c>
      <c r="F1900">
        <v>6053</v>
      </c>
      <c r="G1900">
        <v>12929892.8125</v>
      </c>
      <c r="H1900">
        <v>0.82500000856816769</v>
      </c>
      <c r="I1900">
        <v>0.73888888888888893</v>
      </c>
      <c r="J1900">
        <v>433086.8125</v>
      </c>
      <c r="K1900">
        <v>8869</v>
      </c>
      <c r="L1900">
        <v>2</v>
      </c>
      <c r="M1900">
        <v>62</v>
      </c>
      <c r="N1900">
        <v>0.65138888888888891</v>
      </c>
      <c r="O1900">
        <v>469805.5625</v>
      </c>
      <c r="P1900">
        <v>9138</v>
      </c>
      <c r="Q1900">
        <v>2</v>
      </c>
      <c r="R1900">
        <v>63</v>
      </c>
      <c r="S1900">
        <v>11.67590206185567</v>
      </c>
      <c r="T1900">
        <v>0.84938272237777712</v>
      </c>
    </row>
    <row r="1901" spans="1:20" x14ac:dyDescent="0.25">
      <c r="A1901" t="s">
        <v>314</v>
      </c>
      <c r="B1901">
        <v>5</v>
      </c>
      <c r="C1901">
        <v>2</v>
      </c>
      <c r="D1901">
        <v>0</v>
      </c>
      <c r="E1901" t="s">
        <v>329</v>
      </c>
      <c r="F1901">
        <v>6131</v>
      </c>
      <c r="G1901">
        <v>11363894.818181818</v>
      </c>
      <c r="H1901">
        <v>0.86666667461395264</v>
      </c>
      <c r="I1901">
        <v>0.67474747474747476</v>
      </c>
      <c r="J1901">
        <v>983201.36363636365</v>
      </c>
      <c r="K1901">
        <v>9138</v>
      </c>
      <c r="L1901">
        <v>2</v>
      </c>
      <c r="M1901">
        <v>63</v>
      </c>
      <c r="N1901">
        <v>0.70909090909090911</v>
      </c>
      <c r="O1901">
        <v>3834072</v>
      </c>
      <c r="P1901">
        <v>9411</v>
      </c>
      <c r="Q1901">
        <v>2</v>
      </c>
      <c r="R1901">
        <v>64</v>
      </c>
      <c r="S1901">
        <v>11.675797518354729</v>
      </c>
      <c r="T1901">
        <v>0.90000000596046448</v>
      </c>
    </row>
    <row r="1902" spans="1:20" x14ac:dyDescent="0.25">
      <c r="A1902" t="s">
        <v>314</v>
      </c>
      <c r="B1902">
        <v>5</v>
      </c>
      <c r="C1902">
        <v>2</v>
      </c>
      <c r="D1902">
        <v>0</v>
      </c>
      <c r="E1902" t="s">
        <v>336</v>
      </c>
      <c r="F1902">
        <v>6451</v>
      </c>
      <c r="G1902">
        <v>12226054.272727273</v>
      </c>
      <c r="H1902">
        <v>0.87272728031331848</v>
      </c>
      <c r="I1902">
        <v>0.70101010101010097</v>
      </c>
      <c r="J1902">
        <v>5135576.5454545459</v>
      </c>
      <c r="K1902">
        <v>9411</v>
      </c>
      <c r="L1902">
        <v>2</v>
      </c>
      <c r="M1902">
        <v>64</v>
      </c>
      <c r="N1902">
        <v>0.6646464646464646</v>
      </c>
      <c r="O1902">
        <v>2556695.8181818184</v>
      </c>
      <c r="P1902">
        <v>9688</v>
      </c>
      <c r="Q1902">
        <v>2</v>
      </c>
      <c r="R1902">
        <v>65</v>
      </c>
      <c r="S1902">
        <v>11.676079306497297</v>
      </c>
      <c r="T1902">
        <v>0.87407408356666561</v>
      </c>
    </row>
    <row r="1903" spans="1:20" x14ac:dyDescent="0.25">
      <c r="A1903" t="s">
        <v>314</v>
      </c>
      <c r="B1903">
        <v>5</v>
      </c>
      <c r="C1903">
        <v>2</v>
      </c>
      <c r="D1903">
        <v>0</v>
      </c>
      <c r="E1903" t="s">
        <v>330</v>
      </c>
      <c r="F1903">
        <v>6493</v>
      </c>
      <c r="G1903">
        <v>12140899.909090908</v>
      </c>
      <c r="H1903">
        <v>0.86262627081437548</v>
      </c>
      <c r="I1903">
        <v>0.71313131313131317</v>
      </c>
      <c r="J1903">
        <v>4338038.7272727275</v>
      </c>
      <c r="K1903">
        <v>9688</v>
      </c>
      <c r="L1903">
        <v>2</v>
      </c>
      <c r="M1903">
        <v>65</v>
      </c>
      <c r="N1903">
        <v>0.68282828282828278</v>
      </c>
      <c r="O1903">
        <v>4354562.7272727275</v>
      </c>
      <c r="P1903">
        <v>9969</v>
      </c>
      <c r="Q1903">
        <v>2</v>
      </c>
      <c r="R1903">
        <v>66</v>
      </c>
      <c r="S1903">
        <v>11.675974778020846</v>
      </c>
      <c r="T1903">
        <v>0.9</v>
      </c>
    </row>
    <row r="1904" spans="1:20" x14ac:dyDescent="0.25">
      <c r="A1904" t="s">
        <v>314</v>
      </c>
      <c r="B1904">
        <v>5</v>
      </c>
      <c r="C1904">
        <v>2</v>
      </c>
      <c r="D1904">
        <v>0</v>
      </c>
      <c r="E1904" t="s">
        <v>343</v>
      </c>
      <c r="F1904">
        <v>6691</v>
      </c>
      <c r="G1904">
        <v>11243836.5</v>
      </c>
      <c r="H1904">
        <v>0.90000000596046448</v>
      </c>
      <c r="I1904">
        <v>0.71111111111111114</v>
      </c>
      <c r="J1904">
        <v>3567550.8333333335</v>
      </c>
      <c r="K1904">
        <v>9969</v>
      </c>
      <c r="L1904">
        <v>2</v>
      </c>
      <c r="M1904">
        <v>66</v>
      </c>
      <c r="N1904">
        <v>0.72962962962962963</v>
      </c>
      <c r="O1904">
        <v>2528743.8333333335</v>
      </c>
      <c r="P1904">
        <v>10254</v>
      </c>
      <c r="Q1904">
        <v>2</v>
      </c>
      <c r="R1904">
        <v>67</v>
      </c>
      <c r="S1904">
        <v>11.675757965607444</v>
      </c>
      <c r="T1904">
        <v>0.92592592239379878</v>
      </c>
    </row>
    <row r="1905" spans="1:20" x14ac:dyDescent="0.25">
      <c r="A1905" t="s">
        <v>314</v>
      </c>
      <c r="B1905">
        <v>5</v>
      </c>
      <c r="C1905">
        <v>2</v>
      </c>
      <c r="D1905">
        <v>0</v>
      </c>
      <c r="E1905" t="s">
        <v>331</v>
      </c>
      <c r="F1905">
        <v>6855</v>
      </c>
      <c r="G1905">
        <v>13989495</v>
      </c>
      <c r="H1905">
        <v>0.78518519302209222</v>
      </c>
      <c r="I1905">
        <v>0.68888888888888888</v>
      </c>
      <c r="J1905">
        <v>4210565.833333333</v>
      </c>
      <c r="K1905">
        <v>10254</v>
      </c>
      <c r="L1905">
        <v>2</v>
      </c>
      <c r="M1905">
        <v>67</v>
      </c>
      <c r="N1905">
        <v>0.71851851851851856</v>
      </c>
      <c r="O1905">
        <v>2990654.3333333335</v>
      </c>
      <c r="P1905">
        <v>10543</v>
      </c>
      <c r="Q1905">
        <v>2</v>
      </c>
      <c r="R1905">
        <v>68</v>
      </c>
      <c r="S1905">
        <v>11.676184351554127</v>
      </c>
      <c r="T1905">
        <v>0.86666667461395264</v>
      </c>
    </row>
    <row r="1906" spans="1:20" x14ac:dyDescent="0.25">
      <c r="A1906" t="s">
        <v>314</v>
      </c>
      <c r="B1906">
        <v>5</v>
      </c>
      <c r="C1906">
        <v>2</v>
      </c>
      <c r="D1906">
        <v>0</v>
      </c>
      <c r="E1906" t="s">
        <v>344</v>
      </c>
      <c r="F1906">
        <v>7133</v>
      </c>
      <c r="G1906">
        <v>15338431.3125</v>
      </c>
      <c r="H1906">
        <v>0.80833334289491177</v>
      </c>
      <c r="I1906">
        <v>0.69166666666666665</v>
      </c>
      <c r="J1906">
        <v>3078285.125</v>
      </c>
      <c r="K1906">
        <v>10543</v>
      </c>
      <c r="L1906">
        <v>2</v>
      </c>
      <c r="M1906">
        <v>68</v>
      </c>
      <c r="N1906">
        <v>0.6791666666666667</v>
      </c>
      <c r="O1906">
        <v>2994864.0625</v>
      </c>
      <c r="P1906">
        <v>10836</v>
      </c>
      <c r="Q1906">
        <v>2</v>
      </c>
      <c r="R1906">
        <v>69</v>
      </c>
      <c r="S1906">
        <v>11.67820573240221</v>
      </c>
      <c r="T1906">
        <v>0.90864197810490921</v>
      </c>
    </row>
    <row r="1907" spans="1:20" x14ac:dyDescent="0.25">
      <c r="A1907" t="s">
        <v>314</v>
      </c>
      <c r="B1907">
        <v>5</v>
      </c>
      <c r="C1907">
        <v>2</v>
      </c>
      <c r="D1907">
        <v>0</v>
      </c>
      <c r="E1907" t="s">
        <v>337</v>
      </c>
      <c r="F1907">
        <v>7255</v>
      </c>
      <c r="G1907">
        <v>16501520.5</v>
      </c>
      <c r="H1907">
        <v>0.85925926764806115</v>
      </c>
      <c r="I1907">
        <v>0.67407407407407405</v>
      </c>
      <c r="J1907">
        <v>2545979.1666666665</v>
      </c>
      <c r="K1907">
        <v>10836</v>
      </c>
      <c r="L1907">
        <v>2</v>
      </c>
      <c r="M1907">
        <v>69</v>
      </c>
      <c r="N1907">
        <v>0.6518518518518519</v>
      </c>
      <c r="O1907">
        <v>4085213</v>
      </c>
      <c r="P1907">
        <v>11133</v>
      </c>
      <c r="Q1907">
        <v>2</v>
      </c>
      <c r="R1907">
        <v>70</v>
      </c>
      <c r="S1907">
        <v>11.679187904227524</v>
      </c>
      <c r="T1907">
        <v>0.85925927162170412</v>
      </c>
    </row>
    <row r="1908" spans="1:20" x14ac:dyDescent="0.25">
      <c r="A1908" t="s">
        <v>314</v>
      </c>
      <c r="B1908">
        <v>5</v>
      </c>
      <c r="C1908">
        <v>2</v>
      </c>
      <c r="D1908">
        <v>0</v>
      </c>
      <c r="E1908" t="s">
        <v>345</v>
      </c>
      <c r="F1908">
        <v>7575</v>
      </c>
      <c r="G1908">
        <v>15695082.090909092</v>
      </c>
      <c r="H1908">
        <v>0.8606060689145868</v>
      </c>
      <c r="I1908">
        <v>0.68282828282828278</v>
      </c>
      <c r="J1908">
        <v>4587365.1818181816</v>
      </c>
      <c r="K1908">
        <v>11133</v>
      </c>
      <c r="L1908">
        <v>2</v>
      </c>
      <c r="M1908">
        <v>70</v>
      </c>
      <c r="N1908">
        <v>0.7151515151515152</v>
      </c>
      <c r="O1908">
        <v>3570830.9090909092</v>
      </c>
      <c r="P1908">
        <v>11434</v>
      </c>
      <c r="Q1908">
        <v>2</v>
      </c>
      <c r="R1908">
        <v>71</v>
      </c>
      <c r="S1908">
        <v>11.680666152924053</v>
      </c>
      <c r="T1908">
        <v>0.87777779102325437</v>
      </c>
    </row>
    <row r="1909" spans="1:20" x14ac:dyDescent="0.25">
      <c r="A1909" t="s">
        <v>314</v>
      </c>
      <c r="B1909">
        <v>5</v>
      </c>
      <c r="C1909">
        <v>2</v>
      </c>
      <c r="D1909">
        <v>0</v>
      </c>
      <c r="E1909" t="s">
        <v>338</v>
      </c>
      <c r="F1909">
        <v>7657</v>
      </c>
      <c r="G1909">
        <v>13794569</v>
      </c>
      <c r="H1909">
        <v>0.82592593630154931</v>
      </c>
      <c r="I1909">
        <v>0.72222222222222221</v>
      </c>
      <c r="J1909">
        <v>5627543.5</v>
      </c>
      <c r="K1909">
        <v>11434</v>
      </c>
      <c r="L1909">
        <v>2</v>
      </c>
      <c r="M1909">
        <v>71</v>
      </c>
      <c r="N1909">
        <v>0.68148148148148147</v>
      </c>
      <c r="O1909">
        <v>4421055.5</v>
      </c>
      <c r="P1909">
        <v>11739</v>
      </c>
      <c r="Q1909">
        <v>2</v>
      </c>
      <c r="R1909">
        <v>72</v>
      </c>
      <c r="S1909">
        <v>11.680876562232495</v>
      </c>
      <c r="T1909">
        <v>0.87407407760620115</v>
      </c>
    </row>
    <row r="1910" spans="1:20" x14ac:dyDescent="0.25">
      <c r="A1910" t="s">
        <v>314</v>
      </c>
      <c r="B1910">
        <v>5</v>
      </c>
      <c r="C1910">
        <v>2</v>
      </c>
      <c r="D1910">
        <v>0</v>
      </c>
      <c r="E1910" t="s">
        <v>346</v>
      </c>
      <c r="F1910">
        <v>8017</v>
      </c>
      <c r="G1910">
        <v>12702188.636363637</v>
      </c>
      <c r="H1910">
        <v>0.8888888955116272</v>
      </c>
      <c r="I1910">
        <v>0.70101010101010097</v>
      </c>
      <c r="J1910">
        <v>4802884.9090909092</v>
      </c>
      <c r="K1910">
        <v>11739</v>
      </c>
      <c r="L1910">
        <v>2</v>
      </c>
      <c r="M1910">
        <v>72</v>
      </c>
      <c r="N1910">
        <v>0.66868686868686866</v>
      </c>
      <c r="O1910">
        <v>3380303.6363636362</v>
      </c>
      <c r="P1910">
        <v>12048</v>
      </c>
      <c r="Q1910">
        <v>2</v>
      </c>
      <c r="R1910">
        <v>73</v>
      </c>
      <c r="S1910">
        <v>11.68068449197861</v>
      </c>
      <c r="T1910">
        <v>0.86666667461395264</v>
      </c>
    </row>
    <row r="1911" spans="1:20" x14ac:dyDescent="0.25">
      <c r="A1911" t="s">
        <v>314</v>
      </c>
      <c r="B1911">
        <v>5</v>
      </c>
      <c r="C1911">
        <v>2</v>
      </c>
      <c r="D1911">
        <v>0</v>
      </c>
      <c r="E1911" t="s">
        <v>347</v>
      </c>
      <c r="F1911">
        <v>8459</v>
      </c>
      <c r="G1911">
        <v>18658079.5</v>
      </c>
      <c r="H1911">
        <v>0.90000000596046448</v>
      </c>
      <c r="I1911">
        <v>0.65555555555555556</v>
      </c>
      <c r="J1911">
        <v>3438146.1666666665</v>
      </c>
      <c r="K1911">
        <v>12361</v>
      </c>
      <c r="L1911">
        <v>2</v>
      </c>
      <c r="M1911">
        <v>74</v>
      </c>
      <c r="N1911">
        <v>0.72962962962962963</v>
      </c>
      <c r="O1911">
        <v>2022575.5</v>
      </c>
      <c r="P1911">
        <v>12678</v>
      </c>
      <c r="Q1911">
        <v>2</v>
      </c>
      <c r="R1911">
        <v>75</v>
      </c>
      <c r="S1911">
        <v>11.682006757623711</v>
      </c>
      <c r="T1911">
        <v>0.8888888955116272</v>
      </c>
    </row>
    <row r="1912" spans="1:20" x14ac:dyDescent="0.25">
      <c r="A1912" t="s">
        <v>314</v>
      </c>
      <c r="B1912">
        <v>5</v>
      </c>
      <c r="C1912">
        <v>2</v>
      </c>
      <c r="D1912">
        <v>0</v>
      </c>
      <c r="E1912" t="s">
        <v>354</v>
      </c>
      <c r="F1912">
        <v>8779</v>
      </c>
      <c r="G1912">
        <v>16069155.363636363</v>
      </c>
      <c r="H1912">
        <v>0.88282828981226136</v>
      </c>
      <c r="I1912">
        <v>0.6767676767676768</v>
      </c>
      <c r="J1912">
        <v>4470419.5454545459</v>
      </c>
      <c r="K1912">
        <v>12999</v>
      </c>
      <c r="L1912">
        <v>2</v>
      </c>
      <c r="M1912">
        <v>76</v>
      </c>
      <c r="N1912">
        <v>0.70303030303030301</v>
      </c>
      <c r="O1912">
        <v>2944736.8181818184</v>
      </c>
      <c r="P1912">
        <v>13324</v>
      </c>
      <c r="Q1912">
        <v>2</v>
      </c>
      <c r="R1912">
        <v>77</v>
      </c>
      <c r="S1912">
        <v>11.683011285909712</v>
      </c>
      <c r="T1912">
        <v>0.88518518805503843</v>
      </c>
    </row>
    <row r="1913" spans="1:20" x14ac:dyDescent="0.25">
      <c r="A1913" t="s">
        <v>314</v>
      </c>
      <c r="B1913">
        <v>5</v>
      </c>
      <c r="C1913">
        <v>2</v>
      </c>
      <c r="D1913">
        <v>0</v>
      </c>
      <c r="E1913" t="s">
        <v>355</v>
      </c>
      <c r="F1913">
        <v>9261</v>
      </c>
      <c r="G1913">
        <v>19342046.166666668</v>
      </c>
      <c r="H1913">
        <v>0.8888888955116272</v>
      </c>
      <c r="I1913">
        <v>0.67777777777777781</v>
      </c>
      <c r="J1913">
        <v>2883992.5</v>
      </c>
      <c r="K1913">
        <v>13653</v>
      </c>
      <c r="L1913">
        <v>2</v>
      </c>
      <c r="M1913">
        <v>78</v>
      </c>
      <c r="N1913">
        <v>0.71481481481481479</v>
      </c>
      <c r="O1913">
        <v>3219220.8333333335</v>
      </c>
      <c r="P1913">
        <v>13986</v>
      </c>
      <c r="Q1913">
        <v>2</v>
      </c>
      <c r="R1913">
        <v>79</v>
      </c>
      <c r="S1913">
        <v>11.684032823318232</v>
      </c>
      <c r="T1913">
        <v>0.94814814329147334</v>
      </c>
    </row>
    <row r="1914" spans="1:20" x14ac:dyDescent="0.25">
      <c r="A1914" t="s">
        <v>314</v>
      </c>
      <c r="B1914">
        <v>5</v>
      </c>
      <c r="C1914">
        <v>3</v>
      </c>
      <c r="D1914">
        <v>0</v>
      </c>
      <c r="E1914" t="s">
        <v>360</v>
      </c>
      <c r="F1914">
        <v>1596</v>
      </c>
      <c r="G1914">
        <v>13336348.333333334</v>
      </c>
      <c r="H1914">
        <v>0.89259259899457299</v>
      </c>
      <c r="I1914">
        <v>0.67777777777777781</v>
      </c>
      <c r="J1914">
        <v>3425590.5</v>
      </c>
      <c r="K1914">
        <v>2514</v>
      </c>
      <c r="L1914">
        <v>2</v>
      </c>
      <c r="M1914">
        <v>31</v>
      </c>
      <c r="N1914">
        <v>0.70370370370370372</v>
      </c>
      <c r="O1914">
        <v>2429794.3333333335</v>
      </c>
      <c r="P1914">
        <v>2659</v>
      </c>
      <c r="Q1914">
        <v>2</v>
      </c>
      <c r="R1914">
        <v>32</v>
      </c>
      <c r="S1914">
        <v>11.684028371218595</v>
      </c>
      <c r="T1914">
        <v>0.89629629850387571</v>
      </c>
    </row>
    <row r="1915" spans="1:20" x14ac:dyDescent="0.25">
      <c r="A1915" t="s">
        <v>314</v>
      </c>
      <c r="B1915">
        <v>5</v>
      </c>
      <c r="C1915">
        <v>3</v>
      </c>
      <c r="D1915">
        <v>0</v>
      </c>
      <c r="E1915" t="s">
        <v>315</v>
      </c>
      <c r="F1915">
        <v>1950</v>
      </c>
      <c r="G1915">
        <v>2899510.6666666665</v>
      </c>
      <c r="H1915">
        <v>0.91851852337519324</v>
      </c>
      <c r="I1915">
        <v>0.70740740740740737</v>
      </c>
      <c r="J1915">
        <v>282072.83333333331</v>
      </c>
      <c r="K1915">
        <v>3118</v>
      </c>
      <c r="L1915">
        <v>2</v>
      </c>
      <c r="M1915">
        <v>35</v>
      </c>
      <c r="N1915">
        <v>0.78888888888888886</v>
      </c>
      <c r="O1915">
        <v>249700.83333333334</v>
      </c>
      <c r="P1915">
        <v>3279</v>
      </c>
      <c r="Q1915">
        <v>2</v>
      </c>
      <c r="R1915">
        <v>36</v>
      </c>
      <c r="S1915">
        <v>11.683212302434857</v>
      </c>
      <c r="T1915">
        <v>0.95555555820465088</v>
      </c>
    </row>
    <row r="1916" spans="1:20" x14ac:dyDescent="0.25">
      <c r="A1916" t="s">
        <v>314</v>
      </c>
      <c r="B1916">
        <v>5</v>
      </c>
      <c r="C1916">
        <v>3</v>
      </c>
      <c r="D1916">
        <v>0</v>
      </c>
      <c r="E1916" t="s">
        <v>324</v>
      </c>
      <c r="F1916">
        <v>2304</v>
      </c>
      <c r="G1916">
        <v>3296987</v>
      </c>
      <c r="H1916">
        <v>0.92962963382403052</v>
      </c>
      <c r="I1916">
        <v>0.66666666666666663</v>
      </c>
      <c r="J1916">
        <v>274742.83333333331</v>
      </c>
      <c r="K1916">
        <v>3613</v>
      </c>
      <c r="L1916">
        <v>2</v>
      </c>
      <c r="M1916">
        <v>38</v>
      </c>
      <c r="N1916">
        <v>0.68888888888888888</v>
      </c>
      <c r="O1916">
        <v>284896.16666666669</v>
      </c>
      <c r="P1916">
        <v>3786</v>
      </c>
      <c r="Q1916">
        <v>2</v>
      </c>
      <c r="R1916">
        <v>39</v>
      </c>
      <c r="S1916">
        <v>11.682353946019816</v>
      </c>
      <c r="T1916">
        <v>0.91851851940155027</v>
      </c>
    </row>
    <row r="1917" spans="1:20" x14ac:dyDescent="0.25">
      <c r="A1917" t="s">
        <v>314</v>
      </c>
      <c r="B1917">
        <v>5</v>
      </c>
      <c r="C1917">
        <v>3</v>
      </c>
      <c r="D1917">
        <v>0</v>
      </c>
      <c r="E1917" t="s">
        <v>332</v>
      </c>
      <c r="F1917">
        <v>2658</v>
      </c>
      <c r="G1917">
        <v>4622116.333333333</v>
      </c>
      <c r="H1917">
        <v>0.91111111640930176</v>
      </c>
      <c r="I1917">
        <v>0.64074074074074072</v>
      </c>
      <c r="J1917">
        <v>297731.16666666669</v>
      </c>
      <c r="K1917">
        <v>4329</v>
      </c>
      <c r="L1917">
        <v>2</v>
      </c>
      <c r="M1917">
        <v>42</v>
      </c>
      <c r="N1917">
        <v>0.7</v>
      </c>
      <c r="O1917">
        <v>326391</v>
      </c>
      <c r="P1917">
        <v>4518</v>
      </c>
      <c r="Q1917">
        <v>2</v>
      </c>
      <c r="R1917">
        <v>43</v>
      </c>
      <c r="S1917">
        <v>11.681538724276322</v>
      </c>
      <c r="T1917">
        <v>0.99259259700775149</v>
      </c>
    </row>
    <row r="1918" spans="1:20" x14ac:dyDescent="0.25">
      <c r="A1918" t="s">
        <v>314</v>
      </c>
      <c r="B1918">
        <v>5</v>
      </c>
      <c r="C1918">
        <v>3</v>
      </c>
      <c r="D1918">
        <v>0</v>
      </c>
      <c r="E1918" t="s">
        <v>339</v>
      </c>
      <c r="F1918">
        <v>3012</v>
      </c>
      <c r="G1918">
        <v>4653155.5</v>
      </c>
      <c r="H1918">
        <v>0.91111111640930176</v>
      </c>
      <c r="I1918">
        <v>0.62222222222222223</v>
      </c>
      <c r="J1918">
        <v>303288</v>
      </c>
      <c r="K1918">
        <v>4908</v>
      </c>
      <c r="L1918">
        <v>2</v>
      </c>
      <c r="M1918">
        <v>45</v>
      </c>
      <c r="N1918">
        <v>0.72962962962962963</v>
      </c>
      <c r="O1918">
        <v>280751.5</v>
      </c>
      <c r="P1918">
        <v>5109</v>
      </c>
      <c r="Q1918">
        <v>2</v>
      </c>
      <c r="R1918">
        <v>46</v>
      </c>
      <c r="S1918">
        <v>11.680980023903022</v>
      </c>
      <c r="T1918">
        <v>0.96296297311782841</v>
      </c>
    </row>
    <row r="1919" spans="1:20" x14ac:dyDescent="0.25">
      <c r="A1919" t="s">
        <v>314</v>
      </c>
      <c r="B1919">
        <v>5</v>
      </c>
      <c r="C1919">
        <v>3</v>
      </c>
      <c r="D1919">
        <v>0</v>
      </c>
      <c r="E1919" t="s">
        <v>348</v>
      </c>
      <c r="F1919">
        <v>3366</v>
      </c>
      <c r="G1919">
        <v>8332058.666666667</v>
      </c>
      <c r="H1919">
        <v>0.85555556416511536</v>
      </c>
      <c r="I1919">
        <v>0.67777777777777781</v>
      </c>
      <c r="J1919">
        <v>337451.33333333331</v>
      </c>
      <c r="K1919">
        <v>5314</v>
      </c>
      <c r="L1919">
        <v>2</v>
      </c>
      <c r="M1919">
        <v>47</v>
      </c>
      <c r="N1919">
        <v>0.64444444444444438</v>
      </c>
      <c r="O1919">
        <v>315241.33333333331</v>
      </c>
      <c r="P1919">
        <v>5523</v>
      </c>
      <c r="Q1919">
        <v>2</v>
      </c>
      <c r="R1919">
        <v>48</v>
      </c>
      <c r="S1919">
        <v>11.681019032175472</v>
      </c>
      <c r="T1919">
        <v>0.88148149251937868</v>
      </c>
    </row>
    <row r="1920" spans="1:20" x14ac:dyDescent="0.25">
      <c r="A1920" t="s">
        <v>314</v>
      </c>
      <c r="B1920">
        <v>5</v>
      </c>
      <c r="C1920">
        <v>3</v>
      </c>
      <c r="D1920">
        <v>0</v>
      </c>
      <c r="E1920" t="s">
        <v>356</v>
      </c>
      <c r="F1920">
        <v>3720</v>
      </c>
      <c r="G1920">
        <v>6885708.666666667</v>
      </c>
      <c r="H1920">
        <v>0.829629639784495</v>
      </c>
      <c r="I1920">
        <v>0.73333333333333339</v>
      </c>
      <c r="J1920">
        <v>347774</v>
      </c>
      <c r="K1920">
        <v>5953</v>
      </c>
      <c r="L1920">
        <v>2</v>
      </c>
      <c r="M1920">
        <v>50</v>
      </c>
      <c r="N1920">
        <v>0.71111111111111114</v>
      </c>
      <c r="O1920">
        <v>335243</v>
      </c>
      <c r="P1920">
        <v>6174</v>
      </c>
      <c r="Q1920">
        <v>2</v>
      </c>
      <c r="R1920">
        <v>51</v>
      </c>
      <c r="S1920">
        <v>11.680674061433447</v>
      </c>
      <c r="T1920">
        <v>0.91851851940155027</v>
      </c>
    </row>
    <row r="1921" spans="1:20" x14ac:dyDescent="0.25">
      <c r="A1921" t="s">
        <v>314</v>
      </c>
      <c r="B1921">
        <v>5</v>
      </c>
      <c r="C1921">
        <v>3</v>
      </c>
      <c r="D1921">
        <v>0</v>
      </c>
      <c r="E1921" t="s">
        <v>357</v>
      </c>
      <c r="F1921">
        <v>4074</v>
      </c>
      <c r="G1921">
        <v>3471762.8333333335</v>
      </c>
      <c r="H1921">
        <v>0.9481481512387594</v>
      </c>
      <c r="I1921">
        <v>0.70740740740740737</v>
      </c>
      <c r="J1921">
        <v>368897.33333333331</v>
      </c>
      <c r="K1921">
        <v>6628</v>
      </c>
      <c r="L1921">
        <v>2</v>
      </c>
      <c r="M1921">
        <v>53</v>
      </c>
      <c r="N1921">
        <v>0.73333333333333339</v>
      </c>
      <c r="O1921">
        <v>323798</v>
      </c>
      <c r="P1921">
        <v>6861</v>
      </c>
      <c r="Q1921">
        <v>2</v>
      </c>
      <c r="R1921">
        <v>54</v>
      </c>
      <c r="S1921">
        <v>11.679945406465922</v>
      </c>
      <c r="T1921">
        <v>0.94814815521240237</v>
      </c>
    </row>
    <row r="1922" spans="1:20" x14ac:dyDescent="0.25">
      <c r="A1922" t="s">
        <v>314</v>
      </c>
      <c r="B1922">
        <v>5</v>
      </c>
      <c r="C1922">
        <v>3</v>
      </c>
      <c r="D1922">
        <v>0</v>
      </c>
      <c r="E1922" t="s">
        <v>358</v>
      </c>
      <c r="F1922">
        <v>4428</v>
      </c>
      <c r="G1922">
        <v>7357364.8181818184</v>
      </c>
      <c r="H1922">
        <v>0.85858586701479822</v>
      </c>
      <c r="I1922">
        <v>0.70101010101010097</v>
      </c>
      <c r="J1922">
        <v>390446</v>
      </c>
      <c r="K1922">
        <v>7098</v>
      </c>
      <c r="L1922">
        <v>2</v>
      </c>
      <c r="M1922">
        <v>55</v>
      </c>
      <c r="N1922">
        <v>0.71515151515151509</v>
      </c>
      <c r="O1922">
        <v>339488.81818181818</v>
      </c>
      <c r="P1922">
        <v>7339</v>
      </c>
      <c r="Q1922">
        <v>2</v>
      </c>
      <c r="R1922">
        <v>56</v>
      </c>
      <c r="S1922">
        <v>11.679114976339685</v>
      </c>
      <c r="T1922">
        <v>0.91851852536201473</v>
      </c>
    </row>
    <row r="1923" spans="1:20" x14ac:dyDescent="0.25">
      <c r="A1923" t="s">
        <v>314</v>
      </c>
      <c r="B1923">
        <v>5</v>
      </c>
      <c r="C1923">
        <v>3</v>
      </c>
      <c r="D1923">
        <v>0</v>
      </c>
      <c r="E1923" t="s">
        <v>317</v>
      </c>
      <c r="F1923">
        <v>4530</v>
      </c>
      <c r="G1923">
        <v>7322194.666666667</v>
      </c>
      <c r="H1923">
        <v>0.86666667461395264</v>
      </c>
      <c r="I1923">
        <v>0.65555555555555556</v>
      </c>
      <c r="J1923">
        <v>396413.66666666669</v>
      </c>
      <c r="K1923">
        <v>7339</v>
      </c>
      <c r="L1923">
        <v>2</v>
      </c>
      <c r="M1923">
        <v>56</v>
      </c>
      <c r="N1923">
        <v>0.78518518518518521</v>
      </c>
      <c r="O1923">
        <v>386370.5</v>
      </c>
      <c r="P1923">
        <v>7584</v>
      </c>
      <c r="Q1923">
        <v>2</v>
      </c>
      <c r="R1923">
        <v>57</v>
      </c>
      <c r="S1923">
        <v>11.678515108894855</v>
      </c>
      <c r="T1923">
        <v>0.92592593431472781</v>
      </c>
    </row>
    <row r="1924" spans="1:20" x14ac:dyDescent="0.25">
      <c r="A1924" t="s">
        <v>314</v>
      </c>
      <c r="B1924">
        <v>5</v>
      </c>
      <c r="C1924">
        <v>3</v>
      </c>
      <c r="D1924">
        <v>0</v>
      </c>
      <c r="E1924" t="s">
        <v>359</v>
      </c>
      <c r="F1924">
        <v>4782</v>
      </c>
      <c r="G1924">
        <v>10469488.833333334</v>
      </c>
      <c r="H1924">
        <v>0.78888890147209167</v>
      </c>
      <c r="I1924">
        <v>0.70000000000000007</v>
      </c>
      <c r="J1924">
        <v>393560.83333333331</v>
      </c>
      <c r="K1924">
        <v>7584</v>
      </c>
      <c r="L1924">
        <v>2</v>
      </c>
      <c r="M1924">
        <v>57</v>
      </c>
      <c r="N1924">
        <v>0.64814814814814814</v>
      </c>
      <c r="O1924">
        <v>404288</v>
      </c>
      <c r="P1924">
        <v>7833</v>
      </c>
      <c r="Q1924">
        <v>2</v>
      </c>
      <c r="R1924">
        <v>58</v>
      </c>
      <c r="S1924">
        <v>11.678171204567727</v>
      </c>
      <c r="T1924">
        <v>0.87407408952713017</v>
      </c>
    </row>
    <row r="1925" spans="1:20" x14ac:dyDescent="0.25">
      <c r="A1925" t="s">
        <v>314</v>
      </c>
      <c r="B1925">
        <v>5</v>
      </c>
      <c r="C1925">
        <v>3</v>
      </c>
      <c r="D1925">
        <v>0</v>
      </c>
      <c r="E1925" t="s">
        <v>318</v>
      </c>
      <c r="F1925">
        <v>4884</v>
      </c>
      <c r="G1925">
        <v>9813565.5454545449</v>
      </c>
      <c r="H1925">
        <v>0.77777778560465027</v>
      </c>
      <c r="I1925">
        <v>0.69494949494949498</v>
      </c>
      <c r="J1925">
        <v>419746.18181818182</v>
      </c>
      <c r="K1925">
        <v>7833</v>
      </c>
      <c r="L1925">
        <v>2</v>
      </c>
      <c r="M1925">
        <v>58</v>
      </c>
      <c r="N1925">
        <v>0.65252525252525251</v>
      </c>
      <c r="O1925">
        <v>407051</v>
      </c>
      <c r="P1925">
        <v>8086</v>
      </c>
      <c r="Q1925">
        <v>2</v>
      </c>
      <c r="R1925">
        <v>59</v>
      </c>
      <c r="S1925">
        <v>11.677896081771721</v>
      </c>
      <c r="T1925">
        <v>0.87037037611007695</v>
      </c>
    </row>
    <row r="1926" spans="1:20" x14ac:dyDescent="0.25">
      <c r="A1926" t="s">
        <v>314</v>
      </c>
      <c r="B1926">
        <v>5</v>
      </c>
      <c r="C1926">
        <v>3</v>
      </c>
      <c r="D1926">
        <v>0</v>
      </c>
      <c r="E1926" t="s">
        <v>319</v>
      </c>
      <c r="F1926">
        <v>5238</v>
      </c>
      <c r="G1926">
        <v>12972080.833333334</v>
      </c>
      <c r="H1926">
        <v>0.70740741491317749</v>
      </c>
      <c r="I1926">
        <v>0.67777777777777781</v>
      </c>
      <c r="J1926">
        <v>393959.16666666669</v>
      </c>
      <c r="K1926">
        <v>8343</v>
      </c>
      <c r="L1926">
        <v>2</v>
      </c>
      <c r="M1926">
        <v>60</v>
      </c>
      <c r="N1926">
        <v>0.70000000000000007</v>
      </c>
      <c r="O1926">
        <v>373730.5</v>
      </c>
      <c r="P1926">
        <v>8604</v>
      </c>
      <c r="Q1926">
        <v>2</v>
      </c>
      <c r="R1926">
        <v>61</v>
      </c>
      <c r="S1926">
        <v>11.677935791535383</v>
      </c>
      <c r="T1926">
        <v>0.79259259700775142</v>
      </c>
    </row>
    <row r="1927" spans="1:20" x14ac:dyDescent="0.25">
      <c r="A1927" t="s">
        <v>314</v>
      </c>
      <c r="B1927">
        <v>5</v>
      </c>
      <c r="C1927">
        <v>3</v>
      </c>
      <c r="D1927">
        <v>0</v>
      </c>
      <c r="E1927" t="s">
        <v>333</v>
      </c>
      <c r="F1927">
        <v>5324</v>
      </c>
      <c r="G1927">
        <v>11148102.454545455</v>
      </c>
      <c r="H1927">
        <v>0.80000000921162695</v>
      </c>
      <c r="I1927">
        <v>0.74141414141414141</v>
      </c>
      <c r="J1927">
        <v>419175.36363636365</v>
      </c>
      <c r="K1927">
        <v>8604</v>
      </c>
      <c r="L1927">
        <v>2</v>
      </c>
      <c r="M1927">
        <v>61</v>
      </c>
      <c r="N1927">
        <v>0.66262626262626267</v>
      </c>
      <c r="O1927">
        <v>421051.90909090912</v>
      </c>
      <c r="P1927">
        <v>8869</v>
      </c>
      <c r="Q1927">
        <v>2</v>
      </c>
      <c r="R1927">
        <v>62</v>
      </c>
      <c r="S1927">
        <v>11.677150274503129</v>
      </c>
      <c r="T1927">
        <v>0.85185185670852659</v>
      </c>
    </row>
    <row r="1928" spans="1:20" x14ac:dyDescent="0.25">
      <c r="A1928" t="s">
        <v>314</v>
      </c>
      <c r="B1928">
        <v>5</v>
      </c>
      <c r="C1928">
        <v>3</v>
      </c>
      <c r="D1928">
        <v>0</v>
      </c>
      <c r="E1928" t="s">
        <v>320</v>
      </c>
      <c r="F1928">
        <v>5592</v>
      </c>
      <c r="G1928">
        <v>11676720.666666666</v>
      </c>
      <c r="H1928">
        <v>0.71111112833023071</v>
      </c>
      <c r="I1928">
        <v>0.68518518518518523</v>
      </c>
      <c r="J1928">
        <v>440231.5</v>
      </c>
      <c r="K1928">
        <v>8869</v>
      </c>
      <c r="L1928">
        <v>2</v>
      </c>
      <c r="M1928">
        <v>62</v>
      </c>
      <c r="N1928">
        <v>0.68518518518518523</v>
      </c>
      <c r="O1928">
        <v>935945</v>
      </c>
      <c r="P1928">
        <v>9138</v>
      </c>
      <c r="Q1928">
        <v>2</v>
      </c>
      <c r="R1928">
        <v>63</v>
      </c>
      <c r="S1928">
        <v>11.676807216100073</v>
      </c>
      <c r="T1928">
        <v>0.87407408952713017</v>
      </c>
    </row>
    <row r="1929" spans="1:20" x14ac:dyDescent="0.25">
      <c r="A1929" t="s">
        <v>314</v>
      </c>
      <c r="B1929">
        <v>5</v>
      </c>
      <c r="C1929">
        <v>3</v>
      </c>
      <c r="D1929">
        <v>0</v>
      </c>
      <c r="E1929" t="s">
        <v>334</v>
      </c>
      <c r="F1929">
        <v>5766</v>
      </c>
      <c r="G1929">
        <v>11751779.545454545</v>
      </c>
      <c r="H1929">
        <v>0.73939394950866699</v>
      </c>
      <c r="I1929">
        <v>0.65454545454545454</v>
      </c>
      <c r="J1929">
        <v>611860.18181818177</v>
      </c>
      <c r="K1929">
        <v>9411</v>
      </c>
      <c r="L1929">
        <v>2</v>
      </c>
      <c r="M1929">
        <v>64</v>
      </c>
      <c r="N1929">
        <v>0.65454545454545454</v>
      </c>
      <c r="O1929">
        <v>3355844.5454545454</v>
      </c>
      <c r="P1929">
        <v>9688</v>
      </c>
      <c r="Q1929">
        <v>2</v>
      </c>
      <c r="R1929">
        <v>65</v>
      </c>
      <c r="S1929">
        <v>11.676235434209406</v>
      </c>
      <c r="T1929">
        <v>0.79259259700775142</v>
      </c>
    </row>
    <row r="1930" spans="1:20" x14ac:dyDescent="0.25">
      <c r="A1930" t="s">
        <v>314</v>
      </c>
      <c r="B1930">
        <v>5</v>
      </c>
      <c r="C1930">
        <v>3</v>
      </c>
      <c r="D1930">
        <v>0</v>
      </c>
      <c r="E1930" t="s">
        <v>321</v>
      </c>
      <c r="F1930">
        <v>5946</v>
      </c>
      <c r="G1930">
        <v>15759976.181818182</v>
      </c>
      <c r="H1930">
        <v>0.78181819482283155</v>
      </c>
      <c r="I1930">
        <v>0.70505050505050504</v>
      </c>
      <c r="J1930">
        <v>2578112.2727272729</v>
      </c>
      <c r="K1930">
        <v>9688</v>
      </c>
      <c r="L1930">
        <v>2</v>
      </c>
      <c r="M1930">
        <v>65</v>
      </c>
      <c r="N1930">
        <v>0.67272727272727273</v>
      </c>
      <c r="O1930">
        <v>2833212.1818181816</v>
      </c>
      <c r="P1930">
        <v>9969</v>
      </c>
      <c r="Q1930">
        <v>2</v>
      </c>
      <c r="R1930">
        <v>66</v>
      </c>
      <c r="S1930">
        <v>11.677194473963867</v>
      </c>
      <c r="T1930">
        <v>0.85185184478759768</v>
      </c>
    </row>
    <row r="1931" spans="1:20" x14ac:dyDescent="0.25">
      <c r="A1931" t="s">
        <v>314</v>
      </c>
      <c r="B1931">
        <v>5</v>
      </c>
      <c r="C1931">
        <v>3</v>
      </c>
      <c r="D1931">
        <v>0</v>
      </c>
      <c r="E1931" t="s">
        <v>335</v>
      </c>
      <c r="F1931">
        <v>6208</v>
      </c>
      <c r="G1931">
        <v>10527564.727272727</v>
      </c>
      <c r="H1931">
        <v>0.82424243471839209</v>
      </c>
      <c r="I1931">
        <v>0.72121212121212119</v>
      </c>
      <c r="J1931">
        <v>4827031.7272727275</v>
      </c>
      <c r="K1931">
        <v>9969</v>
      </c>
      <c r="L1931">
        <v>2</v>
      </c>
      <c r="M1931">
        <v>66</v>
      </c>
      <c r="N1931">
        <v>0.68080808080808086</v>
      </c>
      <c r="O1931">
        <v>1965738.9090909092</v>
      </c>
      <c r="P1931">
        <v>10254</v>
      </c>
      <c r="Q1931">
        <v>2</v>
      </c>
      <c r="R1931">
        <v>67</v>
      </c>
      <c r="S1931">
        <v>11.675900747790619</v>
      </c>
      <c r="T1931">
        <v>0.84814814925193782</v>
      </c>
    </row>
    <row r="1932" spans="1:20" x14ac:dyDescent="0.25">
      <c r="A1932" t="s">
        <v>314</v>
      </c>
      <c r="B1932">
        <v>5</v>
      </c>
      <c r="C1932">
        <v>3</v>
      </c>
      <c r="D1932">
        <v>0</v>
      </c>
      <c r="E1932" t="s">
        <v>322</v>
      </c>
      <c r="F1932">
        <v>6300</v>
      </c>
      <c r="G1932">
        <v>13564523.166666666</v>
      </c>
      <c r="H1932">
        <v>0.7925925999879837</v>
      </c>
      <c r="I1932">
        <v>0.70370370370370372</v>
      </c>
      <c r="J1932">
        <v>4975378.666666667</v>
      </c>
      <c r="K1932">
        <v>10254</v>
      </c>
      <c r="L1932">
        <v>2</v>
      </c>
      <c r="M1932">
        <v>67</v>
      </c>
      <c r="N1932">
        <v>0.69259259259259265</v>
      </c>
      <c r="O1932">
        <v>3603179</v>
      </c>
      <c r="P1932">
        <v>10543</v>
      </c>
      <c r="Q1932">
        <v>2</v>
      </c>
      <c r="R1932">
        <v>68</v>
      </c>
      <c r="S1932">
        <v>11.675898394359018</v>
      </c>
      <c r="T1932">
        <v>0.77777777910232548</v>
      </c>
    </row>
    <row r="1933" spans="1:20" x14ac:dyDescent="0.25">
      <c r="A1933" t="s">
        <v>314</v>
      </c>
      <c r="B1933">
        <v>5</v>
      </c>
      <c r="C1933">
        <v>3</v>
      </c>
      <c r="D1933">
        <v>0</v>
      </c>
      <c r="E1933" t="s">
        <v>349</v>
      </c>
      <c r="F1933">
        <v>6472</v>
      </c>
      <c r="G1933">
        <v>13142249.1875</v>
      </c>
      <c r="H1933">
        <v>0.81388889811933041</v>
      </c>
      <c r="I1933">
        <v>0.7</v>
      </c>
      <c r="J1933">
        <v>4010121.625</v>
      </c>
      <c r="K1933">
        <v>10543</v>
      </c>
      <c r="L1933">
        <v>2</v>
      </c>
      <c r="M1933">
        <v>68</v>
      </c>
      <c r="N1933">
        <v>0.66805555555555551</v>
      </c>
      <c r="O1933">
        <v>2580663.6875</v>
      </c>
      <c r="P1933">
        <v>10836</v>
      </c>
      <c r="Q1933">
        <v>2</v>
      </c>
      <c r="R1933">
        <v>69</v>
      </c>
      <c r="S1933">
        <v>11.675481789625605</v>
      </c>
      <c r="T1933">
        <v>0.8666666666666667</v>
      </c>
    </row>
    <row r="1934" spans="1:20" x14ac:dyDescent="0.25">
      <c r="A1934" t="s">
        <v>314</v>
      </c>
      <c r="B1934">
        <v>5</v>
      </c>
      <c r="C1934">
        <v>3</v>
      </c>
      <c r="D1934">
        <v>0</v>
      </c>
      <c r="E1934" t="s">
        <v>323</v>
      </c>
      <c r="F1934">
        <v>6654</v>
      </c>
      <c r="G1934">
        <v>14584544.166666666</v>
      </c>
      <c r="H1934">
        <v>0.78888890147209167</v>
      </c>
      <c r="I1934">
        <v>0.67037037037037039</v>
      </c>
      <c r="J1934">
        <v>6123721.166666667</v>
      </c>
      <c r="K1934">
        <v>10836</v>
      </c>
      <c r="L1934">
        <v>2</v>
      </c>
      <c r="M1934">
        <v>69</v>
      </c>
      <c r="N1934">
        <v>0.69259259259259254</v>
      </c>
      <c r="O1934">
        <v>2731682</v>
      </c>
      <c r="P1934">
        <v>11133</v>
      </c>
      <c r="Q1934">
        <v>2</v>
      </c>
      <c r="R1934">
        <v>70</v>
      </c>
      <c r="S1934">
        <v>11.675691733152266</v>
      </c>
      <c r="T1934">
        <v>0.8962962865829468</v>
      </c>
    </row>
    <row r="1935" spans="1:20" x14ac:dyDescent="0.25">
      <c r="A1935" t="s">
        <v>314</v>
      </c>
      <c r="B1935">
        <v>5</v>
      </c>
      <c r="C1935">
        <v>3</v>
      </c>
      <c r="D1935">
        <v>0</v>
      </c>
      <c r="E1935" t="s">
        <v>342</v>
      </c>
      <c r="F1935">
        <v>6870</v>
      </c>
      <c r="G1935">
        <v>12944009.875</v>
      </c>
      <c r="H1935">
        <v>0.80972223356366158</v>
      </c>
      <c r="I1935">
        <v>0.65694444444444444</v>
      </c>
      <c r="J1935">
        <v>4448474.6875</v>
      </c>
      <c r="K1935">
        <v>11133</v>
      </c>
      <c r="L1935">
        <v>2</v>
      </c>
      <c r="M1935">
        <v>70</v>
      </c>
      <c r="N1935">
        <v>0.70833333333333337</v>
      </c>
      <c r="O1935">
        <v>2284931.75</v>
      </c>
      <c r="P1935">
        <v>11434</v>
      </c>
      <c r="Q1935">
        <v>2</v>
      </c>
      <c r="R1935">
        <v>71</v>
      </c>
      <c r="S1935">
        <v>11.674978795589483</v>
      </c>
      <c r="T1935">
        <v>0.88888889153798423</v>
      </c>
    </row>
    <row r="1936" spans="1:20" x14ac:dyDescent="0.25">
      <c r="A1936" t="s">
        <v>314</v>
      </c>
      <c r="B1936">
        <v>5</v>
      </c>
      <c r="C1936">
        <v>3</v>
      </c>
      <c r="D1936">
        <v>0</v>
      </c>
      <c r="E1936" t="s">
        <v>330</v>
      </c>
      <c r="F1936">
        <v>7138</v>
      </c>
      <c r="G1936">
        <v>12072923</v>
      </c>
      <c r="H1936">
        <v>0.80808081681078126</v>
      </c>
      <c r="I1936">
        <v>0.63838383838383839</v>
      </c>
      <c r="J1936">
        <v>4041650.7272727271</v>
      </c>
      <c r="K1936">
        <v>11434</v>
      </c>
      <c r="L1936">
        <v>2</v>
      </c>
      <c r="M1936">
        <v>71</v>
      </c>
      <c r="N1936">
        <v>0.66868686868686866</v>
      </c>
      <c r="O1936">
        <v>2341064.5454545454</v>
      </c>
      <c r="P1936">
        <v>11739</v>
      </c>
      <c r="Q1936">
        <v>2</v>
      </c>
      <c r="R1936">
        <v>72</v>
      </c>
      <c r="S1936">
        <v>11.674155398245093</v>
      </c>
      <c r="T1936">
        <v>0.86666666865348818</v>
      </c>
    </row>
    <row r="1937" spans="1:20" x14ac:dyDescent="0.25">
      <c r="A1937" t="s">
        <v>314</v>
      </c>
      <c r="B1937">
        <v>5</v>
      </c>
      <c r="C1937">
        <v>3</v>
      </c>
      <c r="D1937">
        <v>0</v>
      </c>
      <c r="E1937" t="s">
        <v>343</v>
      </c>
      <c r="F1937">
        <v>7356</v>
      </c>
      <c r="G1937">
        <v>12251885.727272727</v>
      </c>
      <c r="H1937">
        <v>0.74141415682705969</v>
      </c>
      <c r="I1937">
        <v>0.72121212121212119</v>
      </c>
      <c r="J1937">
        <v>4111595.6363636362</v>
      </c>
      <c r="K1937">
        <v>11739</v>
      </c>
      <c r="L1937">
        <v>2</v>
      </c>
      <c r="M1937">
        <v>72</v>
      </c>
      <c r="N1937">
        <v>0.70909090909090911</v>
      </c>
      <c r="O1937">
        <v>2020100.0909090908</v>
      </c>
      <c r="P1937">
        <v>12048</v>
      </c>
      <c r="Q1937">
        <v>2</v>
      </c>
      <c r="R1937">
        <v>73</v>
      </c>
      <c r="S1937">
        <v>11.673459876281671</v>
      </c>
      <c r="T1937">
        <v>0.86296296715736387</v>
      </c>
    </row>
    <row r="1938" spans="1:20" x14ac:dyDescent="0.25">
      <c r="A1938" t="s">
        <v>314</v>
      </c>
      <c r="B1938">
        <v>5</v>
      </c>
      <c r="C1938">
        <v>3</v>
      </c>
      <c r="D1938">
        <v>0</v>
      </c>
      <c r="E1938" t="s">
        <v>331</v>
      </c>
      <c r="F1938">
        <v>7536</v>
      </c>
      <c r="G1938">
        <v>13422105.166666666</v>
      </c>
      <c r="H1938">
        <v>0.78148149450620019</v>
      </c>
      <c r="I1938">
        <v>0.67777777777777781</v>
      </c>
      <c r="J1938">
        <v>3065301.8333333335</v>
      </c>
      <c r="K1938">
        <v>12048</v>
      </c>
      <c r="L1938">
        <v>2</v>
      </c>
      <c r="M1938">
        <v>73</v>
      </c>
      <c r="N1938">
        <v>0.65925925925925932</v>
      </c>
      <c r="O1938">
        <v>2708104</v>
      </c>
      <c r="P1938">
        <v>12361</v>
      </c>
      <c r="Q1938">
        <v>2</v>
      </c>
      <c r="R1938">
        <v>74</v>
      </c>
      <c r="S1938">
        <v>11.673203998644528</v>
      </c>
      <c r="T1938">
        <v>0.92592593431472781</v>
      </c>
    </row>
    <row r="1939" spans="1:20" x14ac:dyDescent="0.25">
      <c r="A1939" t="s">
        <v>314</v>
      </c>
      <c r="B1939">
        <v>5</v>
      </c>
      <c r="C1939">
        <v>3</v>
      </c>
      <c r="D1939">
        <v>0</v>
      </c>
      <c r="E1939" t="s">
        <v>344</v>
      </c>
      <c r="F1939">
        <v>7842</v>
      </c>
      <c r="G1939">
        <v>16695516.875</v>
      </c>
      <c r="H1939">
        <v>0.82777778618037701</v>
      </c>
      <c r="I1939">
        <v>0.71388888888888891</v>
      </c>
      <c r="J1939">
        <v>4698918</v>
      </c>
      <c r="K1939">
        <v>12678</v>
      </c>
      <c r="L1939">
        <v>2</v>
      </c>
      <c r="M1939">
        <v>75</v>
      </c>
      <c r="N1939">
        <v>0.69861111111111107</v>
      </c>
      <c r="O1939">
        <v>2741199.4375</v>
      </c>
      <c r="P1939">
        <v>12999</v>
      </c>
      <c r="Q1939">
        <v>2</v>
      </c>
      <c r="R1939">
        <v>76</v>
      </c>
      <c r="S1939">
        <v>11.674314256688113</v>
      </c>
      <c r="T1939">
        <v>0.86419752836227415</v>
      </c>
    </row>
    <row r="1940" spans="1:20" x14ac:dyDescent="0.25">
      <c r="A1940" t="s">
        <v>314</v>
      </c>
      <c r="B1940">
        <v>5</v>
      </c>
      <c r="C1940">
        <v>3</v>
      </c>
      <c r="D1940">
        <v>0</v>
      </c>
      <c r="E1940" t="s">
        <v>337</v>
      </c>
      <c r="F1940">
        <v>7976</v>
      </c>
      <c r="G1940">
        <v>12398726.333333334</v>
      </c>
      <c r="H1940">
        <v>0.6629629681507746</v>
      </c>
      <c r="I1940">
        <v>0.7</v>
      </c>
      <c r="J1940">
        <v>5229612.666666667</v>
      </c>
      <c r="K1940">
        <v>12999</v>
      </c>
      <c r="L1940">
        <v>2</v>
      </c>
      <c r="M1940">
        <v>76</v>
      </c>
      <c r="N1940">
        <v>0.72222222222222221</v>
      </c>
      <c r="O1940">
        <v>2487628.3333333335</v>
      </c>
      <c r="P1940">
        <v>13324</v>
      </c>
      <c r="Q1940">
        <v>2</v>
      </c>
      <c r="R1940">
        <v>77</v>
      </c>
      <c r="S1940">
        <v>11.673846804909013</v>
      </c>
      <c r="T1940">
        <v>0.78518519401550291</v>
      </c>
    </row>
    <row r="1941" spans="1:20" x14ac:dyDescent="0.25">
      <c r="A1941" t="s">
        <v>314</v>
      </c>
      <c r="B1941">
        <v>5</v>
      </c>
      <c r="C1941">
        <v>3</v>
      </c>
      <c r="D1941">
        <v>0</v>
      </c>
      <c r="E1941" t="s">
        <v>345</v>
      </c>
      <c r="F1941">
        <v>8328</v>
      </c>
      <c r="G1941">
        <v>15180692.454545455</v>
      </c>
      <c r="H1941">
        <v>0.68080808764154266</v>
      </c>
      <c r="I1941">
        <v>0.74545454545454548</v>
      </c>
      <c r="J1941">
        <v>3946142.1818181816</v>
      </c>
      <c r="K1941">
        <v>13324</v>
      </c>
      <c r="L1941">
        <v>2</v>
      </c>
      <c r="M1941">
        <v>77</v>
      </c>
      <c r="N1941">
        <v>0.73333333333333328</v>
      </c>
      <c r="O1941">
        <v>3593411.4545454546</v>
      </c>
      <c r="P1941">
        <v>13653</v>
      </c>
      <c r="Q1941">
        <v>2</v>
      </c>
      <c r="R1941">
        <v>78</v>
      </c>
      <c r="S1941">
        <v>11.673998561820566</v>
      </c>
      <c r="T1941">
        <v>0.84814814925193782</v>
      </c>
    </row>
    <row r="1942" spans="1:20" x14ac:dyDescent="0.25">
      <c r="A1942" t="s">
        <v>314</v>
      </c>
      <c r="B1942">
        <v>5</v>
      </c>
      <c r="C1942">
        <v>3</v>
      </c>
      <c r="D1942">
        <v>0</v>
      </c>
      <c r="E1942" t="s">
        <v>338</v>
      </c>
      <c r="F1942">
        <v>8418</v>
      </c>
      <c r="G1942">
        <v>17241415.666666668</v>
      </c>
      <c r="H1942">
        <v>0.60370371242364251</v>
      </c>
      <c r="I1942">
        <v>0.73703703703703705</v>
      </c>
      <c r="J1942">
        <v>5429133.666666667</v>
      </c>
      <c r="K1942">
        <v>13653</v>
      </c>
      <c r="L1942">
        <v>2</v>
      </c>
      <c r="M1942">
        <v>78</v>
      </c>
      <c r="N1942">
        <v>0.67407407407407405</v>
      </c>
      <c r="O1942">
        <v>5023193.166666667</v>
      </c>
      <c r="P1942">
        <v>13986</v>
      </c>
      <c r="Q1942">
        <v>2</v>
      </c>
      <c r="R1942">
        <v>79</v>
      </c>
      <c r="S1942">
        <v>11.674461876770838</v>
      </c>
      <c r="T1942">
        <v>0.79259259700775142</v>
      </c>
    </row>
    <row r="1943" spans="1:20" x14ac:dyDescent="0.25">
      <c r="A1943" t="s">
        <v>314</v>
      </c>
      <c r="B1943">
        <v>5</v>
      </c>
      <c r="C1943">
        <v>3</v>
      </c>
      <c r="D1943">
        <v>0</v>
      </c>
      <c r="E1943" t="s">
        <v>352</v>
      </c>
      <c r="F1943">
        <v>8592</v>
      </c>
      <c r="G1943">
        <v>16530115.666666666</v>
      </c>
      <c r="H1943">
        <v>0.70000000794728601</v>
      </c>
      <c r="I1943">
        <v>0.67777777777777781</v>
      </c>
      <c r="J1943">
        <v>5504050</v>
      </c>
      <c r="K1943">
        <v>13986</v>
      </c>
      <c r="L1943">
        <v>2</v>
      </c>
      <c r="M1943">
        <v>79</v>
      </c>
      <c r="N1943">
        <v>0.66666666666666663</v>
      </c>
      <c r="O1943">
        <v>3474060.1666666665</v>
      </c>
      <c r="P1943">
        <v>14323</v>
      </c>
      <c r="Q1943">
        <v>2</v>
      </c>
      <c r="R1943">
        <v>80</v>
      </c>
      <c r="S1943">
        <v>11.674671289054242</v>
      </c>
      <c r="T1943">
        <v>0.81481481790542598</v>
      </c>
    </row>
    <row r="1944" spans="1:20" x14ac:dyDescent="0.25">
      <c r="A1944" t="s">
        <v>314</v>
      </c>
      <c r="B1944">
        <v>5</v>
      </c>
      <c r="C1944">
        <v>3</v>
      </c>
      <c r="D1944">
        <v>0</v>
      </c>
      <c r="E1944" t="s">
        <v>346</v>
      </c>
      <c r="F1944">
        <v>8814</v>
      </c>
      <c r="G1944">
        <v>21943413.833333332</v>
      </c>
      <c r="H1944">
        <v>0.81111111740271247</v>
      </c>
      <c r="I1944">
        <v>0.66296296296296298</v>
      </c>
      <c r="J1944">
        <v>5827601.333333333</v>
      </c>
      <c r="K1944">
        <v>14323</v>
      </c>
      <c r="L1944">
        <v>2</v>
      </c>
      <c r="M1944">
        <v>80</v>
      </c>
      <c r="N1944">
        <v>0.70370370370370372</v>
      </c>
      <c r="O1944">
        <v>2164476.1666666665</v>
      </c>
      <c r="P1944">
        <v>14664</v>
      </c>
      <c r="Q1944">
        <v>2</v>
      </c>
      <c r="R1944">
        <v>81</v>
      </c>
      <c r="S1944">
        <v>11.675979542668752</v>
      </c>
      <c r="T1944">
        <v>0.79259259700775142</v>
      </c>
    </row>
    <row r="1945" spans="1:20" x14ac:dyDescent="0.25">
      <c r="A1945" t="s">
        <v>314</v>
      </c>
      <c r="B1945">
        <v>5</v>
      </c>
      <c r="C1945">
        <v>3</v>
      </c>
      <c r="D1945">
        <v>0</v>
      </c>
      <c r="E1945" t="s">
        <v>353</v>
      </c>
      <c r="F1945">
        <v>9122</v>
      </c>
      <c r="G1945">
        <v>18785836.333333332</v>
      </c>
      <c r="H1945">
        <v>0.8851851920286814</v>
      </c>
      <c r="I1945">
        <v>0.64444444444444438</v>
      </c>
      <c r="J1945">
        <v>4695764.333333333</v>
      </c>
      <c r="K1945">
        <v>14664</v>
      </c>
      <c r="L1945">
        <v>2</v>
      </c>
      <c r="M1945">
        <v>81</v>
      </c>
      <c r="N1945">
        <v>0.66666666666666674</v>
      </c>
      <c r="O1945">
        <v>1976030.8333333333</v>
      </c>
      <c r="P1945">
        <v>15009</v>
      </c>
      <c r="Q1945">
        <v>2</v>
      </c>
      <c r="R1945">
        <v>82</v>
      </c>
      <c r="S1945">
        <v>11.676695541939573</v>
      </c>
      <c r="T1945">
        <v>0.8592592597007751</v>
      </c>
    </row>
    <row r="1946" spans="1:20" x14ac:dyDescent="0.25">
      <c r="A1946" t="s">
        <v>314</v>
      </c>
      <c r="B1946">
        <v>5</v>
      </c>
      <c r="C1946">
        <v>3</v>
      </c>
      <c r="D1946">
        <v>0</v>
      </c>
      <c r="E1946" t="s">
        <v>347</v>
      </c>
      <c r="F1946">
        <v>9300</v>
      </c>
      <c r="G1946">
        <v>21772874.833333332</v>
      </c>
      <c r="H1946">
        <v>0.829629639784495</v>
      </c>
      <c r="I1946">
        <v>0.66666666666666674</v>
      </c>
      <c r="J1946">
        <v>4301215.833333333</v>
      </c>
      <c r="K1946">
        <v>15009</v>
      </c>
      <c r="L1946">
        <v>2</v>
      </c>
      <c r="M1946">
        <v>82</v>
      </c>
      <c r="N1946">
        <v>0.66296296296296298</v>
      </c>
      <c r="O1946">
        <v>2190770.3333333335</v>
      </c>
      <c r="P1946">
        <v>15358</v>
      </c>
      <c r="Q1946">
        <v>2</v>
      </c>
      <c r="R1946">
        <v>83</v>
      </c>
      <c r="S1946">
        <v>11.677875881880782</v>
      </c>
      <c r="T1946">
        <v>0.87407408952713017</v>
      </c>
    </row>
    <row r="1947" spans="1:20" x14ac:dyDescent="0.25">
      <c r="A1947" t="s">
        <v>314</v>
      </c>
      <c r="B1947">
        <v>5</v>
      </c>
      <c r="C1947">
        <v>3</v>
      </c>
      <c r="D1947">
        <v>0</v>
      </c>
      <c r="E1947" t="s">
        <v>354</v>
      </c>
      <c r="F1947">
        <v>9652</v>
      </c>
      <c r="G1947">
        <v>19721957.666666668</v>
      </c>
      <c r="H1947">
        <v>0.87407408157984412</v>
      </c>
      <c r="I1947">
        <v>0.67407407407407405</v>
      </c>
      <c r="J1947">
        <v>4365042.666666667</v>
      </c>
      <c r="K1947">
        <v>15711</v>
      </c>
      <c r="L1947">
        <v>2</v>
      </c>
      <c r="M1947">
        <v>84</v>
      </c>
      <c r="N1947">
        <v>0.73703703703703705</v>
      </c>
      <c r="O1947">
        <v>4204126.5</v>
      </c>
      <c r="P1947">
        <v>16068</v>
      </c>
      <c r="Q1947">
        <v>2</v>
      </c>
      <c r="R1947">
        <v>85</v>
      </c>
      <c r="S1947">
        <v>11.678675507876843</v>
      </c>
      <c r="T1947">
        <v>0.92592592239379878</v>
      </c>
    </row>
    <row r="1948" spans="1:20" x14ac:dyDescent="0.25">
      <c r="A1948" t="s">
        <v>314</v>
      </c>
      <c r="B1948">
        <v>5</v>
      </c>
      <c r="C1948">
        <v>3</v>
      </c>
      <c r="D1948">
        <v>0</v>
      </c>
      <c r="E1948" t="s">
        <v>355</v>
      </c>
      <c r="F1948">
        <v>10182</v>
      </c>
      <c r="G1948">
        <v>15914732.5</v>
      </c>
      <c r="H1948">
        <v>0.84814815719922387</v>
      </c>
      <c r="I1948">
        <v>0.67037037037037039</v>
      </c>
      <c r="J1948">
        <v>4020019.8333333335</v>
      </c>
      <c r="K1948">
        <v>16429</v>
      </c>
      <c r="L1948">
        <v>2</v>
      </c>
      <c r="M1948">
        <v>86</v>
      </c>
      <c r="N1948">
        <v>0.72962962962962963</v>
      </c>
      <c r="O1948">
        <v>2600196.8333333335</v>
      </c>
      <c r="P1948">
        <v>16794</v>
      </c>
      <c r="Q1948">
        <v>2</v>
      </c>
      <c r="R1948">
        <v>87</v>
      </c>
      <c r="S1948">
        <v>11.678672465481569</v>
      </c>
      <c r="T1948">
        <v>0.8888888955116272</v>
      </c>
    </row>
    <row r="1949" spans="1:20" x14ac:dyDescent="0.25">
      <c r="A1949" t="s">
        <v>314</v>
      </c>
      <c r="B1949">
        <v>5</v>
      </c>
      <c r="C1949">
        <v>4</v>
      </c>
      <c r="D1949">
        <v>0</v>
      </c>
      <c r="E1949" t="s">
        <v>360</v>
      </c>
      <c r="F1949">
        <v>1740</v>
      </c>
      <c r="G1949">
        <v>13602718.333333334</v>
      </c>
      <c r="H1949">
        <v>0.83703704675038659</v>
      </c>
      <c r="I1949">
        <v>0.68518518518518512</v>
      </c>
      <c r="J1949">
        <v>3138555.3333333335</v>
      </c>
      <c r="K1949">
        <v>2961</v>
      </c>
      <c r="L1949">
        <v>2</v>
      </c>
      <c r="M1949">
        <v>34</v>
      </c>
      <c r="N1949">
        <v>0.64814814814814814</v>
      </c>
      <c r="O1949">
        <v>1877957.5</v>
      </c>
      <c r="P1949">
        <v>3118</v>
      </c>
      <c r="Q1949">
        <v>2</v>
      </c>
      <c r="R1949">
        <v>35</v>
      </c>
      <c r="S1949">
        <v>11.678331715142049</v>
      </c>
      <c r="T1949">
        <v>0.87407407760620115</v>
      </c>
    </row>
    <row r="1950" spans="1:20" x14ac:dyDescent="0.25">
      <c r="A1950" t="s">
        <v>314</v>
      </c>
      <c r="B1950">
        <v>5</v>
      </c>
      <c r="C1950">
        <v>4</v>
      </c>
      <c r="D1950">
        <v>0</v>
      </c>
      <c r="E1950" t="s">
        <v>315</v>
      </c>
      <c r="F1950">
        <v>2126</v>
      </c>
      <c r="G1950">
        <v>5353384.166666667</v>
      </c>
      <c r="H1950">
        <v>0.85185186068216956</v>
      </c>
      <c r="I1950">
        <v>0.74814814814814812</v>
      </c>
      <c r="J1950">
        <v>269054.33333333331</v>
      </c>
      <c r="K1950">
        <v>3613</v>
      </c>
      <c r="L1950">
        <v>2</v>
      </c>
      <c r="M1950">
        <v>38</v>
      </c>
      <c r="N1950">
        <v>0.65555555555555556</v>
      </c>
      <c r="O1950">
        <v>269510.83333333331</v>
      </c>
      <c r="P1950">
        <v>3786</v>
      </c>
      <c r="Q1950">
        <v>2</v>
      </c>
      <c r="R1950">
        <v>39</v>
      </c>
      <c r="S1950">
        <v>11.677653513399452</v>
      </c>
      <c r="T1950">
        <v>0.94814815521240237</v>
      </c>
    </row>
    <row r="1951" spans="1:20" x14ac:dyDescent="0.25">
      <c r="A1951" t="s">
        <v>314</v>
      </c>
      <c r="B1951">
        <v>5</v>
      </c>
      <c r="C1951">
        <v>4</v>
      </c>
      <c r="D1951">
        <v>0</v>
      </c>
      <c r="E1951" t="s">
        <v>324</v>
      </c>
      <c r="F1951">
        <v>2512</v>
      </c>
      <c r="G1951">
        <v>4264559.833333333</v>
      </c>
      <c r="H1951">
        <v>0.90370370944341027</v>
      </c>
      <c r="I1951">
        <v>0.6518518518518519</v>
      </c>
      <c r="J1951">
        <v>273924.5</v>
      </c>
      <c r="K1951">
        <v>4329</v>
      </c>
      <c r="L1951">
        <v>2</v>
      </c>
      <c r="M1951">
        <v>42</v>
      </c>
      <c r="N1951">
        <v>0.68148148148148147</v>
      </c>
      <c r="O1951">
        <v>313162.5</v>
      </c>
      <c r="P1951">
        <v>4518</v>
      </c>
      <c r="Q1951">
        <v>2</v>
      </c>
      <c r="R1951">
        <v>43</v>
      </c>
      <c r="S1951">
        <v>11.676975655035653</v>
      </c>
      <c r="T1951">
        <v>0.94814815521240237</v>
      </c>
    </row>
    <row r="1952" spans="1:20" x14ac:dyDescent="0.25">
      <c r="A1952" t="s">
        <v>314</v>
      </c>
      <c r="B1952">
        <v>5</v>
      </c>
      <c r="C1952">
        <v>4</v>
      </c>
      <c r="D1952">
        <v>0</v>
      </c>
      <c r="E1952" t="s">
        <v>332</v>
      </c>
      <c r="F1952">
        <v>2898</v>
      </c>
      <c r="G1952">
        <v>5539433.5</v>
      </c>
      <c r="H1952">
        <v>0.82222223281860352</v>
      </c>
      <c r="I1952">
        <v>0.625925925925926</v>
      </c>
      <c r="J1952">
        <v>296664.83333333331</v>
      </c>
      <c r="K1952">
        <v>4908</v>
      </c>
      <c r="L1952">
        <v>2</v>
      </c>
      <c r="M1952">
        <v>45</v>
      </c>
      <c r="N1952">
        <v>0.73333333333333328</v>
      </c>
      <c r="O1952">
        <v>284084</v>
      </c>
      <c r="P1952">
        <v>5109</v>
      </c>
      <c r="Q1952">
        <v>2</v>
      </c>
      <c r="R1952">
        <v>46</v>
      </c>
      <c r="S1952">
        <v>11.676087231619354</v>
      </c>
      <c r="T1952">
        <v>0.89629631042480473</v>
      </c>
    </row>
    <row r="1953" spans="1:20" x14ac:dyDescent="0.25">
      <c r="A1953" t="s">
        <v>314</v>
      </c>
      <c r="B1953">
        <v>5</v>
      </c>
      <c r="C1953">
        <v>4</v>
      </c>
      <c r="D1953">
        <v>0</v>
      </c>
      <c r="E1953" t="s">
        <v>339</v>
      </c>
      <c r="F1953">
        <v>3284</v>
      </c>
      <c r="G1953">
        <v>4328412.5</v>
      </c>
      <c r="H1953">
        <v>0.91481481989224755</v>
      </c>
      <c r="I1953">
        <v>0.64814814814814814</v>
      </c>
      <c r="J1953">
        <v>321406.16666666669</v>
      </c>
      <c r="K1953">
        <v>5523</v>
      </c>
      <c r="L1953">
        <v>2</v>
      </c>
      <c r="M1953">
        <v>48</v>
      </c>
      <c r="N1953">
        <v>0.68888888888888888</v>
      </c>
      <c r="O1953">
        <v>310892.66666666669</v>
      </c>
      <c r="P1953">
        <v>5736</v>
      </c>
      <c r="Q1953">
        <v>2</v>
      </c>
      <c r="R1953">
        <v>49</v>
      </c>
      <c r="S1953">
        <v>11.675241428752161</v>
      </c>
      <c r="T1953">
        <v>0.96296296119689939</v>
      </c>
    </row>
    <row r="1954" spans="1:20" x14ac:dyDescent="0.25">
      <c r="A1954" t="s">
        <v>314</v>
      </c>
      <c r="B1954">
        <v>5</v>
      </c>
      <c r="C1954">
        <v>4</v>
      </c>
      <c r="D1954">
        <v>0</v>
      </c>
      <c r="E1954" t="s">
        <v>348</v>
      </c>
      <c r="F1954">
        <v>3670</v>
      </c>
      <c r="G1954">
        <v>7515037.166666667</v>
      </c>
      <c r="H1954">
        <v>0.85555556416511536</v>
      </c>
      <c r="I1954">
        <v>0.6518518518518519</v>
      </c>
      <c r="J1954">
        <v>336886.66666666669</v>
      </c>
      <c r="K1954">
        <v>6399</v>
      </c>
      <c r="L1954">
        <v>2</v>
      </c>
      <c r="M1954">
        <v>52</v>
      </c>
      <c r="N1954">
        <v>0.7592592592592593</v>
      </c>
      <c r="O1954">
        <v>341023.5</v>
      </c>
      <c r="P1954">
        <v>6628</v>
      </c>
      <c r="Q1954">
        <v>2</v>
      </c>
      <c r="R1954">
        <v>53</v>
      </c>
      <c r="S1954">
        <v>11.674733336144019</v>
      </c>
      <c r="T1954">
        <v>0.94074075222015385</v>
      </c>
    </row>
    <row r="1955" spans="1:20" x14ac:dyDescent="0.25">
      <c r="A1955" t="s">
        <v>314</v>
      </c>
      <c r="B1955">
        <v>5</v>
      </c>
      <c r="C1955">
        <v>4</v>
      </c>
      <c r="D1955">
        <v>0</v>
      </c>
      <c r="E1955" t="s">
        <v>356</v>
      </c>
      <c r="F1955">
        <v>4056</v>
      </c>
      <c r="G1955">
        <v>7940922.5</v>
      </c>
      <c r="H1955">
        <v>0.85925926764806115</v>
      </c>
      <c r="I1955">
        <v>0.625925925925926</v>
      </c>
      <c r="J1955">
        <v>350656</v>
      </c>
      <c r="K1955">
        <v>6861</v>
      </c>
      <c r="L1955">
        <v>2</v>
      </c>
      <c r="M1955">
        <v>54</v>
      </c>
      <c r="N1955">
        <v>0.64444444444444438</v>
      </c>
      <c r="O1955">
        <v>378016.5</v>
      </c>
      <c r="P1955">
        <v>7098</v>
      </c>
      <c r="Q1955">
        <v>2</v>
      </c>
      <c r="R1955">
        <v>55</v>
      </c>
      <c r="S1955">
        <v>11.674394099051634</v>
      </c>
      <c r="T1955">
        <v>0.94814814329147334</v>
      </c>
    </row>
    <row r="1956" spans="1:20" x14ac:dyDescent="0.25">
      <c r="A1956" t="s">
        <v>314</v>
      </c>
      <c r="B1956">
        <v>5</v>
      </c>
      <c r="C1956">
        <v>4</v>
      </c>
      <c r="D1956">
        <v>0</v>
      </c>
      <c r="E1956" t="s">
        <v>357</v>
      </c>
      <c r="F1956">
        <v>4442</v>
      </c>
      <c r="G1956">
        <v>5685391</v>
      </c>
      <c r="H1956">
        <v>0.89259259899457299</v>
      </c>
      <c r="I1956">
        <v>0.62962962962962965</v>
      </c>
      <c r="J1956">
        <v>381160.33333333331</v>
      </c>
      <c r="K1956">
        <v>7584</v>
      </c>
      <c r="L1956">
        <v>2</v>
      </c>
      <c r="M1956">
        <v>57</v>
      </c>
      <c r="N1956">
        <v>0.6333333333333333</v>
      </c>
      <c r="O1956">
        <v>394015</v>
      </c>
      <c r="P1956">
        <v>7833</v>
      </c>
      <c r="Q1956">
        <v>2</v>
      </c>
      <c r="R1956">
        <v>58</v>
      </c>
      <c r="S1956">
        <v>11.673507226834099</v>
      </c>
      <c r="T1956">
        <v>0.98518519401550297</v>
      </c>
    </row>
    <row r="1957" spans="1:20" x14ac:dyDescent="0.25">
      <c r="A1957" t="s">
        <v>314</v>
      </c>
      <c r="B1957">
        <v>5</v>
      </c>
      <c r="C1957">
        <v>4</v>
      </c>
      <c r="D1957">
        <v>0</v>
      </c>
      <c r="E1957" t="s">
        <v>316</v>
      </c>
      <c r="F1957">
        <v>4553</v>
      </c>
      <c r="G1957">
        <v>6158117.833333333</v>
      </c>
      <c r="H1957">
        <v>0.8888888955116272</v>
      </c>
      <c r="I1957">
        <v>0.67037037037037039</v>
      </c>
      <c r="J1957">
        <v>385870.83333333331</v>
      </c>
      <c r="K1957">
        <v>7833</v>
      </c>
      <c r="L1957">
        <v>2</v>
      </c>
      <c r="M1957">
        <v>58</v>
      </c>
      <c r="N1957">
        <v>0.625925925925926</v>
      </c>
      <c r="O1957">
        <v>411876.66666666669</v>
      </c>
      <c r="P1957">
        <v>8086</v>
      </c>
      <c r="Q1957">
        <v>2</v>
      </c>
      <c r="R1957">
        <v>59</v>
      </c>
      <c r="S1957">
        <v>11.672747187934448</v>
      </c>
      <c r="T1957">
        <v>0.95555555820465088</v>
      </c>
    </row>
    <row r="1958" spans="1:20" x14ac:dyDescent="0.25">
      <c r="A1958" t="s">
        <v>314</v>
      </c>
      <c r="B1958">
        <v>5</v>
      </c>
      <c r="C1958">
        <v>4</v>
      </c>
      <c r="D1958">
        <v>0</v>
      </c>
      <c r="E1958" t="s">
        <v>358</v>
      </c>
      <c r="F1958">
        <v>4828</v>
      </c>
      <c r="G1958">
        <v>13346806.666666666</v>
      </c>
      <c r="H1958">
        <v>0.71481482684612274</v>
      </c>
      <c r="I1958">
        <v>0.70740740740740748</v>
      </c>
      <c r="J1958">
        <v>430528.16666666669</v>
      </c>
      <c r="K1958">
        <v>8343</v>
      </c>
      <c r="L1958">
        <v>2</v>
      </c>
      <c r="M1958">
        <v>60</v>
      </c>
      <c r="N1958">
        <v>0.66296296296296298</v>
      </c>
      <c r="O1958">
        <v>385621.66666666669</v>
      </c>
      <c r="P1958">
        <v>8604</v>
      </c>
      <c r="Q1958">
        <v>2</v>
      </c>
      <c r="R1958">
        <v>61</v>
      </c>
      <c r="S1958">
        <v>11.672829886703449</v>
      </c>
      <c r="T1958">
        <v>0.85185185670852659</v>
      </c>
    </row>
    <row r="1959" spans="1:20" x14ac:dyDescent="0.25">
      <c r="A1959" t="s">
        <v>314</v>
      </c>
      <c r="B1959">
        <v>5</v>
      </c>
      <c r="C1959">
        <v>4</v>
      </c>
      <c r="D1959">
        <v>0</v>
      </c>
      <c r="E1959" t="s">
        <v>317</v>
      </c>
      <c r="F1959">
        <v>4939</v>
      </c>
      <c r="G1959">
        <v>10516997.666666666</v>
      </c>
      <c r="H1959">
        <v>0.77777779102325439</v>
      </c>
      <c r="I1959">
        <v>0.71111111111111114</v>
      </c>
      <c r="J1959">
        <v>422886.16666666669</v>
      </c>
      <c r="K1959">
        <v>8604</v>
      </c>
      <c r="L1959">
        <v>2</v>
      </c>
      <c r="M1959">
        <v>61</v>
      </c>
      <c r="N1959">
        <v>0.65555555555555556</v>
      </c>
      <c r="O1959">
        <v>411675.5</v>
      </c>
      <c r="P1959">
        <v>8869</v>
      </c>
      <c r="Q1959">
        <v>2</v>
      </c>
      <c r="R1959">
        <v>62</v>
      </c>
      <c r="S1959">
        <v>11.672659901469535</v>
      </c>
      <c r="T1959">
        <v>0.89629629850387571</v>
      </c>
    </row>
    <row r="1960" spans="1:20" x14ac:dyDescent="0.25">
      <c r="A1960" t="s">
        <v>314</v>
      </c>
      <c r="B1960">
        <v>5</v>
      </c>
      <c r="C1960">
        <v>4</v>
      </c>
      <c r="D1960">
        <v>0</v>
      </c>
      <c r="E1960" t="s">
        <v>359</v>
      </c>
      <c r="F1960">
        <v>5214</v>
      </c>
      <c r="G1960">
        <v>12037690.666666666</v>
      </c>
      <c r="H1960">
        <v>0.72962964077790582</v>
      </c>
      <c r="I1960">
        <v>0.72962962962962963</v>
      </c>
      <c r="J1960">
        <v>453746</v>
      </c>
      <c r="K1960">
        <v>8869</v>
      </c>
      <c r="L1960">
        <v>2</v>
      </c>
      <c r="M1960">
        <v>62</v>
      </c>
      <c r="N1960">
        <v>0.67777777777777781</v>
      </c>
      <c r="O1960">
        <v>1592002.5</v>
      </c>
      <c r="P1960">
        <v>9138</v>
      </c>
      <c r="Q1960">
        <v>2</v>
      </c>
      <c r="R1960">
        <v>63</v>
      </c>
      <c r="S1960">
        <v>11.672405809303305</v>
      </c>
      <c r="T1960">
        <v>0.87407407760620115</v>
      </c>
    </row>
    <row r="1961" spans="1:20" x14ac:dyDescent="0.25">
      <c r="A1961" t="s">
        <v>314</v>
      </c>
      <c r="B1961">
        <v>5</v>
      </c>
      <c r="C1961">
        <v>4</v>
      </c>
      <c r="D1961">
        <v>0</v>
      </c>
      <c r="E1961" t="s">
        <v>318</v>
      </c>
      <c r="F1961">
        <v>5325</v>
      </c>
      <c r="G1961">
        <v>12334098.090909092</v>
      </c>
      <c r="H1961">
        <v>0.75353536416183819</v>
      </c>
      <c r="I1961">
        <v>0.64646464646464652</v>
      </c>
      <c r="J1961">
        <v>1069416.2727272727</v>
      </c>
      <c r="K1961">
        <v>9138</v>
      </c>
      <c r="L1961">
        <v>2</v>
      </c>
      <c r="M1961">
        <v>63</v>
      </c>
      <c r="N1961">
        <v>0.66262626262626267</v>
      </c>
      <c r="O1961">
        <v>3227165.5454545454</v>
      </c>
      <c r="P1961">
        <v>9411</v>
      </c>
      <c r="Q1961">
        <v>2</v>
      </c>
      <c r="R1961">
        <v>64</v>
      </c>
      <c r="S1961">
        <v>11.672220819658335</v>
      </c>
      <c r="T1961">
        <v>0.84444445371627808</v>
      </c>
    </row>
    <row r="1962" spans="1:20" x14ac:dyDescent="0.25">
      <c r="A1962" t="s">
        <v>314</v>
      </c>
      <c r="B1962">
        <v>5</v>
      </c>
      <c r="C1962">
        <v>4</v>
      </c>
      <c r="D1962">
        <v>0</v>
      </c>
      <c r="E1962" t="s">
        <v>319</v>
      </c>
      <c r="F1962">
        <v>5711</v>
      </c>
      <c r="G1962">
        <v>19373474.5</v>
      </c>
      <c r="H1962">
        <v>0.7407407512267431</v>
      </c>
      <c r="I1962">
        <v>0.67407407407407405</v>
      </c>
      <c r="J1962">
        <v>4115192</v>
      </c>
      <c r="K1962">
        <v>9688</v>
      </c>
      <c r="L1962">
        <v>2</v>
      </c>
      <c r="M1962">
        <v>65</v>
      </c>
      <c r="N1962">
        <v>0.66666666666666663</v>
      </c>
      <c r="O1962">
        <v>3125625.3333333335</v>
      </c>
      <c r="P1962">
        <v>9969</v>
      </c>
      <c r="Q1962">
        <v>2</v>
      </c>
      <c r="R1962">
        <v>66</v>
      </c>
      <c r="S1962">
        <v>11.673186942621571</v>
      </c>
      <c r="T1962">
        <v>0.77777779102325439</v>
      </c>
    </row>
    <row r="1963" spans="1:20" x14ac:dyDescent="0.25">
      <c r="A1963" t="s">
        <v>314</v>
      </c>
      <c r="B1963">
        <v>5</v>
      </c>
      <c r="C1963">
        <v>4</v>
      </c>
      <c r="D1963">
        <v>0</v>
      </c>
      <c r="E1963" t="s">
        <v>333</v>
      </c>
      <c r="F1963">
        <v>5805</v>
      </c>
      <c r="G1963">
        <v>14061012.272727273</v>
      </c>
      <c r="H1963">
        <v>0.73535354841839184</v>
      </c>
      <c r="I1963">
        <v>0.73535353535353531</v>
      </c>
      <c r="J1963">
        <v>5299181.1818181816</v>
      </c>
      <c r="K1963">
        <v>9969</v>
      </c>
      <c r="L1963">
        <v>2</v>
      </c>
      <c r="M1963">
        <v>66</v>
      </c>
      <c r="N1963">
        <v>0.68686868686868685</v>
      </c>
      <c r="O1963">
        <v>3921413.9090909092</v>
      </c>
      <c r="P1963">
        <v>10254</v>
      </c>
      <c r="Q1963">
        <v>2</v>
      </c>
      <c r="R1963">
        <v>67</v>
      </c>
      <c r="S1963">
        <v>11.672791489719547</v>
      </c>
      <c r="T1963">
        <v>0.85185185670852659</v>
      </c>
    </row>
    <row r="1964" spans="1:20" x14ac:dyDescent="0.25">
      <c r="A1964" t="s">
        <v>314</v>
      </c>
      <c r="B1964">
        <v>5</v>
      </c>
      <c r="C1964">
        <v>4</v>
      </c>
      <c r="D1964">
        <v>0</v>
      </c>
      <c r="E1964" t="s">
        <v>320</v>
      </c>
      <c r="F1964">
        <v>6097</v>
      </c>
      <c r="G1964">
        <v>11020276.666666666</v>
      </c>
      <c r="H1964">
        <v>0.59259260694185889</v>
      </c>
      <c r="I1964">
        <v>0.66296296296296298</v>
      </c>
      <c r="J1964">
        <v>4943324.166666667</v>
      </c>
      <c r="K1964">
        <v>10543</v>
      </c>
      <c r="L1964">
        <v>2</v>
      </c>
      <c r="M1964">
        <v>68</v>
      </c>
      <c r="N1964">
        <v>0.67037037037037039</v>
      </c>
      <c r="O1964">
        <v>3363845</v>
      </c>
      <c r="P1964">
        <v>10836</v>
      </c>
      <c r="Q1964">
        <v>2</v>
      </c>
      <c r="R1964">
        <v>69</v>
      </c>
      <c r="S1964">
        <v>11.672033292698305</v>
      </c>
      <c r="T1964">
        <v>0.80000001192092896</v>
      </c>
    </row>
    <row r="1965" spans="1:20" x14ac:dyDescent="0.25">
      <c r="A1965" t="s">
        <v>314</v>
      </c>
      <c r="B1965">
        <v>5</v>
      </c>
      <c r="C1965">
        <v>4</v>
      </c>
      <c r="D1965">
        <v>0</v>
      </c>
      <c r="E1965" t="s">
        <v>334</v>
      </c>
      <c r="F1965">
        <v>6287</v>
      </c>
      <c r="G1965">
        <v>15894693.272727273</v>
      </c>
      <c r="H1965">
        <v>0.6161616282029585</v>
      </c>
      <c r="I1965">
        <v>0.67878787878787883</v>
      </c>
      <c r="J1965">
        <v>4547490.1818181816</v>
      </c>
      <c r="K1965">
        <v>10836</v>
      </c>
      <c r="L1965">
        <v>2</v>
      </c>
      <c r="M1965">
        <v>69</v>
      </c>
      <c r="N1965">
        <v>0.67272727272727273</v>
      </c>
      <c r="O1965">
        <v>2392280.5454545454</v>
      </c>
      <c r="P1965">
        <v>11133</v>
      </c>
      <c r="Q1965">
        <v>2</v>
      </c>
      <c r="R1965">
        <v>70</v>
      </c>
      <c r="S1965">
        <v>11.672184873949579</v>
      </c>
      <c r="T1965">
        <v>0.78518519401550291</v>
      </c>
    </row>
    <row r="1966" spans="1:20" x14ac:dyDescent="0.25">
      <c r="A1966" t="s">
        <v>314</v>
      </c>
      <c r="B1966">
        <v>5</v>
      </c>
      <c r="C1966">
        <v>4</v>
      </c>
      <c r="D1966">
        <v>0</v>
      </c>
      <c r="E1966" t="s">
        <v>321</v>
      </c>
      <c r="F1966">
        <v>6483</v>
      </c>
      <c r="G1966">
        <v>11279492.5</v>
      </c>
      <c r="H1966">
        <v>0.77037038405736291</v>
      </c>
      <c r="I1966">
        <v>0.67407407407407405</v>
      </c>
      <c r="J1966">
        <v>5293244.833333333</v>
      </c>
      <c r="K1966">
        <v>11133</v>
      </c>
      <c r="L1966">
        <v>2</v>
      </c>
      <c r="M1966">
        <v>70</v>
      </c>
      <c r="N1966">
        <v>0.70740740740740737</v>
      </c>
      <c r="O1966">
        <v>2510802.8333333335</v>
      </c>
      <c r="P1966">
        <v>11434</v>
      </c>
      <c r="Q1966">
        <v>2</v>
      </c>
      <c r="R1966">
        <v>71</v>
      </c>
      <c r="S1966">
        <v>11.671469377467865</v>
      </c>
      <c r="T1966">
        <v>0.8</v>
      </c>
    </row>
    <row r="1967" spans="1:20" x14ac:dyDescent="0.25">
      <c r="A1967" t="s">
        <v>314</v>
      </c>
      <c r="B1967">
        <v>5</v>
      </c>
      <c r="C1967">
        <v>4</v>
      </c>
      <c r="D1967">
        <v>0</v>
      </c>
      <c r="E1967" t="s">
        <v>322</v>
      </c>
      <c r="F1967">
        <v>6869</v>
      </c>
      <c r="G1967">
        <v>15906569.1875</v>
      </c>
      <c r="H1967">
        <v>0.75694445893168449</v>
      </c>
      <c r="I1967">
        <v>0.65138888888888891</v>
      </c>
      <c r="J1967">
        <v>3964559.3125</v>
      </c>
      <c r="K1967">
        <v>11739</v>
      </c>
      <c r="L1967">
        <v>2</v>
      </c>
      <c r="M1967">
        <v>72</v>
      </c>
      <c r="N1967">
        <v>0.66111111111111109</v>
      </c>
      <c r="O1967">
        <v>3231877.125</v>
      </c>
      <c r="P1967">
        <v>12048</v>
      </c>
      <c r="Q1967">
        <v>2</v>
      </c>
      <c r="R1967">
        <v>73</v>
      </c>
      <c r="S1967">
        <v>11.671983880446646</v>
      </c>
      <c r="T1967">
        <v>0.82469136317571001</v>
      </c>
    </row>
    <row r="1968" spans="1:20" x14ac:dyDescent="0.25">
      <c r="A1968" t="s">
        <v>314</v>
      </c>
      <c r="B1968">
        <v>5</v>
      </c>
      <c r="C1968">
        <v>4</v>
      </c>
      <c r="D1968">
        <v>0</v>
      </c>
      <c r="E1968" t="s">
        <v>328</v>
      </c>
      <c r="F1968">
        <v>6915</v>
      </c>
      <c r="G1968">
        <v>12978727.090909092</v>
      </c>
      <c r="H1968">
        <v>0.7030303207310763</v>
      </c>
      <c r="I1968">
        <v>0.63838383838383839</v>
      </c>
      <c r="J1968">
        <v>3912707</v>
      </c>
      <c r="K1968">
        <v>12048</v>
      </c>
      <c r="L1968">
        <v>2</v>
      </c>
      <c r="M1968">
        <v>73</v>
      </c>
      <c r="N1968">
        <v>0.69292929292929295</v>
      </c>
      <c r="O1968">
        <v>2930671.0909090908</v>
      </c>
      <c r="P1968">
        <v>12361</v>
      </c>
      <c r="Q1968">
        <v>2</v>
      </c>
      <c r="R1968">
        <v>74</v>
      </c>
      <c r="S1968">
        <v>11.671338060672177</v>
      </c>
      <c r="T1968">
        <v>0.80740740895271301</v>
      </c>
    </row>
    <row r="1969" spans="1:20" x14ac:dyDescent="0.25">
      <c r="A1969" t="s">
        <v>314</v>
      </c>
      <c r="B1969">
        <v>5</v>
      </c>
      <c r="C1969">
        <v>4</v>
      </c>
      <c r="D1969">
        <v>0</v>
      </c>
      <c r="E1969" t="s">
        <v>323</v>
      </c>
      <c r="F1969">
        <v>7255</v>
      </c>
      <c r="G1969">
        <v>15308888.3125</v>
      </c>
      <c r="H1969">
        <v>0.65277779288589954</v>
      </c>
      <c r="I1969">
        <v>0.67083333333333328</v>
      </c>
      <c r="J1969">
        <v>4806421.5625</v>
      </c>
      <c r="K1969">
        <v>12361</v>
      </c>
      <c r="L1969">
        <v>2</v>
      </c>
      <c r="M1969">
        <v>74</v>
      </c>
      <c r="N1969">
        <v>0.65416666666666667</v>
      </c>
      <c r="O1969">
        <v>2774593.8125</v>
      </c>
      <c r="P1969">
        <v>12678</v>
      </c>
      <c r="Q1969">
        <v>2</v>
      </c>
      <c r="R1969">
        <v>75</v>
      </c>
      <c r="S1969">
        <v>11.671516625435029</v>
      </c>
      <c r="T1969">
        <v>0.8</v>
      </c>
    </row>
    <row r="1970" spans="1:20" x14ac:dyDescent="0.25">
      <c r="A1970" t="s">
        <v>314</v>
      </c>
      <c r="B1970">
        <v>5</v>
      </c>
      <c r="C1970">
        <v>4</v>
      </c>
      <c r="D1970">
        <v>0</v>
      </c>
      <c r="E1970" t="s">
        <v>329</v>
      </c>
      <c r="F1970">
        <v>7349</v>
      </c>
      <c r="G1970">
        <v>18061516.363636363</v>
      </c>
      <c r="H1970">
        <v>0.68888890472325415</v>
      </c>
      <c r="I1970">
        <v>0.70707070707070707</v>
      </c>
      <c r="J1970">
        <v>3017729.1818181816</v>
      </c>
      <c r="K1970">
        <v>12678</v>
      </c>
      <c r="L1970">
        <v>2</v>
      </c>
      <c r="M1970">
        <v>75</v>
      </c>
      <c r="N1970">
        <v>0.62222222222222223</v>
      </c>
      <c r="O1970">
        <v>3649266.3636363638</v>
      </c>
      <c r="P1970">
        <v>12999</v>
      </c>
      <c r="Q1970">
        <v>2</v>
      </c>
      <c r="R1970">
        <v>76</v>
      </c>
      <c r="S1970">
        <v>11.672506286672254</v>
      </c>
      <c r="T1970">
        <v>0.84074074029922485</v>
      </c>
    </row>
    <row r="1971" spans="1:20" x14ac:dyDescent="0.25">
      <c r="A1971" t="s">
        <v>314</v>
      </c>
      <c r="B1971">
        <v>5</v>
      </c>
      <c r="C1971">
        <v>4</v>
      </c>
      <c r="D1971">
        <v>0</v>
      </c>
      <c r="E1971" t="s">
        <v>342</v>
      </c>
      <c r="F1971">
        <v>7491</v>
      </c>
      <c r="G1971">
        <v>15437188</v>
      </c>
      <c r="H1971">
        <v>0.80740741888682044</v>
      </c>
      <c r="I1971">
        <v>0.72222222222222221</v>
      </c>
      <c r="J1971">
        <v>3404818.1666666665</v>
      </c>
      <c r="K1971">
        <v>12999</v>
      </c>
      <c r="L1971">
        <v>2</v>
      </c>
      <c r="M1971">
        <v>76</v>
      </c>
      <c r="N1971">
        <v>0.6962962962962963</v>
      </c>
      <c r="O1971">
        <v>5213831.5</v>
      </c>
      <c r="P1971">
        <v>13324</v>
      </c>
      <c r="Q1971">
        <v>2</v>
      </c>
      <c r="R1971">
        <v>77</v>
      </c>
      <c r="S1971">
        <v>11.672421017346853</v>
      </c>
      <c r="T1971">
        <v>0.88148148059844966</v>
      </c>
    </row>
    <row r="1972" spans="1:20" x14ac:dyDescent="0.25">
      <c r="A1972" t="s">
        <v>314</v>
      </c>
      <c r="B1972">
        <v>5</v>
      </c>
      <c r="C1972">
        <v>4</v>
      </c>
      <c r="D1972">
        <v>0</v>
      </c>
      <c r="E1972" t="s">
        <v>330</v>
      </c>
      <c r="F1972">
        <v>7783</v>
      </c>
      <c r="G1972">
        <v>16274506.833333334</v>
      </c>
      <c r="H1972">
        <v>0.84814815719922387</v>
      </c>
      <c r="I1972">
        <v>0.69259259259259265</v>
      </c>
      <c r="J1972">
        <v>3578049.8333333335</v>
      </c>
      <c r="K1972">
        <v>13324</v>
      </c>
      <c r="L1972">
        <v>2</v>
      </c>
      <c r="M1972">
        <v>77</v>
      </c>
      <c r="N1972">
        <v>0.65925925925925932</v>
      </c>
      <c r="O1972">
        <v>6663803.5</v>
      </c>
      <c r="P1972">
        <v>13653</v>
      </c>
      <c r="Q1972">
        <v>2</v>
      </c>
      <c r="R1972">
        <v>78</v>
      </c>
      <c r="S1972">
        <v>11.672754691689008</v>
      </c>
      <c r="T1972">
        <v>0.8888888955116272</v>
      </c>
    </row>
    <row r="1973" spans="1:20" x14ac:dyDescent="0.25">
      <c r="A1973" t="s">
        <v>314</v>
      </c>
      <c r="B1973">
        <v>5</v>
      </c>
      <c r="C1973">
        <v>4</v>
      </c>
      <c r="D1973">
        <v>0</v>
      </c>
      <c r="E1973" t="s">
        <v>343</v>
      </c>
      <c r="F1973">
        <v>8021</v>
      </c>
      <c r="G1973">
        <v>14717934.6875</v>
      </c>
      <c r="H1973">
        <v>0.72638890147209167</v>
      </c>
      <c r="I1973">
        <v>0.7</v>
      </c>
      <c r="J1973">
        <v>4013466.0625</v>
      </c>
      <c r="K1973">
        <v>13986</v>
      </c>
      <c r="L1973">
        <v>2</v>
      </c>
      <c r="M1973">
        <v>79</v>
      </c>
      <c r="N1973">
        <v>0.66666666666666663</v>
      </c>
      <c r="O1973">
        <v>3445681.3125</v>
      </c>
      <c r="P1973">
        <v>14323</v>
      </c>
      <c r="Q1973">
        <v>2</v>
      </c>
      <c r="R1973">
        <v>80</v>
      </c>
      <c r="S1973">
        <v>11.672429671801741</v>
      </c>
      <c r="T1973">
        <v>0.81481481790542598</v>
      </c>
    </row>
    <row r="1974" spans="1:20" x14ac:dyDescent="0.25">
      <c r="A1974" t="s">
        <v>314</v>
      </c>
      <c r="B1974">
        <v>5</v>
      </c>
      <c r="C1974">
        <v>4</v>
      </c>
      <c r="D1974">
        <v>0</v>
      </c>
      <c r="E1974" t="s">
        <v>331</v>
      </c>
      <c r="F1974">
        <v>8217</v>
      </c>
      <c r="G1974">
        <v>13983644.666666666</v>
      </c>
      <c r="H1974">
        <v>0.73703705271085107</v>
      </c>
      <c r="I1974">
        <v>0.66666666666666663</v>
      </c>
      <c r="J1974">
        <v>3623415.3333333335</v>
      </c>
      <c r="K1974">
        <v>14323</v>
      </c>
      <c r="L1974">
        <v>2</v>
      </c>
      <c r="M1974">
        <v>80</v>
      </c>
      <c r="N1974">
        <v>0.71851851851851856</v>
      </c>
      <c r="O1974">
        <v>4662558.5</v>
      </c>
      <c r="P1974">
        <v>14664</v>
      </c>
      <c r="Q1974">
        <v>2</v>
      </c>
      <c r="R1974">
        <v>81</v>
      </c>
      <c r="S1974">
        <v>11.672218967104712</v>
      </c>
      <c r="T1974">
        <v>0.82962963581085203</v>
      </c>
    </row>
    <row r="1975" spans="1:20" x14ac:dyDescent="0.25">
      <c r="A1975" t="s">
        <v>314</v>
      </c>
      <c r="B1975">
        <v>5</v>
      </c>
      <c r="C1975">
        <v>4</v>
      </c>
      <c r="D1975">
        <v>0</v>
      </c>
      <c r="E1975" t="s">
        <v>344</v>
      </c>
      <c r="F1975">
        <v>8551</v>
      </c>
      <c r="G1975">
        <v>14207639.125</v>
      </c>
      <c r="H1975">
        <v>0.68333335220813751</v>
      </c>
      <c r="I1975">
        <v>0.65416666666666667</v>
      </c>
      <c r="J1975">
        <v>4398509.125</v>
      </c>
      <c r="K1975">
        <v>14664</v>
      </c>
      <c r="L1975">
        <v>2</v>
      </c>
      <c r="M1975">
        <v>81</v>
      </c>
      <c r="N1975">
        <v>0.67361111111111105</v>
      </c>
      <c r="O1975">
        <v>4564717.625</v>
      </c>
      <c r="P1975">
        <v>15009</v>
      </c>
      <c r="Q1975">
        <v>2</v>
      </c>
      <c r="R1975">
        <v>82</v>
      </c>
      <c r="S1975">
        <v>11.671267252195735</v>
      </c>
      <c r="T1975">
        <v>0.78518518606821697</v>
      </c>
    </row>
    <row r="1976" spans="1:20" x14ac:dyDescent="0.25">
      <c r="A1976" t="s">
        <v>314</v>
      </c>
      <c r="B1976">
        <v>5</v>
      </c>
      <c r="C1976">
        <v>4</v>
      </c>
      <c r="D1976">
        <v>0</v>
      </c>
      <c r="E1976" t="s">
        <v>337</v>
      </c>
      <c r="F1976">
        <v>8697</v>
      </c>
      <c r="G1976">
        <v>13092491.833333334</v>
      </c>
      <c r="H1976">
        <v>0.71481483181317651</v>
      </c>
      <c r="I1976">
        <v>0.70370370370370372</v>
      </c>
      <c r="J1976">
        <v>5781446.833333333</v>
      </c>
      <c r="K1976">
        <v>15009</v>
      </c>
      <c r="L1976">
        <v>2</v>
      </c>
      <c r="M1976">
        <v>82</v>
      </c>
      <c r="N1976">
        <v>0.62592592592592589</v>
      </c>
      <c r="O1976">
        <v>2730657.8333333335</v>
      </c>
      <c r="P1976">
        <v>15358</v>
      </c>
      <c r="Q1976">
        <v>2</v>
      </c>
      <c r="R1976">
        <v>83</v>
      </c>
      <c r="S1976">
        <v>11.670764341863189</v>
      </c>
      <c r="T1976">
        <v>0.72592592239379883</v>
      </c>
    </row>
    <row r="1977" spans="1:20" x14ac:dyDescent="0.25">
      <c r="A1977" t="s">
        <v>314</v>
      </c>
      <c r="B1977">
        <v>5</v>
      </c>
      <c r="C1977">
        <v>4</v>
      </c>
      <c r="D1977">
        <v>0</v>
      </c>
      <c r="E1977" t="s">
        <v>338</v>
      </c>
      <c r="F1977">
        <v>9179</v>
      </c>
      <c r="G1977">
        <v>14371397.090909092</v>
      </c>
      <c r="H1977">
        <v>0.72929294542832812</v>
      </c>
      <c r="I1977">
        <v>0.64040404040404042</v>
      </c>
      <c r="J1977">
        <v>5370897.0909090908</v>
      </c>
      <c r="K1977">
        <v>15711</v>
      </c>
      <c r="L1977">
        <v>2</v>
      </c>
      <c r="M1977">
        <v>84</v>
      </c>
      <c r="N1977">
        <v>0.69494949494949498</v>
      </c>
      <c r="O1977">
        <v>4982701.6363636367</v>
      </c>
      <c r="P1977">
        <v>16068</v>
      </c>
      <c r="Q1977">
        <v>2</v>
      </c>
      <c r="R1977">
        <v>85</v>
      </c>
      <c r="S1977">
        <v>11.670121619927279</v>
      </c>
      <c r="T1977">
        <v>0.88148148655891423</v>
      </c>
    </row>
    <row r="1978" spans="1:20" x14ac:dyDescent="0.25">
      <c r="A1978" t="s">
        <v>314</v>
      </c>
      <c r="B1978">
        <v>5</v>
      </c>
      <c r="C1978">
        <v>4</v>
      </c>
      <c r="D1978">
        <v>0</v>
      </c>
      <c r="E1978" t="s">
        <v>352</v>
      </c>
      <c r="F1978">
        <v>9369</v>
      </c>
      <c r="G1978">
        <v>21278563.818181816</v>
      </c>
      <c r="H1978">
        <v>0.73535354841839184</v>
      </c>
      <c r="I1978">
        <v>0.68888888888888888</v>
      </c>
      <c r="J1978">
        <v>3235892</v>
      </c>
      <c r="K1978">
        <v>16068</v>
      </c>
      <c r="L1978">
        <v>2</v>
      </c>
      <c r="M1978">
        <v>85</v>
      </c>
      <c r="N1978">
        <v>0.69292929292929295</v>
      </c>
      <c r="O1978">
        <v>4044053.9090909092</v>
      </c>
      <c r="P1978">
        <v>16429</v>
      </c>
      <c r="Q1978">
        <v>2</v>
      </c>
      <c r="R1978">
        <v>86</v>
      </c>
      <c r="S1978">
        <v>11.672069512908347</v>
      </c>
      <c r="T1978">
        <v>0.80740740895271301</v>
      </c>
    </row>
    <row r="1979" spans="1:20" x14ac:dyDescent="0.25">
      <c r="A1979" t="s">
        <v>314</v>
      </c>
      <c r="B1979">
        <v>5</v>
      </c>
      <c r="C1979">
        <v>4</v>
      </c>
      <c r="D1979">
        <v>0</v>
      </c>
      <c r="E1979" t="s">
        <v>346</v>
      </c>
      <c r="F1979">
        <v>9611</v>
      </c>
      <c r="G1979">
        <v>23774507.166666668</v>
      </c>
      <c r="H1979">
        <v>0.74814816315968835</v>
      </c>
      <c r="I1979">
        <v>0.68888888888888888</v>
      </c>
      <c r="J1979">
        <v>3971622.1666666665</v>
      </c>
      <c r="K1979">
        <v>16429</v>
      </c>
      <c r="L1979">
        <v>2</v>
      </c>
      <c r="M1979">
        <v>86</v>
      </c>
      <c r="N1979">
        <v>0.6518518518518519</v>
      </c>
      <c r="O1979">
        <v>2148350</v>
      </c>
      <c r="P1979">
        <v>16794</v>
      </c>
      <c r="Q1979">
        <v>2</v>
      </c>
      <c r="R1979">
        <v>87</v>
      </c>
      <c r="S1979">
        <v>11.673613431339794</v>
      </c>
      <c r="T1979">
        <v>0.88148148059844966</v>
      </c>
    </row>
    <row r="1980" spans="1:20" x14ac:dyDescent="0.25">
      <c r="A1980" t="s">
        <v>314</v>
      </c>
      <c r="B1980">
        <v>5</v>
      </c>
      <c r="C1980">
        <v>4</v>
      </c>
      <c r="D1980">
        <v>0</v>
      </c>
      <c r="E1980" t="s">
        <v>353</v>
      </c>
      <c r="F1980">
        <v>9947</v>
      </c>
      <c r="G1980">
        <v>18053177</v>
      </c>
      <c r="H1980">
        <v>0.77777779102325439</v>
      </c>
      <c r="I1980">
        <v>0.67407407407407405</v>
      </c>
      <c r="J1980">
        <v>4753548.166666667</v>
      </c>
      <c r="K1980">
        <v>17163</v>
      </c>
      <c r="L1980">
        <v>2</v>
      </c>
      <c r="M1980">
        <v>88</v>
      </c>
      <c r="N1980">
        <v>0.67777777777777781</v>
      </c>
      <c r="O1980">
        <v>3233829.1666666665</v>
      </c>
      <c r="P1980">
        <v>17536</v>
      </c>
      <c r="Q1980">
        <v>2</v>
      </c>
      <c r="R1980">
        <v>89</v>
      </c>
      <c r="S1980">
        <v>11.674029227557412</v>
      </c>
      <c r="T1980">
        <v>0.80740741491317747</v>
      </c>
    </row>
    <row r="1981" spans="1:20" x14ac:dyDescent="0.25">
      <c r="A1981" t="s">
        <v>314</v>
      </c>
      <c r="B1981">
        <v>5</v>
      </c>
      <c r="C1981">
        <v>4</v>
      </c>
      <c r="D1981">
        <v>0</v>
      </c>
      <c r="E1981" t="s">
        <v>347</v>
      </c>
      <c r="F1981">
        <v>10141</v>
      </c>
      <c r="G1981">
        <v>15306700.166666666</v>
      </c>
      <c r="H1981">
        <v>0.77037038405736291</v>
      </c>
      <c r="I1981">
        <v>0.6962962962962963</v>
      </c>
      <c r="J1981">
        <v>5274274.5</v>
      </c>
      <c r="K1981">
        <v>17536</v>
      </c>
      <c r="L1981">
        <v>2</v>
      </c>
      <c r="M1981">
        <v>89</v>
      </c>
      <c r="N1981">
        <v>0.67777777777777781</v>
      </c>
      <c r="O1981">
        <v>3592872.1666666665</v>
      </c>
      <c r="P1981">
        <v>17913</v>
      </c>
      <c r="Q1981">
        <v>2</v>
      </c>
      <c r="R1981">
        <v>90</v>
      </c>
      <c r="S1981">
        <v>11.673860410753047</v>
      </c>
      <c r="T1981">
        <v>0.81481481790542598</v>
      </c>
    </row>
    <row r="1982" spans="1:20" x14ac:dyDescent="0.25">
      <c r="A1982" t="s">
        <v>314</v>
      </c>
      <c r="B1982">
        <v>5</v>
      </c>
      <c r="C1982">
        <v>4</v>
      </c>
      <c r="D1982">
        <v>0</v>
      </c>
      <c r="E1982" t="s">
        <v>354</v>
      </c>
      <c r="F1982">
        <v>10525</v>
      </c>
      <c r="G1982">
        <v>13653927.666666666</v>
      </c>
      <c r="H1982">
        <v>0.74814815819263458</v>
      </c>
      <c r="I1982">
        <v>0.69259259259259254</v>
      </c>
      <c r="J1982">
        <v>5598633.333333333</v>
      </c>
      <c r="K1982">
        <v>18294</v>
      </c>
      <c r="L1982">
        <v>2</v>
      </c>
      <c r="M1982">
        <v>91</v>
      </c>
      <c r="N1982">
        <v>0.70370370370370372</v>
      </c>
      <c r="O1982">
        <v>6044505.166666667</v>
      </c>
      <c r="P1982">
        <v>18679</v>
      </c>
      <c r="Q1982">
        <v>2</v>
      </c>
      <c r="R1982">
        <v>92</v>
      </c>
      <c r="S1982">
        <v>11.673274351055838</v>
      </c>
      <c r="T1982">
        <v>0.80740741491317747</v>
      </c>
    </row>
    <row r="1983" spans="1:20" x14ac:dyDescent="0.25">
      <c r="A1983" t="s">
        <v>314</v>
      </c>
      <c r="B1983">
        <v>5</v>
      </c>
      <c r="C1983">
        <v>4</v>
      </c>
      <c r="D1983">
        <v>0</v>
      </c>
      <c r="E1983" t="s">
        <v>355</v>
      </c>
      <c r="F1983">
        <v>11103</v>
      </c>
      <c r="G1983">
        <v>22028387.333333332</v>
      </c>
      <c r="H1983">
        <v>0.75555556515852607</v>
      </c>
      <c r="I1983">
        <v>0.65925925925925932</v>
      </c>
      <c r="J1983">
        <v>9099540.166666666</v>
      </c>
      <c r="K1983">
        <v>19068</v>
      </c>
      <c r="L1983">
        <v>2</v>
      </c>
      <c r="M1983">
        <v>93</v>
      </c>
      <c r="N1983">
        <v>0.73333333333333328</v>
      </c>
      <c r="O1983">
        <v>20443359.666666668</v>
      </c>
      <c r="P1983">
        <v>19461</v>
      </c>
      <c r="Q1983">
        <v>2</v>
      </c>
      <c r="R1983">
        <v>94</v>
      </c>
      <c r="S1983">
        <v>11.674107142857142</v>
      </c>
      <c r="T1983">
        <v>0.85185184478759768</v>
      </c>
    </row>
    <row r="1984" spans="1:20" x14ac:dyDescent="0.25">
      <c r="A1984" t="s">
        <v>314</v>
      </c>
      <c r="B1984">
        <v>5</v>
      </c>
      <c r="C1984">
        <v>5</v>
      </c>
      <c r="D1984">
        <v>0</v>
      </c>
      <c r="E1984" t="s">
        <v>355</v>
      </c>
      <c r="F1984">
        <v>12024</v>
      </c>
      <c r="G1984">
        <v>16363306.666666666</v>
      </c>
      <c r="H1984">
        <v>0.72592594226201379</v>
      </c>
      <c r="I1984">
        <v>0.67777777777777781</v>
      </c>
      <c r="J1984">
        <v>17670062.166666668</v>
      </c>
      <c r="K1984">
        <v>21903</v>
      </c>
      <c r="L1984">
        <v>2</v>
      </c>
      <c r="M1984">
        <v>100</v>
      </c>
      <c r="N1984">
        <v>0.7592592592592593</v>
      </c>
      <c r="O1984">
        <v>21877145.166666668</v>
      </c>
      <c r="P1984">
        <v>22324</v>
      </c>
      <c r="Q1984">
        <v>2</v>
      </c>
      <c r="R1984">
        <v>101</v>
      </c>
      <c r="S1984">
        <v>11.673896721448235</v>
      </c>
      <c r="T1984">
        <v>0.83703703880310054</v>
      </c>
    </row>
    <row r="1985" spans="1:20" x14ac:dyDescent="0.25">
      <c r="A1985" t="s">
        <v>314</v>
      </c>
      <c r="B1985">
        <v>5</v>
      </c>
      <c r="C1985">
        <v>5</v>
      </c>
      <c r="D1985">
        <v>0</v>
      </c>
      <c r="E1985" t="s">
        <v>360</v>
      </c>
      <c r="F1985">
        <v>1884</v>
      </c>
      <c r="G1985">
        <v>13749171</v>
      </c>
      <c r="H1985">
        <v>0.64814816912015283</v>
      </c>
      <c r="I1985">
        <v>0.70740740740740737</v>
      </c>
      <c r="J1985">
        <v>15476083.333333334</v>
      </c>
      <c r="K1985">
        <v>3444</v>
      </c>
      <c r="L1985">
        <v>2</v>
      </c>
      <c r="M1985">
        <v>37</v>
      </c>
      <c r="N1985">
        <v>0.72222222222222221</v>
      </c>
      <c r="O1985">
        <v>17693455.333333332</v>
      </c>
      <c r="P1985">
        <v>3613</v>
      </c>
      <c r="Q1985">
        <v>2</v>
      </c>
      <c r="R1985">
        <v>38</v>
      </c>
      <c r="S1985">
        <v>11.673352793994995</v>
      </c>
      <c r="T1985">
        <v>0.79999998807907102</v>
      </c>
    </row>
    <row r="1986" spans="1:20" x14ac:dyDescent="0.25">
      <c r="A1986" t="s">
        <v>314</v>
      </c>
      <c r="B1986">
        <v>5</v>
      </c>
      <c r="C1986">
        <v>5</v>
      </c>
      <c r="D1986">
        <v>0</v>
      </c>
      <c r="E1986" t="s">
        <v>315</v>
      </c>
      <c r="F1986">
        <v>2302</v>
      </c>
      <c r="G1986">
        <v>5567240.333333333</v>
      </c>
      <c r="H1986">
        <v>0.87777778506278992</v>
      </c>
      <c r="I1986">
        <v>0.65555555555555556</v>
      </c>
      <c r="J1986">
        <v>268016.16666666669</v>
      </c>
      <c r="K1986">
        <v>4144</v>
      </c>
      <c r="L1986">
        <v>2</v>
      </c>
      <c r="M1986">
        <v>41</v>
      </c>
      <c r="N1986">
        <v>0.70370370370370372</v>
      </c>
      <c r="O1986">
        <v>280435</v>
      </c>
      <c r="P1986">
        <v>4329</v>
      </c>
      <c r="Q1986">
        <v>2</v>
      </c>
      <c r="R1986">
        <v>42</v>
      </c>
      <c r="S1986">
        <v>11.672850829650629</v>
      </c>
      <c r="T1986">
        <v>0.93333333730697632</v>
      </c>
    </row>
    <row r="1987" spans="1:20" x14ac:dyDescent="0.25">
      <c r="A1987" t="s">
        <v>314</v>
      </c>
      <c r="B1987">
        <v>5</v>
      </c>
      <c r="C1987">
        <v>5</v>
      </c>
      <c r="D1987">
        <v>0</v>
      </c>
      <c r="E1987" t="s">
        <v>324</v>
      </c>
      <c r="F1987">
        <v>2720</v>
      </c>
      <c r="G1987">
        <v>5720219.166666667</v>
      </c>
      <c r="H1987">
        <v>0.90740741292635596</v>
      </c>
      <c r="I1987">
        <v>0.77037037037037037</v>
      </c>
      <c r="J1987">
        <v>281528.5</v>
      </c>
      <c r="K1987">
        <v>4908</v>
      </c>
      <c r="L1987">
        <v>2</v>
      </c>
      <c r="M1987">
        <v>45</v>
      </c>
      <c r="N1987">
        <v>0.6962962962962963</v>
      </c>
      <c r="O1987">
        <v>290861.33333333331</v>
      </c>
      <c r="P1987">
        <v>5109</v>
      </c>
      <c r="Q1987">
        <v>2</v>
      </c>
      <c r="R1987">
        <v>46</v>
      </c>
      <c r="S1987">
        <v>11.672182394131378</v>
      </c>
      <c r="T1987">
        <v>0.96296296119689939</v>
      </c>
    </row>
    <row r="1988" spans="1:20" x14ac:dyDescent="0.25">
      <c r="A1988" t="s">
        <v>314</v>
      </c>
      <c r="B1988">
        <v>5</v>
      </c>
      <c r="C1988">
        <v>5</v>
      </c>
      <c r="D1988">
        <v>0</v>
      </c>
      <c r="E1988" t="s">
        <v>332</v>
      </c>
      <c r="F1988">
        <v>3138</v>
      </c>
      <c r="G1988">
        <v>7075399.5</v>
      </c>
      <c r="H1988">
        <v>0.91111111640930176</v>
      </c>
      <c r="I1988">
        <v>0.67407407407407405</v>
      </c>
      <c r="J1988">
        <v>349371</v>
      </c>
      <c r="K1988">
        <v>5736</v>
      </c>
      <c r="L1988">
        <v>2</v>
      </c>
      <c r="M1988">
        <v>49</v>
      </c>
      <c r="N1988">
        <v>0.64814814814814814</v>
      </c>
      <c r="O1988">
        <v>301736.16666666669</v>
      </c>
      <c r="P1988">
        <v>5953</v>
      </c>
      <c r="Q1988">
        <v>2</v>
      </c>
      <c r="R1988">
        <v>50</v>
      </c>
      <c r="S1988">
        <v>11.671764313692808</v>
      </c>
      <c r="T1988">
        <v>0.96296297311782841</v>
      </c>
    </row>
    <row r="1989" spans="1:20" x14ac:dyDescent="0.25">
      <c r="A1989" t="s">
        <v>314</v>
      </c>
      <c r="B1989">
        <v>5</v>
      </c>
      <c r="C1989">
        <v>5</v>
      </c>
      <c r="D1989">
        <v>0</v>
      </c>
      <c r="E1989" t="s">
        <v>339</v>
      </c>
      <c r="F1989">
        <v>3556</v>
      </c>
      <c r="G1989">
        <v>7374190.5</v>
      </c>
      <c r="H1989">
        <v>0.87407408157984412</v>
      </c>
      <c r="I1989">
        <v>0.67407407407407405</v>
      </c>
      <c r="J1989">
        <v>376649.16666666669</v>
      </c>
      <c r="K1989">
        <v>6399</v>
      </c>
      <c r="L1989">
        <v>2</v>
      </c>
      <c r="M1989">
        <v>52</v>
      </c>
      <c r="N1989">
        <v>0.67777777777777781</v>
      </c>
      <c r="O1989">
        <v>340362.66666666669</v>
      </c>
      <c r="P1989">
        <v>6628</v>
      </c>
      <c r="Q1989">
        <v>2</v>
      </c>
      <c r="R1989">
        <v>53</v>
      </c>
      <c r="S1989">
        <v>11.671471421429763</v>
      </c>
      <c r="T1989">
        <v>0.93333333730697632</v>
      </c>
    </row>
    <row r="1990" spans="1:20" x14ac:dyDescent="0.25">
      <c r="A1990" t="s">
        <v>314</v>
      </c>
      <c r="B1990">
        <v>5</v>
      </c>
      <c r="C1990">
        <v>5</v>
      </c>
      <c r="D1990">
        <v>0</v>
      </c>
      <c r="E1990" t="s">
        <v>348</v>
      </c>
      <c r="F1990">
        <v>3974</v>
      </c>
      <c r="G1990">
        <v>7272503.666666667</v>
      </c>
      <c r="H1990">
        <v>0.82222223281860352</v>
      </c>
      <c r="I1990">
        <v>0.64444444444444438</v>
      </c>
      <c r="J1990">
        <v>360044</v>
      </c>
      <c r="K1990">
        <v>7098</v>
      </c>
      <c r="L1990">
        <v>2</v>
      </c>
      <c r="M1990">
        <v>55</v>
      </c>
      <c r="N1990">
        <v>0.67037037037037039</v>
      </c>
      <c r="O1990">
        <v>382518</v>
      </c>
      <c r="P1990">
        <v>7339</v>
      </c>
      <c r="Q1990">
        <v>2</v>
      </c>
      <c r="R1990">
        <v>56</v>
      </c>
      <c r="S1990">
        <v>11.670887130362349</v>
      </c>
      <c r="T1990">
        <v>0.86666666269302373</v>
      </c>
    </row>
    <row r="1991" spans="1:20" x14ac:dyDescent="0.25">
      <c r="A1991" t="s">
        <v>314</v>
      </c>
      <c r="B1991">
        <v>5</v>
      </c>
      <c r="C1991">
        <v>5</v>
      </c>
      <c r="D1991">
        <v>0</v>
      </c>
      <c r="E1991" t="s">
        <v>356</v>
      </c>
      <c r="F1991">
        <v>4392</v>
      </c>
      <c r="G1991">
        <v>6682948.5</v>
      </c>
      <c r="H1991">
        <v>0.76666668057441711</v>
      </c>
      <c r="I1991">
        <v>0.71851851851851856</v>
      </c>
      <c r="J1991">
        <v>379422</v>
      </c>
      <c r="K1991">
        <v>8086</v>
      </c>
      <c r="L1991">
        <v>2</v>
      </c>
      <c r="M1991">
        <v>59</v>
      </c>
      <c r="N1991">
        <v>0.71851851851851856</v>
      </c>
      <c r="O1991">
        <v>379388.16666666669</v>
      </c>
      <c r="P1991">
        <v>8343</v>
      </c>
      <c r="Q1991">
        <v>2</v>
      </c>
      <c r="R1991">
        <v>60</v>
      </c>
      <c r="S1991">
        <v>11.669970019986675</v>
      </c>
      <c r="T1991">
        <v>0.85925927162170412</v>
      </c>
    </row>
    <row r="1992" spans="1:20" x14ac:dyDescent="0.25">
      <c r="A1992" t="s">
        <v>314</v>
      </c>
      <c r="B1992">
        <v>5</v>
      </c>
      <c r="C1992">
        <v>5</v>
      </c>
      <c r="D1992">
        <v>0</v>
      </c>
      <c r="E1992" t="s">
        <v>357</v>
      </c>
      <c r="F1992">
        <v>4810</v>
      </c>
      <c r="G1992">
        <v>7327496.666666667</v>
      </c>
      <c r="H1992">
        <v>0.82222223281860352</v>
      </c>
      <c r="I1992">
        <v>0.6962962962962963</v>
      </c>
      <c r="J1992">
        <v>413776.5</v>
      </c>
      <c r="K1992">
        <v>8604</v>
      </c>
      <c r="L1992">
        <v>2</v>
      </c>
      <c r="M1992">
        <v>61</v>
      </c>
      <c r="N1992">
        <v>0.79259259259259263</v>
      </c>
      <c r="O1992">
        <v>393938.5</v>
      </c>
      <c r="P1992">
        <v>8869</v>
      </c>
      <c r="Q1992">
        <v>2</v>
      </c>
      <c r="R1992">
        <v>62</v>
      </c>
      <c r="S1992">
        <v>11.669303138789443</v>
      </c>
      <c r="T1992">
        <v>0.92592592239379878</v>
      </c>
    </row>
    <row r="1993" spans="1:20" x14ac:dyDescent="0.25">
      <c r="A1993" t="s">
        <v>314</v>
      </c>
      <c r="B1993">
        <v>5</v>
      </c>
      <c r="C1993">
        <v>5</v>
      </c>
      <c r="D1993">
        <v>0</v>
      </c>
      <c r="E1993" t="s">
        <v>316</v>
      </c>
      <c r="F1993">
        <v>4930</v>
      </c>
      <c r="G1993">
        <v>7617811.833333333</v>
      </c>
      <c r="H1993">
        <v>0.77777778605620063</v>
      </c>
      <c r="I1993">
        <v>0.75555555555555554</v>
      </c>
      <c r="J1993">
        <v>413174.66666666669</v>
      </c>
      <c r="K1993">
        <v>8869</v>
      </c>
      <c r="L1993">
        <v>2</v>
      </c>
      <c r="M1993">
        <v>62</v>
      </c>
      <c r="N1993">
        <v>0.72222222222222221</v>
      </c>
      <c r="O1993">
        <v>986270.66666666663</v>
      </c>
      <c r="P1993">
        <v>9138</v>
      </c>
      <c r="Q1993">
        <v>2</v>
      </c>
      <c r="R1993">
        <v>63</v>
      </c>
      <c r="S1993">
        <v>11.668553354419844</v>
      </c>
      <c r="T1993">
        <v>0.91111111640930176</v>
      </c>
    </row>
    <row r="1994" spans="1:20" x14ac:dyDescent="0.25">
      <c r="A1994" t="s">
        <v>314</v>
      </c>
      <c r="B1994">
        <v>5</v>
      </c>
      <c r="C1994">
        <v>5</v>
      </c>
      <c r="D1994">
        <v>0</v>
      </c>
      <c r="E1994" t="s">
        <v>358</v>
      </c>
      <c r="F1994">
        <v>5228</v>
      </c>
      <c r="G1994">
        <v>10594253.833333334</v>
      </c>
      <c r="H1994">
        <v>0.57407408456007636</v>
      </c>
      <c r="I1994">
        <v>0.67777777777777781</v>
      </c>
      <c r="J1994">
        <v>862508</v>
      </c>
      <c r="K1994">
        <v>9411</v>
      </c>
      <c r="L1994">
        <v>2</v>
      </c>
      <c r="M1994">
        <v>64</v>
      </c>
      <c r="N1994">
        <v>0.72962962962962963</v>
      </c>
      <c r="O1994">
        <v>7635867.666666667</v>
      </c>
      <c r="P1994">
        <v>9688</v>
      </c>
      <c r="Q1994">
        <v>2</v>
      </c>
      <c r="R1994">
        <v>65</v>
      </c>
      <c r="S1994">
        <v>11.667845552134477</v>
      </c>
      <c r="T1994">
        <v>0.75555555820465092</v>
      </c>
    </row>
    <row r="1995" spans="1:20" x14ac:dyDescent="0.25">
      <c r="A1995" t="s">
        <v>314</v>
      </c>
      <c r="B1995">
        <v>5</v>
      </c>
      <c r="C1995">
        <v>5</v>
      </c>
      <c r="D1995">
        <v>0</v>
      </c>
      <c r="E1995" t="s">
        <v>317</v>
      </c>
      <c r="F1995">
        <v>5348</v>
      </c>
      <c r="G1995">
        <v>6965054.833333333</v>
      </c>
      <c r="H1995">
        <v>0.8888888955116272</v>
      </c>
      <c r="I1995">
        <v>0.70740740740740737</v>
      </c>
      <c r="J1995">
        <v>5525110.5</v>
      </c>
      <c r="K1995">
        <v>9688</v>
      </c>
      <c r="L1995">
        <v>2</v>
      </c>
      <c r="M1995">
        <v>65</v>
      </c>
      <c r="N1995">
        <v>0.66666666666666663</v>
      </c>
      <c r="O1995">
        <v>4828229</v>
      </c>
      <c r="P1995">
        <v>9969</v>
      </c>
      <c r="Q1995">
        <v>2</v>
      </c>
      <c r="R1995">
        <v>66</v>
      </c>
      <c r="S1995">
        <v>11.667138103161397</v>
      </c>
      <c r="T1995">
        <v>0.90370370149612422</v>
      </c>
    </row>
    <row r="1996" spans="1:20" x14ac:dyDescent="0.25">
      <c r="A1996" t="s">
        <v>314</v>
      </c>
      <c r="B1996">
        <v>5</v>
      </c>
      <c r="C1996">
        <v>5</v>
      </c>
      <c r="D1996">
        <v>0</v>
      </c>
      <c r="E1996" t="s">
        <v>359</v>
      </c>
      <c r="F1996">
        <v>5646</v>
      </c>
      <c r="G1996">
        <v>9301937</v>
      </c>
      <c r="H1996">
        <v>0.58518520494302118</v>
      </c>
      <c r="I1996">
        <v>0.71111111111111114</v>
      </c>
      <c r="J1996">
        <v>5771301.666666667</v>
      </c>
      <c r="K1996">
        <v>10254</v>
      </c>
      <c r="L1996">
        <v>2</v>
      </c>
      <c r="M1996">
        <v>67</v>
      </c>
      <c r="N1996">
        <v>0.6518518518518519</v>
      </c>
      <c r="O1996">
        <v>3039967.5</v>
      </c>
      <c r="P1996">
        <v>10543</v>
      </c>
      <c r="Q1996">
        <v>2</v>
      </c>
      <c r="R1996">
        <v>68</v>
      </c>
      <c r="S1996">
        <v>11.666139898527822</v>
      </c>
      <c r="T1996">
        <v>0.70370370149612427</v>
      </c>
    </row>
    <row r="1997" spans="1:20" x14ac:dyDescent="0.25">
      <c r="A1997" t="s">
        <v>314</v>
      </c>
      <c r="B1997">
        <v>5</v>
      </c>
      <c r="C1997">
        <v>5</v>
      </c>
      <c r="D1997">
        <v>0</v>
      </c>
      <c r="E1997" t="s">
        <v>318</v>
      </c>
      <c r="F1997">
        <v>5766</v>
      </c>
      <c r="G1997">
        <v>11799420.181818182</v>
      </c>
      <c r="H1997">
        <v>0.74343435601754626</v>
      </c>
      <c r="I1997">
        <v>0.67474747474747476</v>
      </c>
      <c r="J1997">
        <v>4763348.4545454541</v>
      </c>
      <c r="K1997">
        <v>10543</v>
      </c>
      <c r="L1997">
        <v>2</v>
      </c>
      <c r="M1997">
        <v>68</v>
      </c>
      <c r="N1997">
        <v>0.74747474747474751</v>
      </c>
      <c r="O1997">
        <v>2647031.9090909092</v>
      </c>
      <c r="P1997">
        <v>10836</v>
      </c>
      <c r="Q1997">
        <v>2</v>
      </c>
      <c r="R1997">
        <v>69</v>
      </c>
      <c r="S1997">
        <v>11.665585900153802</v>
      </c>
      <c r="T1997">
        <v>0.84814816117286684</v>
      </c>
    </row>
    <row r="1998" spans="1:20" x14ac:dyDescent="0.25">
      <c r="A1998" t="s">
        <v>314</v>
      </c>
      <c r="B1998">
        <v>5</v>
      </c>
      <c r="C1998">
        <v>5</v>
      </c>
      <c r="D1998">
        <v>0</v>
      </c>
      <c r="E1998" t="s">
        <v>319</v>
      </c>
      <c r="F1998">
        <v>6184</v>
      </c>
      <c r="G1998">
        <v>12121302.833333334</v>
      </c>
      <c r="H1998">
        <v>0.61851853132247925</v>
      </c>
      <c r="I1998">
        <v>0.6518518518518519</v>
      </c>
      <c r="J1998">
        <v>5485176.5</v>
      </c>
      <c r="K1998">
        <v>11133</v>
      </c>
      <c r="L1998">
        <v>2</v>
      </c>
      <c r="M1998">
        <v>70</v>
      </c>
      <c r="N1998">
        <v>0.64074074074074072</v>
      </c>
      <c r="O1998">
        <v>3139575.5</v>
      </c>
      <c r="P1998">
        <v>11434</v>
      </c>
      <c r="Q1998">
        <v>2</v>
      </c>
      <c r="R1998">
        <v>71</v>
      </c>
      <c r="S1998">
        <v>11.665004363545693</v>
      </c>
      <c r="T1998">
        <v>0.69629629850387575</v>
      </c>
    </row>
    <row r="1999" spans="1:20" x14ac:dyDescent="0.25">
      <c r="A1999" t="s">
        <v>314</v>
      </c>
      <c r="B1999">
        <v>5</v>
      </c>
      <c r="C1999">
        <v>5</v>
      </c>
      <c r="D1999">
        <v>0</v>
      </c>
      <c r="E1999" t="s">
        <v>333</v>
      </c>
      <c r="F1999">
        <v>6286</v>
      </c>
      <c r="G1999">
        <v>10599197.272727273</v>
      </c>
      <c r="H1999">
        <v>0.55757577581839124</v>
      </c>
      <c r="I1999">
        <v>0.60404040404040404</v>
      </c>
      <c r="J1999">
        <v>5793595</v>
      </c>
      <c r="K1999">
        <v>11434</v>
      </c>
      <c r="L1999">
        <v>2</v>
      </c>
      <c r="M1999">
        <v>71</v>
      </c>
      <c r="N1999">
        <v>0.61616161616161613</v>
      </c>
      <c r="O1999">
        <v>2326150.0909090908</v>
      </c>
      <c r="P1999">
        <v>11739</v>
      </c>
      <c r="Q1999">
        <v>2</v>
      </c>
      <c r="R1999">
        <v>72</v>
      </c>
      <c r="S1999">
        <v>11.663246656143558</v>
      </c>
      <c r="T1999">
        <v>0.76666665673255918</v>
      </c>
    </row>
    <row r="2000" spans="1:20" x14ac:dyDescent="0.25">
      <c r="A2000" t="s">
        <v>314</v>
      </c>
      <c r="B2000">
        <v>5</v>
      </c>
      <c r="C2000">
        <v>5</v>
      </c>
      <c r="D2000">
        <v>0</v>
      </c>
      <c r="E2000" t="s">
        <v>320</v>
      </c>
      <c r="F2000">
        <v>6602</v>
      </c>
      <c r="G2000">
        <v>18273947.166666668</v>
      </c>
      <c r="H2000">
        <v>0.76296297709147132</v>
      </c>
      <c r="I2000">
        <v>0.66666666666666663</v>
      </c>
      <c r="J2000">
        <v>3028797.3333333335</v>
      </c>
      <c r="K2000">
        <v>12048</v>
      </c>
      <c r="L2000">
        <v>2</v>
      </c>
      <c r="M2000">
        <v>73</v>
      </c>
      <c r="N2000">
        <v>0.64814814814814814</v>
      </c>
      <c r="O2000">
        <v>3061085.6666666665</v>
      </c>
      <c r="P2000">
        <v>12361</v>
      </c>
      <c r="Q2000">
        <v>2</v>
      </c>
      <c r="R2000">
        <v>74</v>
      </c>
      <c r="S2000">
        <v>11.663828903654485</v>
      </c>
      <c r="T2000">
        <v>0.83703703880310054</v>
      </c>
    </row>
    <row r="2001" spans="1:20" x14ac:dyDescent="0.25">
      <c r="A2001" t="s">
        <v>314</v>
      </c>
      <c r="B2001">
        <v>5</v>
      </c>
      <c r="C2001">
        <v>5</v>
      </c>
      <c r="D2001">
        <v>0</v>
      </c>
      <c r="E2001" t="s">
        <v>334</v>
      </c>
      <c r="F2001">
        <v>6808</v>
      </c>
      <c r="G2001">
        <v>15606147.545454545</v>
      </c>
      <c r="H2001">
        <v>0.71515153212980787</v>
      </c>
      <c r="I2001">
        <v>0.69696969696969691</v>
      </c>
      <c r="J2001">
        <v>5212018</v>
      </c>
      <c r="K2001">
        <v>12361</v>
      </c>
      <c r="L2001">
        <v>2</v>
      </c>
      <c r="M2001">
        <v>74</v>
      </c>
      <c r="N2001">
        <v>0.6767676767676768</v>
      </c>
      <c r="O2001">
        <v>2701548.3636363638</v>
      </c>
      <c r="P2001">
        <v>12678</v>
      </c>
      <c r="Q2001">
        <v>2</v>
      </c>
      <c r="R2001">
        <v>75</v>
      </c>
      <c r="S2001">
        <v>11.663774853679797</v>
      </c>
      <c r="T2001">
        <v>0.83333333730697634</v>
      </c>
    </row>
    <row r="2002" spans="1:20" x14ac:dyDescent="0.25">
      <c r="A2002" t="s">
        <v>314</v>
      </c>
      <c r="B2002">
        <v>5</v>
      </c>
      <c r="C2002">
        <v>5</v>
      </c>
      <c r="D2002">
        <v>0</v>
      </c>
      <c r="E2002" t="s">
        <v>321</v>
      </c>
      <c r="F2002">
        <v>7020</v>
      </c>
      <c r="G2002">
        <v>13921216.333333334</v>
      </c>
      <c r="H2002">
        <v>0.6777777920166651</v>
      </c>
      <c r="I2002">
        <v>0.71481481481481479</v>
      </c>
      <c r="J2002">
        <v>5429758.666666667</v>
      </c>
      <c r="K2002">
        <v>12678</v>
      </c>
      <c r="L2002">
        <v>2</v>
      </c>
      <c r="M2002">
        <v>75</v>
      </c>
      <c r="N2002">
        <v>0.65925925925925921</v>
      </c>
      <c r="O2002">
        <v>4428398.5</v>
      </c>
      <c r="P2002">
        <v>12999</v>
      </c>
      <c r="Q2002">
        <v>2</v>
      </c>
      <c r="R2002">
        <v>76</v>
      </c>
      <c r="S2002">
        <v>11.663402083246877</v>
      </c>
      <c r="T2002">
        <v>0.72592592239379883</v>
      </c>
    </row>
    <row r="2003" spans="1:20" x14ac:dyDescent="0.25">
      <c r="A2003" t="s">
        <v>314</v>
      </c>
      <c r="B2003">
        <v>5</v>
      </c>
      <c r="C2003">
        <v>5</v>
      </c>
      <c r="D2003">
        <v>0</v>
      </c>
      <c r="E2003" t="s">
        <v>335</v>
      </c>
      <c r="F2003">
        <v>7330</v>
      </c>
      <c r="G2003">
        <v>13287548.0625</v>
      </c>
      <c r="H2003">
        <v>0.60694445855915546</v>
      </c>
      <c r="I2003">
        <v>0.67638888888888893</v>
      </c>
      <c r="J2003">
        <v>5528601.125</v>
      </c>
      <c r="K2003">
        <v>13324</v>
      </c>
      <c r="L2003">
        <v>2</v>
      </c>
      <c r="M2003">
        <v>77</v>
      </c>
      <c r="N2003">
        <v>0.6791666666666667</v>
      </c>
      <c r="O2003">
        <v>3817403</v>
      </c>
      <c r="P2003">
        <v>13653</v>
      </c>
      <c r="Q2003">
        <v>2</v>
      </c>
      <c r="R2003">
        <v>78</v>
      </c>
      <c r="S2003">
        <v>11.661883631236263</v>
      </c>
      <c r="T2003">
        <v>0.78271604776382442</v>
      </c>
    </row>
    <row r="2004" spans="1:20" x14ac:dyDescent="0.25">
      <c r="A2004" t="s">
        <v>314</v>
      </c>
      <c r="B2004">
        <v>5</v>
      </c>
      <c r="C2004">
        <v>5</v>
      </c>
      <c r="D2004">
        <v>0</v>
      </c>
      <c r="E2004" t="s">
        <v>322</v>
      </c>
      <c r="F2004">
        <v>7438</v>
      </c>
      <c r="G2004">
        <v>17101288.166666668</v>
      </c>
      <c r="H2004">
        <v>0.57037038604418433</v>
      </c>
      <c r="I2004">
        <v>0.67037037037037039</v>
      </c>
      <c r="J2004">
        <v>4792916</v>
      </c>
      <c r="K2004">
        <v>13653</v>
      </c>
      <c r="L2004">
        <v>2</v>
      </c>
      <c r="M2004">
        <v>78</v>
      </c>
      <c r="N2004">
        <v>0.66296296296296298</v>
      </c>
      <c r="O2004">
        <v>2109415.1666666665</v>
      </c>
      <c r="P2004">
        <v>13986</v>
      </c>
      <c r="Q2004">
        <v>2</v>
      </c>
      <c r="R2004">
        <v>79</v>
      </c>
      <c r="S2004">
        <v>11.662133587628011</v>
      </c>
      <c r="T2004">
        <v>0.77777777910232548</v>
      </c>
    </row>
    <row r="2005" spans="1:20" x14ac:dyDescent="0.25">
      <c r="A2005" t="s">
        <v>314</v>
      </c>
      <c r="B2005">
        <v>5</v>
      </c>
      <c r="C2005">
        <v>5</v>
      </c>
      <c r="D2005">
        <v>0</v>
      </c>
      <c r="E2005" t="s">
        <v>349</v>
      </c>
      <c r="F2005">
        <v>7642</v>
      </c>
      <c r="G2005">
        <v>16458040.75</v>
      </c>
      <c r="H2005">
        <v>0.56111112423241138</v>
      </c>
      <c r="I2005">
        <v>0.70833333333333337</v>
      </c>
      <c r="J2005">
        <v>4414209.4375</v>
      </c>
      <c r="K2005">
        <v>13986</v>
      </c>
      <c r="L2005">
        <v>2</v>
      </c>
      <c r="M2005">
        <v>79</v>
      </c>
      <c r="N2005">
        <v>0.70277777777777772</v>
      </c>
      <c r="O2005">
        <v>3580438</v>
      </c>
      <c r="P2005">
        <v>14323</v>
      </c>
      <c r="Q2005">
        <v>2</v>
      </c>
      <c r="R2005">
        <v>80</v>
      </c>
      <c r="S2005">
        <v>11.662233271182929</v>
      </c>
      <c r="T2005">
        <v>0.68148148059844971</v>
      </c>
    </row>
    <row r="2006" spans="1:20" x14ac:dyDescent="0.25">
      <c r="A2006" t="s">
        <v>314</v>
      </c>
      <c r="B2006">
        <v>5</v>
      </c>
      <c r="C2006">
        <v>5</v>
      </c>
      <c r="D2006">
        <v>0</v>
      </c>
      <c r="E2006" t="s">
        <v>323</v>
      </c>
      <c r="F2006">
        <v>7856</v>
      </c>
      <c r="G2006">
        <v>10634195.333333334</v>
      </c>
      <c r="H2006">
        <v>0.52962964276472724</v>
      </c>
      <c r="I2006">
        <v>0.76296296296296295</v>
      </c>
      <c r="J2006">
        <v>4315158.833333333</v>
      </c>
      <c r="K2006">
        <v>14323</v>
      </c>
      <c r="L2006">
        <v>2</v>
      </c>
      <c r="M2006">
        <v>80</v>
      </c>
      <c r="N2006">
        <v>0.72222222222222221</v>
      </c>
      <c r="O2006">
        <v>2354776.6666666665</v>
      </c>
      <c r="P2006">
        <v>14664</v>
      </c>
      <c r="Q2006">
        <v>2</v>
      </c>
      <c r="R2006">
        <v>81</v>
      </c>
      <c r="S2006">
        <v>11.661240213744252</v>
      </c>
      <c r="T2006">
        <v>0.73333333730697636</v>
      </c>
    </row>
    <row r="2007" spans="1:20" x14ac:dyDescent="0.25">
      <c r="A2007" t="s">
        <v>314</v>
      </c>
      <c r="B2007">
        <v>5</v>
      </c>
      <c r="C2007">
        <v>5</v>
      </c>
      <c r="D2007">
        <v>0</v>
      </c>
      <c r="E2007" t="s">
        <v>342</v>
      </c>
      <c r="F2007">
        <v>8112</v>
      </c>
      <c r="G2007">
        <v>13950010</v>
      </c>
      <c r="H2007">
        <v>0.64861112646758556</v>
      </c>
      <c r="I2007">
        <v>0.65138888888888891</v>
      </c>
      <c r="J2007">
        <v>4238990.75</v>
      </c>
      <c r="K2007">
        <v>14664</v>
      </c>
      <c r="L2007">
        <v>2</v>
      </c>
      <c r="M2007">
        <v>81</v>
      </c>
      <c r="N2007">
        <v>0.6958333333333333</v>
      </c>
      <c r="O2007">
        <v>3977146.875</v>
      </c>
      <c r="P2007">
        <v>15009</v>
      </c>
      <c r="Q2007">
        <v>2</v>
      </c>
      <c r="R2007">
        <v>82</v>
      </c>
      <c r="S2007">
        <v>11.659932938692718</v>
      </c>
      <c r="T2007">
        <v>0.88148148457209274</v>
      </c>
    </row>
    <row r="2008" spans="1:20" x14ac:dyDescent="0.25">
      <c r="A2008" t="s">
        <v>314</v>
      </c>
      <c r="B2008">
        <v>5</v>
      </c>
      <c r="C2008">
        <v>5</v>
      </c>
      <c r="D2008">
        <v>0</v>
      </c>
      <c r="E2008" t="s">
        <v>350</v>
      </c>
      <c r="F2008">
        <v>8268</v>
      </c>
      <c r="G2008">
        <v>16672303.5</v>
      </c>
      <c r="H2008">
        <v>0.47407408555348712</v>
      </c>
      <c r="I2008">
        <v>0.68518518518518523</v>
      </c>
      <c r="J2008">
        <v>3593688.5</v>
      </c>
      <c r="K2008">
        <v>15009</v>
      </c>
      <c r="L2008">
        <v>2</v>
      </c>
      <c r="M2008">
        <v>82</v>
      </c>
      <c r="N2008">
        <v>0.73703703703703705</v>
      </c>
      <c r="O2008">
        <v>2982817.8333333335</v>
      </c>
      <c r="P2008">
        <v>15358</v>
      </c>
      <c r="Q2008">
        <v>2</v>
      </c>
      <c r="R2008">
        <v>83</v>
      </c>
      <c r="S2008">
        <v>11.659810453999917</v>
      </c>
      <c r="T2008">
        <v>0.85185185670852659</v>
      </c>
    </row>
    <row r="2009" spans="1:20" x14ac:dyDescent="0.25">
      <c r="A2009" t="s">
        <v>314</v>
      </c>
      <c r="B2009">
        <v>5</v>
      </c>
      <c r="C2009">
        <v>5</v>
      </c>
      <c r="D2009">
        <v>0</v>
      </c>
      <c r="E2009" t="s">
        <v>330</v>
      </c>
      <c r="F2009">
        <v>8428</v>
      </c>
      <c r="G2009">
        <v>17421257.166666668</v>
      </c>
      <c r="H2009">
        <v>0.54814816514650977</v>
      </c>
      <c r="I2009">
        <v>0.6333333333333333</v>
      </c>
      <c r="J2009">
        <v>3325758.5</v>
      </c>
      <c r="K2009">
        <v>15358</v>
      </c>
      <c r="L2009">
        <v>2</v>
      </c>
      <c r="M2009">
        <v>83</v>
      </c>
      <c r="N2009">
        <v>0.73333333333333328</v>
      </c>
      <c r="O2009">
        <v>6866173.5</v>
      </c>
      <c r="P2009">
        <v>15711</v>
      </c>
      <c r="Q2009">
        <v>2</v>
      </c>
      <c r="R2009">
        <v>84</v>
      </c>
      <c r="S2009">
        <v>11.659853531383177</v>
      </c>
      <c r="T2009">
        <v>0.7481481552124023</v>
      </c>
    </row>
    <row r="2010" spans="1:20" x14ac:dyDescent="0.25">
      <c r="A2010" t="s">
        <v>314</v>
      </c>
      <c r="B2010">
        <v>5</v>
      </c>
      <c r="C2010">
        <v>5</v>
      </c>
      <c r="D2010">
        <v>0</v>
      </c>
      <c r="E2010" t="s">
        <v>343</v>
      </c>
      <c r="F2010">
        <v>8686</v>
      </c>
      <c r="G2010">
        <v>16582840.727272727</v>
      </c>
      <c r="H2010">
        <v>0.70909092101183802</v>
      </c>
      <c r="I2010">
        <v>0.66060606060606064</v>
      </c>
      <c r="J2010">
        <v>4560171.5454545459</v>
      </c>
      <c r="K2010">
        <v>15711</v>
      </c>
      <c r="L2010">
        <v>2</v>
      </c>
      <c r="M2010">
        <v>84</v>
      </c>
      <c r="N2010">
        <v>0.67878787878787883</v>
      </c>
      <c r="O2010">
        <v>4153185.3636363638</v>
      </c>
      <c r="P2010">
        <v>16068</v>
      </c>
      <c r="Q2010">
        <v>2</v>
      </c>
      <c r="R2010">
        <v>85</v>
      </c>
      <c r="S2010">
        <v>11.660132340777501</v>
      </c>
      <c r="T2010">
        <v>0.81111111640930178</v>
      </c>
    </row>
    <row r="2011" spans="1:20" x14ac:dyDescent="0.25">
      <c r="A2011" t="s">
        <v>314</v>
      </c>
      <c r="B2011">
        <v>5</v>
      </c>
      <c r="C2011">
        <v>5</v>
      </c>
      <c r="D2011">
        <v>0</v>
      </c>
      <c r="E2011" t="s">
        <v>331</v>
      </c>
      <c r="F2011">
        <v>8898</v>
      </c>
      <c r="G2011">
        <v>13006391.5</v>
      </c>
      <c r="H2011">
        <v>0.60000001390775048</v>
      </c>
      <c r="I2011">
        <v>0.69259259259259265</v>
      </c>
      <c r="J2011">
        <v>3772142.1666666665</v>
      </c>
      <c r="K2011">
        <v>16068</v>
      </c>
      <c r="L2011">
        <v>2</v>
      </c>
      <c r="M2011">
        <v>85</v>
      </c>
      <c r="N2011">
        <v>0.70370370370370372</v>
      </c>
      <c r="O2011">
        <v>4112535.8333333335</v>
      </c>
      <c r="P2011">
        <v>16429</v>
      </c>
      <c r="Q2011">
        <v>2</v>
      </c>
      <c r="R2011">
        <v>86</v>
      </c>
      <c r="S2011">
        <v>11.659555114529066</v>
      </c>
      <c r="T2011">
        <v>0.77777777910232548</v>
      </c>
    </row>
    <row r="2012" spans="1:20" x14ac:dyDescent="0.25">
      <c r="A2012" t="s">
        <v>314</v>
      </c>
      <c r="B2012">
        <v>5</v>
      </c>
      <c r="C2012">
        <v>5</v>
      </c>
      <c r="D2012">
        <v>0</v>
      </c>
      <c r="E2012" t="s">
        <v>344</v>
      </c>
      <c r="F2012">
        <v>9260</v>
      </c>
      <c r="G2012">
        <v>19462044.0625</v>
      </c>
      <c r="H2012">
        <v>0.70694445632398129</v>
      </c>
      <c r="I2012">
        <v>0.6875</v>
      </c>
      <c r="J2012">
        <v>5273429.5625</v>
      </c>
      <c r="K2012">
        <v>16794</v>
      </c>
      <c r="L2012">
        <v>2</v>
      </c>
      <c r="M2012">
        <v>87</v>
      </c>
      <c r="N2012">
        <v>0.65833333333333333</v>
      </c>
      <c r="O2012">
        <v>4066367.5</v>
      </c>
      <c r="P2012">
        <v>17163</v>
      </c>
      <c r="Q2012">
        <v>2</v>
      </c>
      <c r="R2012">
        <v>88</v>
      </c>
      <c r="S2012">
        <v>11.660523923642675</v>
      </c>
      <c r="T2012">
        <v>0.80246913830439248</v>
      </c>
    </row>
    <row r="2013" spans="1:20" x14ac:dyDescent="0.25">
      <c r="A2013" t="s">
        <v>314</v>
      </c>
      <c r="B2013">
        <v>5</v>
      </c>
      <c r="C2013">
        <v>5</v>
      </c>
      <c r="D2013">
        <v>0</v>
      </c>
      <c r="E2013" t="s">
        <v>337</v>
      </c>
      <c r="F2013">
        <v>9418</v>
      </c>
      <c r="G2013">
        <v>19031976.166666668</v>
      </c>
      <c r="H2013">
        <v>0.67777779698371887</v>
      </c>
      <c r="I2013">
        <v>0.67037037037037039</v>
      </c>
      <c r="J2013">
        <v>5060313.666666667</v>
      </c>
      <c r="K2013">
        <v>17163</v>
      </c>
      <c r="L2013">
        <v>2</v>
      </c>
      <c r="M2013">
        <v>88</v>
      </c>
      <c r="N2013">
        <v>0.64444444444444449</v>
      </c>
      <c r="O2013">
        <v>4736472.666666667</v>
      </c>
      <c r="P2013">
        <v>17536</v>
      </c>
      <c r="Q2013">
        <v>2</v>
      </c>
      <c r="R2013">
        <v>89</v>
      </c>
      <c r="S2013">
        <v>11.660731989424983</v>
      </c>
      <c r="T2013">
        <v>0.71111110448837278</v>
      </c>
    </row>
    <row r="2014" spans="1:20" x14ac:dyDescent="0.25">
      <c r="A2014" t="s">
        <v>314</v>
      </c>
      <c r="B2014">
        <v>5</v>
      </c>
      <c r="C2014">
        <v>5</v>
      </c>
      <c r="D2014">
        <v>0</v>
      </c>
      <c r="E2014" t="s">
        <v>351</v>
      </c>
      <c r="F2014">
        <v>9520</v>
      </c>
      <c r="G2014">
        <v>17709007</v>
      </c>
      <c r="H2014">
        <v>0.65555557111899054</v>
      </c>
      <c r="I2014">
        <v>0.6518518518518519</v>
      </c>
      <c r="J2014">
        <v>5326771</v>
      </c>
      <c r="K2014">
        <v>17536</v>
      </c>
      <c r="L2014">
        <v>2</v>
      </c>
      <c r="M2014">
        <v>89</v>
      </c>
      <c r="N2014">
        <v>0.67037037037037039</v>
      </c>
      <c r="O2014">
        <v>2761864.1666666665</v>
      </c>
      <c r="P2014">
        <v>17913</v>
      </c>
      <c r="Q2014">
        <v>2</v>
      </c>
      <c r="R2014">
        <v>90</v>
      </c>
      <c r="S2014">
        <v>11.660733459981829</v>
      </c>
      <c r="T2014">
        <v>0.87407406568527224</v>
      </c>
    </row>
    <row r="2015" spans="1:20" x14ac:dyDescent="0.25">
      <c r="A2015" t="s">
        <v>314</v>
      </c>
      <c r="B2015">
        <v>5</v>
      </c>
      <c r="C2015">
        <v>5</v>
      </c>
      <c r="D2015">
        <v>0</v>
      </c>
      <c r="E2015" t="s">
        <v>345</v>
      </c>
      <c r="F2015">
        <v>9834</v>
      </c>
      <c r="G2015">
        <v>19004008.833333332</v>
      </c>
      <c r="H2015">
        <v>0.67407409350077307</v>
      </c>
      <c r="I2015">
        <v>0.73333333333333339</v>
      </c>
      <c r="J2015">
        <v>5761446.833333333</v>
      </c>
      <c r="K2015">
        <v>17913</v>
      </c>
      <c r="L2015">
        <v>2</v>
      </c>
      <c r="M2015">
        <v>90</v>
      </c>
      <c r="N2015">
        <v>0.70370370370370372</v>
      </c>
      <c r="O2015">
        <v>2837267.8333333335</v>
      </c>
      <c r="P2015">
        <v>18294</v>
      </c>
      <c r="Q2015">
        <v>2</v>
      </c>
      <c r="R2015">
        <v>91</v>
      </c>
      <c r="S2015">
        <v>11.660982658959538</v>
      </c>
      <c r="T2015">
        <v>0.73333333730697636</v>
      </c>
    </row>
    <row r="2016" spans="1:20" x14ac:dyDescent="0.25">
      <c r="A2016" t="s">
        <v>314</v>
      </c>
      <c r="B2016">
        <v>5</v>
      </c>
      <c r="C2016">
        <v>5</v>
      </c>
      <c r="D2016">
        <v>0</v>
      </c>
      <c r="E2016" t="s">
        <v>338</v>
      </c>
      <c r="F2016">
        <v>9940</v>
      </c>
      <c r="G2016">
        <v>15849187.833333334</v>
      </c>
      <c r="H2016">
        <v>0.62962964177131653</v>
      </c>
      <c r="I2016">
        <v>0.6962962962962963</v>
      </c>
      <c r="J2016">
        <v>5494568.333333333</v>
      </c>
      <c r="K2016">
        <v>18294</v>
      </c>
      <c r="L2016">
        <v>2</v>
      </c>
      <c r="M2016">
        <v>91</v>
      </c>
      <c r="N2016">
        <v>0.72222222222222221</v>
      </c>
      <c r="O2016">
        <v>5697503</v>
      </c>
      <c r="P2016">
        <v>18679</v>
      </c>
      <c r="Q2016">
        <v>2</v>
      </c>
      <c r="R2016">
        <v>92</v>
      </c>
      <c r="S2016">
        <v>11.660612565012796</v>
      </c>
      <c r="T2016">
        <v>0.77777777910232548</v>
      </c>
    </row>
    <row r="2017" spans="1:20" x14ac:dyDescent="0.25">
      <c r="A2017" t="s">
        <v>314</v>
      </c>
      <c r="B2017">
        <v>5</v>
      </c>
      <c r="C2017">
        <v>5</v>
      </c>
      <c r="D2017">
        <v>0</v>
      </c>
      <c r="E2017" t="s">
        <v>352</v>
      </c>
      <c r="F2017">
        <v>10146</v>
      </c>
      <c r="G2017">
        <v>15526756</v>
      </c>
      <c r="H2017">
        <v>0.6222222397724787</v>
      </c>
      <c r="I2017">
        <v>0.77407407407407403</v>
      </c>
      <c r="J2017">
        <v>6485164</v>
      </c>
      <c r="K2017">
        <v>18679</v>
      </c>
      <c r="L2017">
        <v>2</v>
      </c>
      <c r="M2017">
        <v>92</v>
      </c>
      <c r="N2017">
        <v>0.67407407407407405</v>
      </c>
      <c r="O2017">
        <v>18441748.833333332</v>
      </c>
      <c r="P2017">
        <v>19068</v>
      </c>
      <c r="Q2017">
        <v>2</v>
      </c>
      <c r="R2017">
        <v>93</v>
      </c>
      <c r="S2017">
        <v>11.660077583360845</v>
      </c>
      <c r="T2017">
        <v>0.74814814329147339</v>
      </c>
    </row>
    <row r="2018" spans="1:20" x14ac:dyDescent="0.25">
      <c r="A2018" t="s">
        <v>314</v>
      </c>
      <c r="B2018">
        <v>5</v>
      </c>
      <c r="C2018">
        <v>5</v>
      </c>
      <c r="D2018">
        <v>0</v>
      </c>
      <c r="E2018" t="s">
        <v>346</v>
      </c>
      <c r="F2018">
        <v>10408</v>
      </c>
      <c r="G2018">
        <v>14686087.166666666</v>
      </c>
      <c r="H2018">
        <v>0.52962964276472724</v>
      </c>
      <c r="I2018">
        <v>0.66666666666666663</v>
      </c>
      <c r="J2018">
        <v>19310891.166666668</v>
      </c>
      <c r="K2018">
        <v>19068</v>
      </c>
      <c r="L2018">
        <v>2</v>
      </c>
      <c r="M2018">
        <v>93</v>
      </c>
      <c r="N2018">
        <v>0.72222222222222221</v>
      </c>
      <c r="O2018">
        <v>20538932.5</v>
      </c>
      <c r="P2018">
        <v>19461</v>
      </c>
      <c r="Q2018">
        <v>2</v>
      </c>
      <c r="R2018">
        <v>94</v>
      </c>
      <c r="S2018">
        <v>11.659584124102649</v>
      </c>
      <c r="T2018">
        <v>0.76296297311782835</v>
      </c>
    </row>
    <row r="2019" spans="1:20" x14ac:dyDescent="0.25">
      <c r="A2019" t="s">
        <v>314</v>
      </c>
      <c r="B2019">
        <v>5</v>
      </c>
      <c r="C2019">
        <v>5</v>
      </c>
      <c r="D2019">
        <v>0</v>
      </c>
      <c r="E2019" t="s">
        <v>353</v>
      </c>
      <c r="F2019">
        <v>10772</v>
      </c>
      <c r="G2019">
        <v>13587431.833333334</v>
      </c>
      <c r="H2019">
        <v>0.51481483379999793</v>
      </c>
      <c r="I2019">
        <v>0.7407407407407407</v>
      </c>
      <c r="J2019">
        <v>21689600.666666668</v>
      </c>
      <c r="K2019">
        <v>19461</v>
      </c>
      <c r="L2019">
        <v>2</v>
      </c>
      <c r="M2019">
        <v>94</v>
      </c>
      <c r="N2019">
        <v>0.72962962962962963</v>
      </c>
      <c r="O2019">
        <v>23997591.833333332</v>
      </c>
      <c r="P2019">
        <v>19858</v>
      </c>
      <c r="Q2019">
        <v>2</v>
      </c>
      <c r="R2019">
        <v>95</v>
      </c>
      <c r="S2019">
        <v>11.658802177858439</v>
      </c>
      <c r="T2019">
        <v>0.7111111164093018</v>
      </c>
    </row>
    <row r="2020" spans="1:20" x14ac:dyDescent="0.25">
      <c r="A2020" t="s">
        <v>314</v>
      </c>
      <c r="B2020">
        <v>5</v>
      </c>
      <c r="C2020">
        <v>5</v>
      </c>
      <c r="D2020">
        <v>0</v>
      </c>
      <c r="E2020" t="s">
        <v>347</v>
      </c>
      <c r="F2020">
        <v>10982</v>
      </c>
      <c r="G2020">
        <v>12054604.833333334</v>
      </c>
      <c r="H2020">
        <v>0.63333335518836975</v>
      </c>
      <c r="I2020">
        <v>0.61851851851851847</v>
      </c>
      <c r="J2020">
        <v>18766797.166666668</v>
      </c>
      <c r="K2020">
        <v>19858</v>
      </c>
      <c r="L2020">
        <v>2</v>
      </c>
      <c r="M2020">
        <v>95</v>
      </c>
      <c r="N2020">
        <v>0.6333333333333333</v>
      </c>
      <c r="O2020">
        <v>21057715.166666668</v>
      </c>
      <c r="P2020">
        <v>20259</v>
      </c>
      <c r="Q2020">
        <v>2</v>
      </c>
      <c r="R2020">
        <v>96</v>
      </c>
      <c r="S2020">
        <v>11.657773195876288</v>
      </c>
      <c r="T2020">
        <v>0.7481481552124023</v>
      </c>
    </row>
    <row r="2021" spans="1:20" x14ac:dyDescent="0.25">
      <c r="A2021" t="s">
        <v>314</v>
      </c>
      <c r="B2021">
        <v>5</v>
      </c>
      <c r="C2021">
        <v>5</v>
      </c>
      <c r="D2021">
        <v>0</v>
      </c>
      <c r="E2021" t="s">
        <v>354</v>
      </c>
      <c r="F2021">
        <v>11398</v>
      </c>
      <c r="G2021">
        <v>12848140.833333334</v>
      </c>
      <c r="H2021">
        <v>0.67407409350077307</v>
      </c>
      <c r="I2021">
        <v>0.68148148148148147</v>
      </c>
      <c r="J2021">
        <v>19842624.666666668</v>
      </c>
      <c r="K2021">
        <v>20664</v>
      </c>
      <c r="L2021">
        <v>2</v>
      </c>
      <c r="M2021">
        <v>97</v>
      </c>
      <c r="N2021">
        <v>0.66296296296296298</v>
      </c>
      <c r="O2021">
        <v>23250138.833333332</v>
      </c>
      <c r="P2021">
        <v>21073</v>
      </c>
      <c r="Q2021">
        <v>2</v>
      </c>
      <c r="R2021">
        <v>98</v>
      </c>
      <c r="S2021">
        <v>11.656868403693931</v>
      </c>
      <c r="T2021">
        <v>0.814814829826355</v>
      </c>
    </row>
    <row r="2022" spans="1:20" x14ac:dyDescent="0.25">
      <c r="A2022" t="s">
        <v>314</v>
      </c>
      <c r="B2022">
        <v>9</v>
      </c>
      <c r="C2022">
        <v>2</v>
      </c>
      <c r="D2022">
        <v>0</v>
      </c>
      <c r="E2022" t="s">
        <v>360</v>
      </c>
      <c r="F2022">
        <v>2028</v>
      </c>
      <c r="G2022">
        <v>15661643</v>
      </c>
      <c r="H2022">
        <v>0.63333335022131598</v>
      </c>
      <c r="I2022">
        <v>0.6962962962962963</v>
      </c>
      <c r="J2022">
        <v>16953075.166666668</v>
      </c>
      <c r="K2022">
        <v>2659</v>
      </c>
      <c r="L2022">
        <v>2</v>
      </c>
      <c r="M2022">
        <v>32</v>
      </c>
      <c r="N2022">
        <v>0.67407407407407405</v>
      </c>
      <c r="O2022">
        <v>18285989.666666668</v>
      </c>
      <c r="P2022">
        <v>2808</v>
      </c>
      <c r="Q2022">
        <v>2</v>
      </c>
      <c r="R2022">
        <v>33</v>
      </c>
      <c r="S2022">
        <v>11.656747176654852</v>
      </c>
      <c r="T2022">
        <v>0.77037037611007686</v>
      </c>
    </row>
    <row r="2023" spans="1:20" x14ac:dyDescent="0.25">
      <c r="A2023" t="s">
        <v>314</v>
      </c>
      <c r="B2023">
        <v>9</v>
      </c>
      <c r="C2023">
        <v>2</v>
      </c>
      <c r="D2023">
        <v>0</v>
      </c>
      <c r="E2023" t="s">
        <v>315</v>
      </c>
      <c r="F2023">
        <v>2478</v>
      </c>
      <c r="G2023">
        <v>6152006.333333333</v>
      </c>
      <c r="H2023">
        <v>0.68518520394961036</v>
      </c>
      <c r="I2023">
        <v>0.72592592592592586</v>
      </c>
      <c r="J2023">
        <v>270062.83333333331</v>
      </c>
      <c r="K2023">
        <v>3279</v>
      </c>
      <c r="L2023">
        <v>2</v>
      </c>
      <c r="M2023">
        <v>36</v>
      </c>
      <c r="N2023">
        <v>0.70740740740740737</v>
      </c>
      <c r="O2023">
        <v>233625.66666666666</v>
      </c>
      <c r="P2023">
        <v>3444</v>
      </c>
      <c r="Q2023">
        <v>2</v>
      </c>
      <c r="R2023">
        <v>37</v>
      </c>
      <c r="S2023">
        <v>11.657038074831053</v>
      </c>
      <c r="T2023">
        <v>0.85925927162170412</v>
      </c>
    </row>
    <row r="2024" spans="1:20" x14ac:dyDescent="0.25">
      <c r="A2024" t="s">
        <v>314</v>
      </c>
      <c r="B2024">
        <v>9</v>
      </c>
      <c r="C2024">
        <v>2</v>
      </c>
      <c r="D2024">
        <v>0</v>
      </c>
      <c r="E2024" t="s">
        <v>324</v>
      </c>
      <c r="F2024">
        <v>2928</v>
      </c>
      <c r="G2024">
        <v>3124115.6666666665</v>
      </c>
      <c r="H2024">
        <v>0.92222222685813904</v>
      </c>
      <c r="I2024">
        <v>0.78888888888888886</v>
      </c>
      <c r="J2024">
        <v>275709.5</v>
      </c>
      <c r="K2024">
        <v>3963</v>
      </c>
      <c r="L2024">
        <v>2</v>
      </c>
      <c r="M2024">
        <v>40</v>
      </c>
      <c r="N2024">
        <v>0.6518518518518519</v>
      </c>
      <c r="O2024">
        <v>251205</v>
      </c>
      <c r="P2024">
        <v>4144</v>
      </c>
      <c r="Q2024">
        <v>2</v>
      </c>
      <c r="R2024">
        <v>41</v>
      </c>
      <c r="S2024">
        <v>11.656381313339375</v>
      </c>
      <c r="T2024">
        <v>0.91111111640930176</v>
      </c>
    </row>
    <row r="2025" spans="1:20" x14ac:dyDescent="0.25">
      <c r="A2025" t="s">
        <v>314</v>
      </c>
      <c r="B2025">
        <v>9</v>
      </c>
      <c r="C2025">
        <v>2</v>
      </c>
      <c r="D2025">
        <v>0</v>
      </c>
      <c r="E2025" t="s">
        <v>332</v>
      </c>
      <c r="F2025">
        <v>3378</v>
      </c>
      <c r="G2025">
        <v>4914092.333333333</v>
      </c>
      <c r="H2025">
        <v>0.90370370944341027</v>
      </c>
      <c r="I2025">
        <v>0.67777777777777781</v>
      </c>
      <c r="J2025">
        <v>303489.83333333331</v>
      </c>
      <c r="K2025">
        <v>4518</v>
      </c>
      <c r="L2025">
        <v>2</v>
      </c>
      <c r="M2025">
        <v>43</v>
      </c>
      <c r="N2025">
        <v>0.64814814814814814</v>
      </c>
      <c r="O2025">
        <v>299364.16666666669</v>
      </c>
      <c r="P2025">
        <v>4711</v>
      </c>
      <c r="Q2025">
        <v>2</v>
      </c>
      <c r="R2025">
        <v>44</v>
      </c>
      <c r="S2025">
        <v>11.656136738056013</v>
      </c>
      <c r="T2025">
        <v>0.94074075222015385</v>
      </c>
    </row>
    <row r="2026" spans="1:20" x14ac:dyDescent="0.25">
      <c r="A2026" t="s">
        <v>314</v>
      </c>
      <c r="B2026">
        <v>9</v>
      </c>
      <c r="C2026">
        <v>2</v>
      </c>
      <c r="D2026">
        <v>0</v>
      </c>
      <c r="E2026" t="s">
        <v>339</v>
      </c>
      <c r="F2026">
        <v>3828</v>
      </c>
      <c r="G2026">
        <v>4673692.166666667</v>
      </c>
      <c r="H2026">
        <v>0.81481482585271203</v>
      </c>
      <c r="I2026">
        <v>0.65925925925925921</v>
      </c>
      <c r="J2026">
        <v>315182.16666666669</v>
      </c>
      <c r="K2026">
        <v>5109</v>
      </c>
      <c r="L2026">
        <v>2</v>
      </c>
      <c r="M2026">
        <v>46</v>
      </c>
      <c r="N2026">
        <v>0.6962962962962963</v>
      </c>
      <c r="O2026">
        <v>316529.5</v>
      </c>
      <c r="P2026">
        <v>5314</v>
      </c>
      <c r="Q2026">
        <v>2</v>
      </c>
      <c r="R2026">
        <v>47</v>
      </c>
      <c r="S2026">
        <v>11.655480523758545</v>
      </c>
      <c r="T2026">
        <v>0.8888888955116272</v>
      </c>
    </row>
    <row r="2027" spans="1:20" x14ac:dyDescent="0.25">
      <c r="A2027" t="s">
        <v>314</v>
      </c>
      <c r="B2027">
        <v>9</v>
      </c>
      <c r="C2027">
        <v>2</v>
      </c>
      <c r="D2027">
        <v>0</v>
      </c>
      <c r="E2027" t="s">
        <v>348</v>
      </c>
      <c r="F2027">
        <v>4278</v>
      </c>
      <c r="G2027">
        <v>2899953.3333333335</v>
      </c>
      <c r="H2027">
        <v>0.91481481989224755</v>
      </c>
      <c r="I2027">
        <v>0.67777777777777781</v>
      </c>
      <c r="J2027">
        <v>334491.5</v>
      </c>
      <c r="K2027">
        <v>5736</v>
      </c>
      <c r="L2027">
        <v>2</v>
      </c>
      <c r="M2027">
        <v>49</v>
      </c>
      <c r="N2027">
        <v>0.68518518518518523</v>
      </c>
      <c r="O2027">
        <v>325745</v>
      </c>
      <c r="P2027">
        <v>5953</v>
      </c>
      <c r="Q2027">
        <v>2</v>
      </c>
      <c r="R2027">
        <v>50</v>
      </c>
      <c r="S2027">
        <v>11.654659970360612</v>
      </c>
      <c r="T2027">
        <v>0.95555555820465088</v>
      </c>
    </row>
    <row r="2028" spans="1:20" x14ac:dyDescent="0.25">
      <c r="A2028" t="s">
        <v>314</v>
      </c>
      <c r="B2028">
        <v>9</v>
      </c>
      <c r="C2028">
        <v>2</v>
      </c>
      <c r="D2028">
        <v>0</v>
      </c>
      <c r="E2028" t="s">
        <v>356</v>
      </c>
      <c r="F2028">
        <v>4728</v>
      </c>
      <c r="G2028">
        <v>7662864.166666667</v>
      </c>
      <c r="H2028">
        <v>0.85555556416511536</v>
      </c>
      <c r="I2028">
        <v>0.66296296296296298</v>
      </c>
      <c r="J2028">
        <v>343063.16666666669</v>
      </c>
      <c r="K2028">
        <v>6399</v>
      </c>
      <c r="L2028">
        <v>2</v>
      </c>
      <c r="M2028">
        <v>52</v>
      </c>
      <c r="N2028">
        <v>0.72222222222222221</v>
      </c>
      <c r="O2028">
        <v>319745.5</v>
      </c>
      <c r="P2028">
        <v>6628</v>
      </c>
      <c r="Q2028">
        <v>2</v>
      </c>
      <c r="R2028">
        <v>53</v>
      </c>
      <c r="S2028">
        <v>11.655074491727714</v>
      </c>
      <c r="T2028">
        <v>0.90370372533798216</v>
      </c>
    </row>
    <row r="2029" spans="1:20" x14ac:dyDescent="0.25">
      <c r="A2029" t="s">
        <v>314</v>
      </c>
      <c r="B2029">
        <v>9</v>
      </c>
      <c r="C2029">
        <v>2</v>
      </c>
      <c r="D2029">
        <v>0</v>
      </c>
      <c r="E2029" t="s">
        <v>357</v>
      </c>
      <c r="F2029">
        <v>5178</v>
      </c>
      <c r="G2029">
        <v>10475751.833333334</v>
      </c>
      <c r="H2029">
        <v>0.87407408157984412</v>
      </c>
      <c r="I2029">
        <v>0.6333333333333333</v>
      </c>
      <c r="J2029">
        <v>350019.33333333331</v>
      </c>
      <c r="K2029">
        <v>6861</v>
      </c>
      <c r="L2029">
        <v>2</v>
      </c>
      <c r="M2029">
        <v>54</v>
      </c>
      <c r="N2029">
        <v>0.6333333333333333</v>
      </c>
      <c r="O2029">
        <v>354239.66666666669</v>
      </c>
      <c r="P2029">
        <v>7098</v>
      </c>
      <c r="Q2029">
        <v>2</v>
      </c>
      <c r="R2029">
        <v>55</v>
      </c>
      <c r="S2029">
        <v>11.656476300197498</v>
      </c>
      <c r="T2029">
        <v>0.93333333730697632</v>
      </c>
    </row>
    <row r="2030" spans="1:20" x14ac:dyDescent="0.25">
      <c r="A2030" t="s">
        <v>314</v>
      </c>
      <c r="B2030">
        <v>9</v>
      </c>
      <c r="C2030">
        <v>2</v>
      </c>
      <c r="D2030">
        <v>0</v>
      </c>
      <c r="E2030" t="s">
        <v>316</v>
      </c>
      <c r="F2030">
        <v>5307</v>
      </c>
      <c r="G2030">
        <v>3607007.1666666665</v>
      </c>
      <c r="H2030">
        <v>0.90370370944341027</v>
      </c>
      <c r="I2030">
        <v>0.625925925925926</v>
      </c>
      <c r="J2030">
        <v>366555.83333333331</v>
      </c>
      <c r="K2030">
        <v>7098</v>
      </c>
      <c r="L2030">
        <v>2</v>
      </c>
      <c r="M2030">
        <v>55</v>
      </c>
      <c r="N2030">
        <v>0.67777777777777781</v>
      </c>
      <c r="O2030">
        <v>353489.83333333331</v>
      </c>
      <c r="P2030">
        <v>7339</v>
      </c>
      <c r="Q2030">
        <v>2</v>
      </c>
      <c r="R2030">
        <v>56</v>
      </c>
      <c r="S2030">
        <v>11.655614973262033</v>
      </c>
      <c r="T2030">
        <v>0.95555555820465088</v>
      </c>
    </row>
    <row r="2031" spans="1:20" x14ac:dyDescent="0.25">
      <c r="A2031" t="s">
        <v>314</v>
      </c>
      <c r="B2031">
        <v>9</v>
      </c>
      <c r="C2031">
        <v>2</v>
      </c>
      <c r="D2031">
        <v>0</v>
      </c>
      <c r="E2031" t="s">
        <v>358</v>
      </c>
      <c r="F2031">
        <v>5628</v>
      </c>
      <c r="G2031">
        <v>6873399.833333333</v>
      </c>
      <c r="H2031">
        <v>0.79259260495503747</v>
      </c>
      <c r="I2031">
        <v>0.68518518518518523</v>
      </c>
      <c r="J2031">
        <v>347993</v>
      </c>
      <c r="K2031">
        <v>7584</v>
      </c>
      <c r="L2031">
        <v>2</v>
      </c>
      <c r="M2031">
        <v>57</v>
      </c>
      <c r="N2031">
        <v>0.78148148148148144</v>
      </c>
      <c r="O2031">
        <v>368914.33333333331</v>
      </c>
      <c r="P2031">
        <v>7833</v>
      </c>
      <c r="Q2031">
        <v>2</v>
      </c>
      <c r="R2031">
        <v>58</v>
      </c>
      <c r="S2031">
        <v>11.654959697318638</v>
      </c>
      <c r="T2031">
        <v>0.85185185670852659</v>
      </c>
    </row>
    <row r="2032" spans="1:20" x14ac:dyDescent="0.25">
      <c r="A2032" t="s">
        <v>314</v>
      </c>
      <c r="B2032">
        <v>9</v>
      </c>
      <c r="C2032">
        <v>2</v>
      </c>
      <c r="D2032">
        <v>0</v>
      </c>
      <c r="E2032" t="s">
        <v>359</v>
      </c>
      <c r="F2032">
        <v>6078</v>
      </c>
      <c r="G2032">
        <v>6003452.4545454541</v>
      </c>
      <c r="H2032">
        <v>0.89696970311078161</v>
      </c>
      <c r="I2032">
        <v>0.72727272727272729</v>
      </c>
      <c r="J2032">
        <v>359027.72727272729</v>
      </c>
      <c r="K2032">
        <v>8086</v>
      </c>
      <c r="L2032">
        <v>2</v>
      </c>
      <c r="M2032">
        <v>59</v>
      </c>
      <c r="N2032">
        <v>0.63030303030303036</v>
      </c>
      <c r="O2032">
        <v>366884.27272727271</v>
      </c>
      <c r="P2032">
        <v>8343</v>
      </c>
      <c r="Q2032">
        <v>2</v>
      </c>
      <c r="R2032">
        <v>60</v>
      </c>
      <c r="S2032">
        <v>11.653923623956921</v>
      </c>
      <c r="T2032">
        <v>0.82222222685813906</v>
      </c>
    </row>
    <row r="2033" spans="1:20" x14ac:dyDescent="0.25">
      <c r="A2033" t="s">
        <v>314</v>
      </c>
      <c r="B2033">
        <v>9</v>
      </c>
      <c r="C2033">
        <v>2</v>
      </c>
      <c r="D2033">
        <v>0</v>
      </c>
      <c r="E2033" t="s">
        <v>318</v>
      </c>
      <c r="F2033">
        <v>6207</v>
      </c>
      <c r="G2033">
        <v>8296642.1818181816</v>
      </c>
      <c r="H2033">
        <v>0.84848485751585523</v>
      </c>
      <c r="I2033">
        <v>0.67272727272727273</v>
      </c>
      <c r="J2033">
        <v>392146.27272727271</v>
      </c>
      <c r="K2033">
        <v>8343</v>
      </c>
      <c r="L2033">
        <v>2</v>
      </c>
      <c r="M2033">
        <v>60</v>
      </c>
      <c r="N2033">
        <v>0.73131313131313136</v>
      </c>
      <c r="O2033">
        <v>354916.54545454547</v>
      </c>
      <c r="P2033">
        <v>8604</v>
      </c>
      <c r="Q2033">
        <v>2</v>
      </c>
      <c r="R2033">
        <v>61</v>
      </c>
      <c r="S2033">
        <v>11.653381543265676</v>
      </c>
      <c r="T2033">
        <v>0.71851852536201477</v>
      </c>
    </row>
    <row r="2034" spans="1:20" x14ac:dyDescent="0.25">
      <c r="A2034" t="s">
        <v>314</v>
      </c>
      <c r="B2034">
        <v>9</v>
      </c>
      <c r="C2034">
        <v>2</v>
      </c>
      <c r="D2034">
        <v>0</v>
      </c>
      <c r="E2034" t="s">
        <v>326</v>
      </c>
      <c r="F2034">
        <v>6543</v>
      </c>
      <c r="G2034">
        <v>10121012.5</v>
      </c>
      <c r="H2034">
        <v>0.85555556416511536</v>
      </c>
      <c r="I2034">
        <v>0.68888888888888888</v>
      </c>
      <c r="J2034">
        <v>397128</v>
      </c>
      <c r="K2034">
        <v>8604</v>
      </c>
      <c r="L2034">
        <v>2</v>
      </c>
      <c r="M2034">
        <v>61</v>
      </c>
      <c r="N2034">
        <v>0.59629629629629632</v>
      </c>
      <c r="O2034">
        <v>377366.16666666669</v>
      </c>
      <c r="P2034">
        <v>8869</v>
      </c>
      <c r="Q2034">
        <v>2</v>
      </c>
      <c r="R2034">
        <v>62</v>
      </c>
      <c r="S2034">
        <v>11.653302661846862</v>
      </c>
      <c r="T2034">
        <v>0.85185185670852659</v>
      </c>
    </row>
    <row r="2035" spans="1:20" x14ac:dyDescent="0.25">
      <c r="A2035" t="s">
        <v>314</v>
      </c>
      <c r="B2035">
        <v>9</v>
      </c>
      <c r="C2035">
        <v>2</v>
      </c>
      <c r="D2035">
        <v>0</v>
      </c>
      <c r="E2035" t="s">
        <v>319</v>
      </c>
      <c r="F2035">
        <v>6657</v>
      </c>
      <c r="G2035">
        <v>7865035</v>
      </c>
      <c r="H2035">
        <v>0.86296297113100684</v>
      </c>
      <c r="I2035">
        <v>0.7407407407407407</v>
      </c>
      <c r="J2035">
        <v>431346</v>
      </c>
      <c r="K2035">
        <v>8869</v>
      </c>
      <c r="L2035">
        <v>2</v>
      </c>
      <c r="M2035">
        <v>62</v>
      </c>
      <c r="N2035">
        <v>0.66666666666666663</v>
      </c>
      <c r="O2035">
        <v>591207</v>
      </c>
      <c r="P2035">
        <v>9138</v>
      </c>
      <c r="Q2035">
        <v>2</v>
      </c>
      <c r="R2035">
        <v>63</v>
      </c>
      <c r="S2035">
        <v>11.652607802874744</v>
      </c>
      <c r="T2035">
        <v>0.70370370149612427</v>
      </c>
    </row>
    <row r="2036" spans="1:20" x14ac:dyDescent="0.25">
      <c r="A2036" t="s">
        <v>314</v>
      </c>
      <c r="B2036">
        <v>9</v>
      </c>
      <c r="C2036">
        <v>2</v>
      </c>
      <c r="D2036">
        <v>0</v>
      </c>
      <c r="E2036" t="s">
        <v>333</v>
      </c>
      <c r="F2036">
        <v>6767</v>
      </c>
      <c r="G2036">
        <v>7811853.166666667</v>
      </c>
      <c r="H2036">
        <v>0.8333333432674408</v>
      </c>
      <c r="I2036">
        <v>0.66296296296296298</v>
      </c>
      <c r="J2036">
        <v>1429778.8333333333</v>
      </c>
      <c r="K2036">
        <v>9138</v>
      </c>
      <c r="L2036">
        <v>2</v>
      </c>
      <c r="M2036">
        <v>63</v>
      </c>
      <c r="N2036">
        <v>0.7</v>
      </c>
      <c r="O2036">
        <v>2566592.3333333335</v>
      </c>
      <c r="P2036">
        <v>9411</v>
      </c>
      <c r="Q2036">
        <v>2</v>
      </c>
      <c r="R2036">
        <v>64</v>
      </c>
      <c r="S2036">
        <v>11.6517901133191</v>
      </c>
      <c r="T2036">
        <v>0.61481481790542603</v>
      </c>
    </row>
    <row r="2037" spans="1:20" x14ac:dyDescent="0.25">
      <c r="A2037" t="s">
        <v>314</v>
      </c>
      <c r="B2037">
        <v>9</v>
      </c>
      <c r="C2037">
        <v>2</v>
      </c>
      <c r="D2037">
        <v>0</v>
      </c>
      <c r="E2037" t="s">
        <v>320</v>
      </c>
      <c r="F2037">
        <v>7107</v>
      </c>
      <c r="G2037">
        <v>9760775.666666666</v>
      </c>
      <c r="H2037">
        <v>0.8851851920286814</v>
      </c>
      <c r="I2037">
        <v>0.64444444444444438</v>
      </c>
      <c r="J2037">
        <v>5719496.166666667</v>
      </c>
      <c r="K2037">
        <v>9411</v>
      </c>
      <c r="L2037">
        <v>2</v>
      </c>
      <c r="M2037">
        <v>64</v>
      </c>
      <c r="N2037">
        <v>0.68518518518518512</v>
      </c>
      <c r="O2037">
        <v>2387438.6666666665</v>
      </c>
      <c r="P2037">
        <v>9688</v>
      </c>
      <c r="Q2037">
        <v>2</v>
      </c>
      <c r="R2037">
        <v>65</v>
      </c>
      <c r="S2037">
        <v>11.651424349396601</v>
      </c>
      <c r="T2037">
        <v>0.68888888359069822</v>
      </c>
    </row>
    <row r="2038" spans="1:20" x14ac:dyDescent="0.25">
      <c r="A2038" t="s">
        <v>314</v>
      </c>
      <c r="B2038">
        <v>9</v>
      </c>
      <c r="C2038">
        <v>2</v>
      </c>
      <c r="D2038">
        <v>0</v>
      </c>
      <c r="E2038" t="s">
        <v>334</v>
      </c>
      <c r="F2038">
        <v>7329</v>
      </c>
      <c r="G2038">
        <v>8912343.9090909082</v>
      </c>
      <c r="H2038">
        <v>0.8424242518164895</v>
      </c>
      <c r="I2038">
        <v>0.67272727272727273</v>
      </c>
      <c r="J2038">
        <v>4074125.5454545454</v>
      </c>
      <c r="K2038">
        <v>9688</v>
      </c>
      <c r="L2038">
        <v>2</v>
      </c>
      <c r="M2038">
        <v>65</v>
      </c>
      <c r="N2038">
        <v>0.72525252525252526</v>
      </c>
      <c r="O2038">
        <v>2293539.6363636362</v>
      </c>
      <c r="P2038">
        <v>9969</v>
      </c>
      <c r="Q2038">
        <v>2</v>
      </c>
      <c r="R2038">
        <v>66</v>
      </c>
      <c r="S2038">
        <v>11.650391827021704</v>
      </c>
      <c r="T2038">
        <v>0.77037038803100588</v>
      </c>
    </row>
    <row r="2039" spans="1:20" x14ac:dyDescent="0.25">
      <c r="A2039" t="s">
        <v>314</v>
      </c>
      <c r="B2039">
        <v>9</v>
      </c>
      <c r="C2039">
        <v>2</v>
      </c>
      <c r="D2039">
        <v>0</v>
      </c>
      <c r="E2039" t="s">
        <v>321</v>
      </c>
      <c r="F2039">
        <v>7557</v>
      </c>
      <c r="G2039">
        <v>8738633.166666666</v>
      </c>
      <c r="H2039">
        <v>0.77037038405736291</v>
      </c>
      <c r="I2039">
        <v>0.68888888888888888</v>
      </c>
      <c r="J2039">
        <v>4090118.6666666665</v>
      </c>
      <c r="K2039">
        <v>9969</v>
      </c>
      <c r="L2039">
        <v>2</v>
      </c>
      <c r="M2039">
        <v>66</v>
      </c>
      <c r="N2039">
        <v>0.63703703703703707</v>
      </c>
      <c r="O2039">
        <v>3949205.6666666665</v>
      </c>
      <c r="P2039">
        <v>10254</v>
      </c>
      <c r="Q2039">
        <v>2</v>
      </c>
      <c r="R2039">
        <v>67</v>
      </c>
      <c r="S2039">
        <v>11.649739529923295</v>
      </c>
      <c r="T2039">
        <v>0.77777776718139646</v>
      </c>
    </row>
    <row r="2040" spans="1:20" x14ac:dyDescent="0.25">
      <c r="A2040" t="s">
        <v>314</v>
      </c>
      <c r="B2040">
        <v>9</v>
      </c>
      <c r="C2040">
        <v>2</v>
      </c>
      <c r="D2040">
        <v>0</v>
      </c>
      <c r="E2040" t="s">
        <v>335</v>
      </c>
      <c r="F2040">
        <v>7891</v>
      </c>
      <c r="G2040">
        <v>9871792.375</v>
      </c>
      <c r="H2040">
        <v>0.79722223430871964</v>
      </c>
      <c r="I2040">
        <v>0.68055555555555558</v>
      </c>
      <c r="J2040">
        <v>6566412.125</v>
      </c>
      <c r="K2040">
        <v>10543</v>
      </c>
      <c r="L2040">
        <v>2</v>
      </c>
      <c r="M2040">
        <v>68</v>
      </c>
      <c r="N2040">
        <v>0.68888888888888888</v>
      </c>
      <c r="O2040">
        <v>2108968.0625</v>
      </c>
      <c r="P2040">
        <v>10836</v>
      </c>
      <c r="Q2040">
        <v>2</v>
      </c>
      <c r="R2040">
        <v>69</v>
      </c>
      <c r="S2040">
        <v>11.648534535765526</v>
      </c>
      <c r="T2040">
        <v>0.81481481790542598</v>
      </c>
    </row>
    <row r="2041" spans="1:20" x14ac:dyDescent="0.25">
      <c r="A2041" t="s">
        <v>314</v>
      </c>
      <c r="B2041">
        <v>9</v>
      </c>
      <c r="C2041">
        <v>2</v>
      </c>
      <c r="D2041">
        <v>0</v>
      </c>
      <c r="E2041" t="s">
        <v>322</v>
      </c>
      <c r="F2041">
        <v>8007</v>
      </c>
      <c r="G2041">
        <v>9058086.833333334</v>
      </c>
      <c r="H2041">
        <v>0.83703704675038659</v>
      </c>
      <c r="I2041">
        <v>0.64444444444444449</v>
      </c>
      <c r="J2041">
        <v>7346906.333333333</v>
      </c>
      <c r="K2041">
        <v>10836</v>
      </c>
      <c r="L2041">
        <v>2</v>
      </c>
      <c r="M2041">
        <v>69</v>
      </c>
      <c r="N2041">
        <v>0.68888888888888888</v>
      </c>
      <c r="O2041">
        <v>2754694.1666666665</v>
      </c>
      <c r="P2041">
        <v>11133</v>
      </c>
      <c r="Q2041">
        <v>2</v>
      </c>
      <c r="R2041">
        <v>70</v>
      </c>
      <c r="S2041">
        <v>11.647924265398959</v>
      </c>
      <c r="T2041">
        <v>0.80000001192092896</v>
      </c>
    </row>
    <row r="2042" spans="1:20" x14ac:dyDescent="0.25">
      <c r="A2042" t="s">
        <v>314</v>
      </c>
      <c r="B2042">
        <v>9</v>
      </c>
      <c r="C2042">
        <v>2</v>
      </c>
      <c r="D2042">
        <v>0</v>
      </c>
      <c r="E2042" t="s">
        <v>349</v>
      </c>
      <c r="F2042">
        <v>8227</v>
      </c>
      <c r="G2042">
        <v>9020459.5</v>
      </c>
      <c r="H2042">
        <v>0.84444445371627808</v>
      </c>
      <c r="I2042">
        <v>0.65138888888888891</v>
      </c>
      <c r="J2042">
        <v>6202324</v>
      </c>
      <c r="K2042">
        <v>11133</v>
      </c>
      <c r="L2042">
        <v>2</v>
      </c>
      <c r="M2042">
        <v>70</v>
      </c>
      <c r="N2042">
        <v>0.74583333333333335</v>
      </c>
      <c r="O2042">
        <v>2919903.875</v>
      </c>
      <c r="P2042">
        <v>11434</v>
      </c>
      <c r="Q2042">
        <v>2</v>
      </c>
      <c r="R2042">
        <v>71</v>
      </c>
      <c r="S2042">
        <v>11.645779579800958</v>
      </c>
      <c r="T2042">
        <v>0.6666666706403096</v>
      </c>
    </row>
    <row r="2043" spans="1:20" x14ac:dyDescent="0.25">
      <c r="A2043" t="s">
        <v>314</v>
      </c>
      <c r="B2043">
        <v>9</v>
      </c>
      <c r="C2043">
        <v>2</v>
      </c>
      <c r="D2043">
        <v>0</v>
      </c>
      <c r="E2043" t="s">
        <v>323</v>
      </c>
      <c r="F2043">
        <v>8457</v>
      </c>
      <c r="G2043">
        <v>12627224.666666666</v>
      </c>
      <c r="H2043">
        <v>0.88148148854573571</v>
      </c>
      <c r="I2043">
        <v>0.65555555555555556</v>
      </c>
      <c r="J2043">
        <v>3097479.6666666665</v>
      </c>
      <c r="K2043">
        <v>11434</v>
      </c>
      <c r="L2043">
        <v>2</v>
      </c>
      <c r="M2043">
        <v>71</v>
      </c>
      <c r="N2043">
        <v>0.64814814814814814</v>
      </c>
      <c r="O2043">
        <v>1751234.3333333333</v>
      </c>
      <c r="P2043">
        <v>11739</v>
      </c>
      <c r="Q2043">
        <v>2</v>
      </c>
      <c r="R2043">
        <v>72</v>
      </c>
      <c r="S2043">
        <v>11.645661876100398</v>
      </c>
      <c r="T2043">
        <v>0.78518517017364498</v>
      </c>
    </row>
    <row r="2044" spans="1:20" x14ac:dyDescent="0.25">
      <c r="A2044" t="s">
        <v>314</v>
      </c>
      <c r="B2044">
        <v>9</v>
      </c>
      <c r="C2044">
        <v>2</v>
      </c>
      <c r="D2044">
        <v>0</v>
      </c>
      <c r="E2044" t="s">
        <v>342</v>
      </c>
      <c r="F2044">
        <v>8733</v>
      </c>
      <c r="G2044">
        <v>10588656.0625</v>
      </c>
      <c r="H2044">
        <v>0.84444445371627808</v>
      </c>
      <c r="I2044">
        <v>0.72361111111111109</v>
      </c>
      <c r="J2044">
        <v>5866952.3125</v>
      </c>
      <c r="K2044">
        <v>11739</v>
      </c>
      <c r="L2044">
        <v>2</v>
      </c>
      <c r="M2044">
        <v>72</v>
      </c>
      <c r="N2044">
        <v>0.70138888888888884</v>
      </c>
      <c r="O2044">
        <v>2568496</v>
      </c>
      <c r="P2044">
        <v>12048</v>
      </c>
      <c r="Q2044">
        <v>2</v>
      </c>
      <c r="R2044">
        <v>73</v>
      </c>
      <c r="S2044">
        <v>11.644666312042228</v>
      </c>
      <c r="T2044">
        <v>0.76543209950129187</v>
      </c>
    </row>
    <row r="2045" spans="1:20" x14ac:dyDescent="0.25">
      <c r="A2045" t="s">
        <v>314</v>
      </c>
      <c r="B2045">
        <v>9</v>
      </c>
      <c r="C2045">
        <v>2</v>
      </c>
      <c r="D2045">
        <v>0</v>
      </c>
      <c r="E2045" t="s">
        <v>330</v>
      </c>
      <c r="F2045">
        <v>9073</v>
      </c>
      <c r="G2045">
        <v>11931357</v>
      </c>
      <c r="H2045">
        <v>0.63333335518836975</v>
      </c>
      <c r="I2045">
        <v>0.73703703703703705</v>
      </c>
      <c r="J2045">
        <v>4685137.333333333</v>
      </c>
      <c r="K2045">
        <v>12048</v>
      </c>
      <c r="L2045">
        <v>2</v>
      </c>
      <c r="M2045">
        <v>73</v>
      </c>
      <c r="N2045">
        <v>0.67407407407407405</v>
      </c>
      <c r="O2045">
        <v>1900365.1666666667</v>
      </c>
      <c r="P2045">
        <v>12361</v>
      </c>
      <c r="Q2045">
        <v>2</v>
      </c>
      <c r="R2045">
        <v>74</v>
      </c>
      <c r="S2045">
        <v>11.64434444671712</v>
      </c>
      <c r="T2045">
        <v>0.83703703880310054</v>
      </c>
    </row>
    <row r="2046" spans="1:20" x14ac:dyDescent="0.25">
      <c r="A2046" t="s">
        <v>314</v>
      </c>
      <c r="B2046">
        <v>9</v>
      </c>
      <c r="C2046">
        <v>2</v>
      </c>
      <c r="D2046">
        <v>0</v>
      </c>
      <c r="E2046" t="s">
        <v>343</v>
      </c>
      <c r="F2046">
        <v>9351</v>
      </c>
      <c r="G2046">
        <v>11833743.1875</v>
      </c>
      <c r="H2046">
        <v>0.78333334624767303</v>
      </c>
      <c r="I2046">
        <v>0.6791666666666667</v>
      </c>
      <c r="J2046">
        <v>4972436.1875</v>
      </c>
      <c r="K2046">
        <v>12361</v>
      </c>
      <c r="L2046">
        <v>2</v>
      </c>
      <c r="M2046">
        <v>74</v>
      </c>
      <c r="N2046">
        <v>0.72499999999999998</v>
      </c>
      <c r="O2046">
        <v>2612932.9375</v>
      </c>
      <c r="P2046">
        <v>12678</v>
      </c>
      <c r="Q2046">
        <v>2</v>
      </c>
      <c r="R2046">
        <v>75</v>
      </c>
      <c r="S2046">
        <v>11.643800335227505</v>
      </c>
      <c r="T2046">
        <v>0.81234567960103354</v>
      </c>
    </row>
    <row r="2047" spans="1:20" x14ac:dyDescent="0.25">
      <c r="A2047" t="s">
        <v>314</v>
      </c>
      <c r="B2047">
        <v>9</v>
      </c>
      <c r="C2047">
        <v>2</v>
      </c>
      <c r="D2047">
        <v>0</v>
      </c>
      <c r="E2047" t="s">
        <v>331</v>
      </c>
      <c r="F2047">
        <v>9579</v>
      </c>
      <c r="G2047">
        <v>10643709.666666666</v>
      </c>
      <c r="H2047">
        <v>0.85555556416511536</v>
      </c>
      <c r="I2047">
        <v>0.65925925925925921</v>
      </c>
      <c r="J2047">
        <v>4735888.166666667</v>
      </c>
      <c r="K2047">
        <v>12678</v>
      </c>
      <c r="L2047">
        <v>2</v>
      </c>
      <c r="M2047">
        <v>75</v>
      </c>
      <c r="N2047">
        <v>0.73333333333333339</v>
      </c>
      <c r="O2047">
        <v>3717236</v>
      </c>
      <c r="P2047">
        <v>12999</v>
      </c>
      <c r="Q2047">
        <v>2</v>
      </c>
      <c r="R2047">
        <v>76</v>
      </c>
      <c r="S2047">
        <v>11.643111129276168</v>
      </c>
      <c r="T2047">
        <v>0.84444445371627808</v>
      </c>
    </row>
    <row r="2048" spans="1:20" x14ac:dyDescent="0.25">
      <c r="A2048" t="s">
        <v>314</v>
      </c>
      <c r="B2048">
        <v>9</v>
      </c>
      <c r="C2048">
        <v>2</v>
      </c>
      <c r="D2048">
        <v>0</v>
      </c>
      <c r="E2048" t="s">
        <v>344</v>
      </c>
      <c r="F2048">
        <v>9969</v>
      </c>
      <c r="G2048">
        <v>10749678.125</v>
      </c>
      <c r="H2048">
        <v>0.82777778804302216</v>
      </c>
      <c r="I2048">
        <v>0.7055555555555556</v>
      </c>
      <c r="J2048">
        <v>6220472.9375</v>
      </c>
      <c r="K2048">
        <v>13324</v>
      </c>
      <c r="L2048">
        <v>2</v>
      </c>
      <c r="M2048">
        <v>77</v>
      </c>
      <c r="N2048">
        <v>0.68888888888888888</v>
      </c>
      <c r="O2048">
        <v>2774416.25</v>
      </c>
      <c r="P2048">
        <v>13653</v>
      </c>
      <c r="Q2048">
        <v>2</v>
      </c>
      <c r="R2048">
        <v>78</v>
      </c>
      <c r="S2048">
        <v>11.641792264019932</v>
      </c>
      <c r="T2048">
        <v>0.85432100296020508</v>
      </c>
    </row>
    <row r="2049" spans="1:20" x14ac:dyDescent="0.25">
      <c r="A2049" t="s">
        <v>314</v>
      </c>
      <c r="B2049">
        <v>9</v>
      </c>
      <c r="C2049">
        <v>2</v>
      </c>
      <c r="D2049">
        <v>0</v>
      </c>
      <c r="E2049" t="s">
        <v>337</v>
      </c>
      <c r="F2049">
        <v>10139</v>
      </c>
      <c r="G2049">
        <v>12110983.833333334</v>
      </c>
      <c r="H2049">
        <v>0.68148150046666467</v>
      </c>
      <c r="I2049">
        <v>0.69259259259259265</v>
      </c>
      <c r="J2049">
        <v>6208420</v>
      </c>
      <c r="K2049">
        <v>13653</v>
      </c>
      <c r="L2049">
        <v>2</v>
      </c>
      <c r="M2049">
        <v>78</v>
      </c>
      <c r="N2049">
        <v>0.6962962962962963</v>
      </c>
      <c r="O2049">
        <v>3335989.8333333335</v>
      </c>
      <c r="P2049">
        <v>13986</v>
      </c>
      <c r="Q2049">
        <v>2</v>
      </c>
      <c r="R2049">
        <v>79</v>
      </c>
      <c r="S2049">
        <v>11.641349177181592</v>
      </c>
      <c r="T2049">
        <v>0.8592592597007751</v>
      </c>
    </row>
    <row r="2050" spans="1:20" x14ac:dyDescent="0.25">
      <c r="A2050" t="s">
        <v>314</v>
      </c>
      <c r="B2050">
        <v>9</v>
      </c>
      <c r="C2050">
        <v>2</v>
      </c>
      <c r="D2050">
        <v>0</v>
      </c>
      <c r="E2050" t="s">
        <v>338</v>
      </c>
      <c r="F2050">
        <v>10701</v>
      </c>
      <c r="G2050">
        <v>13357189.545454545</v>
      </c>
      <c r="H2050">
        <v>0.80404041572050611</v>
      </c>
      <c r="I2050">
        <v>0.69292929292929295</v>
      </c>
      <c r="J2050">
        <v>4587479.5454545459</v>
      </c>
      <c r="K2050">
        <v>14323</v>
      </c>
      <c r="L2050">
        <v>2</v>
      </c>
      <c r="M2050">
        <v>80</v>
      </c>
      <c r="N2050">
        <v>0.74343434343434345</v>
      </c>
      <c r="O2050">
        <v>3148707.5454545454</v>
      </c>
      <c r="P2050">
        <v>14664</v>
      </c>
      <c r="Q2050">
        <v>2</v>
      </c>
      <c r="R2050">
        <v>81</v>
      </c>
      <c r="S2050">
        <v>11.641346938775511</v>
      </c>
      <c r="T2050">
        <v>0.7888888835906982</v>
      </c>
    </row>
    <row r="2051" spans="1:20" x14ac:dyDescent="0.25">
      <c r="A2051" t="s">
        <v>314</v>
      </c>
      <c r="B2051">
        <v>9</v>
      </c>
      <c r="C2051">
        <v>2</v>
      </c>
      <c r="D2051">
        <v>0</v>
      </c>
      <c r="E2051" t="s">
        <v>352</v>
      </c>
      <c r="F2051">
        <v>10923</v>
      </c>
      <c r="G2051">
        <v>11523212.636363637</v>
      </c>
      <c r="H2051">
        <v>0.87676768411289563</v>
      </c>
      <c r="I2051">
        <v>0.62828282828282833</v>
      </c>
      <c r="J2051">
        <v>5914772.5454545459</v>
      </c>
      <c r="K2051">
        <v>14664</v>
      </c>
      <c r="L2051">
        <v>2</v>
      </c>
      <c r="M2051">
        <v>81</v>
      </c>
      <c r="N2051">
        <v>0.64848484848484844</v>
      </c>
      <c r="O2051">
        <v>2902784.6363636362</v>
      </c>
      <c r="P2051">
        <v>15009</v>
      </c>
      <c r="Q2051">
        <v>2</v>
      </c>
      <c r="R2051">
        <v>82</v>
      </c>
      <c r="S2051">
        <v>11.640447146179266</v>
      </c>
      <c r="T2051">
        <v>0.75555555820465092</v>
      </c>
    </row>
    <row r="2052" spans="1:20" x14ac:dyDescent="0.25">
      <c r="A2052" t="s">
        <v>314</v>
      </c>
      <c r="B2052">
        <v>9</v>
      </c>
      <c r="C2052">
        <v>2</v>
      </c>
      <c r="D2052">
        <v>0</v>
      </c>
      <c r="E2052" t="s">
        <v>346</v>
      </c>
      <c r="F2052">
        <v>11205</v>
      </c>
      <c r="G2052">
        <v>13503487.833333334</v>
      </c>
      <c r="H2052">
        <v>0.86666667461395264</v>
      </c>
      <c r="I2052">
        <v>0.68888888888888888</v>
      </c>
      <c r="J2052">
        <v>3899201.8333333335</v>
      </c>
      <c r="K2052">
        <v>15009</v>
      </c>
      <c r="L2052">
        <v>2</v>
      </c>
      <c r="M2052">
        <v>82</v>
      </c>
      <c r="N2052">
        <v>0.72962962962962963</v>
      </c>
      <c r="O2052">
        <v>4479494.5</v>
      </c>
      <c r="P2052">
        <v>15358</v>
      </c>
      <c r="Q2052">
        <v>2</v>
      </c>
      <c r="R2052">
        <v>83</v>
      </c>
      <c r="S2052">
        <v>11.640208834686137</v>
      </c>
      <c r="T2052">
        <v>0.8962962865829468</v>
      </c>
    </row>
    <row r="2053" spans="1:20" x14ac:dyDescent="0.25">
      <c r="A2053" t="s">
        <v>314</v>
      </c>
      <c r="B2053">
        <v>9</v>
      </c>
      <c r="C2053">
        <v>2</v>
      </c>
      <c r="D2053">
        <v>0</v>
      </c>
      <c r="E2053" t="s">
        <v>347</v>
      </c>
      <c r="F2053">
        <v>11823</v>
      </c>
      <c r="G2053">
        <v>17322683</v>
      </c>
      <c r="H2053">
        <v>0.81481482585271203</v>
      </c>
      <c r="I2053">
        <v>0.6518518518518519</v>
      </c>
      <c r="J2053">
        <v>3732634</v>
      </c>
      <c r="K2053">
        <v>15711</v>
      </c>
      <c r="L2053">
        <v>2</v>
      </c>
      <c r="M2053">
        <v>84</v>
      </c>
      <c r="N2053">
        <v>0.72592592592592586</v>
      </c>
      <c r="O2053">
        <v>3139462</v>
      </c>
      <c r="P2053">
        <v>16068</v>
      </c>
      <c r="Q2053">
        <v>2</v>
      </c>
      <c r="R2053">
        <v>85</v>
      </c>
      <c r="S2053">
        <v>11.640500754393834</v>
      </c>
      <c r="T2053">
        <v>0.78518519401550291</v>
      </c>
    </row>
    <row r="2054" spans="1:20" x14ac:dyDescent="0.25">
      <c r="A2054" t="s">
        <v>314</v>
      </c>
      <c r="B2054">
        <v>9</v>
      </c>
      <c r="C2054">
        <v>2</v>
      </c>
      <c r="D2054">
        <v>0</v>
      </c>
      <c r="E2054" t="s">
        <v>354</v>
      </c>
      <c r="F2054">
        <v>12271</v>
      </c>
      <c r="G2054">
        <v>12973469.454545455</v>
      </c>
      <c r="H2054">
        <v>0.87474748221310705</v>
      </c>
      <c r="I2054">
        <v>0.67272727272727273</v>
      </c>
      <c r="J2054">
        <v>4790501.6363636367</v>
      </c>
      <c r="K2054">
        <v>16429</v>
      </c>
      <c r="L2054">
        <v>2</v>
      </c>
      <c r="M2054">
        <v>86</v>
      </c>
      <c r="N2054">
        <v>0.71717171717171713</v>
      </c>
      <c r="O2054">
        <v>3347662.3636363638</v>
      </c>
      <c r="P2054">
        <v>16794</v>
      </c>
      <c r="Q2054">
        <v>2</v>
      </c>
      <c r="R2054">
        <v>87</v>
      </c>
      <c r="S2054">
        <v>11.639683704247167</v>
      </c>
      <c r="T2054">
        <v>0.75555555820465092</v>
      </c>
    </row>
    <row r="2055" spans="1:20" x14ac:dyDescent="0.25">
      <c r="A2055" t="s">
        <v>314</v>
      </c>
      <c r="B2055">
        <v>9</v>
      </c>
      <c r="C2055">
        <v>2</v>
      </c>
      <c r="D2055">
        <v>0</v>
      </c>
      <c r="E2055" t="s">
        <v>355</v>
      </c>
      <c r="F2055">
        <v>12945</v>
      </c>
      <c r="G2055">
        <v>12014744.666666666</v>
      </c>
      <c r="H2055">
        <v>0.85555556416511536</v>
      </c>
      <c r="I2055">
        <v>0.68518518518518512</v>
      </c>
      <c r="J2055">
        <v>3836120.5</v>
      </c>
      <c r="K2055">
        <v>17536</v>
      </c>
      <c r="L2055">
        <v>2</v>
      </c>
      <c r="M2055">
        <v>89</v>
      </c>
      <c r="N2055">
        <v>0.64814814814814814</v>
      </c>
      <c r="O2055">
        <v>2391886.1666666665</v>
      </c>
      <c r="P2055">
        <v>17913</v>
      </c>
      <c r="Q2055">
        <v>2</v>
      </c>
      <c r="R2055">
        <v>90</v>
      </c>
      <c r="S2055">
        <v>11.639282803585981</v>
      </c>
      <c r="T2055">
        <v>0.74074075222015379</v>
      </c>
    </row>
    <row r="2056" spans="1:20" x14ac:dyDescent="0.25">
      <c r="A2056" t="s">
        <v>314</v>
      </c>
      <c r="B2056">
        <v>9</v>
      </c>
      <c r="C2056">
        <v>3</v>
      </c>
      <c r="D2056">
        <v>0</v>
      </c>
      <c r="E2056" t="s">
        <v>360</v>
      </c>
      <c r="F2056">
        <v>2172</v>
      </c>
      <c r="G2056">
        <v>13490529.166666666</v>
      </c>
      <c r="H2056">
        <v>0.83703704675038659</v>
      </c>
      <c r="I2056">
        <v>0.70740740740740737</v>
      </c>
      <c r="J2056">
        <v>2580331</v>
      </c>
      <c r="K2056">
        <v>3118</v>
      </c>
      <c r="L2056">
        <v>2</v>
      </c>
      <c r="M2056">
        <v>35</v>
      </c>
      <c r="N2056">
        <v>0.71111111111111114</v>
      </c>
      <c r="O2056">
        <v>2823621.1666666665</v>
      </c>
      <c r="P2056">
        <v>3279</v>
      </c>
      <c r="Q2056">
        <v>2</v>
      </c>
      <c r="R2056">
        <v>36</v>
      </c>
      <c r="S2056">
        <v>11.639289497270431</v>
      </c>
      <c r="T2056">
        <v>0.79259258508682251</v>
      </c>
    </row>
    <row r="2057" spans="1:20" x14ac:dyDescent="0.25">
      <c r="A2057" t="s">
        <v>314</v>
      </c>
      <c r="B2057">
        <v>9</v>
      </c>
      <c r="C2057">
        <v>3</v>
      </c>
      <c r="D2057">
        <v>0</v>
      </c>
      <c r="E2057" t="s">
        <v>315</v>
      </c>
      <c r="F2057">
        <v>2654</v>
      </c>
      <c r="G2057">
        <v>6528929.166666667</v>
      </c>
      <c r="H2057">
        <v>0.86666667461395264</v>
      </c>
      <c r="I2057">
        <v>0.6333333333333333</v>
      </c>
      <c r="J2057">
        <v>247835.33333333334</v>
      </c>
      <c r="K2057">
        <v>3786</v>
      </c>
      <c r="L2057">
        <v>2</v>
      </c>
      <c r="M2057">
        <v>39</v>
      </c>
      <c r="N2057">
        <v>0.69259259259259254</v>
      </c>
      <c r="O2057">
        <v>284126.5</v>
      </c>
      <c r="P2057">
        <v>3963</v>
      </c>
      <c r="Q2057">
        <v>2</v>
      </c>
      <c r="R2057">
        <v>40</v>
      </c>
      <c r="S2057">
        <v>11.639296187683284</v>
      </c>
      <c r="T2057">
        <v>0.91111111640930176</v>
      </c>
    </row>
    <row r="2058" spans="1:20" x14ac:dyDescent="0.25">
      <c r="A2058" t="s">
        <v>314</v>
      </c>
      <c r="B2058">
        <v>9</v>
      </c>
      <c r="C2058">
        <v>3</v>
      </c>
      <c r="D2058">
        <v>0</v>
      </c>
      <c r="E2058" t="s">
        <v>324</v>
      </c>
      <c r="F2058">
        <v>3136</v>
      </c>
      <c r="G2058">
        <v>2535976.3333333335</v>
      </c>
      <c r="H2058">
        <v>0.92592593034108484</v>
      </c>
      <c r="I2058">
        <v>0.6962962962962963</v>
      </c>
      <c r="J2058">
        <v>291215.66666666669</v>
      </c>
      <c r="K2058">
        <v>4518</v>
      </c>
      <c r="L2058">
        <v>2</v>
      </c>
      <c r="M2058">
        <v>43</v>
      </c>
      <c r="N2058">
        <v>0.64814814814814814</v>
      </c>
      <c r="O2058">
        <v>290145.66666666669</v>
      </c>
      <c r="P2058">
        <v>4711</v>
      </c>
      <c r="Q2058">
        <v>2</v>
      </c>
      <c r="R2058">
        <v>44</v>
      </c>
      <c r="S2058">
        <v>11.638447756331949</v>
      </c>
      <c r="T2058">
        <v>0.94074074029922483</v>
      </c>
    </row>
    <row r="2059" spans="1:20" x14ac:dyDescent="0.25">
      <c r="A2059" t="s">
        <v>314</v>
      </c>
      <c r="B2059">
        <v>9</v>
      </c>
      <c r="C2059">
        <v>3</v>
      </c>
      <c r="D2059">
        <v>0</v>
      </c>
      <c r="E2059" t="s">
        <v>332</v>
      </c>
      <c r="F2059">
        <v>3618</v>
      </c>
      <c r="G2059">
        <v>4292222.333333333</v>
      </c>
      <c r="H2059">
        <v>0.91851852337519324</v>
      </c>
      <c r="I2059">
        <v>0.64814814814814814</v>
      </c>
      <c r="J2059">
        <v>320085.83333333331</v>
      </c>
      <c r="K2059">
        <v>5109</v>
      </c>
      <c r="L2059">
        <v>2</v>
      </c>
      <c r="M2059">
        <v>46</v>
      </c>
      <c r="N2059">
        <v>0.72962962962962963</v>
      </c>
      <c r="O2059">
        <v>324878.16666666669</v>
      </c>
      <c r="P2059">
        <v>5314</v>
      </c>
      <c r="Q2059">
        <v>2</v>
      </c>
      <c r="R2059">
        <v>47</v>
      </c>
      <c r="S2059">
        <v>11.638088259241165</v>
      </c>
      <c r="T2059">
        <v>0.96296297311782841</v>
      </c>
    </row>
    <row r="2060" spans="1:20" x14ac:dyDescent="0.25">
      <c r="A2060" t="s">
        <v>314</v>
      </c>
      <c r="B2060">
        <v>9</v>
      </c>
      <c r="C2060">
        <v>3</v>
      </c>
      <c r="D2060">
        <v>0</v>
      </c>
      <c r="E2060" t="s">
        <v>339</v>
      </c>
      <c r="F2060">
        <v>4100</v>
      </c>
      <c r="G2060">
        <v>3989220.1666666665</v>
      </c>
      <c r="H2060">
        <v>0.9444444477558136</v>
      </c>
      <c r="I2060">
        <v>0.68518518518518512</v>
      </c>
      <c r="J2060">
        <v>329712.83333333331</v>
      </c>
      <c r="K2060">
        <v>5953</v>
      </c>
      <c r="L2060">
        <v>2</v>
      </c>
      <c r="M2060">
        <v>50</v>
      </c>
      <c r="N2060">
        <v>0.70740740740740737</v>
      </c>
      <c r="O2060">
        <v>292473.16666666669</v>
      </c>
      <c r="P2060">
        <v>6174</v>
      </c>
      <c r="Q2060">
        <v>2</v>
      </c>
      <c r="R2060">
        <v>51</v>
      </c>
      <c r="S2060">
        <v>11.637606837606837</v>
      </c>
      <c r="T2060">
        <v>0.96296297311782841</v>
      </c>
    </row>
    <row r="2061" spans="1:20" x14ac:dyDescent="0.25">
      <c r="A2061" t="s">
        <v>314</v>
      </c>
      <c r="B2061">
        <v>9</v>
      </c>
      <c r="C2061">
        <v>3</v>
      </c>
      <c r="D2061">
        <v>0</v>
      </c>
      <c r="E2061" t="s">
        <v>348</v>
      </c>
      <c r="F2061">
        <v>4582</v>
      </c>
      <c r="G2061">
        <v>3609128.1666666665</v>
      </c>
      <c r="H2061">
        <v>0.92222222685813904</v>
      </c>
      <c r="I2061">
        <v>0.69259259259259265</v>
      </c>
      <c r="J2061">
        <v>387399.66666666669</v>
      </c>
      <c r="K2061">
        <v>6628</v>
      </c>
      <c r="L2061">
        <v>2</v>
      </c>
      <c r="M2061">
        <v>53</v>
      </c>
      <c r="N2061">
        <v>0.75555555555555554</v>
      </c>
      <c r="O2061">
        <v>352593.66666666669</v>
      </c>
      <c r="P2061">
        <v>6861</v>
      </c>
      <c r="Q2061">
        <v>2</v>
      </c>
      <c r="R2061">
        <v>54</v>
      </c>
      <c r="S2061">
        <v>11.636962890625</v>
      </c>
      <c r="T2061">
        <v>0.98518518209457395</v>
      </c>
    </row>
    <row r="2062" spans="1:20" x14ac:dyDescent="0.25">
      <c r="A2062" t="s">
        <v>314</v>
      </c>
      <c r="B2062">
        <v>9</v>
      </c>
      <c r="C2062">
        <v>3</v>
      </c>
      <c r="D2062">
        <v>0</v>
      </c>
      <c r="E2062" t="s">
        <v>356</v>
      </c>
      <c r="F2062">
        <v>5064</v>
      </c>
      <c r="G2062">
        <v>6859347.666666667</v>
      </c>
      <c r="H2062">
        <v>0.86666667461395264</v>
      </c>
      <c r="I2062">
        <v>0.74814814814814823</v>
      </c>
      <c r="J2062">
        <v>383626.83333333331</v>
      </c>
      <c r="K2062">
        <v>7339</v>
      </c>
      <c r="L2062">
        <v>2</v>
      </c>
      <c r="M2062">
        <v>56</v>
      </c>
      <c r="N2062">
        <v>0.67037037037037039</v>
      </c>
      <c r="O2062">
        <v>349633.83333333331</v>
      </c>
      <c r="P2062">
        <v>7584</v>
      </c>
      <c r="Q2062">
        <v>2</v>
      </c>
      <c r="R2062">
        <v>57</v>
      </c>
      <c r="S2062">
        <v>11.636604019201041</v>
      </c>
      <c r="T2062">
        <v>0.90370370149612422</v>
      </c>
    </row>
    <row r="2063" spans="1:20" x14ac:dyDescent="0.25">
      <c r="A2063" t="s">
        <v>314</v>
      </c>
      <c r="B2063">
        <v>9</v>
      </c>
      <c r="C2063">
        <v>3</v>
      </c>
      <c r="D2063">
        <v>0</v>
      </c>
      <c r="E2063" t="s">
        <v>357</v>
      </c>
      <c r="F2063">
        <v>5546</v>
      </c>
      <c r="G2063">
        <v>6761766.5</v>
      </c>
      <c r="H2063">
        <v>0.90000000596046448</v>
      </c>
      <c r="I2063">
        <v>0.73703703703703705</v>
      </c>
      <c r="J2063">
        <v>364472.83333333331</v>
      </c>
      <c r="K2063">
        <v>8086</v>
      </c>
      <c r="L2063">
        <v>2</v>
      </c>
      <c r="M2063">
        <v>59</v>
      </c>
      <c r="N2063">
        <v>0.68888888888888888</v>
      </c>
      <c r="O2063">
        <v>425891.83333333331</v>
      </c>
      <c r="P2063">
        <v>8343</v>
      </c>
      <c r="Q2063">
        <v>2</v>
      </c>
      <c r="R2063">
        <v>60</v>
      </c>
      <c r="S2063">
        <v>11.63648934439564</v>
      </c>
      <c r="T2063">
        <v>0.97037037611007693</v>
      </c>
    </row>
    <row r="2064" spans="1:20" x14ac:dyDescent="0.25">
      <c r="A2064" t="s">
        <v>314</v>
      </c>
      <c r="B2064">
        <v>9</v>
      </c>
      <c r="C2064">
        <v>3</v>
      </c>
      <c r="D2064">
        <v>0</v>
      </c>
      <c r="E2064" t="s">
        <v>358</v>
      </c>
      <c r="F2064">
        <v>6028</v>
      </c>
      <c r="G2064">
        <v>8201044.2727272725</v>
      </c>
      <c r="H2064">
        <v>0.78383839130401611</v>
      </c>
      <c r="I2064">
        <v>0.68282828282828278</v>
      </c>
      <c r="J2064">
        <v>381442.45454545453</v>
      </c>
      <c r="K2064">
        <v>8604</v>
      </c>
      <c r="L2064">
        <v>2</v>
      </c>
      <c r="M2064">
        <v>61</v>
      </c>
      <c r="N2064">
        <v>0.76161616161616164</v>
      </c>
      <c r="O2064">
        <v>350657.90909090912</v>
      </c>
      <c r="P2064">
        <v>8869</v>
      </c>
      <c r="Q2064">
        <v>2</v>
      </c>
      <c r="R2064">
        <v>62</v>
      </c>
      <c r="S2064">
        <v>11.636042115533153</v>
      </c>
      <c r="T2064">
        <v>0.90740742087364201</v>
      </c>
    </row>
    <row r="2065" spans="1:20" x14ac:dyDescent="0.25">
      <c r="A2065" t="s">
        <v>314</v>
      </c>
      <c r="B2065">
        <v>9</v>
      </c>
      <c r="C2065">
        <v>3</v>
      </c>
      <c r="D2065">
        <v>0</v>
      </c>
      <c r="E2065" t="s">
        <v>317</v>
      </c>
      <c r="F2065">
        <v>6166</v>
      </c>
      <c r="G2065">
        <v>5562799.166666667</v>
      </c>
      <c r="H2065">
        <v>0.88148148854573571</v>
      </c>
      <c r="I2065">
        <v>0.65555555555555556</v>
      </c>
      <c r="J2065">
        <v>417156.5</v>
      </c>
      <c r="K2065">
        <v>8869</v>
      </c>
      <c r="L2065">
        <v>2</v>
      </c>
      <c r="M2065">
        <v>62</v>
      </c>
      <c r="N2065">
        <v>0.67037037037037039</v>
      </c>
      <c r="O2065">
        <v>2021493</v>
      </c>
      <c r="P2065">
        <v>9138</v>
      </c>
      <c r="Q2065">
        <v>2</v>
      </c>
      <c r="R2065">
        <v>63</v>
      </c>
      <c r="S2065">
        <v>11.635521235521235</v>
      </c>
      <c r="T2065">
        <v>0.96296297311782841</v>
      </c>
    </row>
    <row r="2066" spans="1:20" x14ac:dyDescent="0.25">
      <c r="A2066" t="s">
        <v>314</v>
      </c>
      <c r="B2066">
        <v>9</v>
      </c>
      <c r="C2066">
        <v>3</v>
      </c>
      <c r="D2066">
        <v>0</v>
      </c>
      <c r="E2066" t="s">
        <v>359</v>
      </c>
      <c r="F2066">
        <v>6510</v>
      </c>
      <c r="G2066">
        <v>11872991.166666666</v>
      </c>
      <c r="H2066">
        <v>0.72962964574495948</v>
      </c>
      <c r="I2066">
        <v>0.67777777777777781</v>
      </c>
      <c r="J2066">
        <v>1023005.3333333334</v>
      </c>
      <c r="K2066">
        <v>9411</v>
      </c>
      <c r="L2066">
        <v>2</v>
      </c>
      <c r="M2066">
        <v>64</v>
      </c>
      <c r="N2066">
        <v>0.65925925925925921</v>
      </c>
      <c r="O2066">
        <v>4849949.333333333</v>
      </c>
      <c r="P2066">
        <v>9688</v>
      </c>
      <c r="Q2066">
        <v>2</v>
      </c>
      <c r="R2066">
        <v>65</v>
      </c>
      <c r="S2066">
        <v>11.63569135752306</v>
      </c>
      <c r="T2066">
        <v>0.82222223281860352</v>
      </c>
    </row>
    <row r="2067" spans="1:20" x14ac:dyDescent="0.25">
      <c r="A2067" t="s">
        <v>314</v>
      </c>
      <c r="B2067">
        <v>9</v>
      </c>
      <c r="C2067">
        <v>3</v>
      </c>
      <c r="D2067">
        <v>0</v>
      </c>
      <c r="E2067" t="s">
        <v>318</v>
      </c>
      <c r="F2067">
        <v>6648</v>
      </c>
      <c r="G2067">
        <v>10190018.272727273</v>
      </c>
      <c r="H2067">
        <v>0.80404041572050611</v>
      </c>
      <c r="I2067">
        <v>0.69090909090909092</v>
      </c>
      <c r="J2067">
        <v>6154174.5454545459</v>
      </c>
      <c r="K2067">
        <v>9688</v>
      </c>
      <c r="L2067">
        <v>2</v>
      </c>
      <c r="M2067">
        <v>65</v>
      </c>
      <c r="N2067">
        <v>0.68888888888888888</v>
      </c>
      <c r="O2067">
        <v>3120465.6363636362</v>
      </c>
      <c r="P2067">
        <v>9969</v>
      </c>
      <c r="Q2067">
        <v>2</v>
      </c>
      <c r="R2067">
        <v>66</v>
      </c>
      <c r="S2067">
        <v>11.63552920152709</v>
      </c>
      <c r="T2067">
        <v>0.88148148655891423</v>
      </c>
    </row>
    <row r="2068" spans="1:20" x14ac:dyDescent="0.25">
      <c r="A2068" t="s">
        <v>314</v>
      </c>
      <c r="B2068">
        <v>9</v>
      </c>
      <c r="C2068">
        <v>3</v>
      </c>
      <c r="D2068">
        <v>0</v>
      </c>
      <c r="E2068" t="s">
        <v>319</v>
      </c>
      <c r="F2068">
        <v>7130</v>
      </c>
      <c r="G2068">
        <v>12213458.666666666</v>
      </c>
      <c r="H2068">
        <v>0.5518518636624018</v>
      </c>
      <c r="I2068">
        <v>0.68148148148148147</v>
      </c>
      <c r="J2068">
        <v>3088534.6666666665</v>
      </c>
      <c r="K2068">
        <v>10254</v>
      </c>
      <c r="L2068">
        <v>2</v>
      </c>
      <c r="M2068">
        <v>67</v>
      </c>
      <c r="N2068">
        <v>0.68888888888888888</v>
      </c>
      <c r="O2068">
        <v>1617073.5</v>
      </c>
      <c r="P2068">
        <v>10543</v>
      </c>
      <c r="Q2068">
        <v>2</v>
      </c>
      <c r="R2068">
        <v>68</v>
      </c>
      <c r="S2068">
        <v>11.635496183206106</v>
      </c>
      <c r="T2068">
        <v>0.80740741491317747</v>
      </c>
    </row>
    <row r="2069" spans="1:20" x14ac:dyDescent="0.25">
      <c r="A2069" t="s">
        <v>314</v>
      </c>
      <c r="B2069">
        <v>9</v>
      </c>
      <c r="C2069">
        <v>3</v>
      </c>
      <c r="D2069">
        <v>0</v>
      </c>
      <c r="E2069" t="s">
        <v>333</v>
      </c>
      <c r="F2069">
        <v>7248</v>
      </c>
      <c r="G2069">
        <v>10030758</v>
      </c>
      <c r="H2069">
        <v>0.69696970690380444</v>
      </c>
      <c r="I2069">
        <v>0.65656565656565657</v>
      </c>
      <c r="J2069">
        <v>5356262</v>
      </c>
      <c r="K2069">
        <v>10543</v>
      </c>
      <c r="L2069">
        <v>2</v>
      </c>
      <c r="M2069">
        <v>68</v>
      </c>
      <c r="N2069">
        <v>0.68888888888888888</v>
      </c>
      <c r="O2069">
        <v>1766657.8181818181</v>
      </c>
      <c r="P2069">
        <v>10836</v>
      </c>
      <c r="Q2069">
        <v>2</v>
      </c>
      <c r="R2069">
        <v>69</v>
      </c>
      <c r="S2069">
        <v>11.634563091034538</v>
      </c>
      <c r="T2069">
        <v>0.70740740895271303</v>
      </c>
    </row>
    <row r="2070" spans="1:20" x14ac:dyDescent="0.25">
      <c r="A2070" t="s">
        <v>314</v>
      </c>
      <c r="B2070">
        <v>9</v>
      </c>
      <c r="C2070">
        <v>3</v>
      </c>
      <c r="D2070">
        <v>0</v>
      </c>
      <c r="E2070" t="s">
        <v>327</v>
      </c>
      <c r="F2070">
        <v>7550</v>
      </c>
      <c r="G2070">
        <v>10377157.666666666</v>
      </c>
      <c r="H2070">
        <v>0.76666668057441711</v>
      </c>
      <c r="I2070">
        <v>0.65925925925925921</v>
      </c>
      <c r="J2070">
        <v>4541422</v>
      </c>
      <c r="K2070">
        <v>10836</v>
      </c>
      <c r="L2070">
        <v>2</v>
      </c>
      <c r="M2070">
        <v>69</v>
      </c>
      <c r="N2070">
        <v>0.66666666666666674</v>
      </c>
      <c r="O2070">
        <v>1973627.8333333333</v>
      </c>
      <c r="P2070">
        <v>11133</v>
      </c>
      <c r="Q2070">
        <v>2</v>
      </c>
      <c r="R2070">
        <v>70</v>
      </c>
      <c r="S2070">
        <v>11.634124568878068</v>
      </c>
      <c r="T2070">
        <v>0.77777777910232548</v>
      </c>
    </row>
    <row r="2071" spans="1:20" x14ac:dyDescent="0.25">
      <c r="A2071" t="s">
        <v>314</v>
      </c>
      <c r="B2071">
        <v>9</v>
      </c>
      <c r="C2071">
        <v>3</v>
      </c>
      <c r="D2071">
        <v>0</v>
      </c>
      <c r="E2071" t="s">
        <v>320</v>
      </c>
      <c r="F2071">
        <v>7612</v>
      </c>
      <c r="G2071">
        <v>12957701.833333334</v>
      </c>
      <c r="H2071">
        <v>0.76666668057441711</v>
      </c>
      <c r="I2071">
        <v>0.68518518518518512</v>
      </c>
      <c r="J2071">
        <v>4126651.6666666665</v>
      </c>
      <c r="K2071">
        <v>11133</v>
      </c>
      <c r="L2071">
        <v>2</v>
      </c>
      <c r="M2071">
        <v>70</v>
      </c>
      <c r="N2071">
        <v>0.67777777777777781</v>
      </c>
      <c r="O2071">
        <v>3881119.1666666665</v>
      </c>
      <c r="P2071">
        <v>11434</v>
      </c>
      <c r="Q2071">
        <v>2</v>
      </c>
      <c r="R2071">
        <v>71</v>
      </c>
      <c r="S2071">
        <v>11.634254188471056</v>
      </c>
      <c r="T2071">
        <v>0.85185184478759768</v>
      </c>
    </row>
    <row r="2072" spans="1:20" x14ac:dyDescent="0.25">
      <c r="A2072" t="s">
        <v>314</v>
      </c>
      <c r="B2072">
        <v>9</v>
      </c>
      <c r="C2072">
        <v>3</v>
      </c>
      <c r="D2072">
        <v>0</v>
      </c>
      <c r="E2072" t="s">
        <v>334</v>
      </c>
      <c r="F2072">
        <v>7850</v>
      </c>
      <c r="G2072">
        <v>12622269</v>
      </c>
      <c r="H2072">
        <v>0.68518520394961036</v>
      </c>
      <c r="I2072">
        <v>0.67777777777777781</v>
      </c>
      <c r="J2072">
        <v>4427954.666666667</v>
      </c>
      <c r="K2072">
        <v>11434</v>
      </c>
      <c r="L2072">
        <v>2</v>
      </c>
      <c r="M2072">
        <v>71</v>
      </c>
      <c r="N2072">
        <v>0.6962962962962963</v>
      </c>
      <c r="O2072">
        <v>1752210.6666666667</v>
      </c>
      <c r="P2072">
        <v>11739</v>
      </c>
      <c r="Q2072">
        <v>2</v>
      </c>
      <c r="R2072">
        <v>72</v>
      </c>
      <c r="S2072">
        <v>11.634180962809749</v>
      </c>
      <c r="T2072">
        <v>0.77037036418914795</v>
      </c>
    </row>
    <row r="2073" spans="1:20" x14ac:dyDescent="0.25">
      <c r="A2073" t="s">
        <v>314</v>
      </c>
      <c r="B2073">
        <v>9</v>
      </c>
      <c r="C2073">
        <v>3</v>
      </c>
      <c r="D2073">
        <v>0</v>
      </c>
      <c r="E2073" t="s">
        <v>321</v>
      </c>
      <c r="F2073">
        <v>8094</v>
      </c>
      <c r="G2073">
        <v>13657032.666666666</v>
      </c>
      <c r="H2073">
        <v>0.69259260594844818</v>
      </c>
      <c r="I2073">
        <v>0.71111111111111103</v>
      </c>
      <c r="J2073">
        <v>4094790.3333333335</v>
      </c>
      <c r="K2073">
        <v>11739</v>
      </c>
      <c r="L2073">
        <v>2</v>
      </c>
      <c r="M2073">
        <v>72</v>
      </c>
      <c r="N2073">
        <v>0.67407407407407405</v>
      </c>
      <c r="O2073">
        <v>2035399.3333333333</v>
      </c>
      <c r="P2073">
        <v>12048</v>
      </c>
      <c r="Q2073">
        <v>2</v>
      </c>
      <c r="R2073">
        <v>73</v>
      </c>
      <c r="S2073">
        <v>11.634391598751165</v>
      </c>
      <c r="T2073">
        <v>0.88148148059844966</v>
      </c>
    </row>
    <row r="2074" spans="1:20" x14ac:dyDescent="0.25">
      <c r="A2074" t="s">
        <v>314</v>
      </c>
      <c r="B2074">
        <v>9</v>
      </c>
      <c r="C2074">
        <v>3</v>
      </c>
      <c r="D2074">
        <v>0</v>
      </c>
      <c r="E2074" t="s">
        <v>322</v>
      </c>
      <c r="F2074">
        <v>8576</v>
      </c>
      <c r="G2074">
        <v>11786506.125</v>
      </c>
      <c r="H2074">
        <v>0.67777778953313828</v>
      </c>
      <c r="I2074">
        <v>0.73888888888888893</v>
      </c>
      <c r="J2074">
        <v>4778405.625</v>
      </c>
      <c r="K2074">
        <v>12361</v>
      </c>
      <c r="L2074">
        <v>2</v>
      </c>
      <c r="M2074">
        <v>74</v>
      </c>
      <c r="N2074">
        <v>0.67777777777777781</v>
      </c>
      <c r="O2074">
        <v>2028801.4375</v>
      </c>
      <c r="P2074">
        <v>12678</v>
      </c>
      <c r="Q2074">
        <v>2</v>
      </c>
      <c r="R2074">
        <v>75</v>
      </c>
      <c r="S2074">
        <v>11.633615624620122</v>
      </c>
      <c r="T2074">
        <v>0.81481482187906906</v>
      </c>
    </row>
    <row r="2075" spans="1:20" x14ac:dyDescent="0.25">
      <c r="A2075" t="s">
        <v>314</v>
      </c>
      <c r="B2075">
        <v>9</v>
      </c>
      <c r="C2075">
        <v>3</v>
      </c>
      <c r="D2075">
        <v>0</v>
      </c>
      <c r="E2075" t="s">
        <v>341</v>
      </c>
      <c r="F2075">
        <v>8692</v>
      </c>
      <c r="G2075">
        <v>12856017.3125</v>
      </c>
      <c r="H2075">
        <v>0.7375000137835741</v>
      </c>
      <c r="I2075">
        <v>0.70138888888888895</v>
      </c>
      <c r="J2075">
        <v>6018603</v>
      </c>
      <c r="K2075">
        <v>12678</v>
      </c>
      <c r="L2075">
        <v>2</v>
      </c>
      <c r="M2075">
        <v>75</v>
      </c>
      <c r="N2075">
        <v>0.66805555555555562</v>
      </c>
      <c r="O2075">
        <v>2079083.75</v>
      </c>
      <c r="P2075">
        <v>12999</v>
      </c>
      <c r="Q2075">
        <v>2</v>
      </c>
      <c r="R2075">
        <v>76</v>
      </c>
      <c r="S2075">
        <v>11.633367078355942</v>
      </c>
      <c r="T2075">
        <v>0.77037038008371994</v>
      </c>
    </row>
    <row r="2076" spans="1:20" x14ac:dyDescent="0.25">
      <c r="A2076" t="s">
        <v>314</v>
      </c>
      <c r="B2076">
        <v>9</v>
      </c>
      <c r="C2076">
        <v>3</v>
      </c>
      <c r="D2076">
        <v>0</v>
      </c>
      <c r="E2076" t="s">
        <v>323</v>
      </c>
      <c r="F2076">
        <v>9058</v>
      </c>
      <c r="G2076">
        <v>12355653</v>
      </c>
      <c r="H2076">
        <v>0.69898991151289502</v>
      </c>
      <c r="I2076">
        <v>0.69494949494949498</v>
      </c>
      <c r="J2076">
        <v>5635043</v>
      </c>
      <c r="K2076">
        <v>12999</v>
      </c>
      <c r="L2076">
        <v>2</v>
      </c>
      <c r="M2076">
        <v>76</v>
      </c>
      <c r="N2076">
        <v>0.69898989898989905</v>
      </c>
      <c r="O2076">
        <v>1984833.3636363635</v>
      </c>
      <c r="P2076">
        <v>13324</v>
      </c>
      <c r="Q2076">
        <v>2</v>
      </c>
      <c r="R2076">
        <v>77</v>
      </c>
      <c r="S2076">
        <v>11.632963652554036</v>
      </c>
      <c r="T2076">
        <v>0.76666667461395266</v>
      </c>
    </row>
    <row r="2077" spans="1:20" x14ac:dyDescent="0.25">
      <c r="A2077" t="s">
        <v>314</v>
      </c>
      <c r="B2077">
        <v>9</v>
      </c>
      <c r="C2077">
        <v>3</v>
      </c>
      <c r="D2077">
        <v>0</v>
      </c>
      <c r="E2077" t="s">
        <v>329</v>
      </c>
      <c r="F2077">
        <v>9176</v>
      </c>
      <c r="G2077">
        <v>12364307.727272727</v>
      </c>
      <c r="H2077">
        <v>0.68484849550507287</v>
      </c>
      <c r="I2077">
        <v>0.70707070707070707</v>
      </c>
      <c r="J2077">
        <v>4872741.2727272725</v>
      </c>
      <c r="K2077">
        <v>13324</v>
      </c>
      <c r="L2077">
        <v>2</v>
      </c>
      <c r="M2077">
        <v>77</v>
      </c>
      <c r="N2077">
        <v>0.70303030303030301</v>
      </c>
      <c r="O2077">
        <v>2085909.7272727273</v>
      </c>
      <c r="P2077">
        <v>13653</v>
      </c>
      <c r="Q2077">
        <v>2</v>
      </c>
      <c r="R2077">
        <v>78</v>
      </c>
      <c r="S2077">
        <v>11.632479669862848</v>
      </c>
      <c r="T2077">
        <v>0.76296296715736389</v>
      </c>
    </row>
    <row r="2078" spans="1:20" x14ac:dyDescent="0.25">
      <c r="A2078" t="s">
        <v>314</v>
      </c>
      <c r="B2078">
        <v>9</v>
      </c>
      <c r="C2078">
        <v>3</v>
      </c>
      <c r="D2078">
        <v>0</v>
      </c>
      <c r="E2078" t="s">
        <v>342</v>
      </c>
      <c r="F2078">
        <v>9354</v>
      </c>
      <c r="G2078">
        <v>13748164.5</v>
      </c>
      <c r="H2078">
        <v>0.67407408853371942</v>
      </c>
      <c r="I2078">
        <v>0.68888888888888888</v>
      </c>
      <c r="J2078">
        <v>5329465.833333333</v>
      </c>
      <c r="K2078">
        <v>13653</v>
      </c>
      <c r="L2078">
        <v>2</v>
      </c>
      <c r="M2078">
        <v>78</v>
      </c>
      <c r="N2078">
        <v>0.66296296296296298</v>
      </c>
      <c r="O2078">
        <v>4658015.333333333</v>
      </c>
      <c r="P2078">
        <v>13986</v>
      </c>
      <c r="Q2078">
        <v>2</v>
      </c>
      <c r="R2078">
        <v>79</v>
      </c>
      <c r="S2078">
        <v>11.632528414836386</v>
      </c>
      <c r="T2078">
        <v>0.86666667461395264</v>
      </c>
    </row>
    <row r="2079" spans="1:20" x14ac:dyDescent="0.25">
      <c r="A2079" t="s">
        <v>314</v>
      </c>
      <c r="B2079">
        <v>9</v>
      </c>
      <c r="C2079">
        <v>3</v>
      </c>
      <c r="D2079">
        <v>0</v>
      </c>
      <c r="E2079" t="s">
        <v>330</v>
      </c>
      <c r="F2079">
        <v>9718</v>
      </c>
      <c r="G2079">
        <v>11013744.727272727</v>
      </c>
      <c r="H2079">
        <v>0.78787879781289538</v>
      </c>
      <c r="I2079">
        <v>0.68484848484848482</v>
      </c>
      <c r="J2079">
        <v>4713744.5454545459</v>
      </c>
      <c r="K2079">
        <v>13986</v>
      </c>
      <c r="L2079">
        <v>2</v>
      </c>
      <c r="M2079">
        <v>79</v>
      </c>
      <c r="N2079">
        <v>0.70707070707070707</v>
      </c>
      <c r="O2079">
        <v>3675310.2727272729</v>
      </c>
      <c r="P2079">
        <v>14323</v>
      </c>
      <c r="Q2079">
        <v>2</v>
      </c>
      <c r="R2079">
        <v>80</v>
      </c>
      <c r="S2079">
        <v>11.631559796231908</v>
      </c>
      <c r="T2079">
        <v>0.82962963581085203</v>
      </c>
    </row>
    <row r="2080" spans="1:20" x14ac:dyDescent="0.25">
      <c r="A2080" t="s">
        <v>314</v>
      </c>
      <c r="B2080">
        <v>9</v>
      </c>
      <c r="C2080">
        <v>3</v>
      </c>
      <c r="D2080">
        <v>0</v>
      </c>
      <c r="E2080" t="s">
        <v>343</v>
      </c>
      <c r="F2080">
        <v>10016</v>
      </c>
      <c r="G2080">
        <v>11428234.272727273</v>
      </c>
      <c r="H2080">
        <v>0.63636365261944861</v>
      </c>
      <c r="I2080">
        <v>0.74141414141414141</v>
      </c>
      <c r="J2080">
        <v>4881141</v>
      </c>
      <c r="K2080">
        <v>14664</v>
      </c>
      <c r="L2080">
        <v>2</v>
      </c>
      <c r="M2080">
        <v>81</v>
      </c>
      <c r="N2080">
        <v>0.73333333333333339</v>
      </c>
      <c r="O2080">
        <v>1935059.5454545454</v>
      </c>
      <c r="P2080">
        <v>15009</v>
      </c>
      <c r="Q2080">
        <v>2</v>
      </c>
      <c r="R2080">
        <v>82</v>
      </c>
      <c r="S2080">
        <v>11.630672863204687</v>
      </c>
      <c r="T2080">
        <v>0.82962962985038757</v>
      </c>
    </row>
    <row r="2081" spans="1:20" x14ac:dyDescent="0.25">
      <c r="A2081" t="s">
        <v>314</v>
      </c>
      <c r="B2081">
        <v>9</v>
      </c>
      <c r="C2081">
        <v>3</v>
      </c>
      <c r="D2081">
        <v>0</v>
      </c>
      <c r="E2081" t="s">
        <v>331</v>
      </c>
      <c r="F2081">
        <v>10260</v>
      </c>
      <c r="G2081">
        <v>11937546.333333334</v>
      </c>
      <c r="H2081">
        <v>0.71481482684612274</v>
      </c>
      <c r="I2081">
        <v>0.69259259259259265</v>
      </c>
      <c r="J2081">
        <v>4607508.333333333</v>
      </c>
      <c r="K2081">
        <v>15009</v>
      </c>
      <c r="L2081">
        <v>2</v>
      </c>
      <c r="M2081">
        <v>82</v>
      </c>
      <c r="N2081">
        <v>0.71481481481481479</v>
      </c>
      <c r="O2081">
        <v>2076786.3333333333</v>
      </c>
      <c r="P2081">
        <v>15358</v>
      </c>
      <c r="Q2081">
        <v>2</v>
      </c>
      <c r="R2081">
        <v>83</v>
      </c>
      <c r="S2081">
        <v>11.630277564542848</v>
      </c>
      <c r="T2081">
        <v>0.79259258508682251</v>
      </c>
    </row>
    <row r="2082" spans="1:20" x14ac:dyDescent="0.25">
      <c r="A2082" t="s">
        <v>314</v>
      </c>
      <c r="B2082">
        <v>9</v>
      </c>
      <c r="C2082">
        <v>3</v>
      </c>
      <c r="D2082">
        <v>0</v>
      </c>
      <c r="E2082" t="s">
        <v>344</v>
      </c>
      <c r="F2082">
        <v>10678</v>
      </c>
      <c r="G2082">
        <v>10661325.5625</v>
      </c>
      <c r="H2082">
        <v>0.6319444552063942</v>
      </c>
      <c r="I2082">
        <v>0.68333333333333335</v>
      </c>
      <c r="J2082">
        <v>6136914.75</v>
      </c>
      <c r="K2082">
        <v>15358</v>
      </c>
      <c r="L2082">
        <v>2</v>
      </c>
      <c r="M2082">
        <v>83</v>
      </c>
      <c r="N2082">
        <v>0.6694444444444444</v>
      </c>
      <c r="O2082">
        <v>3984691.625</v>
      </c>
      <c r="P2082">
        <v>15711</v>
      </c>
      <c r="Q2082">
        <v>2</v>
      </c>
      <c r="R2082">
        <v>84</v>
      </c>
      <c r="S2082">
        <v>11.62845722130254</v>
      </c>
      <c r="T2082">
        <v>0.83950618108113606</v>
      </c>
    </row>
    <row r="2083" spans="1:20" x14ac:dyDescent="0.25">
      <c r="A2083" t="s">
        <v>314</v>
      </c>
      <c r="B2083">
        <v>9</v>
      </c>
      <c r="C2083">
        <v>3</v>
      </c>
      <c r="D2083">
        <v>0</v>
      </c>
      <c r="E2083" t="s">
        <v>337</v>
      </c>
      <c r="F2083">
        <v>10860</v>
      </c>
      <c r="G2083">
        <v>12982258.666666666</v>
      </c>
      <c r="H2083">
        <v>0.69259260594844818</v>
      </c>
      <c r="I2083">
        <v>0.66666666666666663</v>
      </c>
      <c r="J2083">
        <v>3818376.8333333335</v>
      </c>
      <c r="K2083">
        <v>15711</v>
      </c>
      <c r="L2083">
        <v>2</v>
      </c>
      <c r="M2083">
        <v>84</v>
      </c>
      <c r="N2083">
        <v>0.68888888888888888</v>
      </c>
      <c r="O2083">
        <v>4217191.166666667</v>
      </c>
      <c r="P2083">
        <v>16068</v>
      </c>
      <c r="Q2083">
        <v>2</v>
      </c>
      <c r="R2083">
        <v>85</v>
      </c>
      <c r="S2083">
        <v>11.628143543373834</v>
      </c>
      <c r="T2083">
        <v>0.8</v>
      </c>
    </row>
    <row r="2084" spans="1:20" x14ac:dyDescent="0.25">
      <c r="A2084" t="s">
        <v>314</v>
      </c>
      <c r="B2084">
        <v>9</v>
      </c>
      <c r="C2084">
        <v>3</v>
      </c>
      <c r="D2084">
        <v>0</v>
      </c>
      <c r="E2084" t="s">
        <v>351</v>
      </c>
      <c r="F2084">
        <v>10978</v>
      </c>
      <c r="G2084">
        <v>14309483.5</v>
      </c>
      <c r="H2084">
        <v>0.61481483777364099</v>
      </c>
      <c r="I2084">
        <v>0.65925925925925921</v>
      </c>
      <c r="J2084">
        <v>3688390.8333333335</v>
      </c>
      <c r="K2084">
        <v>16068</v>
      </c>
      <c r="L2084">
        <v>2</v>
      </c>
      <c r="M2084">
        <v>85</v>
      </c>
      <c r="N2084">
        <v>0.68148148148148147</v>
      </c>
      <c r="O2084">
        <v>6227663.5</v>
      </c>
      <c r="P2084">
        <v>16429</v>
      </c>
      <c r="Q2084">
        <v>2</v>
      </c>
      <c r="R2084">
        <v>86</v>
      </c>
      <c r="S2084">
        <v>11.627991444368215</v>
      </c>
      <c r="T2084">
        <v>0.77037037611007686</v>
      </c>
    </row>
    <row r="2085" spans="1:20" x14ac:dyDescent="0.25">
      <c r="A2085" t="s">
        <v>314</v>
      </c>
      <c r="B2085">
        <v>9</v>
      </c>
      <c r="C2085">
        <v>3</v>
      </c>
      <c r="D2085">
        <v>0</v>
      </c>
      <c r="E2085" t="s">
        <v>338</v>
      </c>
      <c r="F2085">
        <v>11462</v>
      </c>
      <c r="G2085">
        <v>14083767.333333334</v>
      </c>
      <c r="H2085">
        <v>0.57037038604418433</v>
      </c>
      <c r="I2085">
        <v>0.7407407407407407</v>
      </c>
      <c r="J2085">
        <v>4578763.333333333</v>
      </c>
      <c r="K2085">
        <v>16429</v>
      </c>
      <c r="L2085">
        <v>2</v>
      </c>
      <c r="M2085">
        <v>86</v>
      </c>
      <c r="N2085">
        <v>0.65555555555555556</v>
      </c>
      <c r="O2085">
        <v>2282188.5</v>
      </c>
      <c r="P2085">
        <v>16794</v>
      </c>
      <c r="Q2085">
        <v>2</v>
      </c>
      <c r="R2085">
        <v>87</v>
      </c>
      <c r="S2085">
        <v>11.627879765987492</v>
      </c>
      <c r="T2085">
        <v>0.80000001192092896</v>
      </c>
    </row>
    <row r="2086" spans="1:20" x14ac:dyDescent="0.25">
      <c r="A2086" t="s">
        <v>314</v>
      </c>
      <c r="B2086">
        <v>9</v>
      </c>
      <c r="C2086">
        <v>3</v>
      </c>
      <c r="D2086">
        <v>0</v>
      </c>
      <c r="E2086" t="s">
        <v>352</v>
      </c>
      <c r="F2086">
        <v>11700</v>
      </c>
      <c r="G2086">
        <v>14670104.272727273</v>
      </c>
      <c r="H2086">
        <v>0.71111112562092871</v>
      </c>
      <c r="I2086">
        <v>0.68484848484848482</v>
      </c>
      <c r="J2086">
        <v>4330785.3636363633</v>
      </c>
      <c r="K2086">
        <v>16794</v>
      </c>
      <c r="L2086">
        <v>2</v>
      </c>
      <c r="M2086">
        <v>87</v>
      </c>
      <c r="N2086">
        <v>0.69898989898989905</v>
      </c>
      <c r="O2086">
        <v>2511931.0909090908</v>
      </c>
      <c r="P2086">
        <v>17163</v>
      </c>
      <c r="Q2086">
        <v>2</v>
      </c>
      <c r="R2086">
        <v>88</v>
      </c>
      <c r="S2086">
        <v>11.627802871430877</v>
      </c>
      <c r="T2086">
        <v>0.82962964177131648</v>
      </c>
    </row>
    <row r="2087" spans="1:20" x14ac:dyDescent="0.25">
      <c r="A2087" t="s">
        <v>314</v>
      </c>
      <c r="B2087">
        <v>9</v>
      </c>
      <c r="C2087">
        <v>3</v>
      </c>
      <c r="D2087">
        <v>0</v>
      </c>
      <c r="E2087" t="s">
        <v>346</v>
      </c>
      <c r="F2087">
        <v>12002</v>
      </c>
      <c r="G2087">
        <v>13096496.666666666</v>
      </c>
      <c r="H2087">
        <v>0.7740740875403086</v>
      </c>
      <c r="I2087">
        <v>0.67407407407407405</v>
      </c>
      <c r="J2087">
        <v>3973280.8333333335</v>
      </c>
      <c r="K2087">
        <v>17536</v>
      </c>
      <c r="L2087">
        <v>2</v>
      </c>
      <c r="M2087">
        <v>89</v>
      </c>
      <c r="N2087">
        <v>0.68888888888888888</v>
      </c>
      <c r="O2087">
        <v>4082525.6666666665</v>
      </c>
      <c r="P2087">
        <v>17913</v>
      </c>
      <c r="Q2087">
        <v>2</v>
      </c>
      <c r="R2087">
        <v>90</v>
      </c>
      <c r="S2087">
        <v>11.627489718571082</v>
      </c>
      <c r="T2087">
        <v>0.82222223281860352</v>
      </c>
    </row>
    <row r="2088" spans="1:20" x14ac:dyDescent="0.25">
      <c r="A2088" t="s">
        <v>314</v>
      </c>
      <c r="B2088">
        <v>9</v>
      </c>
      <c r="C2088">
        <v>3</v>
      </c>
      <c r="D2088">
        <v>0</v>
      </c>
      <c r="E2088" t="s">
        <v>353</v>
      </c>
      <c r="F2088">
        <v>12422</v>
      </c>
      <c r="G2088">
        <v>13227596</v>
      </c>
      <c r="H2088">
        <v>0.6851851989825567</v>
      </c>
      <c r="I2088">
        <v>0.68148148148148147</v>
      </c>
      <c r="J2088">
        <v>2949514.3333333335</v>
      </c>
      <c r="K2088">
        <v>17913</v>
      </c>
      <c r="L2088">
        <v>2</v>
      </c>
      <c r="M2088">
        <v>90</v>
      </c>
      <c r="N2088">
        <v>0.6962962962962963</v>
      </c>
      <c r="O2088">
        <v>3083770.3333333335</v>
      </c>
      <c r="P2088">
        <v>18294</v>
      </c>
      <c r="Q2088">
        <v>2</v>
      </c>
      <c r="R2088">
        <v>91</v>
      </c>
      <c r="S2088">
        <v>11.627176717188004</v>
      </c>
      <c r="T2088">
        <v>0.89629629850387571</v>
      </c>
    </row>
    <row r="2089" spans="1:20" x14ac:dyDescent="0.25">
      <c r="A2089" t="s">
        <v>314</v>
      </c>
      <c r="B2089">
        <v>9</v>
      </c>
      <c r="C2089">
        <v>3</v>
      </c>
      <c r="D2089">
        <v>0</v>
      </c>
      <c r="E2089" t="s">
        <v>347</v>
      </c>
      <c r="F2089">
        <v>12664</v>
      </c>
      <c r="G2089">
        <v>16400419.5</v>
      </c>
      <c r="H2089">
        <v>0.70370371639728546</v>
      </c>
      <c r="I2089">
        <v>0.70740740740740737</v>
      </c>
      <c r="J2089">
        <v>3223241.3333333335</v>
      </c>
      <c r="K2089">
        <v>18294</v>
      </c>
      <c r="L2089">
        <v>2</v>
      </c>
      <c r="M2089">
        <v>91</v>
      </c>
      <c r="N2089">
        <v>0.71111111111111114</v>
      </c>
      <c r="O2089">
        <v>6565543.666666667</v>
      </c>
      <c r="P2089">
        <v>18679</v>
      </c>
      <c r="Q2089">
        <v>2</v>
      </c>
      <c r="R2089">
        <v>92</v>
      </c>
      <c r="S2089">
        <v>11.627387764971386</v>
      </c>
      <c r="T2089">
        <v>0.82962964773178105</v>
      </c>
    </row>
    <row r="2090" spans="1:20" x14ac:dyDescent="0.25">
      <c r="A2090" t="s">
        <v>314</v>
      </c>
      <c r="B2090">
        <v>9</v>
      </c>
      <c r="C2090">
        <v>3</v>
      </c>
      <c r="D2090">
        <v>0</v>
      </c>
      <c r="E2090" t="s">
        <v>354</v>
      </c>
      <c r="F2090">
        <v>13144</v>
      </c>
      <c r="G2090">
        <v>13157996.833333334</v>
      </c>
      <c r="H2090">
        <v>0.67037038008371985</v>
      </c>
      <c r="I2090">
        <v>0.77407407407407403</v>
      </c>
      <c r="J2090">
        <v>6283447.333333333</v>
      </c>
      <c r="K2090">
        <v>19068</v>
      </c>
      <c r="L2090">
        <v>2</v>
      </c>
      <c r="M2090">
        <v>93</v>
      </c>
      <c r="N2090">
        <v>0.68148148148148147</v>
      </c>
      <c r="O2090">
        <v>19672701.333333332</v>
      </c>
      <c r="P2090">
        <v>19461</v>
      </c>
      <c r="Q2090">
        <v>2</v>
      </c>
      <c r="R2090">
        <v>94</v>
      </c>
      <c r="S2090">
        <v>11.626994359387592</v>
      </c>
      <c r="T2090">
        <v>0.82962962388992312</v>
      </c>
    </row>
    <row r="2091" spans="1:20" x14ac:dyDescent="0.25">
      <c r="A2091" t="s">
        <v>314</v>
      </c>
      <c r="B2091">
        <v>9</v>
      </c>
      <c r="C2091">
        <v>3</v>
      </c>
      <c r="D2091">
        <v>0</v>
      </c>
      <c r="E2091" t="s">
        <v>355</v>
      </c>
      <c r="F2091">
        <v>13866</v>
      </c>
      <c r="G2091">
        <v>17314989.333333332</v>
      </c>
      <c r="H2091">
        <v>0.68888890246550238</v>
      </c>
      <c r="I2091">
        <v>0.65925925925925921</v>
      </c>
      <c r="J2091">
        <v>23522707.833333332</v>
      </c>
      <c r="K2091">
        <v>20259</v>
      </c>
      <c r="L2091">
        <v>2</v>
      </c>
      <c r="M2091">
        <v>96</v>
      </c>
      <c r="N2091">
        <v>0.70740740740740737</v>
      </c>
      <c r="O2091">
        <v>22563668.5</v>
      </c>
      <c r="P2091">
        <v>20664</v>
      </c>
      <c r="Q2091">
        <v>2</v>
      </c>
      <c r="R2091">
        <v>97</v>
      </c>
      <c r="S2091">
        <v>11.627285909933134</v>
      </c>
      <c r="T2091">
        <v>0.85925924777984619</v>
      </c>
    </row>
    <row r="2092" spans="1:20" x14ac:dyDescent="0.25">
      <c r="A2092" t="s">
        <v>314</v>
      </c>
      <c r="B2092">
        <v>9</v>
      </c>
      <c r="C2092">
        <v>4</v>
      </c>
      <c r="D2092">
        <v>0</v>
      </c>
      <c r="E2092" t="s">
        <v>355</v>
      </c>
      <c r="F2092">
        <v>14787</v>
      </c>
      <c r="G2092">
        <v>12198884.666666666</v>
      </c>
      <c r="H2092">
        <v>0.78148149450620019</v>
      </c>
      <c r="I2092">
        <v>0.67037037037037039</v>
      </c>
      <c r="J2092">
        <v>19672581.166666668</v>
      </c>
      <c r="K2092">
        <v>22749</v>
      </c>
      <c r="L2092">
        <v>2</v>
      </c>
      <c r="M2092">
        <v>102</v>
      </c>
      <c r="N2092">
        <v>0.71481481481481479</v>
      </c>
      <c r="O2092">
        <v>19043542.166666668</v>
      </c>
      <c r="P2092">
        <v>23178</v>
      </c>
      <c r="Q2092">
        <v>2</v>
      </c>
      <c r="R2092">
        <v>103</v>
      </c>
      <c r="S2092">
        <v>11.626651095360824</v>
      </c>
      <c r="T2092">
        <v>0.82962963581085203</v>
      </c>
    </row>
    <row r="2093" spans="1:20" x14ac:dyDescent="0.25">
      <c r="A2093" t="s">
        <v>314</v>
      </c>
      <c r="B2093">
        <v>9</v>
      </c>
      <c r="C2093">
        <v>4</v>
      </c>
      <c r="D2093">
        <v>0</v>
      </c>
      <c r="E2093" t="s">
        <v>360</v>
      </c>
      <c r="F2093">
        <v>2316</v>
      </c>
      <c r="G2093">
        <v>10308526.333333334</v>
      </c>
      <c r="H2093">
        <v>0.68888890246550238</v>
      </c>
      <c r="I2093">
        <v>0.7</v>
      </c>
      <c r="J2093">
        <v>6341072.666666667</v>
      </c>
      <c r="K2093">
        <v>3444</v>
      </c>
      <c r="L2093">
        <v>2</v>
      </c>
      <c r="M2093">
        <v>37</v>
      </c>
      <c r="N2093">
        <v>0.74444444444444446</v>
      </c>
      <c r="O2093">
        <v>7663184.333333333</v>
      </c>
      <c r="P2093">
        <v>3613</v>
      </c>
      <c r="Q2093">
        <v>2</v>
      </c>
      <c r="R2093">
        <v>38</v>
      </c>
      <c r="S2093">
        <v>11.626016587486916</v>
      </c>
      <c r="T2093">
        <v>0.79259259700775142</v>
      </c>
    </row>
    <row r="2094" spans="1:20" x14ac:dyDescent="0.25">
      <c r="A2094" t="s">
        <v>314</v>
      </c>
      <c r="B2094">
        <v>9</v>
      </c>
      <c r="C2094">
        <v>4</v>
      </c>
      <c r="D2094">
        <v>0</v>
      </c>
      <c r="E2094" t="s">
        <v>315</v>
      </c>
      <c r="F2094">
        <v>2830</v>
      </c>
      <c r="G2094">
        <v>4898666.166666667</v>
      </c>
      <c r="H2094">
        <v>0.85555556416511536</v>
      </c>
      <c r="I2094">
        <v>0.59629629629629632</v>
      </c>
      <c r="J2094">
        <v>271038.5</v>
      </c>
      <c r="K2094">
        <v>4329</v>
      </c>
      <c r="L2094">
        <v>2</v>
      </c>
      <c r="M2094">
        <v>42</v>
      </c>
      <c r="N2094">
        <v>0.72592592592592586</v>
      </c>
      <c r="O2094">
        <v>295420.83333333331</v>
      </c>
      <c r="P2094">
        <v>4518</v>
      </c>
      <c r="Q2094">
        <v>2</v>
      </c>
      <c r="R2094">
        <v>43</v>
      </c>
      <c r="S2094">
        <v>11.625422637256481</v>
      </c>
      <c r="T2094">
        <v>0.92592592239379878</v>
      </c>
    </row>
    <row r="2095" spans="1:20" x14ac:dyDescent="0.25">
      <c r="A2095" t="s">
        <v>314</v>
      </c>
      <c r="B2095">
        <v>9</v>
      </c>
      <c r="C2095">
        <v>4</v>
      </c>
      <c r="D2095">
        <v>0</v>
      </c>
      <c r="E2095" t="s">
        <v>324</v>
      </c>
      <c r="F2095">
        <v>3344</v>
      </c>
      <c r="G2095">
        <v>7006002.333333333</v>
      </c>
      <c r="H2095">
        <v>0.73703705271085107</v>
      </c>
      <c r="I2095">
        <v>0.74444444444444446</v>
      </c>
      <c r="J2095">
        <v>351162.5</v>
      </c>
      <c r="K2095">
        <v>5109</v>
      </c>
      <c r="L2095">
        <v>2</v>
      </c>
      <c r="M2095">
        <v>46</v>
      </c>
      <c r="N2095">
        <v>0.67407407407407405</v>
      </c>
      <c r="O2095">
        <v>313520</v>
      </c>
      <c r="P2095">
        <v>5314</v>
      </c>
      <c r="Q2095">
        <v>2</v>
      </c>
      <c r="R2095">
        <v>47</v>
      </c>
      <c r="S2095">
        <v>11.625110663983904</v>
      </c>
      <c r="T2095">
        <v>0.8592592597007751</v>
      </c>
    </row>
    <row r="2096" spans="1:20" x14ac:dyDescent="0.25">
      <c r="A2096" t="s">
        <v>314</v>
      </c>
      <c r="B2096">
        <v>9</v>
      </c>
      <c r="C2096">
        <v>4</v>
      </c>
      <c r="D2096">
        <v>0</v>
      </c>
      <c r="E2096" t="s">
        <v>332</v>
      </c>
      <c r="F2096">
        <v>3858</v>
      </c>
      <c r="G2096">
        <v>5165991</v>
      </c>
      <c r="H2096">
        <v>0.85925926764806115</v>
      </c>
      <c r="I2096">
        <v>0.67777777777777781</v>
      </c>
      <c r="J2096">
        <v>365491.33333333331</v>
      </c>
      <c r="K2096">
        <v>5953</v>
      </c>
      <c r="L2096">
        <v>2</v>
      </c>
      <c r="M2096">
        <v>50</v>
      </c>
      <c r="N2096">
        <v>0.6962962962962963</v>
      </c>
      <c r="O2096">
        <v>337369.33333333331</v>
      </c>
      <c r="P2096">
        <v>6174</v>
      </c>
      <c r="Q2096">
        <v>2</v>
      </c>
      <c r="R2096">
        <v>51</v>
      </c>
      <c r="S2096">
        <v>11.624316060508528</v>
      </c>
      <c r="T2096">
        <v>0.88888890743255611</v>
      </c>
    </row>
    <row r="2097" spans="1:20" x14ac:dyDescent="0.25">
      <c r="A2097" t="s">
        <v>314</v>
      </c>
      <c r="B2097">
        <v>9</v>
      </c>
      <c r="C2097">
        <v>4</v>
      </c>
      <c r="D2097">
        <v>0</v>
      </c>
      <c r="E2097" t="s">
        <v>339</v>
      </c>
      <c r="F2097">
        <v>4372</v>
      </c>
      <c r="G2097">
        <v>7138606.833333333</v>
      </c>
      <c r="H2097">
        <v>0.85185186068216956</v>
      </c>
      <c r="I2097">
        <v>0.67037037037037039</v>
      </c>
      <c r="J2097">
        <v>381618.33333333331</v>
      </c>
      <c r="K2097">
        <v>6628</v>
      </c>
      <c r="L2097">
        <v>2</v>
      </c>
      <c r="M2097">
        <v>53</v>
      </c>
      <c r="N2097">
        <v>0.75555555555555554</v>
      </c>
      <c r="O2097">
        <v>353454.5</v>
      </c>
      <c r="P2097">
        <v>6861</v>
      </c>
      <c r="Q2097">
        <v>2</v>
      </c>
      <c r="R2097">
        <v>54</v>
      </c>
      <c r="S2097">
        <v>11.624044726892446</v>
      </c>
      <c r="T2097">
        <v>0.8888888955116272</v>
      </c>
    </row>
    <row r="2098" spans="1:20" x14ac:dyDescent="0.25">
      <c r="A2098" t="s">
        <v>314</v>
      </c>
      <c r="B2098">
        <v>9</v>
      </c>
      <c r="C2098">
        <v>4</v>
      </c>
      <c r="D2098">
        <v>0</v>
      </c>
      <c r="E2098" t="s">
        <v>348</v>
      </c>
      <c r="F2098">
        <v>4886</v>
      </c>
      <c r="G2098">
        <v>4896704.166666667</v>
      </c>
      <c r="H2098">
        <v>0.92962963382403052</v>
      </c>
      <c r="I2098">
        <v>0.67407407407407405</v>
      </c>
      <c r="J2098">
        <v>354247.5</v>
      </c>
      <c r="K2098">
        <v>7584</v>
      </c>
      <c r="L2098">
        <v>2</v>
      </c>
      <c r="M2098">
        <v>57</v>
      </c>
      <c r="N2098">
        <v>0.71481481481481479</v>
      </c>
      <c r="O2098">
        <v>321877.66666666669</v>
      </c>
      <c r="P2098">
        <v>7833</v>
      </c>
      <c r="Q2098">
        <v>2</v>
      </c>
      <c r="R2098">
        <v>58</v>
      </c>
      <c r="S2098">
        <v>11.623532250281487</v>
      </c>
      <c r="T2098">
        <v>0.96296297311782841</v>
      </c>
    </row>
    <row r="2099" spans="1:20" x14ac:dyDescent="0.25">
      <c r="A2099" t="s">
        <v>314</v>
      </c>
      <c r="B2099">
        <v>9</v>
      </c>
      <c r="C2099">
        <v>4</v>
      </c>
      <c r="D2099">
        <v>0</v>
      </c>
      <c r="E2099" t="s">
        <v>356</v>
      </c>
      <c r="F2099">
        <v>5400</v>
      </c>
      <c r="G2099">
        <v>7363494.166666667</v>
      </c>
      <c r="H2099">
        <v>0.86666667461395264</v>
      </c>
      <c r="I2099">
        <v>0.78888888888888886</v>
      </c>
      <c r="J2099">
        <v>395854.5</v>
      </c>
      <c r="K2099">
        <v>8343</v>
      </c>
      <c r="L2099">
        <v>2</v>
      </c>
      <c r="M2099">
        <v>60</v>
      </c>
      <c r="N2099">
        <v>0.64074074074074083</v>
      </c>
      <c r="O2099">
        <v>402566.16666666669</v>
      </c>
      <c r="P2099">
        <v>8604</v>
      </c>
      <c r="Q2099">
        <v>2</v>
      </c>
      <c r="R2099">
        <v>61</v>
      </c>
      <c r="S2099">
        <v>11.622979818284152</v>
      </c>
      <c r="T2099">
        <v>0.91111111640930176</v>
      </c>
    </row>
    <row r="2100" spans="1:20" x14ac:dyDescent="0.25">
      <c r="A2100" t="s">
        <v>314</v>
      </c>
      <c r="B2100">
        <v>9</v>
      </c>
      <c r="C2100">
        <v>4</v>
      </c>
      <c r="D2100">
        <v>0</v>
      </c>
      <c r="E2100" t="s">
        <v>357</v>
      </c>
      <c r="F2100">
        <v>5914</v>
      </c>
      <c r="G2100">
        <v>8998777.5</v>
      </c>
      <c r="H2100">
        <v>0.81851852933565772</v>
      </c>
      <c r="I2100">
        <v>0.74444444444444446</v>
      </c>
      <c r="J2100">
        <v>1190175.1666666667</v>
      </c>
      <c r="K2100">
        <v>9138</v>
      </c>
      <c r="L2100">
        <v>2</v>
      </c>
      <c r="M2100">
        <v>63</v>
      </c>
      <c r="N2100">
        <v>0.64814814814814814</v>
      </c>
      <c r="O2100">
        <v>554437</v>
      </c>
      <c r="P2100">
        <v>9411</v>
      </c>
      <c r="Q2100">
        <v>2</v>
      </c>
      <c r="R2100">
        <v>64</v>
      </c>
      <c r="S2100">
        <v>11.622789389067524</v>
      </c>
      <c r="T2100">
        <v>0.8962962865829468</v>
      </c>
    </row>
    <row r="2101" spans="1:20" x14ac:dyDescent="0.25">
      <c r="A2101" t="s">
        <v>314</v>
      </c>
      <c r="B2101">
        <v>9</v>
      </c>
      <c r="C2101">
        <v>4</v>
      </c>
      <c r="D2101">
        <v>0</v>
      </c>
      <c r="E2101" t="s">
        <v>316</v>
      </c>
      <c r="F2101">
        <v>6061</v>
      </c>
      <c r="G2101">
        <v>6578244.666666667</v>
      </c>
      <c r="H2101">
        <v>0.82962963481744134</v>
      </c>
      <c r="I2101">
        <v>0.60370370370370363</v>
      </c>
      <c r="J2101">
        <v>3856885.6666666665</v>
      </c>
      <c r="K2101">
        <v>9411</v>
      </c>
      <c r="L2101">
        <v>2</v>
      </c>
      <c r="M2101">
        <v>64</v>
      </c>
      <c r="N2101">
        <v>0.70740740740740737</v>
      </c>
      <c r="O2101">
        <v>3094312.6666666665</v>
      </c>
      <c r="P2101">
        <v>9688</v>
      </c>
      <c r="Q2101">
        <v>2</v>
      </c>
      <c r="R2101">
        <v>65</v>
      </c>
      <c r="S2101">
        <v>11.621996303142328</v>
      </c>
      <c r="T2101">
        <v>0.94814814329147334</v>
      </c>
    </row>
    <row r="2102" spans="1:20" x14ac:dyDescent="0.25">
      <c r="A2102" t="s">
        <v>314</v>
      </c>
      <c r="B2102">
        <v>9</v>
      </c>
      <c r="C2102">
        <v>4</v>
      </c>
      <c r="D2102">
        <v>0</v>
      </c>
      <c r="E2102" t="s">
        <v>358</v>
      </c>
      <c r="F2102">
        <v>6428</v>
      </c>
      <c r="G2102">
        <v>8308489.166666667</v>
      </c>
      <c r="H2102">
        <v>0.50370371341705322</v>
      </c>
      <c r="I2102">
        <v>0.67037037037037028</v>
      </c>
      <c r="J2102">
        <v>5558059.166666667</v>
      </c>
      <c r="K2102">
        <v>9969</v>
      </c>
      <c r="L2102">
        <v>2</v>
      </c>
      <c r="M2102">
        <v>66</v>
      </c>
      <c r="N2102">
        <v>0.68518518518518512</v>
      </c>
      <c r="O2102">
        <v>3442317.6666666665</v>
      </c>
      <c r="P2102">
        <v>10254</v>
      </c>
      <c r="Q2102">
        <v>2</v>
      </c>
      <c r="R2102">
        <v>67</v>
      </c>
      <c r="S2102">
        <v>11.621042905351116</v>
      </c>
      <c r="T2102">
        <v>0.74074074029922488</v>
      </c>
    </row>
    <row r="2103" spans="1:20" x14ac:dyDescent="0.25">
      <c r="A2103" t="s">
        <v>314</v>
      </c>
      <c r="B2103">
        <v>9</v>
      </c>
      <c r="C2103">
        <v>4</v>
      </c>
      <c r="D2103">
        <v>0</v>
      </c>
      <c r="E2103" t="s">
        <v>317</v>
      </c>
      <c r="F2103">
        <v>6575</v>
      </c>
      <c r="G2103">
        <v>7287729.666666667</v>
      </c>
      <c r="H2103">
        <v>0.84074075023333228</v>
      </c>
      <c r="I2103">
        <v>0.6518518518518519</v>
      </c>
      <c r="J2103">
        <v>6847152</v>
      </c>
      <c r="K2103">
        <v>10254</v>
      </c>
      <c r="L2103">
        <v>2</v>
      </c>
      <c r="M2103">
        <v>67</v>
      </c>
      <c r="N2103">
        <v>0.70370370370370372</v>
      </c>
      <c r="O2103">
        <v>2666202.3333333335</v>
      </c>
      <c r="P2103">
        <v>10543</v>
      </c>
      <c r="Q2103">
        <v>2</v>
      </c>
      <c r="R2103">
        <v>68</v>
      </c>
      <c r="S2103">
        <v>11.620371114145714</v>
      </c>
      <c r="T2103">
        <v>0.88148149251937868</v>
      </c>
    </row>
    <row r="2104" spans="1:20" x14ac:dyDescent="0.25">
      <c r="A2104" t="s">
        <v>314</v>
      </c>
      <c r="B2104">
        <v>9</v>
      </c>
      <c r="C2104">
        <v>4</v>
      </c>
      <c r="D2104">
        <v>0</v>
      </c>
      <c r="E2104" t="s">
        <v>359</v>
      </c>
      <c r="F2104">
        <v>6942</v>
      </c>
      <c r="G2104">
        <v>10903301.714285715</v>
      </c>
      <c r="H2104">
        <v>0.60317461831229069</v>
      </c>
      <c r="I2104">
        <v>0.62857142857142856</v>
      </c>
      <c r="J2104">
        <v>5401486.4285714282</v>
      </c>
      <c r="K2104">
        <v>10543</v>
      </c>
      <c r="L2104">
        <v>2</v>
      </c>
      <c r="M2104">
        <v>68</v>
      </c>
      <c r="N2104">
        <v>0.71111111111111114</v>
      </c>
      <c r="O2104">
        <v>3429916.7142857141</v>
      </c>
      <c r="P2104">
        <v>10836</v>
      </c>
      <c r="Q2104">
        <v>2</v>
      </c>
      <c r="R2104">
        <v>69</v>
      </c>
      <c r="S2104">
        <v>11.619433848624775</v>
      </c>
      <c r="T2104">
        <v>0.76543210943539941</v>
      </c>
    </row>
    <row r="2105" spans="1:20" x14ac:dyDescent="0.25">
      <c r="A2105" t="s">
        <v>314</v>
      </c>
      <c r="B2105">
        <v>9</v>
      </c>
      <c r="C2105">
        <v>4</v>
      </c>
      <c r="D2105">
        <v>0</v>
      </c>
      <c r="E2105" t="s">
        <v>318</v>
      </c>
      <c r="F2105">
        <v>7089</v>
      </c>
      <c r="G2105">
        <v>9157116.6875</v>
      </c>
      <c r="H2105">
        <v>0.64027779549360275</v>
      </c>
      <c r="I2105">
        <v>0.68888888888888888</v>
      </c>
      <c r="J2105">
        <v>4406862.25</v>
      </c>
      <c r="K2105">
        <v>10836</v>
      </c>
      <c r="L2105">
        <v>2</v>
      </c>
      <c r="M2105">
        <v>69</v>
      </c>
      <c r="N2105">
        <v>0.67500000000000004</v>
      </c>
      <c r="O2105">
        <v>1247663.6875</v>
      </c>
      <c r="P2105">
        <v>11133</v>
      </c>
      <c r="Q2105">
        <v>2</v>
      </c>
      <c r="R2105">
        <v>70</v>
      </c>
      <c r="S2105">
        <v>11.617752096625336</v>
      </c>
      <c r="T2105">
        <v>0.74320987462997434</v>
      </c>
    </row>
    <row r="2106" spans="1:20" x14ac:dyDescent="0.25">
      <c r="A2106" t="s">
        <v>314</v>
      </c>
      <c r="B2106">
        <v>9</v>
      </c>
      <c r="C2106">
        <v>4</v>
      </c>
      <c r="D2106">
        <v>0</v>
      </c>
      <c r="E2106" t="s">
        <v>326</v>
      </c>
      <c r="F2106">
        <v>7473</v>
      </c>
      <c r="G2106">
        <v>9827608.3636363633</v>
      </c>
      <c r="H2106">
        <v>0.60808082602240821</v>
      </c>
      <c r="I2106">
        <v>0.70101010101010108</v>
      </c>
      <c r="J2106">
        <v>2986431.1818181816</v>
      </c>
      <c r="K2106">
        <v>11434</v>
      </c>
      <c r="L2106">
        <v>2</v>
      </c>
      <c r="M2106">
        <v>71</v>
      </c>
      <c r="N2106">
        <v>0.75757575757575757</v>
      </c>
      <c r="O2106">
        <v>1294321.7272727273</v>
      </c>
      <c r="P2106">
        <v>11739</v>
      </c>
      <c r="Q2106">
        <v>2</v>
      </c>
      <c r="R2106">
        <v>72</v>
      </c>
      <c r="S2106">
        <v>11.616757580619284</v>
      </c>
      <c r="T2106">
        <v>0.72222223281860354</v>
      </c>
    </row>
    <row r="2107" spans="1:20" x14ac:dyDescent="0.25">
      <c r="A2107" t="s">
        <v>314</v>
      </c>
      <c r="B2107">
        <v>9</v>
      </c>
      <c r="C2107">
        <v>4</v>
      </c>
      <c r="D2107">
        <v>0</v>
      </c>
      <c r="E2107" t="s">
        <v>319</v>
      </c>
      <c r="F2107">
        <v>7603</v>
      </c>
      <c r="G2107">
        <v>10120984.909090908</v>
      </c>
      <c r="H2107">
        <v>0.65252526781775733</v>
      </c>
      <c r="I2107">
        <v>0.69494949494949498</v>
      </c>
      <c r="J2107">
        <v>3309255.4545454546</v>
      </c>
      <c r="K2107">
        <v>11739</v>
      </c>
      <c r="L2107">
        <v>2</v>
      </c>
      <c r="M2107">
        <v>72</v>
      </c>
      <c r="N2107">
        <v>0.74141414141414141</v>
      </c>
      <c r="O2107">
        <v>1226572.6363636365</v>
      </c>
      <c r="P2107">
        <v>12048</v>
      </c>
      <c r="Q2107">
        <v>2</v>
      </c>
      <c r="R2107">
        <v>73</v>
      </c>
      <c r="S2107">
        <v>11.61560357615363</v>
      </c>
      <c r="T2107">
        <v>0.78888888955116276</v>
      </c>
    </row>
    <row r="2108" spans="1:20" x14ac:dyDescent="0.25">
      <c r="A2108" t="s">
        <v>314</v>
      </c>
      <c r="B2108">
        <v>9</v>
      </c>
      <c r="C2108">
        <v>4</v>
      </c>
      <c r="D2108">
        <v>0</v>
      </c>
      <c r="E2108" t="s">
        <v>333</v>
      </c>
      <c r="F2108">
        <v>7729</v>
      </c>
      <c r="G2108">
        <v>11322620.636363637</v>
      </c>
      <c r="H2108">
        <v>0.63030304692008277</v>
      </c>
      <c r="I2108">
        <v>0.71313131313131317</v>
      </c>
      <c r="J2108">
        <v>2795796.4545454546</v>
      </c>
      <c r="K2108">
        <v>12048</v>
      </c>
      <c r="L2108">
        <v>2</v>
      </c>
      <c r="M2108">
        <v>73</v>
      </c>
      <c r="N2108">
        <v>0.66868686868686866</v>
      </c>
      <c r="O2108">
        <v>2159038</v>
      </c>
      <c r="P2108">
        <v>12361</v>
      </c>
      <c r="Q2108">
        <v>2</v>
      </c>
      <c r="R2108">
        <v>74</v>
      </c>
      <c r="S2108">
        <v>11.615091768854693</v>
      </c>
      <c r="T2108">
        <v>0.71481482386589046</v>
      </c>
    </row>
    <row r="2109" spans="1:20" x14ac:dyDescent="0.25">
      <c r="A2109" t="s">
        <v>314</v>
      </c>
      <c r="B2109">
        <v>9</v>
      </c>
      <c r="C2109">
        <v>4</v>
      </c>
      <c r="D2109">
        <v>0</v>
      </c>
      <c r="E2109" t="s">
        <v>320</v>
      </c>
      <c r="F2109">
        <v>8117</v>
      </c>
      <c r="G2109">
        <v>7257559.5</v>
      </c>
      <c r="H2109">
        <v>0.67037039001782739</v>
      </c>
      <c r="I2109">
        <v>0.69259259259259265</v>
      </c>
      <c r="J2109">
        <v>2972938.3333333335</v>
      </c>
      <c r="K2109">
        <v>12361</v>
      </c>
      <c r="L2109">
        <v>2</v>
      </c>
      <c r="M2109">
        <v>74</v>
      </c>
      <c r="N2109">
        <v>0.75555555555555554</v>
      </c>
      <c r="O2109">
        <v>761824</v>
      </c>
      <c r="P2109">
        <v>12678</v>
      </c>
      <c r="Q2109">
        <v>2</v>
      </c>
      <c r="R2109">
        <v>75</v>
      </c>
      <c r="S2109">
        <v>11.614102564102565</v>
      </c>
      <c r="T2109">
        <v>0.6740740895271301</v>
      </c>
    </row>
    <row r="2110" spans="1:20" x14ac:dyDescent="0.25">
      <c r="A2110" t="s">
        <v>314</v>
      </c>
      <c r="B2110">
        <v>9</v>
      </c>
      <c r="C2110">
        <v>4</v>
      </c>
      <c r="D2110">
        <v>0</v>
      </c>
      <c r="E2110" t="s">
        <v>334</v>
      </c>
      <c r="F2110">
        <v>8371</v>
      </c>
      <c r="G2110">
        <v>11044494</v>
      </c>
      <c r="H2110">
        <v>0.62010583423432852</v>
      </c>
      <c r="I2110">
        <v>0.73968253968253972</v>
      </c>
      <c r="J2110">
        <v>2854558.3809523811</v>
      </c>
      <c r="K2110">
        <v>12999</v>
      </c>
      <c r="L2110">
        <v>2</v>
      </c>
      <c r="M2110">
        <v>76</v>
      </c>
      <c r="N2110">
        <v>0.70158730158730154</v>
      </c>
      <c r="O2110">
        <v>1704315.7142857143</v>
      </c>
      <c r="P2110">
        <v>13324</v>
      </c>
      <c r="Q2110">
        <v>2</v>
      </c>
      <c r="R2110">
        <v>77</v>
      </c>
      <c r="S2110">
        <v>11.613186021376245</v>
      </c>
      <c r="T2110">
        <v>0.7703703701496124</v>
      </c>
    </row>
    <row r="2111" spans="1:20" x14ac:dyDescent="0.25">
      <c r="A2111" t="s">
        <v>314</v>
      </c>
      <c r="B2111">
        <v>9</v>
      </c>
      <c r="C2111">
        <v>4</v>
      </c>
      <c r="D2111">
        <v>0</v>
      </c>
      <c r="E2111" t="s">
        <v>321</v>
      </c>
      <c r="F2111">
        <v>8631</v>
      </c>
      <c r="G2111">
        <v>13415512.666666666</v>
      </c>
      <c r="H2111">
        <v>0.64074075718720758</v>
      </c>
      <c r="I2111">
        <v>0.68518518518518512</v>
      </c>
      <c r="J2111">
        <v>717979.66666666663</v>
      </c>
      <c r="K2111">
        <v>13324</v>
      </c>
      <c r="L2111">
        <v>2</v>
      </c>
      <c r="M2111">
        <v>77</v>
      </c>
      <c r="N2111">
        <v>0.75185185185185188</v>
      </c>
      <c r="O2111">
        <v>1223308.3333333333</v>
      </c>
      <c r="P2111">
        <v>13653</v>
      </c>
      <c r="Q2111">
        <v>2</v>
      </c>
      <c r="R2111">
        <v>78</v>
      </c>
      <c r="S2111">
        <v>11.613639092328011</v>
      </c>
      <c r="T2111">
        <v>0.77777776718139646</v>
      </c>
    </row>
    <row r="2112" spans="1:20" x14ac:dyDescent="0.25">
      <c r="A2112" t="s">
        <v>314</v>
      </c>
      <c r="B2112">
        <v>9</v>
      </c>
      <c r="C2112">
        <v>4</v>
      </c>
      <c r="D2112">
        <v>0</v>
      </c>
      <c r="E2112" t="s">
        <v>322</v>
      </c>
      <c r="F2112">
        <v>9145</v>
      </c>
      <c r="G2112">
        <v>10509950.666666666</v>
      </c>
      <c r="H2112">
        <v>0.60000001763304078</v>
      </c>
      <c r="I2112">
        <v>0.67777777777777781</v>
      </c>
      <c r="J2112">
        <v>2335487.5833333335</v>
      </c>
      <c r="K2112">
        <v>13986</v>
      </c>
      <c r="L2112">
        <v>2</v>
      </c>
      <c r="M2112">
        <v>79</v>
      </c>
      <c r="N2112">
        <v>0.71018518518518514</v>
      </c>
      <c r="O2112">
        <v>1665009.5833333333</v>
      </c>
      <c r="P2112">
        <v>14323</v>
      </c>
      <c r="Q2112">
        <v>2</v>
      </c>
      <c r="R2112">
        <v>80</v>
      </c>
      <c r="S2112">
        <v>11.611610891207869</v>
      </c>
      <c r="T2112">
        <v>0.72624798961307691</v>
      </c>
    </row>
    <row r="2113" spans="1:20" x14ac:dyDescent="0.25">
      <c r="A2113" t="s">
        <v>314</v>
      </c>
      <c r="B2113">
        <v>9</v>
      </c>
      <c r="C2113">
        <v>4</v>
      </c>
      <c r="D2113">
        <v>0</v>
      </c>
      <c r="E2113" t="s">
        <v>328</v>
      </c>
      <c r="F2113">
        <v>9207</v>
      </c>
      <c r="G2113">
        <v>8590890.625</v>
      </c>
      <c r="H2113">
        <v>0.56527779251337051</v>
      </c>
      <c r="I2113">
        <v>0.70416666666666661</v>
      </c>
      <c r="J2113">
        <v>2652256.875</v>
      </c>
      <c r="K2113">
        <v>14323</v>
      </c>
      <c r="L2113">
        <v>2</v>
      </c>
      <c r="M2113">
        <v>80</v>
      </c>
      <c r="N2113">
        <v>0.71666666666666667</v>
      </c>
      <c r="O2113">
        <v>2293059.5625</v>
      </c>
      <c r="P2113">
        <v>14664</v>
      </c>
      <c r="Q2113">
        <v>2</v>
      </c>
      <c r="R2113">
        <v>81</v>
      </c>
      <c r="S2113">
        <v>11.609301953889799</v>
      </c>
      <c r="T2113">
        <v>0.65925925970077515</v>
      </c>
    </row>
    <row r="2114" spans="1:20" x14ac:dyDescent="0.25">
      <c r="A2114" t="s">
        <v>314</v>
      </c>
      <c r="B2114">
        <v>9</v>
      </c>
      <c r="C2114">
        <v>4</v>
      </c>
      <c r="D2114">
        <v>0</v>
      </c>
      <c r="E2114" t="s">
        <v>323</v>
      </c>
      <c r="F2114">
        <v>9659</v>
      </c>
      <c r="G2114">
        <v>9984912.5625</v>
      </c>
      <c r="H2114">
        <v>0.6125000175088644</v>
      </c>
      <c r="I2114">
        <v>0.66805555555555551</v>
      </c>
      <c r="J2114">
        <v>1024324.9375</v>
      </c>
      <c r="K2114">
        <v>15009</v>
      </c>
      <c r="L2114">
        <v>2</v>
      </c>
      <c r="M2114">
        <v>82</v>
      </c>
      <c r="N2114">
        <v>0.74722222222222223</v>
      </c>
      <c r="O2114">
        <v>848014.875</v>
      </c>
      <c r="P2114">
        <v>15358</v>
      </c>
      <c r="Q2114">
        <v>2</v>
      </c>
      <c r="R2114">
        <v>83</v>
      </c>
      <c r="S2114">
        <v>11.607954318572055</v>
      </c>
      <c r="T2114">
        <v>0.69876544475555424</v>
      </c>
    </row>
    <row r="2115" spans="1:20" x14ac:dyDescent="0.25">
      <c r="A2115" t="s">
        <v>314</v>
      </c>
      <c r="B2115">
        <v>9</v>
      </c>
      <c r="C2115">
        <v>4</v>
      </c>
      <c r="D2115">
        <v>0</v>
      </c>
      <c r="E2115" t="s">
        <v>342</v>
      </c>
      <c r="F2115">
        <v>9975</v>
      </c>
      <c r="G2115">
        <v>10161183.333333334</v>
      </c>
      <c r="H2115">
        <v>0.63597885341871352</v>
      </c>
      <c r="I2115">
        <v>0.72592592592592597</v>
      </c>
      <c r="J2115">
        <v>1262354.857142857</v>
      </c>
      <c r="K2115">
        <v>15358</v>
      </c>
      <c r="L2115">
        <v>2</v>
      </c>
      <c r="M2115">
        <v>83</v>
      </c>
      <c r="N2115">
        <v>0.70370370370370372</v>
      </c>
      <c r="O2115">
        <v>1647157.6666666667</v>
      </c>
      <c r="P2115">
        <v>15711</v>
      </c>
      <c r="Q2115">
        <v>2</v>
      </c>
      <c r="R2115">
        <v>84</v>
      </c>
      <c r="S2115">
        <v>11.606048515799554</v>
      </c>
      <c r="T2115">
        <v>0.70925925970077519</v>
      </c>
    </row>
    <row r="2116" spans="1:20" x14ac:dyDescent="0.25">
      <c r="A2116" t="s">
        <v>314</v>
      </c>
      <c r="B2116">
        <v>9</v>
      </c>
      <c r="C2116">
        <v>4</v>
      </c>
      <c r="D2116">
        <v>0</v>
      </c>
      <c r="E2116" t="s">
        <v>336</v>
      </c>
      <c r="F2116">
        <v>10297</v>
      </c>
      <c r="G2116">
        <v>9742107.666666666</v>
      </c>
      <c r="H2116">
        <v>0.5666666875282923</v>
      </c>
      <c r="I2116">
        <v>0.75185185185185188</v>
      </c>
      <c r="J2116">
        <v>539653.66666666663</v>
      </c>
      <c r="K2116">
        <v>15711</v>
      </c>
      <c r="L2116">
        <v>2</v>
      </c>
      <c r="M2116">
        <v>84</v>
      </c>
      <c r="N2116">
        <v>0.71851851851851856</v>
      </c>
      <c r="O2116">
        <v>1016134.5</v>
      </c>
      <c r="P2116">
        <v>16068</v>
      </c>
      <c r="Q2116">
        <v>2</v>
      </c>
      <c r="R2116">
        <v>85</v>
      </c>
      <c r="S2116">
        <v>11.605544475468689</v>
      </c>
      <c r="T2116">
        <v>0.73333333730697636</v>
      </c>
    </row>
    <row r="2117" spans="1:20" x14ac:dyDescent="0.25">
      <c r="A2117" t="s">
        <v>314</v>
      </c>
      <c r="B2117">
        <v>9</v>
      </c>
      <c r="C2117">
        <v>4</v>
      </c>
      <c r="D2117">
        <v>0</v>
      </c>
      <c r="E2117" t="s">
        <v>330</v>
      </c>
      <c r="F2117">
        <v>10363</v>
      </c>
      <c r="G2117">
        <v>8607314.2727272734</v>
      </c>
      <c r="H2117">
        <v>0.54949496550993482</v>
      </c>
      <c r="I2117">
        <v>0.84040404040404038</v>
      </c>
      <c r="J2117">
        <v>1032632.5454545454</v>
      </c>
      <c r="K2117">
        <v>16068</v>
      </c>
      <c r="L2117">
        <v>2</v>
      </c>
      <c r="M2117">
        <v>85</v>
      </c>
      <c r="N2117">
        <v>0.75757575757575757</v>
      </c>
      <c r="O2117">
        <v>823384.72727272729</v>
      </c>
      <c r="P2117">
        <v>16429</v>
      </c>
      <c r="Q2117">
        <v>2</v>
      </c>
      <c r="R2117">
        <v>86</v>
      </c>
      <c r="S2117">
        <v>11.604003030182209</v>
      </c>
      <c r="T2117">
        <v>0.72592592835426328</v>
      </c>
    </row>
    <row r="2118" spans="1:20" x14ac:dyDescent="0.25">
      <c r="A2118" t="s">
        <v>314</v>
      </c>
      <c r="B2118">
        <v>9</v>
      </c>
      <c r="C2118">
        <v>4</v>
      </c>
      <c r="D2118">
        <v>0</v>
      </c>
      <c r="E2118" t="s">
        <v>343</v>
      </c>
      <c r="F2118">
        <v>10681</v>
      </c>
      <c r="G2118">
        <v>9577068.5</v>
      </c>
      <c r="H2118">
        <v>0.62962964177131653</v>
      </c>
      <c r="I2118">
        <v>0.79259259259259252</v>
      </c>
      <c r="J2118">
        <v>1121536.5</v>
      </c>
      <c r="K2118">
        <v>16429</v>
      </c>
      <c r="L2118">
        <v>2</v>
      </c>
      <c r="M2118">
        <v>86</v>
      </c>
      <c r="N2118">
        <v>0.67777777777777781</v>
      </c>
      <c r="O2118">
        <v>1052095.5</v>
      </c>
      <c r="P2118">
        <v>16794</v>
      </c>
      <c r="Q2118">
        <v>2</v>
      </c>
      <c r="R2118">
        <v>87</v>
      </c>
      <c r="S2118">
        <v>11.603380236776019</v>
      </c>
      <c r="T2118">
        <v>0.785185182094574</v>
      </c>
    </row>
    <row r="2119" spans="1:20" x14ac:dyDescent="0.25">
      <c r="A2119" t="s">
        <v>314</v>
      </c>
      <c r="B2119">
        <v>9</v>
      </c>
      <c r="C2119">
        <v>4</v>
      </c>
      <c r="D2119">
        <v>0</v>
      </c>
      <c r="E2119" t="s">
        <v>331</v>
      </c>
      <c r="F2119">
        <v>10941</v>
      </c>
      <c r="G2119">
        <v>7321498</v>
      </c>
      <c r="H2119">
        <v>0.55555557211240136</v>
      </c>
      <c r="I2119">
        <v>0.75925925925925919</v>
      </c>
      <c r="J2119">
        <v>1025693.5</v>
      </c>
      <c r="K2119">
        <v>16794</v>
      </c>
      <c r="L2119">
        <v>2</v>
      </c>
      <c r="M2119">
        <v>87</v>
      </c>
      <c r="N2119">
        <v>0.72222222222222221</v>
      </c>
      <c r="O2119">
        <v>1144025</v>
      </c>
      <c r="P2119">
        <v>17163</v>
      </c>
      <c r="Q2119">
        <v>2</v>
      </c>
      <c r="R2119">
        <v>88</v>
      </c>
      <c r="S2119">
        <v>11.602279520184911</v>
      </c>
      <c r="T2119">
        <v>0.77037037611007686</v>
      </c>
    </row>
    <row r="2120" spans="1:20" x14ac:dyDescent="0.25">
      <c r="A2120" t="s">
        <v>314</v>
      </c>
      <c r="B2120">
        <v>9</v>
      </c>
      <c r="C2120">
        <v>4</v>
      </c>
      <c r="D2120">
        <v>0</v>
      </c>
      <c r="E2120" t="s">
        <v>344</v>
      </c>
      <c r="F2120">
        <v>11387</v>
      </c>
      <c r="G2120">
        <v>8925114.625</v>
      </c>
      <c r="H2120">
        <v>0.55277779512107372</v>
      </c>
      <c r="I2120">
        <v>0.83055555555555549</v>
      </c>
      <c r="J2120">
        <v>1082781.625</v>
      </c>
      <c r="K2120">
        <v>17536</v>
      </c>
      <c r="L2120">
        <v>2</v>
      </c>
      <c r="M2120">
        <v>89</v>
      </c>
      <c r="N2120">
        <v>0.63888888888888895</v>
      </c>
      <c r="O2120">
        <v>573699.5625</v>
      </c>
      <c r="P2120">
        <v>17913</v>
      </c>
      <c r="Q2120">
        <v>2</v>
      </c>
      <c r="R2120">
        <v>90</v>
      </c>
      <c r="S2120">
        <v>11.600262853956748</v>
      </c>
      <c r="T2120">
        <v>0.69382716417312618</v>
      </c>
    </row>
    <row r="2121" spans="1:20" x14ac:dyDescent="0.25">
      <c r="A2121" t="s">
        <v>314</v>
      </c>
      <c r="B2121">
        <v>9</v>
      </c>
      <c r="C2121">
        <v>4</v>
      </c>
      <c r="D2121">
        <v>0</v>
      </c>
      <c r="E2121" t="s">
        <v>337</v>
      </c>
      <c r="F2121">
        <v>11581</v>
      </c>
      <c r="G2121">
        <v>11813096.333333334</v>
      </c>
      <c r="H2121">
        <v>0.67037039001782739</v>
      </c>
      <c r="I2121">
        <v>0.7592592592592593</v>
      </c>
      <c r="J2121">
        <v>911982.83333333337</v>
      </c>
      <c r="K2121">
        <v>17913</v>
      </c>
      <c r="L2121">
        <v>2</v>
      </c>
      <c r="M2121">
        <v>90</v>
      </c>
      <c r="N2121">
        <v>0.73703703703703705</v>
      </c>
      <c r="O2121">
        <v>533691</v>
      </c>
      <c r="P2121">
        <v>18294</v>
      </c>
      <c r="Q2121">
        <v>2</v>
      </c>
      <c r="R2121">
        <v>91</v>
      </c>
      <c r="S2121">
        <v>11.600079633685048</v>
      </c>
      <c r="T2121">
        <v>0.74074072837829585</v>
      </c>
    </row>
    <row r="2122" spans="1:20" x14ac:dyDescent="0.25">
      <c r="A2122" t="s">
        <v>314</v>
      </c>
      <c r="B2122">
        <v>9</v>
      </c>
      <c r="C2122">
        <v>4</v>
      </c>
      <c r="D2122">
        <v>0</v>
      </c>
      <c r="E2122" t="s">
        <v>345</v>
      </c>
      <c r="F2122">
        <v>12093</v>
      </c>
      <c r="G2122">
        <v>10843164.454545455</v>
      </c>
      <c r="H2122">
        <v>0.58787880702452222</v>
      </c>
      <c r="I2122">
        <v>0.73737373737373735</v>
      </c>
      <c r="J2122">
        <v>1312513.9090909092</v>
      </c>
      <c r="K2122">
        <v>18679</v>
      </c>
      <c r="L2122">
        <v>2</v>
      </c>
      <c r="M2122">
        <v>92</v>
      </c>
      <c r="N2122">
        <v>0.72121212121212119</v>
      </c>
      <c r="O2122">
        <v>1416333</v>
      </c>
      <c r="P2122">
        <v>19068</v>
      </c>
      <c r="Q2122">
        <v>2</v>
      </c>
      <c r="R2122">
        <v>93</v>
      </c>
      <c r="S2122">
        <v>11.599299530366951</v>
      </c>
      <c r="T2122">
        <v>0.72222222089767452</v>
      </c>
    </row>
    <row r="2123" spans="1:20" x14ac:dyDescent="0.25">
      <c r="A2123" t="s">
        <v>314</v>
      </c>
      <c r="B2123">
        <v>9</v>
      </c>
      <c r="C2123">
        <v>4</v>
      </c>
      <c r="D2123">
        <v>0</v>
      </c>
      <c r="E2123" t="s">
        <v>338</v>
      </c>
      <c r="F2123">
        <v>12223</v>
      </c>
      <c r="G2123">
        <v>10126649</v>
      </c>
      <c r="H2123">
        <v>0.44814815620581311</v>
      </c>
      <c r="I2123">
        <v>0.75555555555555554</v>
      </c>
      <c r="J2123">
        <v>6939795.333333333</v>
      </c>
      <c r="K2123">
        <v>19068</v>
      </c>
      <c r="L2123">
        <v>2</v>
      </c>
      <c r="M2123">
        <v>93</v>
      </c>
      <c r="N2123">
        <v>0.79259259259259263</v>
      </c>
      <c r="O2123">
        <v>8548419.5</v>
      </c>
      <c r="P2123">
        <v>19461</v>
      </c>
      <c r="Q2123">
        <v>2</v>
      </c>
      <c r="R2123">
        <v>94</v>
      </c>
      <c r="S2123">
        <v>11.598639185102657</v>
      </c>
      <c r="T2123">
        <v>0.72592591047286992</v>
      </c>
    </row>
    <row r="2124" spans="1:20" x14ac:dyDescent="0.25">
      <c r="A2124" t="s">
        <v>314</v>
      </c>
      <c r="B2124">
        <v>9</v>
      </c>
      <c r="C2124">
        <v>4</v>
      </c>
      <c r="D2124">
        <v>0</v>
      </c>
      <c r="E2124" t="s">
        <v>352</v>
      </c>
      <c r="F2124">
        <v>12477</v>
      </c>
      <c r="G2124">
        <v>10337258</v>
      </c>
      <c r="H2124">
        <v>0.61111112435658776</v>
      </c>
      <c r="I2124">
        <v>0.78888888888888886</v>
      </c>
      <c r="J2124">
        <v>7846971.666666667</v>
      </c>
      <c r="K2124">
        <v>19461</v>
      </c>
      <c r="L2124">
        <v>2</v>
      </c>
      <c r="M2124">
        <v>94</v>
      </c>
      <c r="N2124">
        <v>0.67777777777777781</v>
      </c>
      <c r="O2124">
        <v>8341429.833333333</v>
      </c>
      <c r="P2124">
        <v>19858</v>
      </c>
      <c r="Q2124">
        <v>2</v>
      </c>
      <c r="R2124">
        <v>95</v>
      </c>
      <c r="S2124">
        <v>11.597979155064046</v>
      </c>
      <c r="T2124">
        <v>0.71111112833023071</v>
      </c>
    </row>
    <row r="2125" spans="1:20" x14ac:dyDescent="0.25">
      <c r="A2125" t="s">
        <v>314</v>
      </c>
      <c r="B2125">
        <v>9</v>
      </c>
      <c r="C2125">
        <v>4</v>
      </c>
      <c r="D2125">
        <v>0</v>
      </c>
      <c r="E2125" t="s">
        <v>346</v>
      </c>
      <c r="F2125">
        <v>12799</v>
      </c>
      <c r="G2125">
        <v>11047141.666666666</v>
      </c>
      <c r="H2125">
        <v>0.60740742584069574</v>
      </c>
      <c r="I2125">
        <v>0.78518518518518521</v>
      </c>
      <c r="J2125">
        <v>7898288</v>
      </c>
      <c r="K2125">
        <v>19858</v>
      </c>
      <c r="L2125">
        <v>2</v>
      </c>
      <c r="M2125">
        <v>95</v>
      </c>
      <c r="N2125">
        <v>0.68518518518518512</v>
      </c>
      <c r="O2125">
        <v>7652063.833333333</v>
      </c>
      <c r="P2125">
        <v>20259</v>
      </c>
      <c r="Q2125">
        <v>2</v>
      </c>
      <c r="R2125">
        <v>96</v>
      </c>
      <c r="S2125">
        <v>11.597558065542476</v>
      </c>
      <c r="T2125">
        <v>0.73333333730697636</v>
      </c>
    </row>
    <row r="2126" spans="1:20" x14ac:dyDescent="0.25">
      <c r="A2126" t="s">
        <v>314</v>
      </c>
      <c r="B2126">
        <v>9</v>
      </c>
      <c r="C2126">
        <v>4</v>
      </c>
      <c r="D2126">
        <v>0</v>
      </c>
      <c r="E2126" t="s">
        <v>353</v>
      </c>
      <c r="F2126">
        <v>13247</v>
      </c>
      <c r="G2126">
        <v>11152925.833333334</v>
      </c>
      <c r="H2126">
        <v>0.53703705469767249</v>
      </c>
      <c r="I2126">
        <v>0.70740740740740737</v>
      </c>
      <c r="J2126">
        <v>7441682.5</v>
      </c>
      <c r="K2126">
        <v>20664</v>
      </c>
      <c r="L2126">
        <v>2</v>
      </c>
      <c r="M2126">
        <v>97</v>
      </c>
      <c r="N2126">
        <v>0.73703703703703705</v>
      </c>
      <c r="O2126">
        <v>8568231.333333334</v>
      </c>
      <c r="P2126">
        <v>21073</v>
      </c>
      <c r="Q2126">
        <v>2</v>
      </c>
      <c r="R2126">
        <v>98</v>
      </c>
      <c r="S2126">
        <v>11.597057654075547</v>
      </c>
      <c r="T2126">
        <v>0.68148149251937862</v>
      </c>
    </row>
    <row r="2127" spans="1:20" x14ac:dyDescent="0.25">
      <c r="A2127" t="s">
        <v>314</v>
      </c>
      <c r="B2127">
        <v>9</v>
      </c>
      <c r="C2127">
        <v>4</v>
      </c>
      <c r="D2127">
        <v>0</v>
      </c>
      <c r="E2127" t="s">
        <v>347</v>
      </c>
      <c r="F2127">
        <v>13505</v>
      </c>
      <c r="G2127">
        <v>13101152.166666666</v>
      </c>
      <c r="H2127">
        <v>0.52222223579883575</v>
      </c>
      <c r="I2127">
        <v>0.73333333333333328</v>
      </c>
      <c r="J2127">
        <v>7688009.333333333</v>
      </c>
      <c r="K2127">
        <v>21073</v>
      </c>
      <c r="L2127">
        <v>2</v>
      </c>
      <c r="M2127">
        <v>98</v>
      </c>
      <c r="N2127">
        <v>0.74444444444444446</v>
      </c>
      <c r="O2127">
        <v>8954996.666666666</v>
      </c>
      <c r="P2127">
        <v>21486</v>
      </c>
      <c r="Q2127">
        <v>2</v>
      </c>
      <c r="R2127">
        <v>99</v>
      </c>
      <c r="S2127">
        <v>11.596915248847193</v>
      </c>
      <c r="T2127">
        <v>0.71111110448837278</v>
      </c>
    </row>
    <row r="2128" spans="1:20" x14ac:dyDescent="0.25">
      <c r="A2128" t="s">
        <v>314</v>
      </c>
      <c r="B2128">
        <v>9</v>
      </c>
      <c r="C2128">
        <v>4</v>
      </c>
      <c r="D2128">
        <v>0</v>
      </c>
      <c r="E2128" t="s">
        <v>354</v>
      </c>
      <c r="F2128">
        <v>14017</v>
      </c>
      <c r="G2128">
        <v>10360638.666666666</v>
      </c>
      <c r="H2128">
        <v>0.5555555671453476</v>
      </c>
      <c r="I2128">
        <v>0.75555555555555554</v>
      </c>
      <c r="J2128">
        <v>8800966.166666666</v>
      </c>
      <c r="K2128">
        <v>21486</v>
      </c>
      <c r="L2128">
        <v>2</v>
      </c>
      <c r="M2128">
        <v>99</v>
      </c>
      <c r="N2128">
        <v>0.73333333333333328</v>
      </c>
      <c r="O2128">
        <v>8207989.833333333</v>
      </c>
      <c r="P2128">
        <v>21903</v>
      </c>
      <c r="Q2128">
        <v>2</v>
      </c>
      <c r="R2128">
        <v>100</v>
      </c>
      <c r="S2128">
        <v>11.596216516970035</v>
      </c>
      <c r="T2128">
        <v>0.69629629850387575</v>
      </c>
    </row>
    <row r="2129" spans="1:20" x14ac:dyDescent="0.25">
      <c r="A2129" t="s">
        <v>314</v>
      </c>
      <c r="B2129">
        <v>9</v>
      </c>
      <c r="C2129">
        <v>5</v>
      </c>
      <c r="D2129">
        <v>0</v>
      </c>
      <c r="E2129" t="s">
        <v>346</v>
      </c>
      <c r="F2129">
        <v>13596</v>
      </c>
      <c r="G2129">
        <v>10823711.5</v>
      </c>
      <c r="H2129">
        <v>0.59259261687596643</v>
      </c>
      <c r="I2129">
        <v>0.71851851851851856</v>
      </c>
      <c r="J2129">
        <v>9632841.666666666</v>
      </c>
      <c r="K2129">
        <v>22324</v>
      </c>
      <c r="L2129">
        <v>2</v>
      </c>
      <c r="M2129">
        <v>101</v>
      </c>
      <c r="N2129">
        <v>0.71481481481481479</v>
      </c>
      <c r="O2129">
        <v>7587910.666666667</v>
      </c>
      <c r="P2129">
        <v>22749</v>
      </c>
      <c r="Q2129">
        <v>2</v>
      </c>
      <c r="R2129">
        <v>102</v>
      </c>
      <c r="S2129">
        <v>11.595637317228226</v>
      </c>
      <c r="T2129">
        <v>0.71851851940155032</v>
      </c>
    </row>
    <row r="2130" spans="1:20" x14ac:dyDescent="0.25">
      <c r="A2130" t="s">
        <v>314</v>
      </c>
      <c r="B2130">
        <v>9</v>
      </c>
      <c r="C2130">
        <v>5</v>
      </c>
      <c r="D2130">
        <v>0</v>
      </c>
      <c r="E2130" t="s">
        <v>353</v>
      </c>
      <c r="F2130">
        <v>14072</v>
      </c>
      <c r="G2130">
        <v>9551242.166666666</v>
      </c>
      <c r="H2130">
        <v>0.47037038703759509</v>
      </c>
      <c r="I2130">
        <v>0.73333333333333328</v>
      </c>
      <c r="J2130">
        <v>9194750.833333334</v>
      </c>
      <c r="K2130">
        <v>22749</v>
      </c>
      <c r="L2130">
        <v>2</v>
      </c>
      <c r="M2130">
        <v>102</v>
      </c>
      <c r="N2130">
        <v>0.76296296296296295</v>
      </c>
      <c r="O2130">
        <v>8052349.333333333</v>
      </c>
      <c r="P2130">
        <v>23178</v>
      </c>
      <c r="Q2130">
        <v>2</v>
      </c>
      <c r="R2130">
        <v>103</v>
      </c>
      <c r="S2130">
        <v>11.594581711289425</v>
      </c>
      <c r="T2130">
        <v>0.85185186862945561</v>
      </c>
    </row>
    <row r="2131" spans="1:20" x14ac:dyDescent="0.25">
      <c r="A2131" t="s">
        <v>314</v>
      </c>
      <c r="B2131">
        <v>9</v>
      </c>
      <c r="C2131">
        <v>5</v>
      </c>
      <c r="D2131">
        <v>0</v>
      </c>
      <c r="E2131" t="s">
        <v>347</v>
      </c>
      <c r="F2131">
        <v>14346</v>
      </c>
      <c r="G2131">
        <v>10492484.5</v>
      </c>
      <c r="H2131">
        <v>0.54814816514650977</v>
      </c>
      <c r="I2131">
        <v>0.7592592592592593</v>
      </c>
      <c r="J2131">
        <v>8501152.333333334</v>
      </c>
      <c r="K2131">
        <v>23178</v>
      </c>
      <c r="L2131">
        <v>2</v>
      </c>
      <c r="M2131">
        <v>103</v>
      </c>
      <c r="N2131">
        <v>0.7407407407407407</v>
      </c>
      <c r="O2131">
        <v>8390971.666666666</v>
      </c>
      <c r="P2131">
        <v>23611</v>
      </c>
      <c r="Q2131">
        <v>2</v>
      </c>
      <c r="R2131">
        <v>104</v>
      </c>
      <c r="S2131">
        <v>11.593566322478157</v>
      </c>
      <c r="T2131">
        <v>0.87407408952713017</v>
      </c>
    </row>
    <row r="2132" spans="1:20" x14ac:dyDescent="0.25">
      <c r="A2132" t="s">
        <v>314</v>
      </c>
      <c r="B2132">
        <v>9</v>
      </c>
      <c r="C2132">
        <v>5</v>
      </c>
      <c r="D2132">
        <v>0</v>
      </c>
      <c r="E2132" t="s">
        <v>354</v>
      </c>
      <c r="F2132">
        <v>14890</v>
      </c>
      <c r="G2132">
        <v>10902984.166666666</v>
      </c>
      <c r="H2132">
        <v>0.4851851960023244</v>
      </c>
      <c r="I2132">
        <v>0.73333333333333339</v>
      </c>
      <c r="J2132">
        <v>9011503.5</v>
      </c>
      <c r="K2132">
        <v>24489</v>
      </c>
      <c r="L2132">
        <v>2</v>
      </c>
      <c r="M2132">
        <v>106</v>
      </c>
      <c r="N2132">
        <v>0.68888888888888888</v>
      </c>
      <c r="O2132">
        <v>9522208</v>
      </c>
      <c r="P2132">
        <v>24934</v>
      </c>
      <c r="Q2132">
        <v>2</v>
      </c>
      <c r="R2132">
        <v>107</v>
      </c>
      <c r="S2132">
        <v>11.592829349638688</v>
      </c>
      <c r="T2132">
        <v>0.84444445371627808</v>
      </c>
    </row>
    <row r="2133" spans="1:20" x14ac:dyDescent="0.25">
      <c r="A2133" t="s">
        <v>314</v>
      </c>
      <c r="B2133">
        <v>9</v>
      </c>
      <c r="C2133">
        <v>5</v>
      </c>
      <c r="D2133">
        <v>0</v>
      </c>
      <c r="E2133" t="s">
        <v>355</v>
      </c>
      <c r="F2133">
        <v>15708</v>
      </c>
      <c r="G2133">
        <v>11378233</v>
      </c>
      <c r="H2133">
        <v>0.55555557211240136</v>
      </c>
      <c r="I2133">
        <v>0.74444444444444446</v>
      </c>
      <c r="J2133">
        <v>8200220.666666667</v>
      </c>
      <c r="K2133">
        <v>25836</v>
      </c>
      <c r="L2133">
        <v>2</v>
      </c>
      <c r="M2133">
        <v>109</v>
      </c>
      <c r="N2133">
        <v>0.73703703703703705</v>
      </c>
      <c r="O2133">
        <v>7793316.333333333</v>
      </c>
      <c r="P2133">
        <v>26293</v>
      </c>
      <c r="Q2133">
        <v>2</v>
      </c>
      <c r="R2133">
        <v>110</v>
      </c>
      <c r="S2133">
        <v>11.592053032708796</v>
      </c>
      <c r="T2133">
        <v>0.83703705072402956</v>
      </c>
    </row>
    <row r="2134" spans="1:20" x14ac:dyDescent="0.25">
      <c r="A2134" t="s">
        <v>314</v>
      </c>
      <c r="B2134">
        <v>9</v>
      </c>
      <c r="C2134">
        <v>5</v>
      </c>
      <c r="D2134">
        <v>0</v>
      </c>
      <c r="E2134" t="s">
        <v>360</v>
      </c>
      <c r="F2134">
        <v>2460</v>
      </c>
      <c r="G2134">
        <v>8952293.166666666</v>
      </c>
      <c r="H2134">
        <v>0.4888888994852702</v>
      </c>
      <c r="I2134">
        <v>0.65925925925925921</v>
      </c>
      <c r="J2134">
        <v>6620792.5</v>
      </c>
      <c r="K2134">
        <v>3963</v>
      </c>
      <c r="L2134">
        <v>2</v>
      </c>
      <c r="M2134">
        <v>40</v>
      </c>
      <c r="N2134">
        <v>0.71851851851851856</v>
      </c>
      <c r="O2134">
        <v>5765477.333333333</v>
      </c>
      <c r="P2134">
        <v>4144</v>
      </c>
      <c r="Q2134">
        <v>2</v>
      </c>
      <c r="R2134">
        <v>41</v>
      </c>
      <c r="S2134">
        <v>11.590999285657592</v>
      </c>
      <c r="T2134">
        <v>0.85185188055038452</v>
      </c>
    </row>
    <row r="2135" spans="1:20" x14ac:dyDescent="0.25">
      <c r="A2135" t="s">
        <v>314</v>
      </c>
      <c r="B2135">
        <v>9</v>
      </c>
      <c r="C2135">
        <v>5</v>
      </c>
      <c r="D2135">
        <v>0</v>
      </c>
      <c r="E2135" t="s">
        <v>315</v>
      </c>
      <c r="F2135">
        <v>3006</v>
      </c>
      <c r="G2135">
        <v>4519154.166666667</v>
      </c>
      <c r="H2135">
        <v>0.80370371540387475</v>
      </c>
      <c r="I2135">
        <v>0.64444444444444449</v>
      </c>
      <c r="J2135">
        <v>264007.33333333331</v>
      </c>
      <c r="K2135">
        <v>4908</v>
      </c>
      <c r="L2135">
        <v>2</v>
      </c>
      <c r="M2135">
        <v>45</v>
      </c>
      <c r="N2135">
        <v>0.72962962962962963</v>
      </c>
      <c r="O2135">
        <v>113078.5</v>
      </c>
      <c r="P2135">
        <v>5109</v>
      </c>
      <c r="Q2135">
        <v>2</v>
      </c>
      <c r="R2135">
        <v>46</v>
      </c>
      <c r="S2135">
        <v>11.590223774004127</v>
      </c>
      <c r="T2135">
        <v>0.90370371341705324</v>
      </c>
    </row>
    <row r="2136" spans="1:20" x14ac:dyDescent="0.25">
      <c r="A2136" t="s">
        <v>314</v>
      </c>
      <c r="B2136">
        <v>9</v>
      </c>
      <c r="C2136">
        <v>5</v>
      </c>
      <c r="D2136">
        <v>0</v>
      </c>
      <c r="E2136" t="s">
        <v>324</v>
      </c>
      <c r="F2136">
        <v>3552</v>
      </c>
      <c r="G2136">
        <v>5770349.833333333</v>
      </c>
      <c r="H2136">
        <v>0.71481483181317651</v>
      </c>
      <c r="I2136">
        <v>0.7407407407407407</v>
      </c>
      <c r="J2136">
        <v>249628.33333333334</v>
      </c>
      <c r="K2136">
        <v>5736</v>
      </c>
      <c r="L2136">
        <v>2</v>
      </c>
      <c r="M2136">
        <v>49</v>
      </c>
      <c r="N2136">
        <v>0.72222222222222221</v>
      </c>
      <c r="O2136">
        <v>189169.16666666666</v>
      </c>
      <c r="P2136">
        <v>5953</v>
      </c>
      <c r="Q2136">
        <v>2</v>
      </c>
      <c r="R2136">
        <v>50</v>
      </c>
      <c r="S2136">
        <v>11.589646965489885</v>
      </c>
      <c r="T2136">
        <v>0.74814814329147339</v>
      </c>
    </row>
    <row r="2137" spans="1:20" x14ac:dyDescent="0.25">
      <c r="A2137" t="s">
        <v>314</v>
      </c>
      <c r="B2137">
        <v>9</v>
      </c>
      <c r="C2137">
        <v>5</v>
      </c>
      <c r="D2137">
        <v>0</v>
      </c>
      <c r="E2137" t="s">
        <v>332</v>
      </c>
      <c r="F2137">
        <v>4098</v>
      </c>
      <c r="G2137">
        <v>7934764.166666667</v>
      </c>
      <c r="H2137">
        <v>0.71111112336317694</v>
      </c>
      <c r="I2137">
        <v>0.69259259259259254</v>
      </c>
      <c r="J2137">
        <v>264694.66666666669</v>
      </c>
      <c r="K2137">
        <v>6628</v>
      </c>
      <c r="L2137">
        <v>2</v>
      </c>
      <c r="M2137">
        <v>53</v>
      </c>
      <c r="N2137">
        <v>0.70740740740740737</v>
      </c>
      <c r="O2137">
        <v>223025.16666666666</v>
      </c>
      <c r="P2137">
        <v>6861</v>
      </c>
      <c r="Q2137">
        <v>2</v>
      </c>
      <c r="R2137">
        <v>54</v>
      </c>
      <c r="S2137">
        <v>11.589903236040609</v>
      </c>
      <c r="T2137">
        <v>0.76296296119689944</v>
      </c>
    </row>
    <row r="2138" spans="1:20" x14ac:dyDescent="0.25">
      <c r="A2138" t="s">
        <v>314</v>
      </c>
      <c r="B2138">
        <v>9</v>
      </c>
      <c r="C2138">
        <v>5</v>
      </c>
      <c r="D2138">
        <v>0</v>
      </c>
      <c r="E2138" t="s">
        <v>339</v>
      </c>
      <c r="F2138">
        <v>4644</v>
      </c>
      <c r="G2138">
        <v>7255291.666666667</v>
      </c>
      <c r="H2138">
        <v>0.82592593630154931</v>
      </c>
      <c r="I2138">
        <v>0.70370370370370372</v>
      </c>
      <c r="J2138">
        <v>283674.5</v>
      </c>
      <c r="K2138">
        <v>7584</v>
      </c>
      <c r="L2138">
        <v>2</v>
      </c>
      <c r="M2138">
        <v>57</v>
      </c>
      <c r="N2138">
        <v>0.73703703703703705</v>
      </c>
      <c r="O2138">
        <v>244763.66666666666</v>
      </c>
      <c r="P2138">
        <v>7833</v>
      </c>
      <c r="Q2138">
        <v>2</v>
      </c>
      <c r="R2138">
        <v>58</v>
      </c>
      <c r="S2138">
        <v>11.589683609547221</v>
      </c>
      <c r="T2138">
        <v>0.8222222208976746</v>
      </c>
    </row>
    <row r="2139" spans="1:20" x14ac:dyDescent="0.25">
      <c r="A2139" t="s">
        <v>314</v>
      </c>
      <c r="B2139">
        <v>9</v>
      </c>
      <c r="C2139">
        <v>5</v>
      </c>
      <c r="D2139">
        <v>0</v>
      </c>
      <c r="E2139" t="s">
        <v>348</v>
      </c>
      <c r="F2139">
        <v>5190</v>
      </c>
      <c r="G2139">
        <v>8097555.666666667</v>
      </c>
      <c r="H2139">
        <v>0.8333333432674408</v>
      </c>
      <c r="I2139">
        <v>0.7407407407407407</v>
      </c>
      <c r="J2139">
        <v>315080.16666666669</v>
      </c>
      <c r="K2139">
        <v>8343</v>
      </c>
      <c r="L2139">
        <v>2</v>
      </c>
      <c r="M2139">
        <v>60</v>
      </c>
      <c r="N2139">
        <v>0.75185185185185177</v>
      </c>
      <c r="O2139">
        <v>280835</v>
      </c>
      <c r="P2139">
        <v>8604</v>
      </c>
      <c r="Q2139">
        <v>2</v>
      </c>
      <c r="R2139">
        <v>61</v>
      </c>
      <c r="S2139">
        <v>11.589741557000158</v>
      </c>
      <c r="T2139">
        <v>0.87407407760620115</v>
      </c>
    </row>
    <row r="2140" spans="1:20" x14ac:dyDescent="0.25">
      <c r="A2140" t="s">
        <v>314</v>
      </c>
      <c r="B2140">
        <v>9</v>
      </c>
      <c r="C2140">
        <v>5</v>
      </c>
      <c r="D2140">
        <v>0</v>
      </c>
      <c r="E2140" t="s">
        <v>356</v>
      </c>
      <c r="F2140">
        <v>5736</v>
      </c>
      <c r="G2140">
        <v>8431647.333333334</v>
      </c>
      <c r="H2140">
        <v>0.8333333432674408</v>
      </c>
      <c r="I2140">
        <v>0.73703703703703705</v>
      </c>
      <c r="J2140">
        <v>332121</v>
      </c>
      <c r="K2140">
        <v>9411</v>
      </c>
      <c r="L2140">
        <v>2</v>
      </c>
      <c r="M2140">
        <v>64</v>
      </c>
      <c r="N2140">
        <v>0.73703703703703705</v>
      </c>
      <c r="O2140">
        <v>275370.33333333331</v>
      </c>
      <c r="P2140">
        <v>9688</v>
      </c>
      <c r="Q2140">
        <v>2</v>
      </c>
      <c r="R2140">
        <v>65</v>
      </c>
      <c r="S2140">
        <v>11.589839105968139</v>
      </c>
      <c r="T2140">
        <v>0.81481481790542598</v>
      </c>
    </row>
    <row r="2141" spans="1:20" x14ac:dyDescent="0.25">
      <c r="A2141" t="s">
        <v>314</v>
      </c>
      <c r="B2141">
        <v>9</v>
      </c>
      <c r="C2141">
        <v>5</v>
      </c>
      <c r="D2141">
        <v>0</v>
      </c>
      <c r="E2141" t="s">
        <v>357</v>
      </c>
      <c r="F2141">
        <v>6282</v>
      </c>
      <c r="G2141">
        <v>8807108</v>
      </c>
      <c r="H2141">
        <v>0.81851852933565772</v>
      </c>
      <c r="I2141">
        <v>0.7592592592592593</v>
      </c>
      <c r="J2141">
        <v>852351.33333333337</v>
      </c>
      <c r="K2141">
        <v>10254</v>
      </c>
      <c r="L2141">
        <v>2</v>
      </c>
      <c r="M2141">
        <v>67</v>
      </c>
      <c r="N2141">
        <v>0.79259259259259263</v>
      </c>
      <c r="O2141">
        <v>513490.16666666669</v>
      </c>
      <c r="P2141">
        <v>10543</v>
      </c>
      <c r="Q2141">
        <v>2</v>
      </c>
      <c r="R2141">
        <v>68</v>
      </c>
      <c r="S2141">
        <v>11.589896988906498</v>
      </c>
      <c r="T2141">
        <v>0.84444446563720699</v>
      </c>
    </row>
    <row r="2142" spans="1:20" x14ac:dyDescent="0.25">
      <c r="A2142" t="s">
        <v>314</v>
      </c>
      <c r="B2142">
        <v>9</v>
      </c>
      <c r="C2142">
        <v>5</v>
      </c>
      <c r="D2142">
        <v>0</v>
      </c>
      <c r="E2142" t="s">
        <v>316</v>
      </c>
      <c r="F2142">
        <v>6438</v>
      </c>
      <c r="G2142">
        <v>11371970.666666666</v>
      </c>
      <c r="H2142">
        <v>0.76666668057441711</v>
      </c>
      <c r="I2142">
        <v>0.70740740740740737</v>
      </c>
      <c r="J2142">
        <v>789128</v>
      </c>
      <c r="K2142">
        <v>10543</v>
      </c>
      <c r="L2142">
        <v>2</v>
      </c>
      <c r="M2142">
        <v>68</v>
      </c>
      <c r="N2142">
        <v>0.72962962962962963</v>
      </c>
      <c r="O2142">
        <v>453663.5</v>
      </c>
      <c r="P2142">
        <v>10836</v>
      </c>
      <c r="Q2142">
        <v>2</v>
      </c>
      <c r="R2142">
        <v>69</v>
      </c>
      <c r="S2142">
        <v>11.590311336449339</v>
      </c>
      <c r="T2142">
        <v>0.80740742683410649</v>
      </c>
    </row>
    <row r="2143" spans="1:20" x14ac:dyDescent="0.25">
      <c r="A2143" t="s">
        <v>314</v>
      </c>
      <c r="B2143">
        <v>9</v>
      </c>
      <c r="C2143">
        <v>5</v>
      </c>
      <c r="D2143">
        <v>0</v>
      </c>
      <c r="E2143" t="s">
        <v>358</v>
      </c>
      <c r="F2143">
        <v>6828</v>
      </c>
      <c r="G2143">
        <v>9805153</v>
      </c>
      <c r="H2143">
        <v>0.59259260197480523</v>
      </c>
      <c r="I2143">
        <v>0.77777777777777779</v>
      </c>
      <c r="J2143">
        <v>1312663.8333333333</v>
      </c>
      <c r="K2143">
        <v>11133</v>
      </c>
      <c r="L2143">
        <v>2</v>
      </c>
      <c r="M2143">
        <v>70</v>
      </c>
      <c r="N2143">
        <v>0.78148148148148144</v>
      </c>
      <c r="O2143">
        <v>721393.83333333337</v>
      </c>
      <c r="P2143">
        <v>11434</v>
      </c>
      <c r="Q2143">
        <v>2</v>
      </c>
      <c r="R2143">
        <v>71</v>
      </c>
      <c r="S2143">
        <v>11.589933470616188</v>
      </c>
      <c r="T2143">
        <v>0.71851851940155032</v>
      </c>
    </row>
    <row r="2144" spans="1:20" x14ac:dyDescent="0.25">
      <c r="A2144" t="s">
        <v>314</v>
      </c>
      <c r="B2144">
        <v>9</v>
      </c>
      <c r="C2144">
        <v>5</v>
      </c>
      <c r="D2144">
        <v>0</v>
      </c>
      <c r="E2144" t="s">
        <v>317</v>
      </c>
      <c r="F2144">
        <v>6984</v>
      </c>
      <c r="G2144">
        <v>11637967.833333334</v>
      </c>
      <c r="H2144">
        <v>0.86296297113100684</v>
      </c>
      <c r="I2144">
        <v>0.76296296296296295</v>
      </c>
      <c r="J2144">
        <v>634821.83333333337</v>
      </c>
      <c r="K2144">
        <v>11434</v>
      </c>
      <c r="L2144">
        <v>2</v>
      </c>
      <c r="M2144">
        <v>71</v>
      </c>
      <c r="N2144">
        <v>0.71481481481481479</v>
      </c>
      <c r="O2144">
        <v>427182</v>
      </c>
      <c r="P2144">
        <v>11739</v>
      </c>
      <c r="Q2144">
        <v>2</v>
      </c>
      <c r="R2144">
        <v>72</v>
      </c>
      <c r="S2144">
        <v>11.590387204054162</v>
      </c>
      <c r="T2144">
        <v>0.89629629850387571</v>
      </c>
    </row>
    <row r="2145" spans="1:20" x14ac:dyDescent="0.25">
      <c r="A2145" t="s">
        <v>314</v>
      </c>
      <c r="B2145">
        <v>9</v>
      </c>
      <c r="C2145">
        <v>5</v>
      </c>
      <c r="D2145">
        <v>0</v>
      </c>
      <c r="E2145" t="s">
        <v>325</v>
      </c>
      <c r="F2145">
        <v>7324</v>
      </c>
      <c r="G2145">
        <v>8895134.333333334</v>
      </c>
      <c r="H2145">
        <v>0.59629631042480469</v>
      </c>
      <c r="I2145">
        <v>0.73333333333333339</v>
      </c>
      <c r="J2145">
        <v>984772.83333333337</v>
      </c>
      <c r="K2145">
        <v>11739</v>
      </c>
      <c r="L2145">
        <v>2</v>
      </c>
      <c r="M2145">
        <v>72</v>
      </c>
      <c r="N2145">
        <v>0.72592592592592586</v>
      </c>
      <c r="O2145">
        <v>849664.33333333337</v>
      </c>
      <c r="P2145">
        <v>12048</v>
      </c>
      <c r="Q2145">
        <v>2</v>
      </c>
      <c r="R2145">
        <v>73</v>
      </c>
      <c r="S2145">
        <v>11.58969284357188</v>
      </c>
      <c r="T2145">
        <v>0.70370370149612427</v>
      </c>
    </row>
    <row r="2146" spans="1:20" x14ac:dyDescent="0.25">
      <c r="A2146" t="s">
        <v>314</v>
      </c>
      <c r="B2146">
        <v>9</v>
      </c>
      <c r="C2146">
        <v>5</v>
      </c>
      <c r="D2146">
        <v>0</v>
      </c>
      <c r="E2146" t="s">
        <v>359</v>
      </c>
      <c r="F2146">
        <v>7374</v>
      </c>
      <c r="G2146">
        <v>9574854.666666666</v>
      </c>
      <c r="H2146">
        <v>0.52962964276472724</v>
      </c>
      <c r="I2146">
        <v>0.76666666666666661</v>
      </c>
      <c r="J2146">
        <v>855732.16666666663</v>
      </c>
      <c r="K2146">
        <v>12048</v>
      </c>
      <c r="L2146">
        <v>2</v>
      </c>
      <c r="M2146">
        <v>73</v>
      </c>
      <c r="N2146">
        <v>0.7407407407407407</v>
      </c>
      <c r="O2146">
        <v>1183506</v>
      </c>
      <c r="P2146">
        <v>12361</v>
      </c>
      <c r="Q2146">
        <v>2</v>
      </c>
      <c r="R2146">
        <v>74</v>
      </c>
      <c r="S2146">
        <v>11.589038385437277</v>
      </c>
      <c r="T2146">
        <v>0.70370370149612427</v>
      </c>
    </row>
    <row r="2147" spans="1:20" x14ac:dyDescent="0.25">
      <c r="A2147" t="s">
        <v>314</v>
      </c>
      <c r="B2147">
        <v>9</v>
      </c>
      <c r="C2147">
        <v>5</v>
      </c>
      <c r="D2147">
        <v>0</v>
      </c>
      <c r="E2147" t="s">
        <v>318</v>
      </c>
      <c r="F2147">
        <v>7530</v>
      </c>
      <c r="G2147">
        <v>11059183.166666666</v>
      </c>
      <c r="H2147">
        <v>0.68888890246550238</v>
      </c>
      <c r="I2147">
        <v>0.77407407407407403</v>
      </c>
      <c r="J2147">
        <v>1250593.6666666667</v>
      </c>
      <c r="K2147">
        <v>12361</v>
      </c>
      <c r="L2147">
        <v>2</v>
      </c>
      <c r="M2147">
        <v>74</v>
      </c>
      <c r="N2147">
        <v>0.77037037037037037</v>
      </c>
      <c r="O2147">
        <v>1122972.1666666667</v>
      </c>
      <c r="P2147">
        <v>12678</v>
      </c>
      <c r="Q2147">
        <v>2</v>
      </c>
      <c r="R2147">
        <v>75</v>
      </c>
      <c r="S2147">
        <v>11.589254628896978</v>
      </c>
      <c r="T2147">
        <v>0.75555555820465092</v>
      </c>
    </row>
    <row r="2148" spans="1:20" x14ac:dyDescent="0.25">
      <c r="A2148" t="s">
        <v>314</v>
      </c>
      <c r="B2148">
        <v>9</v>
      </c>
      <c r="C2148">
        <v>5</v>
      </c>
      <c r="D2148">
        <v>0</v>
      </c>
      <c r="E2148" t="s">
        <v>319</v>
      </c>
      <c r="F2148">
        <v>8076</v>
      </c>
      <c r="G2148">
        <v>9561735.166666666</v>
      </c>
      <c r="H2148">
        <v>0.50000001490116119</v>
      </c>
      <c r="I2148">
        <v>0.71851851851851856</v>
      </c>
      <c r="J2148">
        <v>1241479.1666666667</v>
      </c>
      <c r="K2148">
        <v>12999</v>
      </c>
      <c r="L2148">
        <v>2</v>
      </c>
      <c r="M2148">
        <v>76</v>
      </c>
      <c r="N2148">
        <v>0.76296296296296295</v>
      </c>
      <c r="O2148">
        <v>761084.5</v>
      </c>
      <c r="P2148">
        <v>13324</v>
      </c>
      <c r="Q2148">
        <v>2</v>
      </c>
      <c r="R2148">
        <v>77</v>
      </c>
      <c r="S2148">
        <v>11.588561031563959</v>
      </c>
      <c r="T2148">
        <v>0.69629629850387575</v>
      </c>
    </row>
    <row r="2149" spans="1:20" x14ac:dyDescent="0.25">
      <c r="A2149" t="s">
        <v>314</v>
      </c>
      <c r="B2149">
        <v>9</v>
      </c>
      <c r="C2149">
        <v>5</v>
      </c>
      <c r="D2149">
        <v>0</v>
      </c>
      <c r="E2149" t="s">
        <v>333</v>
      </c>
      <c r="F2149">
        <v>8210</v>
      </c>
      <c r="G2149">
        <v>10197821.090909092</v>
      </c>
      <c r="H2149">
        <v>0.63232325152917346</v>
      </c>
      <c r="I2149">
        <v>0.71111111111111103</v>
      </c>
      <c r="J2149">
        <v>1130184.2727272727</v>
      </c>
      <c r="K2149">
        <v>13324</v>
      </c>
      <c r="L2149">
        <v>2</v>
      </c>
      <c r="M2149">
        <v>77</v>
      </c>
      <c r="N2149">
        <v>0.78989898989898988</v>
      </c>
      <c r="O2149">
        <v>750680.18181818177</v>
      </c>
      <c r="P2149">
        <v>13653</v>
      </c>
      <c r="Q2149">
        <v>2</v>
      </c>
      <c r="R2149">
        <v>78</v>
      </c>
      <c r="S2149">
        <v>11.587474795397936</v>
      </c>
      <c r="T2149">
        <v>0.6962962925434113</v>
      </c>
    </row>
    <row r="2150" spans="1:20" x14ac:dyDescent="0.25">
      <c r="A2150" t="s">
        <v>314</v>
      </c>
      <c r="B2150">
        <v>9</v>
      </c>
      <c r="C2150">
        <v>5</v>
      </c>
      <c r="D2150">
        <v>0</v>
      </c>
      <c r="E2150" t="s">
        <v>320</v>
      </c>
      <c r="F2150">
        <v>8622</v>
      </c>
      <c r="G2150">
        <v>10347987.166666666</v>
      </c>
      <c r="H2150">
        <v>0.55555557211240136</v>
      </c>
      <c r="I2150">
        <v>0.68148148148148147</v>
      </c>
      <c r="J2150">
        <v>1308118.5</v>
      </c>
      <c r="K2150">
        <v>13986</v>
      </c>
      <c r="L2150">
        <v>2</v>
      </c>
      <c r="M2150">
        <v>79</v>
      </c>
      <c r="N2150">
        <v>0.71851851851851856</v>
      </c>
      <c r="O2150">
        <v>733386</v>
      </c>
      <c r="P2150">
        <v>14323</v>
      </c>
      <c r="Q2150">
        <v>2</v>
      </c>
      <c r="R2150">
        <v>80</v>
      </c>
      <c r="S2150">
        <v>11.586940195264635</v>
      </c>
      <c r="T2150">
        <v>0.68148149251937862</v>
      </c>
    </row>
    <row r="2151" spans="1:20" x14ac:dyDescent="0.25">
      <c r="A2151" t="s">
        <v>314</v>
      </c>
      <c r="B2151">
        <v>9</v>
      </c>
      <c r="C2151">
        <v>5</v>
      </c>
      <c r="D2151">
        <v>0</v>
      </c>
      <c r="E2151" t="s">
        <v>334</v>
      </c>
      <c r="F2151">
        <v>8892</v>
      </c>
      <c r="G2151">
        <v>9713717.0909090918</v>
      </c>
      <c r="H2151">
        <v>0.43232324042103509</v>
      </c>
      <c r="I2151">
        <v>0.67272727272727273</v>
      </c>
      <c r="J2151">
        <v>935112.45454545459</v>
      </c>
      <c r="K2151">
        <v>14323</v>
      </c>
      <c r="L2151">
        <v>2</v>
      </c>
      <c r="M2151">
        <v>80</v>
      </c>
      <c r="N2151">
        <v>0.68686868686868685</v>
      </c>
      <c r="O2151">
        <v>896461.54545454541</v>
      </c>
      <c r="P2151">
        <v>14664</v>
      </c>
      <c r="Q2151">
        <v>2</v>
      </c>
      <c r="R2151">
        <v>81</v>
      </c>
      <c r="S2151">
        <v>11.585539312524693</v>
      </c>
      <c r="T2151">
        <v>0.66296296715736391</v>
      </c>
    </row>
    <row r="2152" spans="1:20" x14ac:dyDescent="0.25">
      <c r="A2152" t="s">
        <v>314</v>
      </c>
      <c r="B2152">
        <v>9</v>
      </c>
      <c r="C2152">
        <v>5</v>
      </c>
      <c r="D2152">
        <v>0</v>
      </c>
      <c r="E2152" t="s">
        <v>340</v>
      </c>
      <c r="F2152">
        <v>9096</v>
      </c>
      <c r="G2152">
        <v>9785736.166666666</v>
      </c>
      <c r="H2152">
        <v>0.48518520096937817</v>
      </c>
      <c r="I2152">
        <v>0.71851851851851856</v>
      </c>
      <c r="J2152">
        <v>580681.83333333337</v>
      </c>
      <c r="K2152">
        <v>14664</v>
      </c>
      <c r="L2152">
        <v>2</v>
      </c>
      <c r="M2152">
        <v>81</v>
      </c>
      <c r="N2152">
        <v>0.66666666666666674</v>
      </c>
      <c r="O2152">
        <v>687405.33333333337</v>
      </c>
      <c r="P2152">
        <v>15009</v>
      </c>
      <c r="Q2152">
        <v>2</v>
      </c>
      <c r="R2152">
        <v>82</v>
      </c>
      <c r="S2152">
        <v>11.584768525833464</v>
      </c>
      <c r="T2152">
        <v>0.68888889551162724</v>
      </c>
    </row>
    <row r="2153" spans="1:20" x14ac:dyDescent="0.25">
      <c r="A2153" t="s">
        <v>314</v>
      </c>
      <c r="B2153">
        <v>9</v>
      </c>
      <c r="C2153">
        <v>5</v>
      </c>
      <c r="D2153">
        <v>0</v>
      </c>
      <c r="E2153" t="s">
        <v>321</v>
      </c>
      <c r="F2153">
        <v>9168</v>
      </c>
      <c r="G2153">
        <v>10016779</v>
      </c>
      <c r="H2153">
        <v>0.45555556317170459</v>
      </c>
      <c r="I2153">
        <v>0.75555555555555554</v>
      </c>
      <c r="J2153">
        <v>868358</v>
      </c>
      <c r="K2153">
        <v>15009</v>
      </c>
      <c r="L2153">
        <v>2</v>
      </c>
      <c r="M2153">
        <v>82</v>
      </c>
      <c r="N2153">
        <v>0.81481481481481477</v>
      </c>
      <c r="O2153">
        <v>736889.16666666663</v>
      </c>
      <c r="P2153">
        <v>15358</v>
      </c>
      <c r="Q2153">
        <v>2</v>
      </c>
      <c r="R2153">
        <v>83</v>
      </c>
      <c r="S2153">
        <v>11.583998104415134</v>
      </c>
      <c r="T2153">
        <v>0.69629629850387575</v>
      </c>
    </row>
    <row r="2154" spans="1:20" x14ac:dyDescent="0.25">
      <c r="A2154" t="s">
        <v>314</v>
      </c>
      <c r="B2154">
        <v>9</v>
      </c>
      <c r="C2154">
        <v>5</v>
      </c>
      <c r="D2154">
        <v>0</v>
      </c>
      <c r="E2154" t="s">
        <v>322</v>
      </c>
      <c r="F2154">
        <v>9714</v>
      </c>
      <c r="G2154">
        <v>9953399.4545454551</v>
      </c>
      <c r="H2154">
        <v>0.63030304692008277</v>
      </c>
      <c r="I2154">
        <v>0.75757575757575757</v>
      </c>
      <c r="J2154">
        <v>774793.09090909094</v>
      </c>
      <c r="K2154">
        <v>15711</v>
      </c>
      <c r="L2154">
        <v>2</v>
      </c>
      <c r="M2154">
        <v>84</v>
      </c>
      <c r="N2154">
        <v>0.70707070707070707</v>
      </c>
      <c r="O2154">
        <v>727140.81818181823</v>
      </c>
      <c r="P2154">
        <v>16068</v>
      </c>
      <c r="Q2154">
        <v>2</v>
      </c>
      <c r="R2154">
        <v>85</v>
      </c>
      <c r="S2154">
        <v>11.582836616271267</v>
      </c>
      <c r="T2154">
        <v>0.74074074029922488</v>
      </c>
    </row>
    <row r="2155" spans="1:20" x14ac:dyDescent="0.25">
      <c r="A2155" t="s">
        <v>314</v>
      </c>
      <c r="B2155">
        <v>9</v>
      </c>
      <c r="C2155">
        <v>5</v>
      </c>
      <c r="D2155">
        <v>0</v>
      </c>
      <c r="E2155" t="s">
        <v>328</v>
      </c>
      <c r="F2155">
        <v>9780</v>
      </c>
      <c r="G2155">
        <v>10130448.727272727</v>
      </c>
      <c r="H2155">
        <v>0.62828284502029419</v>
      </c>
      <c r="I2155">
        <v>0.76161616161616164</v>
      </c>
      <c r="J2155">
        <v>1303524.7272727273</v>
      </c>
      <c r="K2155">
        <v>16068</v>
      </c>
      <c r="L2155">
        <v>2</v>
      </c>
      <c r="M2155">
        <v>85</v>
      </c>
      <c r="N2155">
        <v>0.73737373737373735</v>
      </c>
      <c r="O2155">
        <v>1041581.5454545454</v>
      </c>
      <c r="P2155">
        <v>16429</v>
      </c>
      <c r="Q2155">
        <v>2</v>
      </c>
      <c r="R2155">
        <v>86</v>
      </c>
      <c r="S2155">
        <v>11.581557765151516</v>
      </c>
      <c r="T2155">
        <v>0.7555555462837219</v>
      </c>
    </row>
    <row r="2156" spans="1:20" x14ac:dyDescent="0.25">
      <c r="A2156" t="s">
        <v>314</v>
      </c>
      <c r="B2156">
        <v>9</v>
      </c>
      <c r="C2156">
        <v>5</v>
      </c>
      <c r="D2156">
        <v>0</v>
      </c>
      <c r="E2156" t="s">
        <v>323</v>
      </c>
      <c r="F2156">
        <v>10260</v>
      </c>
      <c r="G2156">
        <v>10745397.0625</v>
      </c>
      <c r="H2156">
        <v>0.55000001564621925</v>
      </c>
      <c r="I2156">
        <v>0.75555555555555554</v>
      </c>
      <c r="J2156">
        <v>962691.75</v>
      </c>
      <c r="K2156">
        <v>16794</v>
      </c>
      <c r="L2156">
        <v>2</v>
      </c>
      <c r="M2156">
        <v>87</v>
      </c>
      <c r="N2156">
        <v>0.69027777777777777</v>
      </c>
      <c r="O2156">
        <v>926790.0625</v>
      </c>
      <c r="P2156">
        <v>17163</v>
      </c>
      <c r="Q2156">
        <v>2</v>
      </c>
      <c r="R2156">
        <v>88</v>
      </c>
      <c r="S2156">
        <v>11.580007886435331</v>
      </c>
      <c r="T2156">
        <v>0.75061728159586594</v>
      </c>
    </row>
    <row r="2157" spans="1:20" x14ac:dyDescent="0.25">
      <c r="A2157" t="s">
        <v>314</v>
      </c>
      <c r="B2157">
        <v>9</v>
      </c>
      <c r="C2157">
        <v>5</v>
      </c>
      <c r="D2157">
        <v>0</v>
      </c>
      <c r="E2157" t="s">
        <v>342</v>
      </c>
      <c r="F2157">
        <v>10596</v>
      </c>
      <c r="G2157">
        <v>13088630.75</v>
      </c>
      <c r="H2157">
        <v>0.57083334866911173</v>
      </c>
      <c r="I2157">
        <v>0.76388888888888884</v>
      </c>
      <c r="J2157">
        <v>739872.75</v>
      </c>
      <c r="K2157">
        <v>17163</v>
      </c>
      <c r="L2157">
        <v>2</v>
      </c>
      <c r="M2157">
        <v>88</v>
      </c>
      <c r="N2157">
        <v>0.71527777777777779</v>
      </c>
      <c r="O2157">
        <v>724612.5</v>
      </c>
      <c r="P2157">
        <v>17536</v>
      </c>
      <c r="Q2157">
        <v>2</v>
      </c>
      <c r="R2157">
        <v>89</v>
      </c>
      <c r="S2157">
        <v>11.579287515762926</v>
      </c>
      <c r="T2157">
        <v>0.75555556217829389</v>
      </c>
    </row>
    <row r="2158" spans="1:20" x14ac:dyDescent="0.25">
      <c r="A2158" t="s">
        <v>314</v>
      </c>
      <c r="B2158">
        <v>9</v>
      </c>
      <c r="C2158">
        <v>5</v>
      </c>
      <c r="D2158">
        <v>0</v>
      </c>
      <c r="E2158" t="s">
        <v>350</v>
      </c>
      <c r="F2158">
        <v>10800</v>
      </c>
      <c r="G2158">
        <v>11142508.5</v>
      </c>
      <c r="H2158">
        <v>0.52222223828236258</v>
      </c>
      <c r="I2158">
        <v>0.7592592592592593</v>
      </c>
      <c r="J2158">
        <v>820263</v>
      </c>
      <c r="K2158">
        <v>17536</v>
      </c>
      <c r="L2158">
        <v>2</v>
      </c>
      <c r="M2158">
        <v>89</v>
      </c>
      <c r="N2158">
        <v>0.75185185185185188</v>
      </c>
      <c r="O2158">
        <v>677228.66666666663</v>
      </c>
      <c r="P2158">
        <v>17913</v>
      </c>
      <c r="Q2158">
        <v>2</v>
      </c>
      <c r="R2158">
        <v>90</v>
      </c>
      <c r="S2158">
        <v>11.578638405169018</v>
      </c>
      <c r="T2158">
        <v>0.73333334922790527</v>
      </c>
    </row>
    <row r="2159" spans="1:20" x14ac:dyDescent="0.25">
      <c r="A2159" t="s">
        <v>314</v>
      </c>
      <c r="B2159">
        <v>9</v>
      </c>
      <c r="C2159">
        <v>5</v>
      </c>
      <c r="D2159">
        <v>0</v>
      </c>
      <c r="E2159" t="s">
        <v>330</v>
      </c>
      <c r="F2159">
        <v>11008</v>
      </c>
      <c r="G2159">
        <v>9180770.333333334</v>
      </c>
      <c r="H2159">
        <v>0.65185187260309851</v>
      </c>
      <c r="I2159">
        <v>0.71111111111111103</v>
      </c>
      <c r="J2159">
        <v>1393730.1666666667</v>
      </c>
      <c r="K2159">
        <v>17913</v>
      </c>
      <c r="L2159">
        <v>2</v>
      </c>
      <c r="M2159">
        <v>90</v>
      </c>
      <c r="N2159">
        <v>0.71111111111111103</v>
      </c>
      <c r="O2159">
        <v>1034330.1666666666</v>
      </c>
      <c r="P2159">
        <v>18294</v>
      </c>
      <c r="Q2159">
        <v>2</v>
      </c>
      <c r="R2159">
        <v>91</v>
      </c>
      <c r="S2159">
        <v>11.577753269261068</v>
      </c>
      <c r="T2159">
        <v>0.87407408952713017</v>
      </c>
    </row>
    <row r="2160" spans="1:20" x14ac:dyDescent="0.25">
      <c r="A2160" t="s">
        <v>314</v>
      </c>
      <c r="B2160">
        <v>9</v>
      </c>
      <c r="C2160">
        <v>5</v>
      </c>
      <c r="D2160">
        <v>0</v>
      </c>
      <c r="E2160" t="s">
        <v>343</v>
      </c>
      <c r="F2160">
        <v>11346</v>
      </c>
      <c r="G2160">
        <v>10725089.909090908</v>
      </c>
      <c r="H2160">
        <v>0.56161617690866639</v>
      </c>
      <c r="I2160">
        <v>0.76969696969696966</v>
      </c>
      <c r="J2160">
        <v>1436090.8181818181</v>
      </c>
      <c r="K2160">
        <v>18294</v>
      </c>
      <c r="L2160">
        <v>2</v>
      </c>
      <c r="M2160">
        <v>91</v>
      </c>
      <c r="N2160">
        <v>0.74949494949494955</v>
      </c>
      <c r="O2160">
        <v>1852299.1818181819</v>
      </c>
      <c r="P2160">
        <v>18679</v>
      </c>
      <c r="Q2160">
        <v>2</v>
      </c>
      <c r="R2160">
        <v>92</v>
      </c>
      <c r="S2160">
        <v>11.576558132209929</v>
      </c>
      <c r="T2160">
        <v>0.71111110448837278</v>
      </c>
    </row>
    <row r="2161" spans="1:20" x14ac:dyDescent="0.25">
      <c r="A2161" t="s">
        <v>314</v>
      </c>
      <c r="B2161">
        <v>9</v>
      </c>
      <c r="C2161">
        <v>5</v>
      </c>
      <c r="D2161">
        <v>0</v>
      </c>
      <c r="E2161" t="s">
        <v>331</v>
      </c>
      <c r="F2161">
        <v>11622</v>
      </c>
      <c r="G2161">
        <v>11546502.666666666</v>
      </c>
      <c r="H2161">
        <v>0.54444446166356408</v>
      </c>
      <c r="I2161">
        <v>0.72222222222222221</v>
      </c>
      <c r="J2161">
        <v>2395057.3333333335</v>
      </c>
      <c r="K2161">
        <v>19068</v>
      </c>
      <c r="L2161">
        <v>2</v>
      </c>
      <c r="M2161">
        <v>93</v>
      </c>
      <c r="N2161">
        <v>0.74444444444444446</v>
      </c>
      <c r="O2161">
        <v>8424614.833333334</v>
      </c>
      <c r="P2161">
        <v>19461</v>
      </c>
      <c r="Q2161">
        <v>2</v>
      </c>
      <c r="R2161">
        <v>94</v>
      </c>
      <c r="S2161">
        <v>11.575910253887031</v>
      </c>
      <c r="T2161">
        <v>0.66666666269302366</v>
      </c>
    </row>
    <row r="2162" spans="1:20" x14ac:dyDescent="0.25">
      <c r="A2162" t="s">
        <v>314</v>
      </c>
      <c r="B2162">
        <v>9</v>
      </c>
      <c r="C2162">
        <v>5</v>
      </c>
      <c r="D2162">
        <v>0</v>
      </c>
      <c r="E2162" t="s">
        <v>337</v>
      </c>
      <c r="F2162">
        <v>12302</v>
      </c>
      <c r="G2162">
        <v>11782334.0625</v>
      </c>
      <c r="H2162">
        <v>0.55555557273328304</v>
      </c>
      <c r="I2162">
        <v>0.71805555555555556</v>
      </c>
      <c r="J2162">
        <v>7513144.9375</v>
      </c>
      <c r="K2162">
        <v>19858</v>
      </c>
      <c r="L2162">
        <v>2</v>
      </c>
      <c r="M2162">
        <v>95</v>
      </c>
      <c r="N2162">
        <v>0.70694444444444449</v>
      </c>
      <c r="O2162">
        <v>8109607.0625</v>
      </c>
      <c r="P2162">
        <v>20259</v>
      </c>
      <c r="Q2162">
        <v>2</v>
      </c>
      <c r="R2162">
        <v>96</v>
      </c>
      <c r="S2162">
        <v>11.574485661460997</v>
      </c>
      <c r="T2162">
        <v>0.75308641990025837</v>
      </c>
    </row>
    <row r="2163" spans="1:20" x14ac:dyDescent="0.25">
      <c r="A2163" t="s">
        <v>314</v>
      </c>
      <c r="B2163">
        <v>9</v>
      </c>
      <c r="C2163">
        <v>5</v>
      </c>
      <c r="D2163">
        <v>0</v>
      </c>
      <c r="E2163" t="s">
        <v>351</v>
      </c>
      <c r="F2163">
        <v>12436</v>
      </c>
      <c r="G2163">
        <v>12070207.090909092</v>
      </c>
      <c r="H2163">
        <v>0.50505051558667968</v>
      </c>
      <c r="I2163">
        <v>0.68484848484848482</v>
      </c>
      <c r="J2163">
        <v>7454087.4545454541</v>
      </c>
      <c r="K2163">
        <v>20259</v>
      </c>
      <c r="L2163">
        <v>2</v>
      </c>
      <c r="M2163">
        <v>96</v>
      </c>
      <c r="N2163">
        <v>0.71313131313131306</v>
      </c>
      <c r="O2163">
        <v>8434630.9090909082</v>
      </c>
      <c r="P2163">
        <v>20664</v>
      </c>
      <c r="Q2163">
        <v>2</v>
      </c>
      <c r="R2163">
        <v>97</v>
      </c>
      <c r="S2163">
        <v>11.573490091223656</v>
      </c>
      <c r="T2163">
        <v>0.71851851940155032</v>
      </c>
    </row>
    <row r="2164" spans="1:20" x14ac:dyDescent="0.25">
      <c r="A2164" t="s">
        <v>314</v>
      </c>
      <c r="B2164">
        <v>9</v>
      </c>
      <c r="C2164">
        <v>5</v>
      </c>
      <c r="D2164">
        <v>0</v>
      </c>
      <c r="E2164" t="s">
        <v>338</v>
      </c>
      <c r="F2164">
        <v>12984</v>
      </c>
      <c r="G2164">
        <v>10223048.333333334</v>
      </c>
      <c r="H2164">
        <v>0.60000001887480414</v>
      </c>
      <c r="I2164">
        <v>0.7407407407407407</v>
      </c>
      <c r="J2164">
        <v>8331577.166666667</v>
      </c>
      <c r="K2164">
        <v>21073</v>
      </c>
      <c r="L2164">
        <v>2</v>
      </c>
      <c r="M2164">
        <v>98</v>
      </c>
      <c r="N2164">
        <v>0.75185185185185188</v>
      </c>
      <c r="O2164">
        <v>7057727.666666667</v>
      </c>
      <c r="P2164">
        <v>21486</v>
      </c>
      <c r="Q2164">
        <v>2</v>
      </c>
      <c r="R2164">
        <v>99</v>
      </c>
      <c r="S2164">
        <v>11.572647220693451</v>
      </c>
      <c r="T2164">
        <v>0.87407408952713017</v>
      </c>
    </row>
    <row r="2165" spans="1:20" x14ac:dyDescent="0.25">
      <c r="A2165" t="s">
        <v>314</v>
      </c>
      <c r="B2165">
        <v>9</v>
      </c>
      <c r="C2165">
        <v>5</v>
      </c>
      <c r="D2165">
        <v>0</v>
      </c>
      <c r="E2165" t="s">
        <v>352</v>
      </c>
      <c r="F2165">
        <v>13254</v>
      </c>
      <c r="G2165">
        <v>12919053</v>
      </c>
      <c r="H2165">
        <v>0.52592594176530838</v>
      </c>
      <c r="I2165">
        <v>0.74814814814814812</v>
      </c>
      <c r="J2165">
        <v>7593092.666666667</v>
      </c>
      <c r="K2165">
        <v>21486</v>
      </c>
      <c r="L2165">
        <v>2</v>
      </c>
      <c r="M2165">
        <v>99</v>
      </c>
      <c r="N2165">
        <v>0.76111111111111107</v>
      </c>
      <c r="O2165">
        <v>8308410.75</v>
      </c>
      <c r="P2165">
        <v>21903</v>
      </c>
      <c r="Q2165">
        <v>2</v>
      </c>
      <c r="R2165">
        <v>100</v>
      </c>
      <c r="S2165">
        <v>11.571198428290765</v>
      </c>
      <c r="T2165">
        <v>0.72053872455250134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E8B3F-BB36-4C15-9CA6-63B2D7085F33}">
  <dimension ref="A1:Z729"/>
  <sheetViews>
    <sheetView topLeftCell="T1" zoomScale="115" zoomScaleNormal="115" workbookViewId="0">
      <selection activeCell="W1" sqref="W1:Z1"/>
    </sheetView>
  </sheetViews>
  <sheetFormatPr defaultRowHeight="15" x14ac:dyDescent="0.25"/>
  <cols>
    <col min="1" max="1" width="15.7109375" customWidth="1"/>
    <col min="2" max="2" width="28" customWidth="1"/>
    <col min="3" max="3" width="13.42578125" customWidth="1"/>
    <col min="4" max="4" width="10.42578125" customWidth="1"/>
    <col min="5" max="5" width="12.140625" bestFit="1" customWidth="1"/>
    <col min="6" max="6" width="13.7109375" customWidth="1"/>
    <col min="7" max="7" width="21.5703125" customWidth="1"/>
    <col min="8" max="8" width="14.5703125" customWidth="1"/>
    <col min="9" max="9" width="14.85546875" customWidth="1"/>
    <col min="10" max="10" width="21.85546875" customWidth="1"/>
    <col min="11" max="11" width="14" customWidth="1"/>
    <col min="12" max="12" width="16" customWidth="1"/>
    <col min="13" max="13" width="18.7109375" customWidth="1"/>
    <col min="14" max="14" width="15.85546875" customWidth="1"/>
    <col min="15" max="15" width="22.85546875" customWidth="1"/>
    <col min="16" max="16" width="15" customWidth="1"/>
    <col min="17" max="17" width="12.7109375" customWidth="1"/>
    <col min="18" max="18" width="15.42578125" customWidth="1"/>
    <col min="19" max="19" width="12" bestFit="1" customWidth="1"/>
    <col min="20" max="20" width="15.42578125" customWidth="1"/>
    <col min="23" max="23" width="10" bestFit="1" customWidth="1"/>
    <col min="24" max="24" width="12" bestFit="1" customWidth="1"/>
    <col min="25" max="25" width="11.28515625" bestFit="1" customWidth="1"/>
  </cols>
  <sheetData>
    <row r="1" spans="1:26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361</v>
      </c>
      <c r="T1" s="3" t="s">
        <v>362</v>
      </c>
      <c r="W1" t="s">
        <v>363</v>
      </c>
      <c r="X1" t="s">
        <v>367</v>
      </c>
      <c r="Y1" t="s">
        <v>368</v>
      </c>
      <c r="Z1" t="s">
        <v>369</v>
      </c>
    </row>
    <row r="2" spans="1:26" hidden="1" x14ac:dyDescent="0.25">
      <c r="A2" t="s">
        <v>18</v>
      </c>
      <c r="B2">
        <v>3</v>
      </c>
      <c r="C2">
        <v>2</v>
      </c>
      <c r="D2">
        <v>0</v>
      </c>
      <c r="E2" t="s">
        <v>105</v>
      </c>
      <c r="F2">
        <v>5656</v>
      </c>
      <c r="G2">
        <v>49437819.909090906</v>
      </c>
      <c r="H2">
        <v>0.96439923481507739</v>
      </c>
      <c r="I2">
        <v>0.94596312778130964</v>
      </c>
      <c r="J2">
        <v>8734056.1818181816</v>
      </c>
      <c r="K2">
        <v>9029</v>
      </c>
      <c r="L2">
        <v>2</v>
      </c>
      <c r="M2">
        <v>59</v>
      </c>
      <c r="N2">
        <v>0.94405594405594406</v>
      </c>
      <c r="O2">
        <v>8848514.6363636367</v>
      </c>
      <c r="P2">
        <v>9302</v>
      </c>
      <c r="Q2">
        <v>2</v>
      </c>
      <c r="R2">
        <v>60</v>
      </c>
      <c r="S2">
        <v>12.61361014994233</v>
      </c>
      <c r="T2">
        <v>0.9732558071613312</v>
      </c>
      <c r="W2">
        <f>Tabela6[[#This Row],[mlp_params]]</f>
        <v>9029</v>
      </c>
      <c r="X2">
        <f>Tabela6[[#This Row],[mlp_test_acc]]</f>
        <v>0.94596312778130964</v>
      </c>
      <c r="Y2">
        <f>Tabela6[[#This Row],[kan_val_acc_1]]</f>
        <v>0.9732558071613312</v>
      </c>
      <c r="Z2">
        <f>Tabela6[[#This Row],[no_steps]]</f>
        <v>12.61361014994233</v>
      </c>
    </row>
    <row r="3" spans="1:26" hidden="1" x14ac:dyDescent="0.25">
      <c r="A3" t="s">
        <v>18</v>
      </c>
      <c r="B3">
        <v>3</v>
      </c>
      <c r="C3">
        <v>2</v>
      </c>
      <c r="D3">
        <v>0</v>
      </c>
      <c r="E3" t="s">
        <v>19</v>
      </c>
      <c r="F3">
        <v>6170</v>
      </c>
      <c r="G3">
        <v>11655738.818181818</v>
      </c>
      <c r="H3">
        <v>0.95549903674559156</v>
      </c>
      <c r="I3">
        <v>0.94532739987285441</v>
      </c>
      <c r="J3">
        <v>2410803.8181818184</v>
      </c>
      <c r="K3">
        <v>9860</v>
      </c>
      <c r="L3">
        <v>2</v>
      </c>
      <c r="M3">
        <v>62</v>
      </c>
      <c r="N3">
        <v>0.94405594405594406</v>
      </c>
      <c r="O3">
        <v>2551036.9090909092</v>
      </c>
      <c r="P3">
        <v>10145</v>
      </c>
      <c r="Q3">
        <v>2</v>
      </c>
      <c r="R3">
        <v>63</v>
      </c>
      <c r="S3">
        <v>12.594533029612757</v>
      </c>
      <c r="T3">
        <v>0.96627905964851379</v>
      </c>
      <c r="W3">
        <f>Tabela6[[#This Row],[mlp_params]]</f>
        <v>9860</v>
      </c>
      <c r="X3">
        <f>Tabela6[[#This Row],[mlp_test_acc]]</f>
        <v>0.94532739987285441</v>
      </c>
      <c r="Y3">
        <f>Tabela6[[#This Row],[kan_val_acc_1]]</f>
        <v>0.96627905964851379</v>
      </c>
      <c r="Z3">
        <f>Tabela6[[#This Row],[no_steps]]</f>
        <v>12.594533029612757</v>
      </c>
    </row>
    <row r="4" spans="1:26" hidden="1" x14ac:dyDescent="0.25">
      <c r="A4" t="s">
        <v>18</v>
      </c>
      <c r="B4">
        <v>3</v>
      </c>
      <c r="C4">
        <v>2</v>
      </c>
      <c r="D4">
        <v>0</v>
      </c>
      <c r="E4" t="s">
        <v>20</v>
      </c>
      <c r="F4">
        <v>6684</v>
      </c>
      <c r="G4">
        <v>8599398.1818181816</v>
      </c>
      <c r="H4">
        <v>0.94723457098007202</v>
      </c>
      <c r="I4">
        <v>0.94659885568976476</v>
      </c>
      <c r="J4">
        <v>1871260.4545454546</v>
      </c>
      <c r="K4">
        <v>10727</v>
      </c>
      <c r="L4">
        <v>2</v>
      </c>
      <c r="M4">
        <v>65</v>
      </c>
      <c r="N4">
        <v>0.94405594405594406</v>
      </c>
      <c r="O4">
        <v>1113373.7272727273</v>
      </c>
      <c r="P4">
        <v>11024</v>
      </c>
      <c r="Q4">
        <v>2</v>
      </c>
      <c r="R4">
        <v>66</v>
      </c>
      <c r="S4">
        <v>12.542182227221597</v>
      </c>
      <c r="T4">
        <v>0.97209300994873049</v>
      </c>
      <c r="W4">
        <f>Tabela6[[#This Row],[mlp_params]]</f>
        <v>10727</v>
      </c>
      <c r="X4">
        <f>Tabela6[[#This Row],[mlp_test_acc]]</f>
        <v>0.94659885568976476</v>
      </c>
      <c r="Y4">
        <f>Tabela6[[#This Row],[kan_val_acc_1]]</f>
        <v>0.97209300994873049</v>
      </c>
      <c r="Z4">
        <f>Tabela6[[#This Row],[no_steps]]</f>
        <v>12.542182227221597</v>
      </c>
    </row>
    <row r="5" spans="1:26" hidden="1" x14ac:dyDescent="0.25">
      <c r="A5" t="s">
        <v>18</v>
      </c>
      <c r="B5">
        <v>3</v>
      </c>
      <c r="C5">
        <v>2</v>
      </c>
      <c r="D5">
        <v>0</v>
      </c>
      <c r="E5" t="s">
        <v>21</v>
      </c>
      <c r="F5">
        <v>7198</v>
      </c>
      <c r="G5">
        <v>10710096.727272727</v>
      </c>
      <c r="H5">
        <v>0.96694214777512988</v>
      </c>
      <c r="I5">
        <v>0.94214876033057848</v>
      </c>
      <c r="J5">
        <v>1821162.8181818181</v>
      </c>
      <c r="K5">
        <v>11630</v>
      </c>
      <c r="L5">
        <v>2</v>
      </c>
      <c r="M5">
        <v>68</v>
      </c>
      <c r="N5">
        <v>0.94850603941513034</v>
      </c>
      <c r="O5">
        <v>2092903.5454545454</v>
      </c>
      <c r="P5">
        <v>11939</v>
      </c>
      <c r="Q5">
        <v>2</v>
      </c>
      <c r="R5">
        <v>69</v>
      </c>
      <c r="S5">
        <v>12.514444444444445</v>
      </c>
      <c r="T5">
        <v>0.97441859245300289</v>
      </c>
      <c r="W5">
        <f>Tabela6[[#This Row],[mlp_params]]</f>
        <v>11630</v>
      </c>
      <c r="X5">
        <f>Tabela6[[#This Row],[mlp_test_acc]]</f>
        <v>0.94214876033057848</v>
      </c>
      <c r="Y5">
        <f>Tabela6[[#This Row],[kan_val_acc_1]]</f>
        <v>0.97441859245300289</v>
      </c>
      <c r="Z5">
        <f>Tabela6[[#This Row],[no_steps]]</f>
        <v>12.514444444444445</v>
      </c>
    </row>
    <row r="6" spans="1:26" hidden="1" x14ac:dyDescent="0.25">
      <c r="A6" t="s">
        <v>18</v>
      </c>
      <c r="B6">
        <v>3</v>
      </c>
      <c r="C6">
        <v>2</v>
      </c>
      <c r="D6">
        <v>0</v>
      </c>
      <c r="E6" t="s">
        <v>22</v>
      </c>
      <c r="F6">
        <v>7712</v>
      </c>
      <c r="G6">
        <v>11442277.909090908</v>
      </c>
      <c r="H6">
        <v>0.96185630018060853</v>
      </c>
      <c r="I6">
        <v>0.94469167196439929</v>
      </c>
      <c r="J6">
        <v>2601712.3636363638</v>
      </c>
      <c r="K6">
        <v>12252</v>
      </c>
      <c r="L6">
        <v>2</v>
      </c>
      <c r="M6">
        <v>70</v>
      </c>
      <c r="N6">
        <v>0.95104895104895104</v>
      </c>
      <c r="O6">
        <v>2209085.8181818184</v>
      </c>
      <c r="P6">
        <v>12569</v>
      </c>
      <c r="Q6">
        <v>2</v>
      </c>
      <c r="R6">
        <v>71</v>
      </c>
      <c r="S6">
        <v>12.491767288693744</v>
      </c>
      <c r="T6">
        <v>0.97674417495727539</v>
      </c>
      <c r="W6">
        <f>Tabela6[[#This Row],[mlp_params]]</f>
        <v>12252</v>
      </c>
      <c r="X6">
        <f>Tabela6[[#This Row],[mlp_test_acc]]</f>
        <v>0.94469167196439929</v>
      </c>
      <c r="Y6">
        <f>Tabela6[[#This Row],[kan_val_acc_1]]</f>
        <v>0.97674417495727539</v>
      </c>
      <c r="Z6">
        <f>Tabela6[[#This Row],[no_steps]]</f>
        <v>12.491767288693744</v>
      </c>
    </row>
    <row r="7" spans="1:26" hidden="1" x14ac:dyDescent="0.25">
      <c r="A7" t="s">
        <v>18</v>
      </c>
      <c r="B7">
        <v>3</v>
      </c>
      <c r="C7">
        <v>2</v>
      </c>
      <c r="D7">
        <v>0</v>
      </c>
      <c r="E7" t="s">
        <v>39</v>
      </c>
      <c r="F7">
        <v>8226</v>
      </c>
      <c r="G7">
        <v>11211870.272727273</v>
      </c>
      <c r="H7">
        <v>0.96694214235652576</v>
      </c>
      <c r="I7">
        <v>0.94278448823903371</v>
      </c>
      <c r="J7">
        <v>2100528.9090909092</v>
      </c>
      <c r="K7">
        <v>13215</v>
      </c>
      <c r="L7">
        <v>2</v>
      </c>
      <c r="M7">
        <v>73</v>
      </c>
      <c r="N7">
        <v>0.94532739987285441</v>
      </c>
      <c r="O7">
        <v>1829760.4545454546</v>
      </c>
      <c r="P7">
        <v>13544</v>
      </c>
      <c r="Q7">
        <v>2</v>
      </c>
      <c r="R7">
        <v>74</v>
      </c>
      <c r="S7">
        <v>12.459869848156183</v>
      </c>
      <c r="T7">
        <v>0.97558138370513914</v>
      </c>
      <c r="W7">
        <f>Tabela6[[#This Row],[mlp_params]]</f>
        <v>13215</v>
      </c>
      <c r="X7">
        <f>Tabela6[[#This Row],[mlp_test_acc]]</f>
        <v>0.94278448823903371</v>
      </c>
      <c r="Y7">
        <f>Tabela6[[#This Row],[kan_val_acc_1]]</f>
        <v>0.97558138370513914</v>
      </c>
      <c r="Z7">
        <f>Tabela6[[#This Row],[no_steps]]</f>
        <v>12.459869848156183</v>
      </c>
    </row>
    <row r="8" spans="1:26" hidden="1" x14ac:dyDescent="0.25">
      <c r="A8" t="s">
        <v>18</v>
      </c>
      <c r="B8">
        <v>3</v>
      </c>
      <c r="C8">
        <v>2</v>
      </c>
      <c r="D8">
        <v>0</v>
      </c>
      <c r="E8" t="s">
        <v>55</v>
      </c>
      <c r="F8">
        <v>8740</v>
      </c>
      <c r="G8">
        <v>10503902.818181818</v>
      </c>
      <c r="H8">
        <v>0.94659885493191809</v>
      </c>
      <c r="I8">
        <v>0.94151303242212336</v>
      </c>
      <c r="J8">
        <v>2615194.1818181816</v>
      </c>
      <c r="K8">
        <v>13877</v>
      </c>
      <c r="L8">
        <v>2</v>
      </c>
      <c r="M8">
        <v>75</v>
      </c>
      <c r="N8">
        <v>0.94914176732358546</v>
      </c>
      <c r="O8">
        <v>2277960.3636363638</v>
      </c>
      <c r="P8">
        <v>14214</v>
      </c>
      <c r="Q8">
        <v>2</v>
      </c>
      <c r="R8">
        <v>76</v>
      </c>
      <c r="S8">
        <v>12.418006430868168</v>
      </c>
      <c r="T8">
        <v>0.95348834991455078</v>
      </c>
      <c r="W8">
        <f>Tabela6[[#This Row],[mlp_params]]</f>
        <v>13877</v>
      </c>
      <c r="X8">
        <f>Tabela6[[#This Row],[mlp_test_acc]]</f>
        <v>0.94151303242212336</v>
      </c>
      <c r="Y8">
        <f>Tabela6[[#This Row],[kan_val_acc_1]]</f>
        <v>0.95348834991455078</v>
      </c>
      <c r="Z8">
        <f>Tabela6[[#This Row],[no_steps]]</f>
        <v>12.418006430868168</v>
      </c>
    </row>
    <row r="9" spans="1:26" hidden="1" x14ac:dyDescent="0.25">
      <c r="A9" t="s">
        <v>18</v>
      </c>
      <c r="B9">
        <v>3</v>
      </c>
      <c r="C9">
        <v>2</v>
      </c>
      <c r="D9">
        <v>0</v>
      </c>
      <c r="E9" t="s">
        <v>66</v>
      </c>
      <c r="F9">
        <v>9254</v>
      </c>
      <c r="G9">
        <v>12182898.272727273</v>
      </c>
      <c r="H9">
        <v>0.95613475821234961</v>
      </c>
      <c r="I9">
        <v>0.94469167196439929</v>
      </c>
      <c r="J9">
        <v>2469308</v>
      </c>
      <c r="K9">
        <v>14900</v>
      </c>
      <c r="L9">
        <v>2</v>
      </c>
      <c r="M9">
        <v>78</v>
      </c>
      <c r="N9">
        <v>0.94087730451366813</v>
      </c>
      <c r="O9">
        <v>2616284.4545454546</v>
      </c>
      <c r="P9">
        <v>15249</v>
      </c>
      <c r="Q9">
        <v>2</v>
      </c>
      <c r="R9">
        <v>79</v>
      </c>
      <c r="S9">
        <v>12.385593220338983</v>
      </c>
      <c r="T9">
        <v>0.96744184494018559</v>
      </c>
      <c r="W9">
        <f>Tabela6[[#This Row],[mlp_params]]</f>
        <v>14900</v>
      </c>
      <c r="X9">
        <f>Tabela6[[#This Row],[mlp_test_acc]]</f>
        <v>0.94469167196439929</v>
      </c>
      <c r="Y9">
        <f>Tabela6[[#This Row],[kan_val_acc_1]]</f>
        <v>0.96744184494018559</v>
      </c>
      <c r="Z9">
        <f>Tabela6[[#This Row],[no_steps]]</f>
        <v>12.385593220338983</v>
      </c>
    </row>
    <row r="10" spans="1:26" hidden="1" x14ac:dyDescent="0.25">
      <c r="A10" t="s">
        <v>18</v>
      </c>
      <c r="B10">
        <v>3</v>
      </c>
      <c r="C10">
        <v>2</v>
      </c>
      <c r="D10">
        <v>0</v>
      </c>
      <c r="E10" t="s">
        <v>76</v>
      </c>
      <c r="F10">
        <v>9768</v>
      </c>
      <c r="G10">
        <v>16659578.454545455</v>
      </c>
      <c r="H10">
        <v>0.96630641547116369</v>
      </c>
      <c r="I10">
        <v>0.95295613477431662</v>
      </c>
      <c r="J10">
        <v>2875213.4545454546</v>
      </c>
      <c r="K10">
        <v>15602</v>
      </c>
      <c r="L10">
        <v>2</v>
      </c>
      <c r="M10">
        <v>80</v>
      </c>
      <c r="N10">
        <v>0.95168467895740627</v>
      </c>
      <c r="O10">
        <v>2287496</v>
      </c>
      <c r="P10">
        <v>15959</v>
      </c>
      <c r="Q10">
        <v>2</v>
      </c>
      <c r="R10">
        <v>81</v>
      </c>
      <c r="S10">
        <v>12.390575916230366</v>
      </c>
      <c r="T10">
        <v>0.96511626839637754</v>
      </c>
      <c r="W10">
        <f>Tabela6[[#This Row],[mlp_params]]</f>
        <v>15602</v>
      </c>
      <c r="X10">
        <f>Tabela6[[#This Row],[mlp_test_acc]]</f>
        <v>0.95295613477431662</v>
      </c>
      <c r="Y10">
        <f>Tabela6[[#This Row],[kan_val_acc_1]]</f>
        <v>0.96511626839637754</v>
      </c>
      <c r="Z10">
        <f>Tabela6[[#This Row],[no_steps]]</f>
        <v>12.390575916230366</v>
      </c>
    </row>
    <row r="11" spans="1:26" hidden="1" x14ac:dyDescent="0.25">
      <c r="A11" t="s">
        <v>18</v>
      </c>
      <c r="B11">
        <v>3</v>
      </c>
      <c r="C11">
        <v>2</v>
      </c>
      <c r="D11">
        <v>0</v>
      </c>
      <c r="E11" t="s">
        <v>93</v>
      </c>
      <c r="F11">
        <v>10282</v>
      </c>
      <c r="G11">
        <v>11271608.727272727</v>
      </c>
      <c r="H11">
        <v>0.95359185067090124</v>
      </c>
      <c r="I11">
        <v>0.94405594405594406</v>
      </c>
      <c r="J11">
        <v>3843557.0909090908</v>
      </c>
      <c r="K11">
        <v>16320</v>
      </c>
      <c r="L11">
        <v>2</v>
      </c>
      <c r="M11">
        <v>82</v>
      </c>
      <c r="N11">
        <v>0.94405594405594406</v>
      </c>
      <c r="O11">
        <v>2295293.1818181816</v>
      </c>
      <c r="P11">
        <v>16685</v>
      </c>
      <c r="Q11">
        <v>2</v>
      </c>
      <c r="R11">
        <v>83</v>
      </c>
      <c r="S11">
        <v>12.346790890269151</v>
      </c>
      <c r="T11">
        <v>0.96046510338783264</v>
      </c>
      <c r="W11">
        <f>Tabela6[[#This Row],[mlp_params]]</f>
        <v>16320</v>
      </c>
      <c r="X11">
        <f>Tabela6[[#This Row],[mlp_test_acc]]</f>
        <v>0.94405594405594406</v>
      </c>
      <c r="Y11">
        <f>Tabela6[[#This Row],[kan_val_acc_1]]</f>
        <v>0.96046510338783264</v>
      </c>
      <c r="Z11">
        <f>Tabela6[[#This Row],[no_steps]]</f>
        <v>12.346790890269151</v>
      </c>
    </row>
    <row r="12" spans="1:26" hidden="1" x14ac:dyDescent="0.25">
      <c r="A12" t="s">
        <v>18</v>
      </c>
      <c r="B12">
        <v>3</v>
      </c>
      <c r="C12">
        <v>2</v>
      </c>
      <c r="D12">
        <v>0</v>
      </c>
      <c r="E12" t="s">
        <v>94</v>
      </c>
      <c r="F12">
        <v>10796</v>
      </c>
      <c r="G12">
        <v>15224260.545454545</v>
      </c>
      <c r="H12">
        <v>0.96122058413245459</v>
      </c>
      <c r="I12">
        <v>0.94405594405594406</v>
      </c>
      <c r="J12">
        <v>3726010.0909090908</v>
      </c>
      <c r="K12">
        <v>17427</v>
      </c>
      <c r="L12">
        <v>2</v>
      </c>
      <c r="M12">
        <v>85</v>
      </c>
      <c r="N12">
        <v>0.94723458359821999</v>
      </c>
      <c r="O12">
        <v>3064432.2727272729</v>
      </c>
      <c r="P12">
        <v>17804</v>
      </c>
      <c r="Q12">
        <v>2</v>
      </c>
      <c r="R12">
        <v>86</v>
      </c>
      <c r="S12">
        <v>12.327533265097236</v>
      </c>
      <c r="T12">
        <v>0.97790696620941164</v>
      </c>
      <c r="W12">
        <f>Tabela6[[#This Row],[mlp_params]]</f>
        <v>17427</v>
      </c>
      <c r="X12">
        <f>Tabela6[[#This Row],[mlp_test_acc]]</f>
        <v>0.94405594405594406</v>
      </c>
      <c r="Y12">
        <f>Tabela6[[#This Row],[kan_val_acc_1]]</f>
        <v>0.97790696620941164</v>
      </c>
      <c r="Z12">
        <f>Tabela6[[#This Row],[no_steps]]</f>
        <v>12.327533265097236</v>
      </c>
    </row>
    <row r="13" spans="1:26" hidden="1" x14ac:dyDescent="0.25">
      <c r="A13" t="s">
        <v>18</v>
      </c>
      <c r="B13">
        <v>3</v>
      </c>
      <c r="C13">
        <v>2</v>
      </c>
      <c r="D13">
        <v>0</v>
      </c>
      <c r="E13" t="s">
        <v>95</v>
      </c>
      <c r="F13">
        <v>11310</v>
      </c>
      <c r="G13">
        <v>15447537.454545455</v>
      </c>
      <c r="H13">
        <v>0.95168467001481494</v>
      </c>
      <c r="I13">
        <v>0.93897012078830266</v>
      </c>
      <c r="J13">
        <v>9190932.7272727266</v>
      </c>
      <c r="K13">
        <v>18185</v>
      </c>
      <c r="L13">
        <v>2</v>
      </c>
      <c r="M13">
        <v>87</v>
      </c>
      <c r="N13">
        <v>0.94405594405594406</v>
      </c>
      <c r="O13">
        <v>6971945.4545454541</v>
      </c>
      <c r="P13">
        <v>18570</v>
      </c>
      <c r="Q13">
        <v>2</v>
      </c>
      <c r="R13">
        <v>88</v>
      </c>
      <c r="S13">
        <v>12.304655870445345</v>
      </c>
      <c r="T13">
        <v>0.97093021869659424</v>
      </c>
      <c r="W13">
        <f>Tabela6[[#This Row],[mlp_params]]</f>
        <v>18185</v>
      </c>
      <c r="X13">
        <f>Tabela6[[#This Row],[mlp_test_acc]]</f>
        <v>0.93897012078830266</v>
      </c>
      <c r="Y13">
        <f>Tabela6[[#This Row],[kan_val_acc_1]]</f>
        <v>0.97093021869659424</v>
      </c>
      <c r="Z13">
        <f>Tabela6[[#This Row],[no_steps]]</f>
        <v>12.304655870445345</v>
      </c>
    </row>
    <row r="14" spans="1:26" hidden="1" x14ac:dyDescent="0.25">
      <c r="A14" t="s">
        <v>18</v>
      </c>
      <c r="B14">
        <v>3</v>
      </c>
      <c r="C14">
        <v>2</v>
      </c>
      <c r="D14">
        <v>0</v>
      </c>
      <c r="E14" t="s">
        <v>96</v>
      </c>
      <c r="F14">
        <v>11824</v>
      </c>
      <c r="G14">
        <v>19044188</v>
      </c>
      <c r="H14">
        <v>0.96694214235652576</v>
      </c>
      <c r="I14">
        <v>0.94723458359821999</v>
      </c>
      <c r="J14">
        <v>9334131.7272727266</v>
      </c>
      <c r="K14">
        <v>18959</v>
      </c>
      <c r="L14">
        <v>2</v>
      </c>
      <c r="M14">
        <v>89</v>
      </c>
      <c r="N14">
        <v>0.94214876033057848</v>
      </c>
      <c r="O14">
        <v>7948961.5454545459</v>
      </c>
      <c r="P14">
        <v>19352</v>
      </c>
      <c r="Q14">
        <v>2</v>
      </c>
      <c r="R14">
        <v>90</v>
      </c>
      <c r="S14">
        <v>12.307307307307306</v>
      </c>
      <c r="T14">
        <v>0.97325580120086674</v>
      </c>
      <c r="W14">
        <f>Tabela6[[#This Row],[mlp_params]]</f>
        <v>18959</v>
      </c>
      <c r="X14">
        <f>Tabela6[[#This Row],[mlp_test_acc]]</f>
        <v>0.94723458359821999</v>
      </c>
      <c r="Y14">
        <f>Tabela6[[#This Row],[kan_val_acc_1]]</f>
        <v>0.97325580120086674</v>
      </c>
      <c r="Z14">
        <f>Tabela6[[#This Row],[no_steps]]</f>
        <v>12.307307307307306</v>
      </c>
    </row>
    <row r="15" spans="1:26" hidden="1" x14ac:dyDescent="0.25">
      <c r="A15" t="s">
        <v>18</v>
      </c>
      <c r="B15">
        <v>3</v>
      </c>
      <c r="C15">
        <v>2</v>
      </c>
      <c r="D15">
        <v>0</v>
      </c>
      <c r="E15" t="s">
        <v>97</v>
      </c>
      <c r="F15">
        <v>12338</v>
      </c>
      <c r="G15">
        <v>14620584.727272727</v>
      </c>
      <c r="H15">
        <v>0.96122059496966272</v>
      </c>
      <c r="I15">
        <v>0.94787031150667511</v>
      </c>
      <c r="J15">
        <v>7935601.0909090908</v>
      </c>
      <c r="K15">
        <v>19749</v>
      </c>
      <c r="L15">
        <v>2</v>
      </c>
      <c r="M15">
        <v>91</v>
      </c>
      <c r="N15">
        <v>0.94469167196439929</v>
      </c>
      <c r="O15">
        <v>8649459.9090909082</v>
      </c>
      <c r="P15">
        <v>20150</v>
      </c>
      <c r="Q15">
        <v>2</v>
      </c>
      <c r="R15">
        <v>92</v>
      </c>
      <c r="S15">
        <v>12.272277227722773</v>
      </c>
      <c r="T15">
        <v>0.96744184494018559</v>
      </c>
      <c r="W15">
        <f>Tabela6[[#This Row],[mlp_params]]</f>
        <v>19749</v>
      </c>
      <c r="X15">
        <f>Tabela6[[#This Row],[mlp_test_acc]]</f>
        <v>0.94787031150667511</v>
      </c>
      <c r="Y15">
        <f>Tabela6[[#This Row],[kan_val_acc_1]]</f>
        <v>0.96744184494018559</v>
      </c>
      <c r="Z15">
        <f>Tabela6[[#This Row],[no_steps]]</f>
        <v>12.272277227722773</v>
      </c>
    </row>
    <row r="16" spans="1:26" hidden="1" x14ac:dyDescent="0.25">
      <c r="A16" t="s">
        <v>18</v>
      </c>
      <c r="B16">
        <v>3</v>
      </c>
      <c r="C16">
        <v>2</v>
      </c>
      <c r="D16">
        <v>0</v>
      </c>
      <c r="E16" t="s">
        <v>98</v>
      </c>
      <c r="F16">
        <v>12852</v>
      </c>
      <c r="G16">
        <v>15871907.727272727</v>
      </c>
      <c r="H16">
        <v>0.9618563218550249</v>
      </c>
      <c r="I16">
        <v>0.95804195804195802</v>
      </c>
      <c r="J16">
        <v>8528769.0909090918</v>
      </c>
      <c r="K16">
        <v>20555</v>
      </c>
      <c r="L16">
        <v>2</v>
      </c>
      <c r="M16">
        <v>93</v>
      </c>
      <c r="N16">
        <v>0.94405594405594406</v>
      </c>
      <c r="O16">
        <v>8552411.3636363633</v>
      </c>
      <c r="P16">
        <v>20964</v>
      </c>
      <c r="Q16">
        <v>2</v>
      </c>
      <c r="R16">
        <v>94</v>
      </c>
      <c r="S16">
        <v>12.244857982370226</v>
      </c>
      <c r="T16">
        <v>0.97558138370513914</v>
      </c>
      <c r="W16">
        <f>Tabela6[[#This Row],[mlp_params]]</f>
        <v>20555</v>
      </c>
      <c r="X16">
        <f>Tabela6[[#This Row],[mlp_test_acc]]</f>
        <v>0.95804195804195802</v>
      </c>
      <c r="Y16">
        <f>Tabela6[[#This Row],[kan_val_acc_1]]</f>
        <v>0.97558138370513914</v>
      </c>
      <c r="Z16">
        <f>Tabela6[[#This Row],[no_steps]]</f>
        <v>12.244857982370226</v>
      </c>
    </row>
    <row r="17" spans="1:26" hidden="1" x14ac:dyDescent="0.25">
      <c r="A17" t="s">
        <v>18</v>
      </c>
      <c r="B17">
        <v>3</v>
      </c>
      <c r="C17">
        <v>2</v>
      </c>
      <c r="D17">
        <v>0</v>
      </c>
      <c r="E17" t="s">
        <v>99</v>
      </c>
      <c r="F17">
        <v>13366</v>
      </c>
      <c r="G17">
        <v>16684554.090909092</v>
      </c>
      <c r="H17">
        <v>0.95994911952452222</v>
      </c>
      <c r="I17">
        <v>0.94278448823903371</v>
      </c>
      <c r="J17">
        <v>8089047.3636363633</v>
      </c>
      <c r="K17">
        <v>21377</v>
      </c>
      <c r="L17">
        <v>2</v>
      </c>
      <c r="M17">
        <v>95</v>
      </c>
      <c r="N17">
        <v>0.94214876033057848</v>
      </c>
      <c r="O17">
        <v>7582371.6363636367</v>
      </c>
      <c r="P17">
        <v>21794</v>
      </c>
      <c r="Q17">
        <v>2</v>
      </c>
      <c r="R17">
        <v>96</v>
      </c>
      <c r="S17">
        <v>12.218992248062015</v>
      </c>
      <c r="T17">
        <v>0.97093021869659424</v>
      </c>
      <c r="W17">
        <f>Tabela6[[#This Row],[mlp_params]]</f>
        <v>21377</v>
      </c>
      <c r="X17">
        <f>Tabela6[[#This Row],[mlp_test_acc]]</f>
        <v>0.94278448823903371</v>
      </c>
      <c r="Y17">
        <f>Tabela6[[#This Row],[kan_val_acc_1]]</f>
        <v>0.97093021869659424</v>
      </c>
      <c r="Z17">
        <f>Tabela6[[#This Row],[no_steps]]</f>
        <v>12.218992248062015</v>
      </c>
    </row>
    <row r="18" spans="1:26" hidden="1" x14ac:dyDescent="0.25">
      <c r="A18" t="s">
        <v>18</v>
      </c>
      <c r="B18">
        <v>3</v>
      </c>
      <c r="C18">
        <v>2</v>
      </c>
      <c r="D18">
        <v>0</v>
      </c>
      <c r="E18" t="s">
        <v>100</v>
      </c>
      <c r="F18">
        <v>13880</v>
      </c>
      <c r="G18">
        <v>14883745</v>
      </c>
      <c r="H18">
        <v>0.96376349709250708</v>
      </c>
      <c r="I18">
        <v>0.94659885568976476</v>
      </c>
      <c r="J18">
        <v>7496096.3636363633</v>
      </c>
      <c r="K18">
        <v>22215</v>
      </c>
      <c r="L18">
        <v>2</v>
      </c>
      <c r="M18">
        <v>97</v>
      </c>
      <c r="N18">
        <v>0.94723458359821999</v>
      </c>
      <c r="O18">
        <v>9141359</v>
      </c>
      <c r="P18">
        <v>22640</v>
      </c>
      <c r="Q18">
        <v>2</v>
      </c>
      <c r="R18">
        <v>98</v>
      </c>
      <c r="S18">
        <v>12.181208053691275</v>
      </c>
      <c r="T18">
        <v>0.97093021869659424</v>
      </c>
      <c r="W18">
        <f>Tabela6[[#This Row],[mlp_params]]</f>
        <v>22215</v>
      </c>
      <c r="X18">
        <f>Tabela6[[#This Row],[mlp_test_acc]]</f>
        <v>0.94659885568976476</v>
      </c>
      <c r="Y18">
        <f>Tabela6[[#This Row],[kan_val_acc_1]]</f>
        <v>0.97093021869659424</v>
      </c>
      <c r="Z18">
        <f>Tabela6[[#This Row],[no_steps]]</f>
        <v>12.181208053691275</v>
      </c>
    </row>
    <row r="19" spans="1:26" hidden="1" x14ac:dyDescent="0.25">
      <c r="A19" t="s">
        <v>18</v>
      </c>
      <c r="B19">
        <v>3</v>
      </c>
      <c r="C19">
        <v>2</v>
      </c>
      <c r="D19">
        <v>0</v>
      </c>
      <c r="E19" t="s">
        <v>101</v>
      </c>
      <c r="F19">
        <v>14394</v>
      </c>
      <c r="G19">
        <v>15380734.818181818</v>
      </c>
      <c r="H19">
        <v>0.96567068858580152</v>
      </c>
      <c r="I19">
        <v>0.94087730451366813</v>
      </c>
      <c r="J19">
        <v>8261464.7272727275</v>
      </c>
      <c r="K19">
        <v>23069</v>
      </c>
      <c r="L19">
        <v>2</v>
      </c>
      <c r="M19">
        <v>99</v>
      </c>
      <c r="N19">
        <v>0.94469167196439929</v>
      </c>
      <c r="O19">
        <v>7637824.1818181816</v>
      </c>
      <c r="P19">
        <v>23502</v>
      </c>
      <c r="Q19">
        <v>2</v>
      </c>
      <c r="R19">
        <v>100</v>
      </c>
      <c r="S19">
        <v>12.142314990512334</v>
      </c>
      <c r="T19">
        <v>0.96976742744445799</v>
      </c>
      <c r="W19">
        <f>Tabela6[[#This Row],[mlp_params]]</f>
        <v>23069</v>
      </c>
      <c r="X19">
        <f>Tabela6[[#This Row],[mlp_test_acc]]</f>
        <v>0.94087730451366813</v>
      </c>
      <c r="Y19">
        <f>Tabela6[[#This Row],[kan_val_acc_1]]</f>
        <v>0.96976742744445799</v>
      </c>
      <c r="Z19">
        <f>Tabela6[[#This Row],[no_steps]]</f>
        <v>12.142314990512334</v>
      </c>
    </row>
    <row r="20" spans="1:26" hidden="1" x14ac:dyDescent="0.25">
      <c r="A20" t="s">
        <v>18</v>
      </c>
      <c r="B20">
        <v>3</v>
      </c>
      <c r="C20">
        <v>2</v>
      </c>
      <c r="D20">
        <v>0</v>
      </c>
      <c r="E20" t="s">
        <v>103</v>
      </c>
      <c r="F20">
        <v>15422</v>
      </c>
      <c r="G20">
        <v>18434303.333333332</v>
      </c>
      <c r="H20">
        <v>0.95238093818937031</v>
      </c>
      <c r="I20">
        <v>0.94239094239094245</v>
      </c>
      <c r="J20">
        <v>8530130</v>
      </c>
      <c r="K20">
        <v>24825</v>
      </c>
      <c r="L20">
        <v>2</v>
      </c>
      <c r="M20">
        <v>103</v>
      </c>
      <c r="N20">
        <v>0.94272394272394278</v>
      </c>
      <c r="O20">
        <v>9731957.8571428563</v>
      </c>
      <c r="P20">
        <v>25274</v>
      </c>
      <c r="Q20">
        <v>2</v>
      </c>
      <c r="R20">
        <v>104</v>
      </c>
      <c r="S20">
        <v>9.1428571428571423</v>
      </c>
      <c r="T20">
        <v>0.96456256650743033</v>
      </c>
      <c r="W20">
        <f>Tabela6[[#This Row],[mlp_params]]</f>
        <v>24825</v>
      </c>
      <c r="X20">
        <f>Tabela6[[#This Row],[mlp_test_acc]]</f>
        <v>0.94239094239094245</v>
      </c>
      <c r="Y20">
        <f>Tabela6[[#This Row],[kan_val_acc_1]]</f>
        <v>0.96456256650743033</v>
      </c>
      <c r="Z20">
        <f>Tabela6[[#This Row],[no_steps]]</f>
        <v>9.1428571428571423</v>
      </c>
    </row>
    <row r="21" spans="1:26" hidden="1" x14ac:dyDescent="0.25">
      <c r="A21" t="s">
        <v>18</v>
      </c>
      <c r="B21">
        <v>3</v>
      </c>
      <c r="C21">
        <v>2</v>
      </c>
      <c r="D21">
        <v>0</v>
      </c>
      <c r="E21" t="s">
        <v>104</v>
      </c>
      <c r="F21">
        <v>15936</v>
      </c>
      <c r="G21">
        <v>23571577.761904761</v>
      </c>
      <c r="H21">
        <v>0.95937395379656842</v>
      </c>
      <c r="I21">
        <v>0.94538794538794535</v>
      </c>
      <c r="J21">
        <v>8325087.6190476194</v>
      </c>
      <c r="K21">
        <v>25727</v>
      </c>
      <c r="L21">
        <v>2</v>
      </c>
      <c r="M21">
        <v>105</v>
      </c>
      <c r="N21">
        <v>0.94239094239094245</v>
      </c>
      <c r="O21">
        <v>9399878.8095238097</v>
      </c>
      <c r="P21">
        <v>26184</v>
      </c>
      <c r="Q21">
        <v>2</v>
      </c>
      <c r="R21">
        <v>106</v>
      </c>
      <c r="S21">
        <v>10.333333333333334</v>
      </c>
      <c r="T21">
        <v>0.97674417495727539</v>
      </c>
      <c r="W21">
        <f>Tabela6[[#This Row],[mlp_params]]</f>
        <v>25727</v>
      </c>
      <c r="X21">
        <f>Tabela6[[#This Row],[mlp_test_acc]]</f>
        <v>0.94538794538794535</v>
      </c>
      <c r="Y21">
        <f>Tabela6[[#This Row],[kan_val_acc_1]]</f>
        <v>0.97674417495727539</v>
      </c>
      <c r="Z21">
        <f>Tabela6[[#This Row],[no_steps]]</f>
        <v>10.333333333333334</v>
      </c>
    </row>
    <row r="22" spans="1:26" hidden="1" x14ac:dyDescent="0.25">
      <c r="A22" t="s">
        <v>18</v>
      </c>
      <c r="B22">
        <v>3</v>
      </c>
      <c r="C22">
        <v>2</v>
      </c>
      <c r="D22">
        <v>0</v>
      </c>
      <c r="E22" t="s">
        <v>26</v>
      </c>
      <c r="F22">
        <v>16484</v>
      </c>
      <c r="G22">
        <v>25841628.161290321</v>
      </c>
      <c r="H22">
        <v>0.956237300749748</v>
      </c>
      <c r="I22">
        <v>0.94067223099481168</v>
      </c>
      <c r="J22">
        <v>8080878.9032258065</v>
      </c>
      <c r="K22">
        <v>26645</v>
      </c>
      <c r="L22">
        <v>2</v>
      </c>
      <c r="M22">
        <v>107</v>
      </c>
      <c r="N22">
        <v>0.94698849537559215</v>
      </c>
      <c r="O22">
        <v>8305415.7741935486</v>
      </c>
      <c r="P22">
        <v>27110</v>
      </c>
      <c r="Q22">
        <v>2</v>
      </c>
      <c r="R22">
        <v>108</v>
      </c>
      <c r="S22">
        <v>10.986301369863014</v>
      </c>
      <c r="T22">
        <v>0.96511627237002051</v>
      </c>
      <c r="W22">
        <f>Tabela6[[#This Row],[mlp_params]]</f>
        <v>26645</v>
      </c>
      <c r="X22">
        <f>Tabela6[[#This Row],[mlp_test_acc]]</f>
        <v>0.94067223099481168</v>
      </c>
      <c r="Y22">
        <f>Tabela6[[#This Row],[kan_val_acc_1]]</f>
        <v>0.96511627237002051</v>
      </c>
      <c r="Z22">
        <f>Tabela6[[#This Row],[no_steps]]</f>
        <v>10.986301369863014</v>
      </c>
    </row>
    <row r="23" spans="1:26" hidden="1" x14ac:dyDescent="0.25">
      <c r="A23" t="s">
        <v>18</v>
      </c>
      <c r="B23">
        <v>3</v>
      </c>
      <c r="C23">
        <v>2</v>
      </c>
      <c r="D23">
        <v>0</v>
      </c>
      <c r="E23" t="s">
        <v>27</v>
      </c>
      <c r="F23">
        <v>16998</v>
      </c>
      <c r="G23">
        <v>29999032.857142858</v>
      </c>
      <c r="H23">
        <v>0.96470196757997784</v>
      </c>
      <c r="I23">
        <v>0.94205794205794202</v>
      </c>
      <c r="J23">
        <v>8629380.333333334</v>
      </c>
      <c r="K23">
        <v>27110</v>
      </c>
      <c r="L23">
        <v>2</v>
      </c>
      <c r="M23">
        <v>108</v>
      </c>
      <c r="N23">
        <v>0.94472194472194471</v>
      </c>
      <c r="O23">
        <v>8504143.9047619049</v>
      </c>
      <c r="P23">
        <v>27579</v>
      </c>
      <c r="Q23">
        <v>2</v>
      </c>
      <c r="R23">
        <v>109</v>
      </c>
      <c r="S23">
        <v>11.446808510638299</v>
      </c>
      <c r="T23">
        <v>0.97499999403953552</v>
      </c>
      <c r="W23">
        <f>Tabela6[[#This Row],[mlp_params]]</f>
        <v>27110</v>
      </c>
      <c r="X23">
        <f>Tabela6[[#This Row],[mlp_test_acc]]</f>
        <v>0.94205794205794202</v>
      </c>
      <c r="Y23">
        <f>Tabela6[[#This Row],[kan_val_acc_1]]</f>
        <v>0.97499999403953552</v>
      </c>
      <c r="Z23">
        <f>Tabela6[[#This Row],[no_steps]]</f>
        <v>11.446808510638299</v>
      </c>
    </row>
    <row r="24" spans="1:26" hidden="1" x14ac:dyDescent="0.25">
      <c r="A24" t="s">
        <v>18</v>
      </c>
      <c r="B24">
        <v>3</v>
      </c>
      <c r="C24">
        <v>2</v>
      </c>
      <c r="D24">
        <v>0</v>
      </c>
      <c r="E24" t="s">
        <v>28</v>
      </c>
      <c r="F24">
        <v>17512</v>
      </c>
      <c r="G24">
        <v>28994101.612903226</v>
      </c>
      <c r="H24">
        <v>0.95623730267247842</v>
      </c>
      <c r="I24">
        <v>0.94383036318520186</v>
      </c>
      <c r="J24">
        <v>8530566.5483870972</v>
      </c>
      <c r="K24">
        <v>28052</v>
      </c>
      <c r="L24">
        <v>2</v>
      </c>
      <c r="M24">
        <v>110</v>
      </c>
      <c r="N24">
        <v>0.94360478231445977</v>
      </c>
      <c r="O24">
        <v>8016967.3225806449</v>
      </c>
      <c r="P24">
        <v>28529</v>
      </c>
      <c r="Q24">
        <v>2</v>
      </c>
      <c r="R24">
        <v>111</v>
      </c>
      <c r="S24">
        <v>11.64</v>
      </c>
      <c r="T24">
        <v>0.95852713187535599</v>
      </c>
      <c r="W24">
        <f>Tabela6[[#This Row],[mlp_params]]</f>
        <v>28052</v>
      </c>
      <c r="X24">
        <f>Tabela6[[#This Row],[mlp_test_acc]]</f>
        <v>0.94383036318520186</v>
      </c>
      <c r="Y24">
        <f>Tabela6[[#This Row],[kan_val_acc_1]]</f>
        <v>0.95852713187535599</v>
      </c>
      <c r="Z24">
        <f>Tabela6[[#This Row],[no_steps]]</f>
        <v>11.64</v>
      </c>
    </row>
    <row r="25" spans="1:26" hidden="1" x14ac:dyDescent="0.25">
      <c r="A25" t="s">
        <v>18</v>
      </c>
      <c r="B25">
        <v>3</v>
      </c>
      <c r="C25">
        <v>2</v>
      </c>
      <c r="D25">
        <v>0</v>
      </c>
      <c r="E25" t="s">
        <v>67</v>
      </c>
      <c r="F25">
        <v>17828</v>
      </c>
      <c r="G25">
        <v>28650523.741935484</v>
      </c>
      <c r="H25">
        <v>0.95556056499481201</v>
      </c>
      <c r="I25">
        <v>0.94676291450484995</v>
      </c>
      <c r="J25">
        <v>8699430.064516129</v>
      </c>
      <c r="K25">
        <v>28529</v>
      </c>
      <c r="L25">
        <v>2</v>
      </c>
      <c r="M25">
        <v>111</v>
      </c>
      <c r="N25">
        <v>0.94292803970223327</v>
      </c>
      <c r="O25">
        <v>9141394.4838709682</v>
      </c>
      <c r="P25">
        <v>29010</v>
      </c>
      <c r="Q25">
        <v>2</v>
      </c>
      <c r="R25">
        <v>112</v>
      </c>
      <c r="S25">
        <v>11.698717948717949</v>
      </c>
      <c r="T25">
        <v>0.95348836978276574</v>
      </c>
      <c r="W25">
        <f>Tabela6[[#This Row],[mlp_params]]</f>
        <v>28529</v>
      </c>
      <c r="X25">
        <f>Tabela6[[#This Row],[mlp_test_acc]]</f>
        <v>0.94676291450484995</v>
      </c>
      <c r="Y25">
        <f>Tabela6[[#This Row],[kan_val_acc_1]]</f>
        <v>0.95348836978276574</v>
      </c>
      <c r="Z25">
        <f>Tabela6[[#This Row],[no_steps]]</f>
        <v>11.698717948717949</v>
      </c>
    </row>
    <row r="26" spans="1:26" hidden="1" x14ac:dyDescent="0.25">
      <c r="A26" t="s">
        <v>18</v>
      </c>
      <c r="B26">
        <v>3</v>
      </c>
      <c r="C26">
        <v>2</v>
      </c>
      <c r="D26">
        <v>0</v>
      </c>
      <c r="E26" t="s">
        <v>29</v>
      </c>
      <c r="F26">
        <v>18026</v>
      </c>
      <c r="G26">
        <v>28386849.454545453</v>
      </c>
      <c r="H26">
        <v>0.95613477988676587</v>
      </c>
      <c r="I26">
        <v>0.94532739987285441</v>
      </c>
      <c r="J26">
        <v>8329987.6363636367</v>
      </c>
      <c r="K26">
        <v>29010</v>
      </c>
      <c r="L26">
        <v>2</v>
      </c>
      <c r="M26">
        <v>112</v>
      </c>
      <c r="N26">
        <v>0.94087730451366813</v>
      </c>
      <c r="O26">
        <v>8565095.7272727266</v>
      </c>
      <c r="P26">
        <v>29495</v>
      </c>
      <c r="Q26">
        <v>2</v>
      </c>
      <c r="R26">
        <v>113</v>
      </c>
      <c r="S26">
        <v>11.688622754491018</v>
      </c>
      <c r="T26">
        <v>0.95</v>
      </c>
      <c r="W26">
        <f>Tabela6[[#This Row],[mlp_params]]</f>
        <v>29010</v>
      </c>
      <c r="X26">
        <f>Tabela6[[#This Row],[mlp_test_acc]]</f>
        <v>0.94532739987285441</v>
      </c>
      <c r="Y26">
        <f>Tabela6[[#This Row],[kan_val_acc_1]]</f>
        <v>0.95</v>
      </c>
      <c r="Z26">
        <f>Tabela6[[#This Row],[no_steps]]</f>
        <v>11.688622754491018</v>
      </c>
    </row>
    <row r="27" spans="1:26" hidden="1" x14ac:dyDescent="0.25">
      <c r="A27" t="s">
        <v>18</v>
      </c>
      <c r="B27">
        <v>3</v>
      </c>
      <c r="C27">
        <v>2</v>
      </c>
      <c r="D27">
        <v>0</v>
      </c>
      <c r="E27" t="s">
        <v>68</v>
      </c>
      <c r="F27">
        <v>18438</v>
      </c>
      <c r="G27">
        <v>33386036.838709679</v>
      </c>
      <c r="H27">
        <v>0.95398150336357856</v>
      </c>
      <c r="I27">
        <v>0.94495826753891266</v>
      </c>
      <c r="J27">
        <v>8958920.4516129028</v>
      </c>
      <c r="K27">
        <v>29495</v>
      </c>
      <c r="L27">
        <v>2</v>
      </c>
      <c r="M27">
        <v>113</v>
      </c>
      <c r="N27">
        <v>0.94225129709000677</v>
      </c>
      <c r="O27">
        <v>8887438.5483870972</v>
      </c>
      <c r="P27">
        <v>29984</v>
      </c>
      <c r="Q27">
        <v>2</v>
      </c>
      <c r="R27">
        <v>114</v>
      </c>
      <c r="S27">
        <v>11.944444444444445</v>
      </c>
      <c r="T27">
        <v>0.96395348707834883</v>
      </c>
      <c r="W27">
        <f>Tabela6[[#This Row],[mlp_params]]</f>
        <v>29495</v>
      </c>
      <c r="X27">
        <f>Tabela6[[#This Row],[mlp_test_acc]]</f>
        <v>0.94495826753891266</v>
      </c>
      <c r="Y27">
        <f>Tabela6[[#This Row],[kan_val_acc_1]]</f>
        <v>0.96395348707834883</v>
      </c>
      <c r="Z27">
        <f>Tabela6[[#This Row],[no_steps]]</f>
        <v>11.944444444444445</v>
      </c>
    </row>
    <row r="28" spans="1:26" hidden="1" x14ac:dyDescent="0.25">
      <c r="A28" t="s">
        <v>18</v>
      </c>
      <c r="B28">
        <v>3</v>
      </c>
      <c r="C28">
        <v>2</v>
      </c>
      <c r="D28">
        <v>0</v>
      </c>
      <c r="E28" t="s">
        <v>30</v>
      </c>
      <c r="F28">
        <v>18540</v>
      </c>
      <c r="G28">
        <v>35019610.363636367</v>
      </c>
      <c r="H28">
        <v>0.95295612378553907</v>
      </c>
      <c r="I28">
        <v>0.94405594405594406</v>
      </c>
      <c r="J28">
        <v>7838477.6363636367</v>
      </c>
      <c r="K28">
        <v>29984</v>
      </c>
      <c r="L28">
        <v>2</v>
      </c>
      <c r="M28">
        <v>114</v>
      </c>
      <c r="N28">
        <v>0.94342021614748883</v>
      </c>
      <c r="O28">
        <v>7928893.4545454541</v>
      </c>
      <c r="P28">
        <v>30477</v>
      </c>
      <c r="Q28">
        <v>2</v>
      </c>
      <c r="R28">
        <v>115</v>
      </c>
      <c r="S28">
        <v>12.052631578947368</v>
      </c>
      <c r="T28">
        <v>0.95697674751281736</v>
      </c>
      <c r="W28">
        <f>Tabela6[[#This Row],[mlp_params]]</f>
        <v>29984</v>
      </c>
      <c r="X28">
        <f>Tabela6[[#This Row],[mlp_test_acc]]</f>
        <v>0.94405594405594406</v>
      </c>
      <c r="Y28">
        <f>Tabela6[[#This Row],[kan_val_acc_1]]</f>
        <v>0.95697674751281736</v>
      </c>
      <c r="Z28">
        <f>Tabela6[[#This Row],[no_steps]]</f>
        <v>12.052631578947368</v>
      </c>
    </row>
    <row r="29" spans="1:26" hidden="1" x14ac:dyDescent="0.25">
      <c r="A29" t="s">
        <v>18</v>
      </c>
      <c r="B29">
        <v>3</v>
      </c>
      <c r="C29">
        <v>2</v>
      </c>
      <c r="D29">
        <v>0</v>
      </c>
      <c r="E29" t="s">
        <v>31</v>
      </c>
      <c r="F29">
        <v>19054</v>
      </c>
      <c r="G29">
        <v>34273868.935483873</v>
      </c>
      <c r="H29">
        <v>0.95465823911851455</v>
      </c>
      <c r="I29">
        <v>0.94473268666817056</v>
      </c>
      <c r="J29">
        <v>8908487.064516129</v>
      </c>
      <c r="K29">
        <v>30477</v>
      </c>
      <c r="L29">
        <v>2</v>
      </c>
      <c r="M29">
        <v>115</v>
      </c>
      <c r="N29">
        <v>0.94360478231445977</v>
      </c>
      <c r="O29">
        <v>9501144.2258064523</v>
      </c>
      <c r="P29">
        <v>30974</v>
      </c>
      <c r="Q29">
        <v>2</v>
      </c>
      <c r="R29">
        <v>116</v>
      </c>
      <c r="S29">
        <v>12.208333333333334</v>
      </c>
      <c r="T29">
        <v>0.95813953081766767</v>
      </c>
      <c r="W29">
        <f>Tabela6[[#This Row],[mlp_params]]</f>
        <v>30477</v>
      </c>
      <c r="X29">
        <f>Tabela6[[#This Row],[mlp_test_acc]]</f>
        <v>0.94473268666817056</v>
      </c>
      <c r="Y29">
        <f>Tabela6[[#This Row],[kan_val_acc_1]]</f>
        <v>0.95813953081766767</v>
      </c>
      <c r="Z29">
        <f>Tabela6[[#This Row],[no_steps]]</f>
        <v>12.208333333333334</v>
      </c>
    </row>
    <row r="30" spans="1:26" hidden="1" x14ac:dyDescent="0.25">
      <c r="A30" t="s">
        <v>18</v>
      </c>
      <c r="B30">
        <v>3</v>
      </c>
      <c r="C30">
        <v>2</v>
      </c>
      <c r="D30">
        <v>0</v>
      </c>
      <c r="E30" t="s">
        <v>45</v>
      </c>
      <c r="F30">
        <v>19180</v>
      </c>
      <c r="G30">
        <v>35709945.193548389</v>
      </c>
      <c r="H30">
        <v>0.95262801454913226</v>
      </c>
      <c r="I30">
        <v>0.94270245883149106</v>
      </c>
      <c r="J30">
        <v>8076595.4838709673</v>
      </c>
      <c r="K30">
        <v>30974</v>
      </c>
      <c r="L30">
        <v>2</v>
      </c>
      <c r="M30">
        <v>116</v>
      </c>
      <c r="N30">
        <v>0.94450710579742836</v>
      </c>
      <c r="O30">
        <v>8033432.4516129028</v>
      </c>
      <c r="P30">
        <v>31475</v>
      </c>
      <c r="Q30">
        <v>2</v>
      </c>
      <c r="R30">
        <v>117</v>
      </c>
      <c r="S30">
        <v>12.394833948339484</v>
      </c>
      <c r="T30">
        <v>0.96899224321047461</v>
      </c>
      <c r="W30">
        <f>Tabela6[[#This Row],[mlp_params]]</f>
        <v>30974</v>
      </c>
      <c r="X30">
        <f>Tabela6[[#This Row],[mlp_test_acc]]</f>
        <v>0.94270245883149106</v>
      </c>
      <c r="Y30">
        <f>Tabela6[[#This Row],[kan_val_acc_1]]</f>
        <v>0.96899224321047461</v>
      </c>
      <c r="Z30">
        <f>Tabela6[[#This Row],[no_steps]]</f>
        <v>12.394833948339484</v>
      </c>
    </row>
    <row r="31" spans="1:26" hidden="1" x14ac:dyDescent="0.25">
      <c r="A31" t="s">
        <v>18</v>
      </c>
      <c r="B31">
        <v>3</v>
      </c>
      <c r="C31">
        <v>2</v>
      </c>
      <c r="D31">
        <v>0</v>
      </c>
      <c r="E31" t="s">
        <v>32</v>
      </c>
      <c r="F31">
        <v>19568</v>
      </c>
      <c r="G31">
        <v>39004876.761904761</v>
      </c>
      <c r="H31">
        <v>0.96103896129698985</v>
      </c>
      <c r="I31">
        <v>0.94705294705294707</v>
      </c>
      <c r="J31">
        <v>8822927.1904761903</v>
      </c>
      <c r="K31">
        <v>31475</v>
      </c>
      <c r="L31">
        <v>2</v>
      </c>
      <c r="M31">
        <v>117</v>
      </c>
      <c r="N31">
        <v>0.94338994338994342</v>
      </c>
      <c r="O31">
        <v>8833019.1428571437</v>
      </c>
      <c r="P31">
        <v>31980</v>
      </c>
      <c r="Q31">
        <v>2</v>
      </c>
      <c r="R31">
        <v>118</v>
      </c>
      <c r="S31">
        <v>12.58904109589041</v>
      </c>
      <c r="T31">
        <v>0.97325580418109892</v>
      </c>
      <c r="W31">
        <f>Tabela6[[#This Row],[mlp_params]]</f>
        <v>31475</v>
      </c>
      <c r="X31">
        <f>Tabela6[[#This Row],[mlp_test_acc]]</f>
        <v>0.94705294705294707</v>
      </c>
      <c r="Y31">
        <f>Tabela6[[#This Row],[kan_val_acc_1]]</f>
        <v>0.97325580418109892</v>
      </c>
      <c r="Z31">
        <f>Tabela6[[#This Row],[no_steps]]</f>
        <v>12.58904109589041</v>
      </c>
    </row>
    <row r="32" spans="1:26" hidden="1" x14ac:dyDescent="0.25">
      <c r="A32" t="s">
        <v>18</v>
      </c>
      <c r="B32">
        <v>3</v>
      </c>
      <c r="C32">
        <v>2</v>
      </c>
      <c r="D32">
        <v>0</v>
      </c>
      <c r="E32" t="s">
        <v>46</v>
      </c>
      <c r="F32">
        <v>19726</v>
      </c>
      <c r="G32">
        <v>31006239.451612905</v>
      </c>
      <c r="H32">
        <v>0.95240242442777079</v>
      </c>
      <c r="I32">
        <v>0.94337920144371756</v>
      </c>
      <c r="J32">
        <v>8190322.2258064514</v>
      </c>
      <c r="K32">
        <v>31980</v>
      </c>
      <c r="L32">
        <v>2</v>
      </c>
      <c r="M32">
        <v>118</v>
      </c>
      <c r="N32">
        <v>0.94360478231445977</v>
      </c>
      <c r="O32">
        <v>9297235.3870967738</v>
      </c>
      <c r="P32">
        <v>32489</v>
      </c>
      <c r="Q32">
        <v>2</v>
      </c>
      <c r="R32">
        <v>119</v>
      </c>
      <c r="S32">
        <v>12.504643962848297</v>
      </c>
      <c r="T32">
        <v>0.96085270841916404</v>
      </c>
      <c r="W32">
        <f>Tabela6[[#This Row],[mlp_params]]</f>
        <v>31980</v>
      </c>
      <c r="X32">
        <f>Tabela6[[#This Row],[mlp_test_acc]]</f>
        <v>0.94337920144371756</v>
      </c>
      <c r="Y32">
        <f>Tabela6[[#This Row],[kan_val_acc_1]]</f>
        <v>0.96085270841916404</v>
      </c>
      <c r="Z32">
        <f>Tabela6[[#This Row],[no_steps]]</f>
        <v>12.504643962848297</v>
      </c>
    </row>
    <row r="33" spans="1:26" hidden="1" x14ac:dyDescent="0.25">
      <c r="A33" t="s">
        <v>18</v>
      </c>
      <c r="B33">
        <v>3</v>
      </c>
      <c r="C33">
        <v>2</v>
      </c>
      <c r="D33">
        <v>0</v>
      </c>
      <c r="E33" t="s">
        <v>33</v>
      </c>
      <c r="F33">
        <v>20082</v>
      </c>
      <c r="G33">
        <v>31370409.666666668</v>
      </c>
      <c r="H33">
        <v>0.96003995622907368</v>
      </c>
      <c r="I33">
        <v>0.94105894105894106</v>
      </c>
      <c r="J33">
        <v>8287886.0476190476</v>
      </c>
      <c r="K33">
        <v>32489</v>
      </c>
      <c r="L33">
        <v>2</v>
      </c>
      <c r="M33">
        <v>119</v>
      </c>
      <c r="N33">
        <v>0.94105894105894106</v>
      </c>
      <c r="O33">
        <v>8666058.1428571437</v>
      </c>
      <c r="P33">
        <v>33002</v>
      </c>
      <c r="Q33">
        <v>2</v>
      </c>
      <c r="R33">
        <v>120</v>
      </c>
      <c r="S33">
        <v>12.459302325581396</v>
      </c>
      <c r="T33">
        <v>0.96627906858921053</v>
      </c>
      <c r="W33">
        <f>Tabela6[[#This Row],[mlp_params]]</f>
        <v>32489</v>
      </c>
      <c r="X33">
        <f>Tabela6[[#This Row],[mlp_test_acc]]</f>
        <v>0.94105894105894106</v>
      </c>
      <c r="Y33">
        <f>Tabela6[[#This Row],[kan_val_acc_1]]</f>
        <v>0.96627906858921053</v>
      </c>
      <c r="Z33">
        <f>Tabela6[[#This Row],[no_steps]]</f>
        <v>12.459302325581396</v>
      </c>
    </row>
    <row r="34" spans="1:26" hidden="1" x14ac:dyDescent="0.25">
      <c r="A34" t="s">
        <v>18</v>
      </c>
      <c r="B34">
        <v>3</v>
      </c>
      <c r="C34">
        <v>2</v>
      </c>
      <c r="D34">
        <v>0</v>
      </c>
      <c r="E34" t="s">
        <v>34</v>
      </c>
      <c r="F34">
        <v>20596</v>
      </c>
      <c r="G34">
        <v>35391527.666666664</v>
      </c>
      <c r="H34">
        <v>0.95612230487898286</v>
      </c>
      <c r="I34">
        <v>0.94487865076100375</v>
      </c>
      <c r="J34">
        <v>8419786.6274509802</v>
      </c>
      <c r="K34">
        <v>33002</v>
      </c>
      <c r="L34">
        <v>2</v>
      </c>
      <c r="M34">
        <v>120</v>
      </c>
      <c r="N34">
        <v>0.9430961195667078</v>
      </c>
      <c r="O34">
        <v>9172996.7254901957</v>
      </c>
      <c r="P34">
        <v>33519</v>
      </c>
      <c r="Q34">
        <v>2</v>
      </c>
      <c r="R34">
        <v>121</v>
      </c>
      <c r="S34">
        <v>12.521518987341771</v>
      </c>
      <c r="T34">
        <v>0.96395348906517031</v>
      </c>
      <c r="W34">
        <f>Tabela6[[#This Row],[mlp_params]]</f>
        <v>33002</v>
      </c>
      <c r="X34">
        <f>Tabela6[[#This Row],[mlp_test_acc]]</f>
        <v>0.94487865076100375</v>
      </c>
      <c r="Y34">
        <f>Tabela6[[#This Row],[kan_val_acc_1]]</f>
        <v>0.96395348906517031</v>
      </c>
      <c r="Z34">
        <f>Tabela6[[#This Row],[no_steps]]</f>
        <v>12.521518987341771</v>
      </c>
    </row>
    <row r="35" spans="1:26" hidden="1" x14ac:dyDescent="0.25">
      <c r="A35" t="s">
        <v>18</v>
      </c>
      <c r="B35">
        <v>3</v>
      </c>
      <c r="C35">
        <v>2</v>
      </c>
      <c r="D35">
        <v>0</v>
      </c>
      <c r="E35" t="s">
        <v>48</v>
      </c>
      <c r="F35">
        <v>20818</v>
      </c>
      <c r="G35">
        <v>30461418.09090909</v>
      </c>
      <c r="H35">
        <v>0.96122058413245459</v>
      </c>
      <c r="I35">
        <v>0.94596312778130964</v>
      </c>
      <c r="J35">
        <v>8161221.0909090908</v>
      </c>
      <c r="K35">
        <v>33519</v>
      </c>
      <c r="L35">
        <v>2</v>
      </c>
      <c r="M35">
        <v>121</v>
      </c>
      <c r="N35">
        <v>0.94469167196439929</v>
      </c>
      <c r="O35">
        <v>9830034.1818181816</v>
      </c>
      <c r="P35">
        <v>34040</v>
      </c>
      <c r="Q35">
        <v>2</v>
      </c>
      <c r="R35">
        <v>122</v>
      </c>
      <c r="S35">
        <v>12.480295566502463</v>
      </c>
      <c r="T35">
        <v>0.9686046421527863</v>
      </c>
      <c r="W35">
        <f>Tabela6[[#This Row],[mlp_params]]</f>
        <v>33519</v>
      </c>
      <c r="X35">
        <f>Tabela6[[#This Row],[mlp_test_acc]]</f>
        <v>0.94596312778130964</v>
      </c>
      <c r="Y35">
        <f>Tabela6[[#This Row],[kan_val_acc_1]]</f>
        <v>0.9686046421527863</v>
      </c>
      <c r="Z35">
        <f>Tabela6[[#This Row],[no_steps]]</f>
        <v>12.480295566502463</v>
      </c>
    </row>
    <row r="36" spans="1:26" hidden="1" x14ac:dyDescent="0.25">
      <c r="A36" t="s">
        <v>18</v>
      </c>
      <c r="B36">
        <v>3</v>
      </c>
      <c r="C36">
        <v>2</v>
      </c>
      <c r="D36">
        <v>0</v>
      </c>
      <c r="E36" t="s">
        <v>35</v>
      </c>
      <c r="F36">
        <v>21110</v>
      </c>
      <c r="G36">
        <v>36334077.170731708</v>
      </c>
      <c r="H36">
        <v>0.95957700508396804</v>
      </c>
      <c r="I36">
        <v>0.94712604468702033</v>
      </c>
      <c r="J36">
        <v>8407650.7073170729</v>
      </c>
      <c r="K36">
        <v>34040</v>
      </c>
      <c r="L36">
        <v>2</v>
      </c>
      <c r="M36">
        <v>122</v>
      </c>
      <c r="N36">
        <v>0.94405594405594406</v>
      </c>
      <c r="O36">
        <v>8896172.4146341458</v>
      </c>
      <c r="P36">
        <v>34565</v>
      </c>
      <c r="Q36">
        <v>2</v>
      </c>
      <c r="R36">
        <v>123</v>
      </c>
      <c r="S36">
        <v>12.548098434004475</v>
      </c>
      <c r="T36">
        <v>0.96104650497436528</v>
      </c>
      <c r="W36">
        <f>Tabela6[[#This Row],[mlp_params]]</f>
        <v>34040</v>
      </c>
      <c r="X36">
        <f>Tabela6[[#This Row],[mlp_test_acc]]</f>
        <v>0.94712604468702033</v>
      </c>
      <c r="Y36">
        <f>Tabela6[[#This Row],[kan_val_acc_1]]</f>
        <v>0.96104650497436528</v>
      </c>
      <c r="Z36">
        <f>Tabela6[[#This Row],[no_steps]]</f>
        <v>12.548098434004475</v>
      </c>
    </row>
    <row r="37" spans="1:26" hidden="1" x14ac:dyDescent="0.25">
      <c r="A37" t="s">
        <v>18</v>
      </c>
      <c r="B37">
        <v>3</v>
      </c>
      <c r="C37">
        <v>2</v>
      </c>
      <c r="D37">
        <v>0</v>
      </c>
      <c r="E37" t="s">
        <v>36</v>
      </c>
      <c r="F37">
        <v>21624</v>
      </c>
      <c r="G37">
        <v>33544473.727272727</v>
      </c>
      <c r="H37">
        <v>0.96249205415899108</v>
      </c>
      <c r="I37">
        <v>0.94405594405594406</v>
      </c>
      <c r="J37">
        <v>8669516.9090909082</v>
      </c>
      <c r="K37">
        <v>34565</v>
      </c>
      <c r="L37">
        <v>2</v>
      </c>
      <c r="M37">
        <v>123</v>
      </c>
      <c r="N37">
        <v>0.94659885568976476</v>
      </c>
      <c r="O37">
        <v>9022537.9090909082</v>
      </c>
      <c r="P37">
        <v>35094</v>
      </c>
      <c r="Q37">
        <v>2</v>
      </c>
      <c r="R37">
        <v>124</v>
      </c>
      <c r="S37">
        <v>12.532751091703057</v>
      </c>
      <c r="T37">
        <v>0.96627906560897825</v>
      </c>
      <c r="W37">
        <f>Tabela6[[#This Row],[mlp_params]]</f>
        <v>34565</v>
      </c>
      <c r="X37">
        <f>Tabela6[[#This Row],[mlp_test_acc]]</f>
        <v>0.94405594405594406</v>
      </c>
      <c r="Y37">
        <f>Tabela6[[#This Row],[kan_val_acc_1]]</f>
        <v>0.96627906560897825</v>
      </c>
      <c r="Z37">
        <f>Tabela6[[#This Row],[no_steps]]</f>
        <v>12.532751091703057</v>
      </c>
    </row>
    <row r="38" spans="1:26" hidden="1" x14ac:dyDescent="0.25">
      <c r="A38" t="s">
        <v>18</v>
      </c>
      <c r="B38">
        <v>3</v>
      </c>
      <c r="C38">
        <v>2</v>
      </c>
      <c r="D38">
        <v>0</v>
      </c>
      <c r="E38" t="s">
        <v>50</v>
      </c>
      <c r="F38">
        <v>21910</v>
      </c>
      <c r="G38">
        <v>33623405.823529415</v>
      </c>
      <c r="H38">
        <v>0.95159741943957754</v>
      </c>
      <c r="I38">
        <v>0.94199917729329496</v>
      </c>
      <c r="J38">
        <v>8944870.3725490198</v>
      </c>
      <c r="K38">
        <v>35094</v>
      </c>
      <c r="L38">
        <v>2</v>
      </c>
      <c r="M38">
        <v>124</v>
      </c>
      <c r="N38">
        <v>0.94391882627176749</v>
      </c>
      <c r="O38">
        <v>9096081.5294117648</v>
      </c>
      <c r="P38">
        <v>35627</v>
      </c>
      <c r="Q38">
        <v>2</v>
      </c>
      <c r="R38">
        <v>125</v>
      </c>
      <c r="S38">
        <v>12.459724950884086</v>
      </c>
      <c r="T38">
        <v>0.96279069662094119</v>
      </c>
      <c r="W38">
        <f>Tabela6[[#This Row],[mlp_params]]</f>
        <v>35094</v>
      </c>
      <c r="X38">
        <f>Tabela6[[#This Row],[mlp_test_acc]]</f>
        <v>0.94199917729329496</v>
      </c>
      <c r="Y38">
        <f>Tabela6[[#This Row],[kan_val_acc_1]]</f>
        <v>0.96279069662094119</v>
      </c>
      <c r="Z38">
        <f>Tabela6[[#This Row],[no_steps]]</f>
        <v>12.459724950884086</v>
      </c>
    </row>
    <row r="39" spans="1:26" hidden="1" x14ac:dyDescent="0.25">
      <c r="A39" t="s">
        <v>18</v>
      </c>
      <c r="B39">
        <v>3</v>
      </c>
      <c r="C39">
        <v>2</v>
      </c>
      <c r="D39">
        <v>0</v>
      </c>
      <c r="E39" t="s">
        <v>37</v>
      </c>
      <c r="F39">
        <v>22138</v>
      </c>
      <c r="G39">
        <v>29821940.636363637</v>
      </c>
      <c r="H39">
        <v>0.95104894312945276</v>
      </c>
      <c r="I39">
        <v>0.94532739987285441</v>
      </c>
      <c r="J39">
        <v>8920523.8181818184</v>
      </c>
      <c r="K39">
        <v>35627</v>
      </c>
      <c r="L39">
        <v>2</v>
      </c>
      <c r="M39">
        <v>125</v>
      </c>
      <c r="N39">
        <v>0.94405594405594406</v>
      </c>
      <c r="O39">
        <v>8462761.6363636367</v>
      </c>
      <c r="P39">
        <v>36164</v>
      </c>
      <c r="Q39">
        <v>2</v>
      </c>
      <c r="R39">
        <v>126</v>
      </c>
      <c r="S39">
        <v>12.405769230769231</v>
      </c>
      <c r="T39">
        <v>0.95348837375640871</v>
      </c>
      <c r="W39">
        <f>Tabela6[[#This Row],[mlp_params]]</f>
        <v>35627</v>
      </c>
      <c r="X39">
        <f>Tabela6[[#This Row],[mlp_test_acc]]</f>
        <v>0.94532739987285441</v>
      </c>
      <c r="Y39">
        <f>Tabela6[[#This Row],[kan_val_acc_1]]</f>
        <v>0.95348837375640871</v>
      </c>
      <c r="Z39">
        <f>Tabela6[[#This Row],[no_steps]]</f>
        <v>12.405769230769231</v>
      </c>
    </row>
    <row r="40" spans="1:26" hidden="1" x14ac:dyDescent="0.25">
      <c r="A40" t="s">
        <v>18</v>
      </c>
      <c r="B40">
        <v>3</v>
      </c>
      <c r="C40">
        <v>2</v>
      </c>
      <c r="D40">
        <v>0</v>
      </c>
      <c r="E40" t="s">
        <v>51</v>
      </c>
      <c r="F40">
        <v>22456</v>
      </c>
      <c r="G40">
        <v>38261196</v>
      </c>
      <c r="H40">
        <v>0.95889476159723797</v>
      </c>
      <c r="I40">
        <v>0.94166808800955148</v>
      </c>
      <c r="J40">
        <v>8519711.6341463421</v>
      </c>
      <c r="K40">
        <v>36164</v>
      </c>
      <c r="L40">
        <v>2</v>
      </c>
      <c r="M40">
        <v>126</v>
      </c>
      <c r="N40">
        <v>0.93808630393996251</v>
      </c>
      <c r="O40">
        <v>9121893</v>
      </c>
      <c r="P40">
        <v>36705</v>
      </c>
      <c r="Q40">
        <v>2</v>
      </c>
      <c r="R40">
        <v>127</v>
      </c>
      <c r="S40">
        <v>12.467023172905526</v>
      </c>
      <c r="T40">
        <v>0.96715115457773204</v>
      </c>
      <c r="W40">
        <f>Tabela6[[#This Row],[mlp_params]]</f>
        <v>36164</v>
      </c>
      <c r="X40">
        <f>Tabela6[[#This Row],[mlp_test_acc]]</f>
        <v>0.94166808800955148</v>
      </c>
      <c r="Y40">
        <f>Tabela6[[#This Row],[kan_val_acc_1]]</f>
        <v>0.96715115457773204</v>
      </c>
      <c r="Z40">
        <f>Tabela6[[#This Row],[no_steps]]</f>
        <v>12.467023172905526</v>
      </c>
    </row>
    <row r="41" spans="1:26" hidden="1" x14ac:dyDescent="0.25">
      <c r="A41" t="s">
        <v>18</v>
      </c>
      <c r="B41">
        <v>3</v>
      </c>
      <c r="C41">
        <v>2</v>
      </c>
      <c r="D41">
        <v>0</v>
      </c>
      <c r="E41" t="s">
        <v>38</v>
      </c>
      <c r="F41">
        <v>22652</v>
      </c>
      <c r="G41">
        <v>28857213.90909091</v>
      </c>
      <c r="H41">
        <v>0.95486331527883361</v>
      </c>
      <c r="I41">
        <v>0.94469167196439929</v>
      </c>
      <c r="J41">
        <v>9059318.8181818184</v>
      </c>
      <c r="K41">
        <v>36705</v>
      </c>
      <c r="L41">
        <v>2</v>
      </c>
      <c r="M41">
        <v>127</v>
      </c>
      <c r="N41">
        <v>0.94151303242212336</v>
      </c>
      <c r="O41">
        <v>10250572.727272727</v>
      </c>
      <c r="P41">
        <v>37250</v>
      </c>
      <c r="Q41">
        <v>2</v>
      </c>
      <c r="R41">
        <v>128</v>
      </c>
      <c r="S41">
        <v>12.410839160839162</v>
      </c>
      <c r="T41">
        <v>0.96162790060043335</v>
      </c>
      <c r="W41">
        <f>Tabela6[[#This Row],[mlp_params]]</f>
        <v>36705</v>
      </c>
      <c r="X41">
        <f>Tabela6[[#This Row],[mlp_test_acc]]</f>
        <v>0.94469167196439929</v>
      </c>
      <c r="Y41">
        <f>Tabela6[[#This Row],[kan_val_acc_1]]</f>
        <v>0.96162790060043335</v>
      </c>
      <c r="Z41">
        <f>Tabela6[[#This Row],[no_steps]]</f>
        <v>12.410839160839162</v>
      </c>
    </row>
    <row r="42" spans="1:26" hidden="1" x14ac:dyDescent="0.25">
      <c r="A42" t="s">
        <v>18</v>
      </c>
      <c r="B42">
        <v>3</v>
      </c>
      <c r="C42">
        <v>2</v>
      </c>
      <c r="D42">
        <v>0</v>
      </c>
      <c r="E42" t="s">
        <v>52</v>
      </c>
      <c r="F42">
        <v>23002</v>
      </c>
      <c r="G42">
        <v>41277397.951219514</v>
      </c>
      <c r="H42">
        <v>0.95411904701372474</v>
      </c>
      <c r="I42">
        <v>0.94320313832508951</v>
      </c>
      <c r="J42">
        <v>8334262.0975609757</v>
      </c>
      <c r="K42">
        <v>37250</v>
      </c>
      <c r="L42">
        <v>2</v>
      </c>
      <c r="M42">
        <v>128</v>
      </c>
      <c r="N42">
        <v>0.94132696571720964</v>
      </c>
      <c r="O42">
        <v>9484988.024390243</v>
      </c>
      <c r="P42">
        <v>37799</v>
      </c>
      <c r="Q42">
        <v>2</v>
      </c>
      <c r="R42">
        <v>129</v>
      </c>
      <c r="S42">
        <v>12.502446982055465</v>
      </c>
      <c r="T42">
        <v>0.96191860139369967</v>
      </c>
      <c r="W42">
        <f>Tabela6[[#This Row],[mlp_params]]</f>
        <v>37250</v>
      </c>
      <c r="X42">
        <f>Tabela6[[#This Row],[mlp_test_acc]]</f>
        <v>0.94320313832508951</v>
      </c>
      <c r="Y42">
        <f>Tabela6[[#This Row],[kan_val_acc_1]]</f>
        <v>0.96191860139369967</v>
      </c>
      <c r="Z42">
        <f>Tabela6[[#This Row],[no_steps]]</f>
        <v>12.502446982055465</v>
      </c>
    </row>
    <row r="43" spans="1:26" hidden="1" x14ac:dyDescent="0.25">
      <c r="A43" t="s">
        <v>18</v>
      </c>
      <c r="B43">
        <v>3</v>
      </c>
      <c r="C43">
        <v>2</v>
      </c>
      <c r="D43">
        <v>0</v>
      </c>
      <c r="E43" t="s">
        <v>53</v>
      </c>
      <c r="F43">
        <v>23548</v>
      </c>
      <c r="G43">
        <v>38910701.612903222</v>
      </c>
      <c r="H43">
        <v>0.95871869787093134</v>
      </c>
      <c r="I43">
        <v>0.94879314234152945</v>
      </c>
      <c r="J43">
        <v>8661392.3870967738</v>
      </c>
      <c r="K43">
        <v>37799</v>
      </c>
      <c r="L43">
        <v>2</v>
      </c>
      <c r="M43">
        <v>129</v>
      </c>
      <c r="N43">
        <v>0.94202571621926456</v>
      </c>
      <c r="O43">
        <v>9043716.7096774187</v>
      </c>
      <c r="P43">
        <v>38352</v>
      </c>
      <c r="Q43">
        <v>2</v>
      </c>
      <c r="R43">
        <v>130</v>
      </c>
      <c r="S43">
        <v>12.518633540372671</v>
      </c>
      <c r="T43">
        <v>0.97209301590919495</v>
      </c>
      <c r="W43">
        <f>Tabela6[[#This Row],[mlp_params]]</f>
        <v>37799</v>
      </c>
      <c r="X43">
        <f>Tabela6[[#This Row],[mlp_test_acc]]</f>
        <v>0.94879314234152945</v>
      </c>
      <c r="Y43">
        <f>Tabela6[[#This Row],[kan_val_acc_1]]</f>
        <v>0.97209301590919495</v>
      </c>
      <c r="Z43">
        <f>Tabela6[[#This Row],[no_steps]]</f>
        <v>12.518633540372671</v>
      </c>
    </row>
    <row r="44" spans="1:26" hidden="1" x14ac:dyDescent="0.25">
      <c r="A44" t="s">
        <v>18</v>
      </c>
      <c r="B44">
        <v>3</v>
      </c>
      <c r="C44">
        <v>2</v>
      </c>
      <c r="D44">
        <v>0</v>
      </c>
      <c r="E44" t="s">
        <v>62</v>
      </c>
      <c r="F44">
        <v>23802</v>
      </c>
      <c r="G44">
        <v>46630973</v>
      </c>
      <c r="H44">
        <v>0.96203795501164024</v>
      </c>
      <c r="I44">
        <v>0.94372294372294374</v>
      </c>
      <c r="J44">
        <v>9061980.7619047612</v>
      </c>
      <c r="K44">
        <v>38352</v>
      </c>
      <c r="L44">
        <v>2</v>
      </c>
      <c r="M44">
        <v>130</v>
      </c>
      <c r="N44">
        <v>0.94538794538794535</v>
      </c>
      <c r="O44">
        <v>8839250.333333334</v>
      </c>
      <c r="P44">
        <v>38909</v>
      </c>
      <c r="Q44">
        <v>2</v>
      </c>
      <c r="R44">
        <v>131</v>
      </c>
      <c r="S44">
        <v>12.601503759398497</v>
      </c>
      <c r="T44">
        <v>0.97034882903099062</v>
      </c>
      <c r="W44">
        <f>Tabela6[[#This Row],[mlp_params]]</f>
        <v>38352</v>
      </c>
      <c r="X44">
        <f>Tabela6[[#This Row],[mlp_test_acc]]</f>
        <v>0.94372294372294374</v>
      </c>
      <c r="Y44">
        <f>Tabela6[[#This Row],[kan_val_acc_1]]</f>
        <v>0.97034882903099062</v>
      </c>
      <c r="Z44">
        <f>Tabela6[[#This Row],[no_steps]]</f>
        <v>12.601503759398497</v>
      </c>
    </row>
    <row r="45" spans="1:26" hidden="1" x14ac:dyDescent="0.25">
      <c r="A45" t="s">
        <v>18</v>
      </c>
      <c r="B45">
        <v>3</v>
      </c>
      <c r="C45">
        <v>2</v>
      </c>
      <c r="D45">
        <v>0</v>
      </c>
      <c r="E45" t="s">
        <v>54</v>
      </c>
      <c r="F45">
        <v>24094</v>
      </c>
      <c r="G45">
        <v>38788388.774193548</v>
      </c>
      <c r="H45">
        <v>0.95465824680943645</v>
      </c>
      <c r="I45">
        <v>0.94676291450484995</v>
      </c>
      <c r="J45">
        <v>8522606.0322580654</v>
      </c>
      <c r="K45">
        <v>38909</v>
      </c>
      <c r="L45">
        <v>2</v>
      </c>
      <c r="M45">
        <v>131</v>
      </c>
      <c r="N45">
        <v>0.93931874577035868</v>
      </c>
      <c r="O45">
        <v>9347513.2903225813</v>
      </c>
      <c r="P45">
        <v>39470</v>
      </c>
      <c r="Q45">
        <v>2</v>
      </c>
      <c r="R45">
        <v>132</v>
      </c>
      <c r="S45">
        <v>12.596264367816092</v>
      </c>
      <c r="T45">
        <v>0.96085270444552107</v>
      </c>
      <c r="W45">
        <f>Tabela6[[#This Row],[mlp_params]]</f>
        <v>38909</v>
      </c>
      <c r="X45">
        <f>Tabela6[[#This Row],[mlp_test_acc]]</f>
        <v>0.94676291450484995</v>
      </c>
      <c r="Y45">
        <f>Tabela6[[#This Row],[kan_val_acc_1]]</f>
        <v>0.96085270444552107</v>
      </c>
      <c r="Z45">
        <f>Tabela6[[#This Row],[no_steps]]</f>
        <v>12.596264367816092</v>
      </c>
    </row>
    <row r="46" spans="1:26" hidden="1" x14ac:dyDescent="0.25">
      <c r="A46" t="s">
        <v>18</v>
      </c>
      <c r="B46">
        <v>3</v>
      </c>
      <c r="C46">
        <v>2</v>
      </c>
      <c r="D46">
        <v>0</v>
      </c>
      <c r="E46" t="s">
        <v>63</v>
      </c>
      <c r="F46">
        <v>24380</v>
      </c>
      <c r="G46">
        <v>42438503.454545453</v>
      </c>
      <c r="H46">
        <v>0.97457088665528735</v>
      </c>
      <c r="I46">
        <v>0.93897012078830266</v>
      </c>
      <c r="J46">
        <v>7154171.7272727275</v>
      </c>
      <c r="K46">
        <v>39470</v>
      </c>
      <c r="L46">
        <v>2</v>
      </c>
      <c r="M46">
        <v>132</v>
      </c>
      <c r="N46">
        <v>0.94532739987285441</v>
      </c>
      <c r="O46">
        <v>8630502.8181818184</v>
      </c>
      <c r="P46">
        <v>40035</v>
      </c>
      <c r="Q46">
        <v>2</v>
      </c>
      <c r="R46">
        <v>133</v>
      </c>
      <c r="S46">
        <v>12.608203677510609</v>
      </c>
      <c r="T46">
        <v>0.96860466003417967</v>
      </c>
      <c r="W46">
        <f>Tabela6[[#This Row],[mlp_params]]</f>
        <v>39470</v>
      </c>
      <c r="X46">
        <f>Tabela6[[#This Row],[mlp_test_acc]]</f>
        <v>0.93897012078830266</v>
      </c>
      <c r="Y46">
        <f>Tabela6[[#This Row],[kan_val_acc_1]]</f>
        <v>0.96860466003417967</v>
      </c>
      <c r="Z46">
        <f>Tabela6[[#This Row],[no_steps]]</f>
        <v>12.608203677510609</v>
      </c>
    </row>
    <row r="47" spans="1:26" hidden="1" x14ac:dyDescent="0.25">
      <c r="A47" t="s">
        <v>18</v>
      </c>
      <c r="B47">
        <v>3</v>
      </c>
      <c r="C47">
        <v>2</v>
      </c>
      <c r="D47">
        <v>0</v>
      </c>
      <c r="E47" t="s">
        <v>64</v>
      </c>
      <c r="F47">
        <v>24958</v>
      </c>
      <c r="G47">
        <v>40565005.516129032</v>
      </c>
      <c r="H47">
        <v>0.95668847906974053</v>
      </c>
      <c r="I47">
        <v>0.94134897360703818</v>
      </c>
      <c r="J47">
        <v>8843806.8709677421</v>
      </c>
      <c r="K47">
        <v>40035</v>
      </c>
      <c r="L47">
        <v>2</v>
      </c>
      <c r="M47">
        <v>133</v>
      </c>
      <c r="N47">
        <v>0.94518384840965486</v>
      </c>
      <c r="O47">
        <v>9464232.0322580654</v>
      </c>
      <c r="P47">
        <v>40604</v>
      </c>
      <c r="Q47">
        <v>2</v>
      </c>
      <c r="R47">
        <v>134</v>
      </c>
      <c r="S47">
        <v>12.620596205962059</v>
      </c>
      <c r="T47">
        <v>0.95736433466275528</v>
      </c>
      <c r="W47">
        <f>Tabela6[[#This Row],[mlp_params]]</f>
        <v>40035</v>
      </c>
      <c r="X47">
        <f>Tabela6[[#This Row],[mlp_test_acc]]</f>
        <v>0.94134897360703818</v>
      </c>
      <c r="Y47">
        <f>Tabela6[[#This Row],[kan_val_acc_1]]</f>
        <v>0.95736433466275528</v>
      </c>
      <c r="Z47">
        <f>Tabela6[[#This Row],[no_steps]]</f>
        <v>12.620596205962059</v>
      </c>
    </row>
    <row r="48" spans="1:26" hidden="1" x14ac:dyDescent="0.25">
      <c r="A48" t="s">
        <v>18</v>
      </c>
      <c r="B48">
        <v>3</v>
      </c>
      <c r="C48">
        <v>2</v>
      </c>
      <c r="D48">
        <v>0</v>
      </c>
      <c r="E48" t="s">
        <v>72</v>
      </c>
      <c r="F48">
        <v>25148</v>
      </c>
      <c r="G48">
        <v>40235662.363636367</v>
      </c>
      <c r="H48">
        <v>0.96122060038826684</v>
      </c>
      <c r="I48">
        <v>0.94214876033057848</v>
      </c>
      <c r="J48">
        <v>8901985.7272727266</v>
      </c>
      <c r="K48">
        <v>40604</v>
      </c>
      <c r="L48">
        <v>2</v>
      </c>
      <c r="M48">
        <v>134</v>
      </c>
      <c r="N48">
        <v>0.93706293706293708</v>
      </c>
      <c r="O48">
        <v>9891479.3636363633</v>
      </c>
      <c r="P48">
        <v>41177</v>
      </c>
      <c r="Q48">
        <v>2</v>
      </c>
      <c r="R48">
        <v>135</v>
      </c>
      <c r="S48">
        <v>12.618157543391188</v>
      </c>
      <c r="T48">
        <v>0.98139533996582029</v>
      </c>
      <c r="W48">
        <f>Tabela6[[#This Row],[mlp_params]]</f>
        <v>40604</v>
      </c>
      <c r="X48">
        <f>Tabela6[[#This Row],[mlp_test_acc]]</f>
        <v>0.94214876033057848</v>
      </c>
      <c r="Y48">
        <f>Tabela6[[#This Row],[kan_val_acc_1]]</f>
        <v>0.98139533996582029</v>
      </c>
      <c r="Z48">
        <f>Tabela6[[#This Row],[no_steps]]</f>
        <v>12.618157543391188</v>
      </c>
    </row>
    <row r="49" spans="1:26" hidden="1" x14ac:dyDescent="0.25">
      <c r="A49" t="s">
        <v>18</v>
      </c>
      <c r="B49">
        <v>3</v>
      </c>
      <c r="C49">
        <v>2</v>
      </c>
      <c r="D49">
        <v>0</v>
      </c>
      <c r="E49" t="s">
        <v>65</v>
      </c>
      <c r="F49">
        <v>25536</v>
      </c>
      <c r="G49">
        <v>39443233.047619045</v>
      </c>
      <c r="H49">
        <v>0.95437894832520254</v>
      </c>
      <c r="I49">
        <v>0.94272394272394278</v>
      </c>
      <c r="J49">
        <v>8291936.4761904757</v>
      </c>
      <c r="K49">
        <v>41177</v>
      </c>
      <c r="L49">
        <v>2</v>
      </c>
      <c r="M49">
        <v>135</v>
      </c>
      <c r="N49">
        <v>0.94205794205794202</v>
      </c>
      <c r="O49">
        <v>9834071.5238095243</v>
      </c>
      <c r="P49">
        <v>41754</v>
      </c>
      <c r="Q49">
        <v>2</v>
      </c>
      <c r="R49">
        <v>136</v>
      </c>
      <c r="S49">
        <v>12.603896103896103</v>
      </c>
      <c r="T49">
        <v>0.95639534294605255</v>
      </c>
      <c r="W49">
        <f>Tabela6[[#This Row],[mlp_params]]</f>
        <v>41177</v>
      </c>
      <c r="X49">
        <f>Tabela6[[#This Row],[mlp_test_acc]]</f>
        <v>0.94272394272394278</v>
      </c>
      <c r="Y49">
        <f>Tabela6[[#This Row],[kan_val_acc_1]]</f>
        <v>0.95639534294605255</v>
      </c>
      <c r="Z49">
        <f>Tabela6[[#This Row],[no_steps]]</f>
        <v>12.603896103896103</v>
      </c>
    </row>
    <row r="50" spans="1:26" hidden="1" x14ac:dyDescent="0.25">
      <c r="A50" t="s">
        <v>18</v>
      </c>
      <c r="B50">
        <v>3</v>
      </c>
      <c r="C50">
        <v>2</v>
      </c>
      <c r="D50">
        <v>0</v>
      </c>
      <c r="E50" t="s">
        <v>73</v>
      </c>
      <c r="F50">
        <v>25758</v>
      </c>
      <c r="G50">
        <v>43205217.363636367</v>
      </c>
      <c r="H50">
        <v>0.96567069400440564</v>
      </c>
      <c r="I50">
        <v>0.94278448823903371</v>
      </c>
      <c r="J50">
        <v>8870057.6363636367</v>
      </c>
      <c r="K50">
        <v>41754</v>
      </c>
      <c r="L50">
        <v>2</v>
      </c>
      <c r="M50">
        <v>136</v>
      </c>
      <c r="N50">
        <v>0.94214876033057848</v>
      </c>
      <c r="O50">
        <v>9804289.5454545449</v>
      </c>
      <c r="P50">
        <v>42335</v>
      </c>
      <c r="Q50">
        <v>2</v>
      </c>
      <c r="R50">
        <v>137</v>
      </c>
      <c r="S50">
        <v>12.610755441741357</v>
      </c>
      <c r="T50">
        <v>0.96976743340492244</v>
      </c>
      <c r="W50">
        <f>Tabela6[[#This Row],[mlp_params]]</f>
        <v>41754</v>
      </c>
      <c r="X50">
        <f>Tabela6[[#This Row],[mlp_test_acc]]</f>
        <v>0.94278448823903371</v>
      </c>
      <c r="Y50">
        <f>Tabela6[[#This Row],[kan_val_acc_1]]</f>
        <v>0.96976743340492244</v>
      </c>
      <c r="Z50">
        <f>Tabela6[[#This Row],[no_steps]]</f>
        <v>12.610755441741357</v>
      </c>
    </row>
    <row r="51" spans="1:26" hidden="1" x14ac:dyDescent="0.25">
      <c r="A51" t="s">
        <v>18</v>
      </c>
      <c r="B51">
        <v>3</v>
      </c>
      <c r="C51">
        <v>2</v>
      </c>
      <c r="D51">
        <v>0</v>
      </c>
      <c r="E51" t="s">
        <v>74</v>
      </c>
      <c r="F51">
        <v>26368</v>
      </c>
      <c r="G51">
        <v>41834289.428571425</v>
      </c>
      <c r="H51">
        <v>0.95737595501400174</v>
      </c>
      <c r="I51">
        <v>0.94139194139194138</v>
      </c>
      <c r="J51">
        <v>9473305.1904761903</v>
      </c>
      <c r="K51">
        <v>42335</v>
      </c>
      <c r="L51">
        <v>2</v>
      </c>
      <c r="M51">
        <v>137</v>
      </c>
      <c r="N51">
        <v>0.94039294039294041</v>
      </c>
      <c r="O51">
        <v>9140876.0952380951</v>
      </c>
      <c r="P51">
        <v>42920</v>
      </c>
      <c r="Q51">
        <v>2</v>
      </c>
      <c r="R51">
        <v>138</v>
      </c>
      <c r="S51">
        <v>12.612219451371571</v>
      </c>
      <c r="T51">
        <v>0.9604651093482971</v>
      </c>
      <c r="W51">
        <f>Tabela6[[#This Row],[mlp_params]]</f>
        <v>42335</v>
      </c>
      <c r="X51">
        <f>Tabela6[[#This Row],[mlp_test_acc]]</f>
        <v>0.94139194139194138</v>
      </c>
      <c r="Y51">
        <f>Tabela6[[#This Row],[kan_val_acc_1]]</f>
        <v>0.9604651093482971</v>
      </c>
      <c r="Z51">
        <f>Tabela6[[#This Row],[no_steps]]</f>
        <v>12.612219451371571</v>
      </c>
    </row>
    <row r="52" spans="1:26" hidden="1" x14ac:dyDescent="0.25">
      <c r="A52" t="s">
        <v>18</v>
      </c>
      <c r="B52">
        <v>3</v>
      </c>
      <c r="C52">
        <v>2</v>
      </c>
      <c r="D52">
        <v>0</v>
      </c>
      <c r="E52" t="s">
        <v>89</v>
      </c>
      <c r="F52">
        <v>26494</v>
      </c>
      <c r="G52">
        <v>43245302.545454547</v>
      </c>
      <c r="H52">
        <v>0.95486330986022949</v>
      </c>
      <c r="I52">
        <v>0.94342021614748883</v>
      </c>
      <c r="J52">
        <v>8174900.9090909092</v>
      </c>
      <c r="K52">
        <v>42920</v>
      </c>
      <c r="L52">
        <v>2</v>
      </c>
      <c r="M52">
        <v>138</v>
      </c>
      <c r="N52">
        <v>0.94214876033057848</v>
      </c>
      <c r="O52">
        <v>9175674.9090909082</v>
      </c>
      <c r="P52">
        <v>43509</v>
      </c>
      <c r="Q52">
        <v>2</v>
      </c>
      <c r="R52">
        <v>139</v>
      </c>
      <c r="S52">
        <v>12.611316113161132</v>
      </c>
      <c r="T52">
        <v>0.95232558846473692</v>
      </c>
      <c r="W52">
        <f>Tabela6[[#This Row],[mlp_params]]</f>
        <v>42920</v>
      </c>
      <c r="X52">
        <f>Tabela6[[#This Row],[mlp_test_acc]]</f>
        <v>0.94342021614748883</v>
      </c>
      <c r="Y52">
        <f>Tabela6[[#This Row],[kan_val_acc_1]]</f>
        <v>0.95232558846473692</v>
      </c>
      <c r="Z52">
        <f>Tabela6[[#This Row],[no_steps]]</f>
        <v>12.611316113161132</v>
      </c>
    </row>
    <row r="53" spans="1:26" hidden="1" x14ac:dyDescent="0.25">
      <c r="A53" t="s">
        <v>18</v>
      </c>
      <c r="B53">
        <v>3</v>
      </c>
      <c r="C53">
        <v>2</v>
      </c>
      <c r="D53">
        <v>0</v>
      </c>
      <c r="E53" t="s">
        <v>75</v>
      </c>
      <c r="F53">
        <v>26978</v>
      </c>
      <c r="G53">
        <v>35574605.545454547</v>
      </c>
      <c r="H53">
        <v>0.94469167969443579</v>
      </c>
      <c r="I53">
        <v>0.94087730451366813</v>
      </c>
      <c r="J53">
        <v>9150576.4545454551</v>
      </c>
      <c r="K53">
        <v>43509</v>
      </c>
      <c r="L53">
        <v>2</v>
      </c>
      <c r="M53">
        <v>139</v>
      </c>
      <c r="N53">
        <v>0.94659885568976476</v>
      </c>
      <c r="O53">
        <v>8813222.1818181816</v>
      </c>
      <c r="P53">
        <v>44102</v>
      </c>
      <c r="Q53">
        <v>2</v>
      </c>
      <c r="R53">
        <v>140</v>
      </c>
      <c r="S53">
        <v>12.580097087378642</v>
      </c>
      <c r="T53">
        <v>0.9546511590480804</v>
      </c>
      <c r="W53">
        <f>Tabela6[[#This Row],[mlp_params]]</f>
        <v>43509</v>
      </c>
      <c r="X53">
        <f>Tabela6[[#This Row],[mlp_test_acc]]</f>
        <v>0.94087730451366813</v>
      </c>
      <c r="Y53">
        <f>Tabela6[[#This Row],[kan_val_acc_1]]</f>
        <v>0.9546511590480804</v>
      </c>
      <c r="Z53">
        <f>Tabela6[[#This Row],[no_steps]]</f>
        <v>12.580097087378642</v>
      </c>
    </row>
    <row r="54" spans="1:26" hidden="1" x14ac:dyDescent="0.25">
      <c r="A54" t="s">
        <v>18</v>
      </c>
      <c r="B54">
        <v>3</v>
      </c>
      <c r="C54">
        <v>2</v>
      </c>
      <c r="D54">
        <v>0</v>
      </c>
      <c r="E54" t="s">
        <v>91</v>
      </c>
      <c r="F54">
        <v>27778</v>
      </c>
      <c r="G54">
        <v>46886299.952380955</v>
      </c>
      <c r="H54">
        <v>0.95870795136406306</v>
      </c>
      <c r="I54">
        <v>0.9430569430569431</v>
      </c>
      <c r="J54">
        <v>9387154.8095238097</v>
      </c>
      <c r="K54">
        <v>44699</v>
      </c>
      <c r="L54">
        <v>2</v>
      </c>
      <c r="M54">
        <v>141</v>
      </c>
      <c r="N54">
        <v>0.94272394272394278</v>
      </c>
      <c r="O54">
        <v>8787480.333333334</v>
      </c>
      <c r="P54">
        <v>45300</v>
      </c>
      <c r="Q54">
        <v>2</v>
      </c>
      <c r="R54">
        <v>142</v>
      </c>
      <c r="S54">
        <v>12.601183431952663</v>
      </c>
      <c r="T54">
        <v>0.96453487575054164</v>
      </c>
      <c r="W54">
        <f>Tabela6[[#This Row],[mlp_params]]</f>
        <v>44699</v>
      </c>
      <c r="X54">
        <f>Tabela6[[#This Row],[mlp_test_acc]]</f>
        <v>0.9430569430569431</v>
      </c>
      <c r="Y54">
        <f>Tabela6[[#This Row],[kan_val_acc_1]]</f>
        <v>0.96453487575054164</v>
      </c>
      <c r="Z54">
        <f>Tabela6[[#This Row],[no_steps]]</f>
        <v>12.601183431952663</v>
      </c>
    </row>
    <row r="55" spans="1:26" hidden="1" x14ac:dyDescent="0.25">
      <c r="A55" t="s">
        <v>18</v>
      </c>
      <c r="B55">
        <v>3</v>
      </c>
      <c r="C55">
        <v>2</v>
      </c>
      <c r="D55">
        <v>0</v>
      </c>
      <c r="E55" t="s">
        <v>92</v>
      </c>
      <c r="F55">
        <v>28420</v>
      </c>
      <c r="G55">
        <v>44073382</v>
      </c>
      <c r="H55">
        <v>0.95486330444162537</v>
      </c>
      <c r="I55">
        <v>0.94342021614748883</v>
      </c>
      <c r="J55">
        <v>8318706.6363636367</v>
      </c>
      <c r="K55">
        <v>45905</v>
      </c>
      <c r="L55">
        <v>2</v>
      </c>
      <c r="M55">
        <v>143</v>
      </c>
      <c r="N55">
        <v>0.94405594405594406</v>
      </c>
      <c r="O55">
        <v>9488371.4545454551</v>
      </c>
      <c r="P55">
        <v>46514</v>
      </c>
      <c r="Q55">
        <v>2</v>
      </c>
      <c r="R55">
        <v>144</v>
      </c>
      <c r="S55">
        <v>12.596962616822429</v>
      </c>
      <c r="T55">
        <v>0.96511626839637754</v>
      </c>
      <c r="W55">
        <f>Tabela6[[#This Row],[mlp_params]]</f>
        <v>45905</v>
      </c>
      <c r="X55">
        <f>Tabela6[[#This Row],[mlp_test_acc]]</f>
        <v>0.94342021614748883</v>
      </c>
      <c r="Y55">
        <f>Tabela6[[#This Row],[kan_val_acc_1]]</f>
        <v>0.96511626839637754</v>
      </c>
      <c r="Z55">
        <f>Tabela6[[#This Row],[no_steps]]</f>
        <v>12.596962616822429</v>
      </c>
    </row>
    <row r="56" spans="1:26" hidden="1" x14ac:dyDescent="0.25">
      <c r="A56" t="s">
        <v>18</v>
      </c>
      <c r="B56">
        <v>3</v>
      </c>
      <c r="C56">
        <v>3</v>
      </c>
      <c r="D56">
        <v>0</v>
      </c>
      <c r="E56" t="s">
        <v>96</v>
      </c>
      <c r="F56">
        <v>13296</v>
      </c>
      <c r="G56">
        <v>16156317.909090908</v>
      </c>
      <c r="H56">
        <v>0.9637635025111112</v>
      </c>
      <c r="I56">
        <v>0.94214876033057848</v>
      </c>
      <c r="J56">
        <v>7404329.7272727275</v>
      </c>
      <c r="K56">
        <v>23502</v>
      </c>
      <c r="L56">
        <v>2</v>
      </c>
      <c r="M56">
        <v>100</v>
      </c>
      <c r="N56">
        <v>0.94342021614748883</v>
      </c>
      <c r="O56">
        <v>9072453.2727272734</v>
      </c>
      <c r="P56">
        <v>23939</v>
      </c>
      <c r="Q56">
        <v>2</v>
      </c>
      <c r="R56">
        <v>101</v>
      </c>
      <c r="S56">
        <v>12.107042253521128</v>
      </c>
      <c r="T56">
        <v>0.98255813121795654</v>
      </c>
      <c r="W56">
        <f>Tabela6[[#This Row],[mlp_params]]</f>
        <v>23502</v>
      </c>
      <c r="X56">
        <f>Tabela6[[#This Row],[mlp_test_acc]]</f>
        <v>0.94214876033057848</v>
      </c>
      <c r="Y56">
        <f>Tabela6[[#This Row],[kan_val_acc_1]]</f>
        <v>0.98255813121795654</v>
      </c>
      <c r="Z56">
        <f>Tabela6[[#This Row],[no_steps]]</f>
        <v>12.107042253521128</v>
      </c>
    </row>
    <row r="57" spans="1:26" hidden="1" x14ac:dyDescent="0.25">
      <c r="A57" t="s">
        <v>18</v>
      </c>
      <c r="B57">
        <v>3</v>
      </c>
      <c r="C57">
        <v>3</v>
      </c>
      <c r="D57">
        <v>0</v>
      </c>
      <c r="E57" t="s">
        <v>97</v>
      </c>
      <c r="F57">
        <v>13874</v>
      </c>
      <c r="G57">
        <v>20263632.454545453</v>
      </c>
      <c r="H57">
        <v>0.96948506073518237</v>
      </c>
      <c r="I57">
        <v>0.94278448823903371</v>
      </c>
      <c r="J57">
        <v>7494706.1818181816</v>
      </c>
      <c r="K57">
        <v>24380</v>
      </c>
      <c r="L57">
        <v>2</v>
      </c>
      <c r="M57">
        <v>102</v>
      </c>
      <c r="N57">
        <v>0.94087730451366813</v>
      </c>
      <c r="O57">
        <v>6963380.1818181816</v>
      </c>
      <c r="P57">
        <v>24825</v>
      </c>
      <c r="Q57">
        <v>2</v>
      </c>
      <c r="R57">
        <v>103</v>
      </c>
      <c r="S57">
        <v>12.08364312267658</v>
      </c>
      <c r="T57">
        <v>0.97325580120086674</v>
      </c>
      <c r="W57">
        <f>Tabela6[[#This Row],[mlp_params]]</f>
        <v>24380</v>
      </c>
      <c r="X57">
        <f>Tabela6[[#This Row],[mlp_test_acc]]</f>
        <v>0.94278448823903371</v>
      </c>
      <c r="Y57">
        <f>Tabela6[[#This Row],[kan_val_acc_1]]</f>
        <v>0.97325580120086674</v>
      </c>
      <c r="Z57">
        <f>Tabela6[[#This Row],[no_steps]]</f>
        <v>12.08364312267658</v>
      </c>
    </row>
    <row r="58" spans="1:26" hidden="1" x14ac:dyDescent="0.25">
      <c r="A58" t="s">
        <v>18</v>
      </c>
      <c r="B58">
        <v>3</v>
      </c>
      <c r="C58">
        <v>3</v>
      </c>
      <c r="D58">
        <v>0</v>
      </c>
      <c r="E58" t="s">
        <v>98</v>
      </c>
      <c r="F58">
        <v>14452</v>
      </c>
      <c r="G58">
        <v>19066564.545454547</v>
      </c>
      <c r="H58">
        <v>0.96694215319373389</v>
      </c>
      <c r="I58">
        <v>0.94214876033057848</v>
      </c>
      <c r="J58">
        <v>7045657.1818181816</v>
      </c>
      <c r="K58">
        <v>25274</v>
      </c>
      <c r="L58">
        <v>2</v>
      </c>
      <c r="M58">
        <v>104</v>
      </c>
      <c r="N58">
        <v>0.94787031150667511</v>
      </c>
      <c r="O58">
        <v>8771644.9090909082</v>
      </c>
      <c r="P58">
        <v>25727</v>
      </c>
      <c r="Q58">
        <v>2</v>
      </c>
      <c r="R58">
        <v>105</v>
      </c>
      <c r="S58">
        <v>12.053357865685372</v>
      </c>
      <c r="T58">
        <v>0.97558138370513914</v>
      </c>
      <c r="W58">
        <f>Tabela6[[#This Row],[mlp_params]]</f>
        <v>25274</v>
      </c>
      <c r="X58">
        <f>Tabela6[[#This Row],[mlp_test_acc]]</f>
        <v>0.94214876033057848</v>
      </c>
      <c r="Y58">
        <f>Tabela6[[#This Row],[kan_val_acc_1]]</f>
        <v>0.97558138370513914</v>
      </c>
      <c r="Z58">
        <f>Tabela6[[#This Row],[no_steps]]</f>
        <v>12.053357865685372</v>
      </c>
    </row>
    <row r="59" spans="1:26" hidden="1" x14ac:dyDescent="0.25">
      <c r="A59" t="s">
        <v>18</v>
      </c>
      <c r="B59">
        <v>3</v>
      </c>
      <c r="C59">
        <v>3</v>
      </c>
      <c r="D59">
        <v>0</v>
      </c>
      <c r="E59" t="s">
        <v>99</v>
      </c>
      <c r="F59">
        <v>15030</v>
      </c>
      <c r="G59">
        <v>23068682.636363637</v>
      </c>
      <c r="H59">
        <v>0.96376351334831933</v>
      </c>
      <c r="I59">
        <v>0.94342021614748883</v>
      </c>
      <c r="J59">
        <v>8971355.8181818184</v>
      </c>
      <c r="K59">
        <v>26645</v>
      </c>
      <c r="L59">
        <v>2</v>
      </c>
      <c r="M59">
        <v>107</v>
      </c>
      <c r="N59">
        <v>0.94214876033057848</v>
      </c>
      <c r="O59">
        <v>5683607</v>
      </c>
      <c r="P59">
        <v>27110</v>
      </c>
      <c r="Q59">
        <v>2</v>
      </c>
      <c r="R59">
        <v>108</v>
      </c>
      <c r="S59">
        <v>12.044626593806921</v>
      </c>
      <c r="T59">
        <v>0.9790697574615479</v>
      </c>
      <c r="W59">
        <f>Tabela6[[#This Row],[mlp_params]]</f>
        <v>26645</v>
      </c>
      <c r="X59">
        <f>Tabela6[[#This Row],[mlp_test_acc]]</f>
        <v>0.94342021614748883</v>
      </c>
      <c r="Y59">
        <f>Tabela6[[#This Row],[kan_val_acc_1]]</f>
        <v>0.9790697574615479</v>
      </c>
      <c r="Z59">
        <f>Tabela6[[#This Row],[no_steps]]</f>
        <v>12.044626593806921</v>
      </c>
    </row>
    <row r="60" spans="1:26" hidden="1" x14ac:dyDescent="0.25">
      <c r="A60" t="s">
        <v>18</v>
      </c>
      <c r="B60">
        <v>3</v>
      </c>
      <c r="C60">
        <v>3</v>
      </c>
      <c r="D60">
        <v>0</v>
      </c>
      <c r="E60" t="s">
        <v>100</v>
      </c>
      <c r="F60">
        <v>15608</v>
      </c>
      <c r="G60">
        <v>22952015.90909091</v>
      </c>
      <c r="H60">
        <v>0.96948504989797424</v>
      </c>
      <c r="I60">
        <v>0.94342021614748883</v>
      </c>
      <c r="J60">
        <v>8982551.6363636367</v>
      </c>
      <c r="K60">
        <v>27579</v>
      </c>
      <c r="L60">
        <v>2</v>
      </c>
      <c r="M60">
        <v>109</v>
      </c>
      <c r="N60">
        <v>0.94532739987285441</v>
      </c>
      <c r="O60">
        <v>9784985.9090909082</v>
      </c>
      <c r="P60">
        <v>28052</v>
      </c>
      <c r="Q60">
        <v>2</v>
      </c>
      <c r="R60">
        <v>110</v>
      </c>
      <c r="S60">
        <v>12.02795311091073</v>
      </c>
      <c r="T60">
        <v>0.97790696620941164</v>
      </c>
      <c r="W60">
        <f>Tabela6[[#This Row],[mlp_params]]</f>
        <v>27579</v>
      </c>
      <c r="X60">
        <f>Tabela6[[#This Row],[mlp_test_acc]]</f>
        <v>0.94342021614748883</v>
      </c>
      <c r="Y60">
        <f>Tabela6[[#This Row],[kan_val_acc_1]]</f>
        <v>0.97790696620941164</v>
      </c>
      <c r="Z60">
        <f>Tabela6[[#This Row],[no_steps]]</f>
        <v>12.02795311091073</v>
      </c>
    </row>
    <row r="61" spans="1:26" hidden="1" x14ac:dyDescent="0.25">
      <c r="A61" t="s">
        <v>18</v>
      </c>
      <c r="B61">
        <v>3</v>
      </c>
      <c r="C61">
        <v>3</v>
      </c>
      <c r="D61">
        <v>0</v>
      </c>
      <c r="E61" t="s">
        <v>101</v>
      </c>
      <c r="F61">
        <v>16186</v>
      </c>
      <c r="G61">
        <v>21279911.636363637</v>
      </c>
      <c r="H61">
        <v>0.96757788007909606</v>
      </c>
      <c r="I61">
        <v>0.94405594405594406</v>
      </c>
      <c r="J61">
        <v>8745239.7272727266</v>
      </c>
      <c r="K61">
        <v>28529</v>
      </c>
      <c r="L61">
        <v>2</v>
      </c>
      <c r="M61">
        <v>111</v>
      </c>
      <c r="N61">
        <v>0.94850603941513034</v>
      </c>
      <c r="O61">
        <v>9404987.1818181816</v>
      </c>
      <c r="P61">
        <v>29010</v>
      </c>
      <c r="Q61">
        <v>2</v>
      </c>
      <c r="R61">
        <v>112</v>
      </c>
      <c r="S61">
        <v>12</v>
      </c>
      <c r="T61">
        <v>0.9790697574615479</v>
      </c>
      <c r="W61">
        <f>Tabela6[[#This Row],[mlp_params]]</f>
        <v>28529</v>
      </c>
      <c r="X61">
        <f>Tabela6[[#This Row],[mlp_test_acc]]</f>
        <v>0.94405594405594406</v>
      </c>
      <c r="Y61">
        <f>Tabela6[[#This Row],[kan_val_acc_1]]</f>
        <v>0.9790697574615479</v>
      </c>
      <c r="Z61">
        <f>Tabela6[[#This Row],[no_steps]]</f>
        <v>12</v>
      </c>
    </row>
    <row r="62" spans="1:26" hidden="1" x14ac:dyDescent="0.25">
      <c r="A62" t="s">
        <v>18</v>
      </c>
      <c r="B62">
        <v>3</v>
      </c>
      <c r="C62">
        <v>3</v>
      </c>
      <c r="D62">
        <v>0</v>
      </c>
      <c r="E62" t="s">
        <v>102</v>
      </c>
      <c r="F62">
        <v>16764</v>
      </c>
      <c r="G62">
        <v>20785303.636363637</v>
      </c>
      <c r="H62">
        <v>0.96249205415899108</v>
      </c>
      <c r="I62">
        <v>0.94278448823903371</v>
      </c>
      <c r="J62">
        <v>8521538.7272727266</v>
      </c>
      <c r="K62">
        <v>29495</v>
      </c>
      <c r="L62">
        <v>2</v>
      </c>
      <c r="M62">
        <v>113</v>
      </c>
      <c r="N62">
        <v>0.94214876033057848</v>
      </c>
      <c r="O62">
        <v>9082318.4545454551</v>
      </c>
      <c r="P62">
        <v>29984</v>
      </c>
      <c r="Q62">
        <v>2</v>
      </c>
      <c r="R62">
        <v>114</v>
      </c>
      <c r="S62">
        <v>11.971706454465075</v>
      </c>
      <c r="T62">
        <v>0.97558138370513914</v>
      </c>
      <c r="W62">
        <f>Tabela6[[#This Row],[mlp_params]]</f>
        <v>29495</v>
      </c>
      <c r="X62">
        <f>Tabela6[[#This Row],[mlp_test_acc]]</f>
        <v>0.94278448823903371</v>
      </c>
      <c r="Y62">
        <f>Tabela6[[#This Row],[kan_val_acc_1]]</f>
        <v>0.97558138370513914</v>
      </c>
      <c r="Z62">
        <f>Tabela6[[#This Row],[no_steps]]</f>
        <v>11.971706454465075</v>
      </c>
    </row>
    <row r="63" spans="1:26" hidden="1" x14ac:dyDescent="0.25">
      <c r="A63" t="s">
        <v>18</v>
      </c>
      <c r="B63">
        <v>3</v>
      </c>
      <c r="C63">
        <v>3</v>
      </c>
      <c r="D63">
        <v>0</v>
      </c>
      <c r="E63" t="s">
        <v>103</v>
      </c>
      <c r="F63">
        <v>17342</v>
      </c>
      <c r="G63">
        <v>27917792.333333332</v>
      </c>
      <c r="H63">
        <v>0.96403596230915611</v>
      </c>
      <c r="I63">
        <v>0.94205794205794202</v>
      </c>
      <c r="J63">
        <v>8581555.4285714291</v>
      </c>
      <c r="K63">
        <v>30477</v>
      </c>
      <c r="L63">
        <v>2</v>
      </c>
      <c r="M63">
        <v>115</v>
      </c>
      <c r="N63">
        <v>0.94205794205794202</v>
      </c>
      <c r="O63">
        <v>8701797.5238095243</v>
      </c>
      <c r="P63">
        <v>30974</v>
      </c>
      <c r="Q63">
        <v>2</v>
      </c>
      <c r="R63">
        <v>116</v>
      </c>
      <c r="S63">
        <v>11.953125</v>
      </c>
      <c r="T63">
        <v>0.97616277933120732</v>
      </c>
      <c r="W63">
        <f>Tabela6[[#This Row],[mlp_params]]</f>
        <v>30477</v>
      </c>
      <c r="X63">
        <f>Tabela6[[#This Row],[mlp_test_acc]]</f>
        <v>0.94205794205794202</v>
      </c>
      <c r="Y63">
        <f>Tabela6[[#This Row],[kan_val_acc_1]]</f>
        <v>0.97616277933120732</v>
      </c>
      <c r="Z63">
        <f>Tabela6[[#This Row],[no_steps]]</f>
        <v>11.953125</v>
      </c>
    </row>
    <row r="64" spans="1:26" hidden="1" x14ac:dyDescent="0.25">
      <c r="A64" t="s">
        <v>18</v>
      </c>
      <c r="B64">
        <v>3</v>
      </c>
      <c r="C64">
        <v>3</v>
      </c>
      <c r="D64">
        <v>0</v>
      </c>
      <c r="E64" t="s">
        <v>104</v>
      </c>
      <c r="F64">
        <v>17920</v>
      </c>
      <c r="G64">
        <v>27127565.476190478</v>
      </c>
      <c r="H64">
        <v>0.95837495156696861</v>
      </c>
      <c r="I64">
        <v>0.94272394272394278</v>
      </c>
      <c r="J64">
        <v>8913766.9047619049</v>
      </c>
      <c r="K64">
        <v>31475</v>
      </c>
      <c r="L64">
        <v>2</v>
      </c>
      <c r="M64">
        <v>117</v>
      </c>
      <c r="N64">
        <v>0.94638694638694643</v>
      </c>
      <c r="O64">
        <v>8588765.0952380951</v>
      </c>
      <c r="P64">
        <v>31980</v>
      </c>
      <c r="Q64">
        <v>2</v>
      </c>
      <c r="R64">
        <v>118</v>
      </c>
      <c r="S64">
        <v>11.927536231884059</v>
      </c>
      <c r="T64">
        <v>0.97325580120086674</v>
      </c>
      <c r="W64">
        <f>Tabela6[[#This Row],[mlp_params]]</f>
        <v>31475</v>
      </c>
      <c r="X64">
        <f>Tabela6[[#This Row],[mlp_test_acc]]</f>
        <v>0.94272394272394278</v>
      </c>
      <c r="Y64">
        <f>Tabela6[[#This Row],[kan_val_acc_1]]</f>
        <v>0.97325580120086674</v>
      </c>
      <c r="Z64">
        <f>Tabela6[[#This Row],[no_steps]]</f>
        <v>11.927536231884059</v>
      </c>
    </row>
    <row r="65" spans="1:26" hidden="1" x14ac:dyDescent="0.25">
      <c r="A65" t="s">
        <v>18</v>
      </c>
      <c r="B65">
        <v>3</v>
      </c>
      <c r="C65">
        <v>3</v>
      </c>
      <c r="D65">
        <v>0</v>
      </c>
      <c r="E65" t="s">
        <v>26</v>
      </c>
      <c r="F65">
        <v>18536</v>
      </c>
      <c r="G65">
        <v>33143718.387096774</v>
      </c>
      <c r="H65">
        <v>0.96097451063894457</v>
      </c>
      <c r="I65">
        <v>0.94518384840965486</v>
      </c>
      <c r="J65">
        <v>8196519.6129032262</v>
      </c>
      <c r="K65">
        <v>32489</v>
      </c>
      <c r="L65">
        <v>2</v>
      </c>
      <c r="M65">
        <v>119</v>
      </c>
      <c r="N65">
        <v>0.94473268666817056</v>
      </c>
      <c r="O65">
        <v>9141049</v>
      </c>
      <c r="P65">
        <v>33002</v>
      </c>
      <c r="Q65">
        <v>2</v>
      </c>
      <c r="R65">
        <v>120</v>
      </c>
      <c r="S65">
        <v>11.934385382059801</v>
      </c>
      <c r="T65">
        <v>0.97558138370513914</v>
      </c>
      <c r="W65">
        <f>Tabela6[[#This Row],[mlp_params]]</f>
        <v>32489</v>
      </c>
      <c r="X65">
        <f>Tabela6[[#This Row],[mlp_test_acc]]</f>
        <v>0.94518384840965486</v>
      </c>
      <c r="Y65">
        <f>Tabela6[[#This Row],[kan_val_acc_1]]</f>
        <v>0.97558138370513914</v>
      </c>
      <c r="Z65">
        <f>Tabela6[[#This Row],[no_steps]]</f>
        <v>11.934385382059801</v>
      </c>
    </row>
    <row r="66" spans="1:26" hidden="1" x14ac:dyDescent="0.25">
      <c r="A66" t="s">
        <v>18</v>
      </c>
      <c r="B66">
        <v>3</v>
      </c>
      <c r="C66">
        <v>3</v>
      </c>
      <c r="D66">
        <v>0</v>
      </c>
      <c r="E66" t="s">
        <v>27</v>
      </c>
      <c r="F66">
        <v>19114</v>
      </c>
      <c r="G66">
        <v>34804288.428571425</v>
      </c>
      <c r="H66">
        <v>0.96070595582326257</v>
      </c>
      <c r="I66">
        <v>0.94538794538794535</v>
      </c>
      <c r="J66">
        <v>8038567</v>
      </c>
      <c r="K66">
        <v>33519</v>
      </c>
      <c r="L66">
        <v>2</v>
      </c>
      <c r="M66">
        <v>121</v>
      </c>
      <c r="N66">
        <v>0.94272394272394278</v>
      </c>
      <c r="O66">
        <v>8920575.5714285709</v>
      </c>
      <c r="P66">
        <v>34040</v>
      </c>
      <c r="Q66">
        <v>2</v>
      </c>
      <c r="R66">
        <v>122</v>
      </c>
      <c r="S66">
        <v>11.939591836734694</v>
      </c>
      <c r="T66">
        <v>0.97383719682693481</v>
      </c>
      <c r="W66">
        <f>Tabela6[[#This Row],[mlp_params]]</f>
        <v>33519</v>
      </c>
      <c r="X66">
        <f>Tabela6[[#This Row],[mlp_test_acc]]</f>
        <v>0.94538794538794535</v>
      </c>
      <c r="Y66">
        <f>Tabela6[[#This Row],[kan_val_acc_1]]</f>
        <v>0.97383719682693481</v>
      </c>
      <c r="Z66">
        <f>Tabela6[[#This Row],[no_steps]]</f>
        <v>11.939591836734694</v>
      </c>
    </row>
    <row r="67" spans="1:26" hidden="1" x14ac:dyDescent="0.25">
      <c r="A67" t="s">
        <v>18</v>
      </c>
      <c r="B67">
        <v>3</v>
      </c>
      <c r="C67">
        <v>3</v>
      </c>
      <c r="D67">
        <v>0</v>
      </c>
      <c r="E67" t="s">
        <v>28</v>
      </c>
      <c r="F67">
        <v>19692</v>
      </c>
      <c r="G67">
        <v>32512450.64516129</v>
      </c>
      <c r="H67">
        <v>0.95871869210273986</v>
      </c>
      <c r="I67">
        <v>0.94676291450484995</v>
      </c>
      <c r="J67">
        <v>8530940.6774193551</v>
      </c>
      <c r="K67">
        <v>34565</v>
      </c>
      <c r="L67">
        <v>2</v>
      </c>
      <c r="M67">
        <v>123</v>
      </c>
      <c r="N67">
        <v>0.94134897360703818</v>
      </c>
      <c r="O67">
        <v>9100174.9677419346</v>
      </c>
      <c r="P67">
        <v>35094</v>
      </c>
      <c r="Q67">
        <v>2</v>
      </c>
      <c r="R67">
        <v>124</v>
      </c>
      <c r="S67">
        <v>11.920382165605096</v>
      </c>
      <c r="T67">
        <v>0.97790696620941164</v>
      </c>
      <c r="W67">
        <f>Tabela6[[#This Row],[mlp_params]]</f>
        <v>34565</v>
      </c>
      <c r="X67">
        <f>Tabela6[[#This Row],[mlp_test_acc]]</f>
        <v>0.94676291450484995</v>
      </c>
      <c r="Y67">
        <f>Tabela6[[#This Row],[kan_val_acc_1]]</f>
        <v>0.97790696620941164</v>
      </c>
      <c r="Z67">
        <f>Tabela6[[#This Row],[no_steps]]</f>
        <v>11.920382165605096</v>
      </c>
    </row>
    <row r="68" spans="1:26" hidden="1" x14ac:dyDescent="0.25">
      <c r="A68" t="s">
        <v>18</v>
      </c>
      <c r="B68">
        <v>3</v>
      </c>
      <c r="C68">
        <v>3</v>
      </c>
      <c r="D68">
        <v>0</v>
      </c>
      <c r="E68" t="s">
        <v>67</v>
      </c>
      <c r="F68">
        <v>20048</v>
      </c>
      <c r="G68">
        <v>37594682.677419357</v>
      </c>
      <c r="H68">
        <v>0.96007218091718616</v>
      </c>
      <c r="I68">
        <v>0.94292803970223327</v>
      </c>
      <c r="J68">
        <v>9069468</v>
      </c>
      <c r="K68">
        <v>35094</v>
      </c>
      <c r="L68">
        <v>2</v>
      </c>
      <c r="M68">
        <v>124</v>
      </c>
      <c r="N68">
        <v>0.94428152492668627</v>
      </c>
      <c r="O68">
        <v>9369950.0967741944</v>
      </c>
      <c r="P68">
        <v>35627</v>
      </c>
      <c r="Q68">
        <v>2</v>
      </c>
      <c r="R68">
        <v>125</v>
      </c>
      <c r="S68">
        <v>11.940947940947941</v>
      </c>
      <c r="T68">
        <v>0.97325580120086674</v>
      </c>
      <c r="W68">
        <f>Tabela6[[#This Row],[mlp_params]]</f>
        <v>35094</v>
      </c>
      <c r="X68">
        <f>Tabela6[[#This Row],[mlp_test_acc]]</f>
        <v>0.94292803970223327</v>
      </c>
      <c r="Y68">
        <f>Tabela6[[#This Row],[kan_val_acc_1]]</f>
        <v>0.97325580120086674</v>
      </c>
      <c r="Z68">
        <f>Tabela6[[#This Row],[no_steps]]</f>
        <v>11.940947940947941</v>
      </c>
    </row>
    <row r="69" spans="1:26" hidden="1" x14ac:dyDescent="0.25">
      <c r="A69" t="s">
        <v>18</v>
      </c>
      <c r="B69">
        <v>3</v>
      </c>
      <c r="C69">
        <v>3</v>
      </c>
      <c r="D69">
        <v>0</v>
      </c>
      <c r="E69" t="s">
        <v>29</v>
      </c>
      <c r="F69">
        <v>20270</v>
      </c>
      <c r="G69">
        <v>30641821.181818184</v>
      </c>
      <c r="H69">
        <v>0.96185631101781677</v>
      </c>
      <c r="I69">
        <v>0.94532739987285441</v>
      </c>
      <c r="J69">
        <v>8951784.6363636367</v>
      </c>
      <c r="K69">
        <v>35627</v>
      </c>
      <c r="L69">
        <v>2</v>
      </c>
      <c r="M69">
        <v>125</v>
      </c>
      <c r="N69">
        <v>0.94024157660521301</v>
      </c>
      <c r="O69">
        <v>9333911.8181818184</v>
      </c>
      <c r="P69">
        <v>36164</v>
      </c>
      <c r="Q69">
        <v>2</v>
      </c>
      <c r="R69">
        <v>126</v>
      </c>
      <c r="S69">
        <v>11.931432973805855</v>
      </c>
      <c r="T69">
        <v>0.97558138370513914</v>
      </c>
      <c r="W69">
        <f>Tabela6[[#This Row],[mlp_params]]</f>
        <v>35627</v>
      </c>
      <c r="X69">
        <f>Tabela6[[#This Row],[mlp_test_acc]]</f>
        <v>0.94532739987285441</v>
      </c>
      <c r="Y69">
        <f>Tabela6[[#This Row],[kan_val_acc_1]]</f>
        <v>0.97558138370513914</v>
      </c>
      <c r="Z69">
        <f>Tabela6[[#This Row],[no_steps]]</f>
        <v>11.931432973805855</v>
      </c>
    </row>
    <row r="70" spans="1:26" hidden="1" x14ac:dyDescent="0.25">
      <c r="A70" t="s">
        <v>18</v>
      </c>
      <c r="B70">
        <v>3</v>
      </c>
      <c r="C70">
        <v>3</v>
      </c>
      <c r="D70">
        <v>0</v>
      </c>
      <c r="E70" t="s">
        <v>30</v>
      </c>
      <c r="F70">
        <v>20848</v>
      </c>
      <c r="G70">
        <v>41153347.903225809</v>
      </c>
      <c r="H70">
        <v>0.96390705916189379</v>
      </c>
      <c r="I70">
        <v>0.94225129709000677</v>
      </c>
      <c r="J70">
        <v>9301333.4838709682</v>
      </c>
      <c r="K70">
        <v>36705</v>
      </c>
      <c r="L70">
        <v>2</v>
      </c>
      <c r="M70">
        <v>127</v>
      </c>
      <c r="N70">
        <v>0.94134897360703818</v>
      </c>
      <c r="O70">
        <v>9362919.6451612897</v>
      </c>
      <c r="P70">
        <v>37250</v>
      </c>
      <c r="Q70">
        <v>2</v>
      </c>
      <c r="R70">
        <v>128</v>
      </c>
      <c r="S70">
        <v>11.970654627539503</v>
      </c>
      <c r="T70">
        <v>0.97635657787322994</v>
      </c>
      <c r="W70">
        <f>Tabela6[[#This Row],[mlp_params]]</f>
        <v>36705</v>
      </c>
      <c r="X70">
        <f>Tabela6[[#This Row],[mlp_test_acc]]</f>
        <v>0.94225129709000677</v>
      </c>
      <c r="Y70">
        <f>Tabela6[[#This Row],[kan_val_acc_1]]</f>
        <v>0.97635657787322994</v>
      </c>
      <c r="Z70">
        <f>Tabela6[[#This Row],[no_steps]]</f>
        <v>11.970654627539503</v>
      </c>
    </row>
    <row r="71" spans="1:26" hidden="1" x14ac:dyDescent="0.25">
      <c r="A71" t="s">
        <v>18</v>
      </c>
      <c r="B71">
        <v>3</v>
      </c>
      <c r="C71">
        <v>3</v>
      </c>
      <c r="D71">
        <v>0</v>
      </c>
      <c r="E71" t="s">
        <v>77</v>
      </c>
      <c r="F71">
        <v>21130</v>
      </c>
      <c r="G71">
        <v>37816061.512195125</v>
      </c>
      <c r="H71">
        <v>0.96111205729042615</v>
      </c>
      <c r="I71">
        <v>0.9426914548865768</v>
      </c>
      <c r="J71">
        <v>9153096.2195121944</v>
      </c>
      <c r="K71">
        <v>37250</v>
      </c>
      <c r="L71">
        <v>2</v>
      </c>
      <c r="M71">
        <v>128</v>
      </c>
      <c r="N71">
        <v>0.94422650520211493</v>
      </c>
      <c r="O71">
        <v>8487020.5853658542</v>
      </c>
      <c r="P71">
        <v>37799</v>
      </c>
      <c r="Q71">
        <v>2</v>
      </c>
      <c r="R71">
        <v>129</v>
      </c>
      <c r="S71">
        <v>11.981751824817518</v>
      </c>
      <c r="T71">
        <v>0.97616277933120732</v>
      </c>
      <c r="W71">
        <f>Tabela6[[#This Row],[mlp_params]]</f>
        <v>37250</v>
      </c>
      <c r="X71">
        <f>Tabela6[[#This Row],[mlp_test_acc]]</f>
        <v>0.9426914548865768</v>
      </c>
      <c r="Y71">
        <f>Tabela6[[#This Row],[kan_val_acc_1]]</f>
        <v>0.97616277933120732</v>
      </c>
      <c r="Z71">
        <f>Tabela6[[#This Row],[no_steps]]</f>
        <v>11.981751824817518</v>
      </c>
    </row>
    <row r="72" spans="1:26" hidden="1" x14ac:dyDescent="0.25">
      <c r="A72" t="s">
        <v>18</v>
      </c>
      <c r="B72">
        <v>3</v>
      </c>
      <c r="C72">
        <v>3</v>
      </c>
      <c r="D72">
        <v>0</v>
      </c>
      <c r="E72" t="s">
        <v>31</v>
      </c>
      <c r="F72">
        <v>21426</v>
      </c>
      <c r="G72">
        <v>39612092.18181818</v>
      </c>
      <c r="H72">
        <v>0.97329942204735498</v>
      </c>
      <c r="I72">
        <v>0.93324856961220604</v>
      </c>
      <c r="J72">
        <v>8559569.5454545449</v>
      </c>
      <c r="K72">
        <v>37799</v>
      </c>
      <c r="L72">
        <v>2</v>
      </c>
      <c r="M72">
        <v>129</v>
      </c>
      <c r="N72">
        <v>0.94024157660521301</v>
      </c>
      <c r="O72">
        <v>7480619.5454545459</v>
      </c>
      <c r="P72">
        <v>38352</v>
      </c>
      <c r="Q72">
        <v>2</v>
      </c>
      <c r="R72">
        <v>130</v>
      </c>
      <c r="S72">
        <v>12.001448225923244</v>
      </c>
      <c r="T72">
        <v>0.97674417495727539</v>
      </c>
      <c r="W72">
        <f>Tabela6[[#This Row],[mlp_params]]</f>
        <v>37799</v>
      </c>
      <c r="X72">
        <f>Tabela6[[#This Row],[mlp_test_acc]]</f>
        <v>0.93324856961220604</v>
      </c>
      <c r="Y72">
        <f>Tabela6[[#This Row],[kan_val_acc_1]]</f>
        <v>0.97674417495727539</v>
      </c>
      <c r="Z72">
        <f>Tabela6[[#This Row],[no_steps]]</f>
        <v>12.001448225923244</v>
      </c>
    </row>
    <row r="73" spans="1:26" hidden="1" x14ac:dyDescent="0.25">
      <c r="A73" t="s">
        <v>18</v>
      </c>
      <c r="B73">
        <v>3</v>
      </c>
      <c r="C73">
        <v>3</v>
      </c>
      <c r="D73">
        <v>0</v>
      </c>
      <c r="E73" t="s">
        <v>78</v>
      </c>
      <c r="F73">
        <v>21852</v>
      </c>
      <c r="G73">
        <v>40565662.707317077</v>
      </c>
      <c r="H73">
        <v>0.96503495733912403</v>
      </c>
      <c r="I73">
        <v>0.94166808800955148</v>
      </c>
      <c r="J73">
        <v>8827946.1951219514</v>
      </c>
      <c r="K73">
        <v>38352</v>
      </c>
      <c r="L73">
        <v>2</v>
      </c>
      <c r="M73">
        <v>130</v>
      </c>
      <c r="N73">
        <v>0.94337369947126049</v>
      </c>
      <c r="O73">
        <v>9568317.7560975607</v>
      </c>
      <c r="P73">
        <v>38909</v>
      </c>
      <c r="Q73">
        <v>2</v>
      </c>
      <c r="R73">
        <v>131</v>
      </c>
      <c r="S73">
        <v>12.037271448663853</v>
      </c>
      <c r="T73">
        <v>0.97645347714424136</v>
      </c>
      <c r="W73">
        <f>Tabela6[[#This Row],[mlp_params]]</f>
        <v>38352</v>
      </c>
      <c r="X73">
        <f>Tabela6[[#This Row],[mlp_test_acc]]</f>
        <v>0.94166808800955148</v>
      </c>
      <c r="Y73">
        <f>Tabela6[[#This Row],[kan_val_acc_1]]</f>
        <v>0.97645347714424136</v>
      </c>
      <c r="Z73">
        <f>Tabela6[[#This Row],[no_steps]]</f>
        <v>12.037271448663853</v>
      </c>
    </row>
    <row r="74" spans="1:26" hidden="1" x14ac:dyDescent="0.25">
      <c r="A74" t="s">
        <v>18</v>
      </c>
      <c r="B74">
        <v>3</v>
      </c>
      <c r="C74">
        <v>3</v>
      </c>
      <c r="D74">
        <v>0</v>
      </c>
      <c r="E74" t="s">
        <v>32</v>
      </c>
      <c r="F74">
        <v>22004</v>
      </c>
      <c r="G74">
        <v>36062477.636363633</v>
      </c>
      <c r="H74">
        <v>0.98029243404215027</v>
      </c>
      <c r="I74">
        <v>0.93833439287984743</v>
      </c>
      <c r="J74">
        <v>8208282</v>
      </c>
      <c r="K74">
        <v>38909</v>
      </c>
      <c r="L74">
        <v>2</v>
      </c>
      <c r="M74">
        <v>131</v>
      </c>
      <c r="N74">
        <v>0.93579148124602674</v>
      </c>
      <c r="O74">
        <v>8653331.7272727266</v>
      </c>
      <c r="P74">
        <v>39470</v>
      </c>
      <c r="Q74">
        <v>2</v>
      </c>
      <c r="R74">
        <v>132</v>
      </c>
      <c r="S74">
        <v>12.043265875785066</v>
      </c>
      <c r="T74">
        <v>0.98139533996582029</v>
      </c>
      <c r="W74">
        <f>Tabela6[[#This Row],[mlp_params]]</f>
        <v>38909</v>
      </c>
      <c r="X74">
        <f>Tabela6[[#This Row],[mlp_test_acc]]</f>
        <v>0.93833439287984743</v>
      </c>
      <c r="Y74">
        <f>Tabela6[[#This Row],[kan_val_acc_1]]</f>
        <v>0.98139533996582029</v>
      </c>
      <c r="Z74">
        <f>Tabela6[[#This Row],[no_steps]]</f>
        <v>12.043265875785066</v>
      </c>
    </row>
    <row r="75" spans="1:26" hidden="1" x14ac:dyDescent="0.25">
      <c r="A75" t="s">
        <v>18</v>
      </c>
      <c r="B75">
        <v>3</v>
      </c>
      <c r="C75">
        <v>3</v>
      </c>
      <c r="D75">
        <v>0</v>
      </c>
      <c r="E75" t="s">
        <v>33</v>
      </c>
      <c r="F75">
        <v>22582</v>
      </c>
      <c r="G75">
        <v>38903489.853658535</v>
      </c>
      <c r="H75">
        <v>0.96657000954558214</v>
      </c>
      <c r="I75">
        <v>0.93962135425550064</v>
      </c>
      <c r="J75">
        <v>8724415.4634146336</v>
      </c>
      <c r="K75">
        <v>40035</v>
      </c>
      <c r="L75">
        <v>2</v>
      </c>
      <c r="M75">
        <v>133</v>
      </c>
      <c r="N75">
        <v>0.94252089374040593</v>
      </c>
      <c r="O75">
        <v>8934161.2195121944</v>
      </c>
      <c r="P75">
        <v>40604</v>
      </c>
      <c r="Q75">
        <v>2</v>
      </c>
      <c r="R75">
        <v>134</v>
      </c>
      <c r="S75">
        <v>12.056987788331073</v>
      </c>
      <c r="T75">
        <v>0.97674417495727539</v>
      </c>
      <c r="W75">
        <f>Tabela6[[#This Row],[mlp_params]]</f>
        <v>40035</v>
      </c>
      <c r="X75">
        <f>Tabela6[[#This Row],[mlp_test_acc]]</f>
        <v>0.93962135425550064</v>
      </c>
      <c r="Y75">
        <f>Tabela6[[#This Row],[kan_val_acc_1]]</f>
        <v>0.97674417495727539</v>
      </c>
      <c r="Z75">
        <f>Tabela6[[#This Row],[no_steps]]</f>
        <v>12.056987788331073</v>
      </c>
    </row>
    <row r="76" spans="1:26" hidden="1" x14ac:dyDescent="0.25">
      <c r="A76" t="s">
        <v>18</v>
      </c>
      <c r="B76">
        <v>3</v>
      </c>
      <c r="C76">
        <v>3</v>
      </c>
      <c r="D76">
        <v>0</v>
      </c>
      <c r="E76" t="s">
        <v>34</v>
      </c>
      <c r="F76">
        <v>23160</v>
      </c>
      <c r="G76">
        <v>40017088.215686277</v>
      </c>
      <c r="H76">
        <v>0.96832578673082237</v>
      </c>
      <c r="I76">
        <v>0.93706293706293708</v>
      </c>
      <c r="J76">
        <v>9018604.2745098043</v>
      </c>
      <c r="K76">
        <v>40604</v>
      </c>
      <c r="L76">
        <v>2</v>
      </c>
      <c r="M76">
        <v>134</v>
      </c>
      <c r="N76">
        <v>0.94007952831482244</v>
      </c>
      <c r="O76">
        <v>9289823.7843137253</v>
      </c>
      <c r="P76">
        <v>41177</v>
      </c>
      <c r="Q76">
        <v>2</v>
      </c>
      <c r="R76">
        <v>135</v>
      </c>
      <c r="S76">
        <v>12.077377049180328</v>
      </c>
      <c r="T76">
        <v>0.97930231571197512</v>
      </c>
      <c r="W76">
        <f>Tabela6[[#This Row],[mlp_params]]</f>
        <v>40604</v>
      </c>
      <c r="X76">
        <f>Tabela6[[#This Row],[mlp_test_acc]]</f>
        <v>0.93706293706293708</v>
      </c>
      <c r="Y76">
        <f>Tabela6[[#This Row],[kan_val_acc_1]]</f>
        <v>0.97930231571197512</v>
      </c>
      <c r="Z76">
        <f>Tabela6[[#This Row],[no_steps]]</f>
        <v>12.077377049180328</v>
      </c>
    </row>
    <row r="77" spans="1:26" hidden="1" x14ac:dyDescent="0.25">
      <c r="A77" t="s">
        <v>18</v>
      </c>
      <c r="B77">
        <v>3</v>
      </c>
      <c r="C77">
        <v>3</v>
      </c>
      <c r="D77">
        <v>0</v>
      </c>
      <c r="E77" t="s">
        <v>48</v>
      </c>
      <c r="F77">
        <v>23410</v>
      </c>
      <c r="G77">
        <v>36990816.727272727</v>
      </c>
      <c r="H77">
        <v>0.96757786924188782</v>
      </c>
      <c r="I77">
        <v>0.94405594405594406</v>
      </c>
      <c r="J77">
        <v>8525002.9090909082</v>
      </c>
      <c r="K77">
        <v>41177</v>
      </c>
      <c r="L77">
        <v>2</v>
      </c>
      <c r="M77">
        <v>135</v>
      </c>
      <c r="N77">
        <v>0.94278448823903371</v>
      </c>
      <c r="O77">
        <v>9300948.5454545449</v>
      </c>
      <c r="P77">
        <v>41754</v>
      </c>
      <c r="Q77">
        <v>2</v>
      </c>
      <c r="R77">
        <v>136</v>
      </c>
      <c r="S77">
        <v>12.069010416666666</v>
      </c>
      <c r="T77">
        <v>0.97558138370513914</v>
      </c>
      <c r="W77">
        <f>Tabela6[[#This Row],[mlp_params]]</f>
        <v>41177</v>
      </c>
      <c r="X77">
        <f>Tabela6[[#This Row],[mlp_test_acc]]</f>
        <v>0.94405594405594406</v>
      </c>
      <c r="Y77">
        <f>Tabela6[[#This Row],[kan_val_acc_1]]</f>
        <v>0.97558138370513914</v>
      </c>
      <c r="Z77">
        <f>Tabela6[[#This Row],[no_steps]]</f>
        <v>12.069010416666666</v>
      </c>
    </row>
    <row r="78" spans="1:26" hidden="1" x14ac:dyDescent="0.25">
      <c r="A78" t="s">
        <v>18</v>
      </c>
      <c r="B78">
        <v>3</v>
      </c>
      <c r="C78">
        <v>3</v>
      </c>
      <c r="D78">
        <v>0</v>
      </c>
      <c r="E78" t="s">
        <v>35</v>
      </c>
      <c r="F78">
        <v>23738</v>
      </c>
      <c r="G78">
        <v>40066649.63414634</v>
      </c>
      <c r="H78">
        <v>0.97032235744522843</v>
      </c>
      <c r="I78">
        <v>0.93910967081698793</v>
      </c>
      <c r="J78">
        <v>9699292.8536585364</v>
      </c>
      <c r="K78">
        <v>41754</v>
      </c>
      <c r="L78">
        <v>2</v>
      </c>
      <c r="M78">
        <v>136</v>
      </c>
      <c r="N78">
        <v>0.94047415998635508</v>
      </c>
      <c r="O78">
        <v>8831788.4634146336</v>
      </c>
      <c r="P78">
        <v>42335</v>
      </c>
      <c r="Q78">
        <v>2</v>
      </c>
      <c r="R78">
        <v>137</v>
      </c>
      <c r="S78">
        <v>12.090044388078629</v>
      </c>
      <c r="T78">
        <v>0.97965115308761597</v>
      </c>
      <c r="W78">
        <f>Tabela6[[#This Row],[mlp_params]]</f>
        <v>41754</v>
      </c>
      <c r="X78">
        <f>Tabela6[[#This Row],[mlp_test_acc]]</f>
        <v>0.93910967081698793</v>
      </c>
      <c r="Y78">
        <f>Tabela6[[#This Row],[kan_val_acc_1]]</f>
        <v>0.97965115308761597</v>
      </c>
      <c r="Z78">
        <f>Tabela6[[#This Row],[no_steps]]</f>
        <v>12.090044388078629</v>
      </c>
    </row>
    <row r="79" spans="1:26" hidden="1" x14ac:dyDescent="0.25">
      <c r="A79" t="s">
        <v>18</v>
      </c>
      <c r="B79">
        <v>3</v>
      </c>
      <c r="C79">
        <v>3</v>
      </c>
      <c r="D79">
        <v>0</v>
      </c>
      <c r="E79" t="s">
        <v>49</v>
      </c>
      <c r="F79">
        <v>24024</v>
      </c>
      <c r="G79">
        <v>41095760.909090906</v>
      </c>
      <c r="H79">
        <v>0.96694214777512988</v>
      </c>
      <c r="I79">
        <v>0.94342021614748883</v>
      </c>
      <c r="J79">
        <v>8613017.9090909082</v>
      </c>
      <c r="K79">
        <v>42335</v>
      </c>
      <c r="L79">
        <v>2</v>
      </c>
      <c r="M79">
        <v>137</v>
      </c>
      <c r="N79">
        <v>0.94342021614748883</v>
      </c>
      <c r="O79">
        <v>8961263.4545454551</v>
      </c>
      <c r="P79">
        <v>42920</v>
      </c>
      <c r="Q79">
        <v>2</v>
      </c>
      <c r="R79">
        <v>138</v>
      </c>
      <c r="S79">
        <v>12.08816120906801</v>
      </c>
      <c r="T79">
        <v>0.97790696620941164</v>
      </c>
      <c r="W79">
        <f>Tabela6[[#This Row],[mlp_params]]</f>
        <v>42335</v>
      </c>
      <c r="X79">
        <f>Tabela6[[#This Row],[mlp_test_acc]]</f>
        <v>0.94342021614748883</v>
      </c>
      <c r="Y79">
        <f>Tabela6[[#This Row],[kan_val_acc_1]]</f>
        <v>0.97790696620941164</v>
      </c>
      <c r="Z79">
        <f>Tabela6[[#This Row],[no_steps]]</f>
        <v>12.08816120906801</v>
      </c>
    </row>
    <row r="80" spans="1:26" hidden="1" x14ac:dyDescent="0.25">
      <c r="A80" t="s">
        <v>18</v>
      </c>
      <c r="B80">
        <v>3</v>
      </c>
      <c r="C80">
        <v>3</v>
      </c>
      <c r="D80">
        <v>0</v>
      </c>
      <c r="E80" t="s">
        <v>36</v>
      </c>
      <c r="F80">
        <v>24316</v>
      </c>
      <c r="G80">
        <v>42468583.853658535</v>
      </c>
      <c r="H80">
        <v>0.9691284269821353</v>
      </c>
      <c r="I80">
        <v>0.94047415998635508</v>
      </c>
      <c r="J80">
        <v>8845190.3170731701</v>
      </c>
      <c r="K80">
        <v>42920</v>
      </c>
      <c r="L80">
        <v>2</v>
      </c>
      <c r="M80">
        <v>138</v>
      </c>
      <c r="N80">
        <v>0.93655125362442437</v>
      </c>
      <c r="O80">
        <v>9206668.3658536579</v>
      </c>
      <c r="P80">
        <v>43509</v>
      </c>
      <c r="Q80">
        <v>2</v>
      </c>
      <c r="R80">
        <v>139</v>
      </c>
      <c r="S80">
        <v>12.112952731737263</v>
      </c>
      <c r="T80">
        <v>0.98081394433975222</v>
      </c>
      <c r="W80">
        <f>Tabela6[[#This Row],[mlp_params]]</f>
        <v>42920</v>
      </c>
      <c r="X80">
        <f>Tabela6[[#This Row],[mlp_test_acc]]</f>
        <v>0.94047415998635508</v>
      </c>
      <c r="Y80">
        <f>Tabela6[[#This Row],[kan_val_acc_1]]</f>
        <v>0.98081394433975222</v>
      </c>
      <c r="Z80">
        <f>Tabela6[[#This Row],[no_steps]]</f>
        <v>12.112952731737263</v>
      </c>
    </row>
    <row r="81" spans="1:26" hidden="1" x14ac:dyDescent="0.25">
      <c r="A81" t="s">
        <v>18</v>
      </c>
      <c r="B81">
        <v>3</v>
      </c>
      <c r="C81">
        <v>3</v>
      </c>
      <c r="D81">
        <v>0</v>
      </c>
      <c r="E81" t="s">
        <v>50</v>
      </c>
      <c r="F81">
        <v>24638</v>
      </c>
      <c r="G81">
        <v>38891301.454545453</v>
      </c>
      <c r="H81">
        <v>0.96694215319373389</v>
      </c>
      <c r="I81">
        <v>0.94278448823903371</v>
      </c>
      <c r="J81">
        <v>8975869.8181818184</v>
      </c>
      <c r="K81">
        <v>43509</v>
      </c>
      <c r="L81">
        <v>2</v>
      </c>
      <c r="M81">
        <v>139</v>
      </c>
      <c r="N81">
        <v>0.94087730451366813</v>
      </c>
      <c r="O81">
        <v>10119642.727272727</v>
      </c>
      <c r="P81">
        <v>44102</v>
      </c>
      <c r="Q81">
        <v>2</v>
      </c>
      <c r="R81">
        <v>140</v>
      </c>
      <c r="S81">
        <v>12.104878048780488</v>
      </c>
      <c r="T81">
        <v>0.97674417495727539</v>
      </c>
      <c r="W81">
        <f>Tabela6[[#This Row],[mlp_params]]</f>
        <v>43509</v>
      </c>
      <c r="X81">
        <f>Tabela6[[#This Row],[mlp_test_acc]]</f>
        <v>0.94278448823903371</v>
      </c>
      <c r="Y81">
        <f>Tabela6[[#This Row],[kan_val_acc_1]]</f>
        <v>0.97674417495727539</v>
      </c>
      <c r="Z81">
        <f>Tabela6[[#This Row],[no_steps]]</f>
        <v>12.104878048780488</v>
      </c>
    </row>
    <row r="82" spans="1:26" hidden="1" x14ac:dyDescent="0.25">
      <c r="A82" t="s">
        <v>18</v>
      </c>
      <c r="B82">
        <v>3</v>
      </c>
      <c r="C82">
        <v>3</v>
      </c>
      <c r="D82">
        <v>0</v>
      </c>
      <c r="E82" t="s">
        <v>37</v>
      </c>
      <c r="F82">
        <v>24894</v>
      </c>
      <c r="G82">
        <v>42459826.258064516</v>
      </c>
      <c r="H82">
        <v>0.96706519203801311</v>
      </c>
      <c r="I82">
        <v>0.94089781186555377</v>
      </c>
      <c r="J82">
        <v>8417244.1612903234</v>
      </c>
      <c r="K82">
        <v>44102</v>
      </c>
      <c r="L82">
        <v>2</v>
      </c>
      <c r="M82">
        <v>140</v>
      </c>
      <c r="N82">
        <v>0.93751409880442138</v>
      </c>
      <c r="O82">
        <v>9278765.8387096766</v>
      </c>
      <c r="P82">
        <v>44699</v>
      </c>
      <c r="Q82">
        <v>2</v>
      </c>
      <c r="R82">
        <v>141</v>
      </c>
      <c r="S82">
        <v>12.112507480550569</v>
      </c>
      <c r="T82">
        <v>0.97868216037750244</v>
      </c>
      <c r="W82">
        <f>Tabela6[[#This Row],[mlp_params]]</f>
        <v>44102</v>
      </c>
      <c r="X82">
        <f>Tabela6[[#This Row],[mlp_test_acc]]</f>
        <v>0.94089781186555377</v>
      </c>
      <c r="Y82">
        <f>Tabela6[[#This Row],[kan_val_acc_1]]</f>
        <v>0.97868216037750244</v>
      </c>
      <c r="Z82">
        <f>Tabela6[[#This Row],[no_steps]]</f>
        <v>12.112507480550569</v>
      </c>
    </row>
    <row r="83" spans="1:26" hidden="1" x14ac:dyDescent="0.25">
      <c r="A83" t="s">
        <v>18</v>
      </c>
      <c r="B83">
        <v>3</v>
      </c>
      <c r="C83">
        <v>3</v>
      </c>
      <c r="D83">
        <v>0</v>
      </c>
      <c r="E83" t="s">
        <v>38</v>
      </c>
      <c r="F83">
        <v>25472</v>
      </c>
      <c r="G83">
        <v>44575483.666666664</v>
      </c>
      <c r="H83">
        <v>0.97036297548384898</v>
      </c>
      <c r="I83">
        <v>0.94005994005994009</v>
      </c>
      <c r="J83">
        <v>8764514.6190476194</v>
      </c>
      <c r="K83">
        <v>44699</v>
      </c>
      <c r="L83">
        <v>2</v>
      </c>
      <c r="M83">
        <v>141</v>
      </c>
      <c r="N83">
        <v>0.93906093906093902</v>
      </c>
      <c r="O83">
        <v>8922520.0952380951</v>
      </c>
      <c r="P83">
        <v>45300</v>
      </c>
      <c r="Q83">
        <v>2</v>
      </c>
      <c r="R83">
        <v>142</v>
      </c>
      <c r="S83">
        <v>12.129432624113475</v>
      </c>
      <c r="T83">
        <v>0.98081394433975222</v>
      </c>
      <c r="W83">
        <f>Tabela6[[#This Row],[mlp_params]]</f>
        <v>44699</v>
      </c>
      <c r="X83">
        <f>Tabela6[[#This Row],[mlp_test_acc]]</f>
        <v>0.94005994005994009</v>
      </c>
      <c r="Y83">
        <f>Tabela6[[#This Row],[kan_val_acc_1]]</f>
        <v>0.98081394433975222</v>
      </c>
      <c r="Z83">
        <f>Tabela6[[#This Row],[no_steps]]</f>
        <v>12.129432624113475</v>
      </c>
    </row>
    <row r="84" spans="1:26" hidden="1" x14ac:dyDescent="0.25">
      <c r="A84" t="s">
        <v>18</v>
      </c>
      <c r="B84">
        <v>3</v>
      </c>
      <c r="C84">
        <v>3</v>
      </c>
      <c r="D84">
        <v>0</v>
      </c>
      <c r="E84" t="s">
        <v>69</v>
      </c>
      <c r="F84">
        <v>25536</v>
      </c>
      <c r="G84">
        <v>42403018.243902437</v>
      </c>
      <c r="H84">
        <v>0.96674057187103646</v>
      </c>
      <c r="I84">
        <v>0.9426914548865768</v>
      </c>
      <c r="J84">
        <v>8897605.8780487813</v>
      </c>
      <c r="K84">
        <v>45300</v>
      </c>
      <c r="L84">
        <v>2</v>
      </c>
      <c r="M84">
        <v>142</v>
      </c>
      <c r="N84">
        <v>0.94252089374040593</v>
      </c>
      <c r="O84">
        <v>9254177.2195121944</v>
      </c>
      <c r="P84">
        <v>45905</v>
      </c>
      <c r="Q84">
        <v>2</v>
      </c>
      <c r="R84">
        <v>143</v>
      </c>
      <c r="S84">
        <v>12.129255626081939</v>
      </c>
      <c r="T84">
        <v>0.97936045527458193</v>
      </c>
      <c r="W84">
        <f>Tabela6[[#This Row],[mlp_params]]</f>
        <v>45300</v>
      </c>
      <c r="X84">
        <f>Tabela6[[#This Row],[mlp_test_acc]]</f>
        <v>0.9426914548865768</v>
      </c>
      <c r="Y84">
        <f>Tabela6[[#This Row],[kan_val_acc_1]]</f>
        <v>0.97936045527458193</v>
      </c>
      <c r="Z84">
        <f>Tabela6[[#This Row],[no_steps]]</f>
        <v>12.129255626081939</v>
      </c>
    </row>
    <row r="85" spans="1:26" hidden="1" x14ac:dyDescent="0.25">
      <c r="A85" t="s">
        <v>18</v>
      </c>
      <c r="B85">
        <v>3</v>
      </c>
      <c r="C85">
        <v>3</v>
      </c>
      <c r="D85">
        <v>0</v>
      </c>
      <c r="E85" t="s">
        <v>52</v>
      </c>
      <c r="F85">
        <v>25866</v>
      </c>
      <c r="G85">
        <v>38023647.545454547</v>
      </c>
      <c r="H85">
        <v>0.9815638823942705</v>
      </c>
      <c r="I85">
        <v>0.94087730451366813</v>
      </c>
      <c r="J85">
        <v>8139632.9090909092</v>
      </c>
      <c r="K85">
        <v>45905</v>
      </c>
      <c r="L85">
        <v>2</v>
      </c>
      <c r="M85">
        <v>143</v>
      </c>
      <c r="N85">
        <v>0.93833439287984743</v>
      </c>
      <c r="O85">
        <v>9516916.4545454551</v>
      </c>
      <c r="P85">
        <v>46514</v>
      </c>
      <c r="Q85">
        <v>2</v>
      </c>
      <c r="R85">
        <v>144</v>
      </c>
      <c r="S85">
        <v>12.127293577981652</v>
      </c>
      <c r="T85">
        <v>0.98023254871368404</v>
      </c>
      <c r="W85">
        <f>Tabela6[[#This Row],[mlp_params]]</f>
        <v>45905</v>
      </c>
      <c r="X85">
        <f>Tabela6[[#This Row],[mlp_test_acc]]</f>
        <v>0.94087730451366813</v>
      </c>
      <c r="Y85">
        <f>Tabela6[[#This Row],[kan_val_acc_1]]</f>
        <v>0.98023254871368404</v>
      </c>
      <c r="Z85">
        <f>Tabela6[[#This Row],[no_steps]]</f>
        <v>12.127293577981652</v>
      </c>
    </row>
    <row r="86" spans="1:26" hidden="1" x14ac:dyDescent="0.25">
      <c r="A86" t="s">
        <v>18</v>
      </c>
      <c r="B86">
        <v>3</v>
      </c>
      <c r="C86">
        <v>3</v>
      </c>
      <c r="D86">
        <v>0</v>
      </c>
      <c r="E86" t="s">
        <v>53</v>
      </c>
      <c r="F86">
        <v>26480</v>
      </c>
      <c r="G86">
        <v>41205979.064516127</v>
      </c>
      <c r="H86">
        <v>0.96548611694766628</v>
      </c>
      <c r="I86">
        <v>0.94428152492668627</v>
      </c>
      <c r="J86">
        <v>8904474.9677419346</v>
      </c>
      <c r="K86">
        <v>46514</v>
      </c>
      <c r="L86">
        <v>2</v>
      </c>
      <c r="M86">
        <v>144</v>
      </c>
      <c r="N86">
        <v>0.94292803970223327</v>
      </c>
      <c r="O86">
        <v>9531637.7096774187</v>
      </c>
      <c r="P86">
        <v>47127</v>
      </c>
      <c r="Q86">
        <v>2</v>
      </c>
      <c r="R86">
        <v>145</v>
      </c>
      <c r="S86">
        <v>12.119436619718309</v>
      </c>
      <c r="T86">
        <v>0.97635657787322994</v>
      </c>
      <c r="W86">
        <f>Tabela6[[#This Row],[mlp_params]]</f>
        <v>46514</v>
      </c>
      <c r="X86">
        <f>Tabela6[[#This Row],[mlp_test_acc]]</f>
        <v>0.94428152492668627</v>
      </c>
      <c r="Y86">
        <f>Tabela6[[#This Row],[kan_val_acc_1]]</f>
        <v>0.97635657787322994</v>
      </c>
      <c r="Z86">
        <f>Tabela6[[#This Row],[no_steps]]</f>
        <v>12.119436619718309</v>
      </c>
    </row>
    <row r="87" spans="1:26" hidden="1" x14ac:dyDescent="0.25">
      <c r="A87" t="s">
        <v>18</v>
      </c>
      <c r="B87">
        <v>3</v>
      </c>
      <c r="C87">
        <v>3</v>
      </c>
      <c r="D87">
        <v>0</v>
      </c>
      <c r="E87" t="s">
        <v>62</v>
      </c>
      <c r="F87">
        <v>26766</v>
      </c>
      <c r="G87">
        <v>47693082.476190478</v>
      </c>
      <c r="H87">
        <v>0.96936396190098351</v>
      </c>
      <c r="I87">
        <v>0.93872793872793869</v>
      </c>
      <c r="J87">
        <v>8426663.6190476194</v>
      </c>
      <c r="K87">
        <v>47127</v>
      </c>
      <c r="L87">
        <v>2</v>
      </c>
      <c r="M87">
        <v>145</v>
      </c>
      <c r="N87">
        <v>0.9430569430569431</v>
      </c>
      <c r="O87">
        <v>9018037.5714285709</v>
      </c>
      <c r="P87">
        <v>47744</v>
      </c>
      <c r="Q87">
        <v>2</v>
      </c>
      <c r="R87">
        <v>146</v>
      </c>
      <c r="S87">
        <v>12.136971046770601</v>
      </c>
      <c r="T87">
        <v>0.98255813121795654</v>
      </c>
      <c r="W87">
        <f>Tabela6[[#This Row],[mlp_params]]</f>
        <v>47127</v>
      </c>
      <c r="X87">
        <f>Tabela6[[#This Row],[mlp_test_acc]]</f>
        <v>0.93872793872793869</v>
      </c>
      <c r="Y87">
        <f>Tabela6[[#This Row],[kan_val_acc_1]]</f>
        <v>0.98255813121795654</v>
      </c>
      <c r="Z87">
        <f>Tabela6[[#This Row],[no_steps]]</f>
        <v>12.136971046770601</v>
      </c>
    </row>
    <row r="88" spans="1:26" hidden="1" x14ac:dyDescent="0.25">
      <c r="A88" t="s">
        <v>18</v>
      </c>
      <c r="B88">
        <v>3</v>
      </c>
      <c r="C88">
        <v>3</v>
      </c>
      <c r="D88">
        <v>0</v>
      </c>
      <c r="E88" t="s">
        <v>54</v>
      </c>
      <c r="F88">
        <v>27094</v>
      </c>
      <c r="G88">
        <v>41680690.454545453</v>
      </c>
      <c r="H88">
        <v>0.96439924565228552</v>
      </c>
      <c r="I88">
        <v>0.94278448823903371</v>
      </c>
      <c r="J88">
        <v>9866325.2727272734</v>
      </c>
      <c r="K88">
        <v>47744</v>
      </c>
      <c r="L88">
        <v>2</v>
      </c>
      <c r="M88">
        <v>146</v>
      </c>
      <c r="N88">
        <v>0.94278448823903371</v>
      </c>
      <c r="O88">
        <v>8504079.1818181816</v>
      </c>
      <c r="P88">
        <v>48365</v>
      </c>
      <c r="Q88">
        <v>2</v>
      </c>
      <c r="R88">
        <v>147</v>
      </c>
      <c r="S88">
        <v>12.129496402877697</v>
      </c>
      <c r="T88">
        <v>0.97558138370513914</v>
      </c>
      <c r="W88">
        <f>Tabela6[[#This Row],[mlp_params]]</f>
        <v>47744</v>
      </c>
      <c r="X88">
        <f>Tabela6[[#This Row],[mlp_test_acc]]</f>
        <v>0.94278448823903371</v>
      </c>
      <c r="Y88">
        <f>Tabela6[[#This Row],[kan_val_acc_1]]</f>
        <v>0.97558138370513914</v>
      </c>
      <c r="Z88">
        <f>Tabela6[[#This Row],[no_steps]]</f>
        <v>12.129496402877697</v>
      </c>
    </row>
    <row r="89" spans="1:26" hidden="1" x14ac:dyDescent="0.25">
      <c r="A89" t="s">
        <v>18</v>
      </c>
      <c r="B89">
        <v>3</v>
      </c>
      <c r="C89">
        <v>3</v>
      </c>
      <c r="D89">
        <v>0</v>
      </c>
      <c r="E89" t="s">
        <v>63</v>
      </c>
      <c r="F89">
        <v>27416</v>
      </c>
      <c r="G89">
        <v>43788754.096774191</v>
      </c>
      <c r="H89">
        <v>0.97338145586752123</v>
      </c>
      <c r="I89">
        <v>0.93525829009699979</v>
      </c>
      <c r="J89">
        <v>8953199.7419354841</v>
      </c>
      <c r="K89">
        <v>48365</v>
      </c>
      <c r="L89">
        <v>2</v>
      </c>
      <c r="M89">
        <v>147</v>
      </c>
      <c r="N89">
        <v>0.93999548838258518</v>
      </c>
      <c r="O89">
        <v>9772989.0967741944</v>
      </c>
      <c r="P89">
        <v>48990</v>
      </c>
      <c r="Q89">
        <v>2</v>
      </c>
      <c r="R89">
        <v>148</v>
      </c>
      <c r="S89">
        <v>12.138193688792166</v>
      </c>
      <c r="T89">
        <v>0.98062014579772949</v>
      </c>
      <c r="W89">
        <f>Tabela6[[#This Row],[mlp_params]]</f>
        <v>48365</v>
      </c>
      <c r="X89">
        <f>Tabela6[[#This Row],[mlp_test_acc]]</f>
        <v>0.93525829009699979</v>
      </c>
      <c r="Y89">
        <f>Tabela6[[#This Row],[kan_val_acc_1]]</f>
        <v>0.98062014579772949</v>
      </c>
      <c r="Z89">
        <f>Tabela6[[#This Row],[no_steps]]</f>
        <v>12.138193688792166</v>
      </c>
    </row>
    <row r="90" spans="1:26" hidden="1" x14ac:dyDescent="0.25">
      <c r="A90" t="s">
        <v>18</v>
      </c>
      <c r="B90">
        <v>3</v>
      </c>
      <c r="C90">
        <v>3</v>
      </c>
      <c r="D90">
        <v>0</v>
      </c>
      <c r="E90" t="s">
        <v>86</v>
      </c>
      <c r="F90">
        <v>27628</v>
      </c>
      <c r="G90">
        <v>47024148.285714284</v>
      </c>
      <c r="H90">
        <v>0.96669996636254452</v>
      </c>
      <c r="I90">
        <v>0.94072594072594073</v>
      </c>
      <c r="J90">
        <v>9085772.6190476194</v>
      </c>
      <c r="K90">
        <v>48990</v>
      </c>
      <c r="L90">
        <v>2</v>
      </c>
      <c r="M90">
        <v>148</v>
      </c>
      <c r="N90">
        <v>0.9417249417249417</v>
      </c>
      <c r="O90">
        <v>7889954.9523809524</v>
      </c>
      <c r="P90">
        <v>49619</v>
      </c>
      <c r="Q90">
        <v>2</v>
      </c>
      <c r="R90">
        <v>149</v>
      </c>
      <c r="S90">
        <v>12.15115653577192</v>
      </c>
      <c r="T90">
        <v>0.97965115308761597</v>
      </c>
      <c r="W90">
        <f>Tabela6[[#This Row],[mlp_params]]</f>
        <v>48990</v>
      </c>
      <c r="X90">
        <f>Tabela6[[#This Row],[mlp_test_acc]]</f>
        <v>0.94072594072594073</v>
      </c>
      <c r="Y90">
        <f>Tabela6[[#This Row],[kan_val_acc_1]]</f>
        <v>0.97965115308761597</v>
      </c>
      <c r="Z90">
        <f>Tabela6[[#This Row],[no_steps]]</f>
        <v>12.15115653577192</v>
      </c>
    </row>
    <row r="91" spans="1:26" hidden="1" x14ac:dyDescent="0.25">
      <c r="A91" t="s">
        <v>18</v>
      </c>
      <c r="B91">
        <v>3</v>
      </c>
      <c r="C91">
        <v>3</v>
      </c>
      <c r="D91">
        <v>0</v>
      </c>
      <c r="E91" t="s">
        <v>64</v>
      </c>
      <c r="F91">
        <v>28066</v>
      </c>
      <c r="G91">
        <v>48889665.636363633</v>
      </c>
      <c r="H91">
        <v>0.98029243946075439</v>
      </c>
      <c r="I91">
        <v>0.94151303242212336</v>
      </c>
      <c r="J91">
        <v>8690110.7272727266</v>
      </c>
      <c r="K91">
        <v>49619</v>
      </c>
      <c r="L91">
        <v>2</v>
      </c>
      <c r="M91">
        <v>149</v>
      </c>
      <c r="N91">
        <v>0.93960584869675778</v>
      </c>
      <c r="O91">
        <v>8496640.9090909082</v>
      </c>
      <c r="P91">
        <v>50252</v>
      </c>
      <c r="Q91">
        <v>2</v>
      </c>
      <c r="R91">
        <v>150</v>
      </c>
      <c r="S91">
        <v>12.165240641711231</v>
      </c>
      <c r="T91">
        <v>0.98604650497436519</v>
      </c>
      <c r="W91">
        <f>Tabela6[[#This Row],[mlp_params]]</f>
        <v>49619</v>
      </c>
      <c r="X91">
        <f>Tabela6[[#This Row],[mlp_test_acc]]</f>
        <v>0.94151303242212336</v>
      </c>
      <c r="Y91">
        <f>Tabela6[[#This Row],[kan_val_acc_1]]</f>
        <v>0.98604650497436519</v>
      </c>
      <c r="Z91">
        <f>Tabela6[[#This Row],[no_steps]]</f>
        <v>12.165240641711231</v>
      </c>
    </row>
    <row r="92" spans="1:26" hidden="1" x14ac:dyDescent="0.25">
      <c r="A92" t="s">
        <v>18</v>
      </c>
      <c r="B92">
        <v>3</v>
      </c>
      <c r="C92">
        <v>3</v>
      </c>
      <c r="D92">
        <v>0</v>
      </c>
      <c r="E92" t="s">
        <v>87</v>
      </c>
      <c r="F92">
        <v>28350</v>
      </c>
      <c r="G92">
        <v>47254775.428571425</v>
      </c>
      <c r="H92">
        <v>0.97036296696889968</v>
      </c>
      <c r="I92">
        <v>0.94039294039294041</v>
      </c>
      <c r="J92">
        <v>9135095.8095238097</v>
      </c>
      <c r="K92">
        <v>50252</v>
      </c>
      <c r="L92">
        <v>2</v>
      </c>
      <c r="M92">
        <v>150</v>
      </c>
      <c r="N92">
        <v>0.93939393939393945</v>
      </c>
      <c r="O92">
        <v>9154158.1904761903</v>
      </c>
      <c r="P92">
        <v>50889</v>
      </c>
      <c r="Q92">
        <v>2</v>
      </c>
      <c r="R92">
        <v>151</v>
      </c>
      <c r="S92">
        <v>12.173453199365415</v>
      </c>
      <c r="T92">
        <v>0.97499998807907107</v>
      </c>
      <c r="W92">
        <f>Tabela6[[#This Row],[mlp_params]]</f>
        <v>50252</v>
      </c>
      <c r="X92">
        <f>Tabela6[[#This Row],[mlp_test_acc]]</f>
        <v>0.94039294039294041</v>
      </c>
      <c r="Y92">
        <f>Tabela6[[#This Row],[kan_val_acc_1]]</f>
        <v>0.97499998807907107</v>
      </c>
      <c r="Z92">
        <f>Tabela6[[#This Row],[no_steps]]</f>
        <v>12.173453199365415</v>
      </c>
    </row>
    <row r="93" spans="1:26" hidden="1" x14ac:dyDescent="0.25">
      <c r="A93" t="s">
        <v>18</v>
      </c>
      <c r="B93">
        <v>3</v>
      </c>
      <c r="C93">
        <v>3</v>
      </c>
      <c r="D93">
        <v>0</v>
      </c>
      <c r="E93" t="s">
        <v>65</v>
      </c>
      <c r="F93">
        <v>28716</v>
      </c>
      <c r="G93">
        <v>49215072.090909094</v>
      </c>
      <c r="H93">
        <v>0.98092816092751245</v>
      </c>
      <c r="I93">
        <v>0.9402415766052129</v>
      </c>
      <c r="J93">
        <v>9245863.4545454551</v>
      </c>
      <c r="K93">
        <v>50889</v>
      </c>
      <c r="L93">
        <v>2</v>
      </c>
      <c r="M93">
        <v>151</v>
      </c>
      <c r="N93">
        <v>0.93388429752066116</v>
      </c>
      <c r="O93">
        <v>8687800</v>
      </c>
      <c r="P93">
        <v>51530</v>
      </c>
      <c r="Q93">
        <v>2</v>
      </c>
      <c r="R93">
        <v>152</v>
      </c>
      <c r="S93">
        <v>12.186119873817034</v>
      </c>
      <c r="T93">
        <v>0.98139533996582029</v>
      </c>
      <c r="W93">
        <f>Tabela6[[#This Row],[mlp_params]]</f>
        <v>50889</v>
      </c>
      <c r="X93">
        <f>Tabela6[[#This Row],[mlp_test_acc]]</f>
        <v>0.9402415766052129</v>
      </c>
      <c r="Y93">
        <f>Tabela6[[#This Row],[kan_val_acc_1]]</f>
        <v>0.98139533996582029</v>
      </c>
      <c r="Z93">
        <f>Tabela6[[#This Row],[no_steps]]</f>
        <v>12.186119873817034</v>
      </c>
    </row>
    <row r="94" spans="1:26" hidden="1" x14ac:dyDescent="0.25">
      <c r="A94" t="s">
        <v>18</v>
      </c>
      <c r="B94">
        <v>3</v>
      </c>
      <c r="C94">
        <v>3</v>
      </c>
      <c r="D94">
        <v>0</v>
      </c>
      <c r="E94" t="s">
        <v>88</v>
      </c>
      <c r="F94">
        <v>29072</v>
      </c>
      <c r="G94">
        <v>52401320.380952381</v>
      </c>
      <c r="H94">
        <v>0.97002995581853957</v>
      </c>
      <c r="I94">
        <v>0.94538794538794535</v>
      </c>
      <c r="J94">
        <v>8632082.7142857146</v>
      </c>
      <c r="K94">
        <v>51530</v>
      </c>
      <c r="L94">
        <v>2</v>
      </c>
      <c r="M94">
        <v>152</v>
      </c>
      <c r="N94">
        <v>0.93839493839493837</v>
      </c>
      <c r="O94">
        <v>9677789.1904761903</v>
      </c>
      <c r="P94">
        <v>52175</v>
      </c>
      <c r="Q94">
        <v>2</v>
      </c>
      <c r="R94">
        <v>153</v>
      </c>
      <c r="S94">
        <v>12.212688507540301</v>
      </c>
      <c r="T94">
        <v>0.97965115308761597</v>
      </c>
      <c r="W94">
        <f>Tabela6[[#This Row],[mlp_params]]</f>
        <v>51530</v>
      </c>
      <c r="X94">
        <f>Tabela6[[#This Row],[mlp_test_acc]]</f>
        <v>0.94538794538794535</v>
      </c>
      <c r="Y94">
        <f>Tabela6[[#This Row],[kan_val_acc_1]]</f>
        <v>0.97965115308761597</v>
      </c>
      <c r="Z94">
        <f>Tabela6[[#This Row],[no_steps]]</f>
        <v>12.212688507540301</v>
      </c>
    </row>
    <row r="95" spans="1:26" hidden="1" x14ac:dyDescent="0.25">
      <c r="A95" t="s">
        <v>18</v>
      </c>
      <c r="B95">
        <v>3</v>
      </c>
      <c r="C95">
        <v>3</v>
      </c>
      <c r="D95">
        <v>0</v>
      </c>
      <c r="E95" t="s">
        <v>74</v>
      </c>
      <c r="F95">
        <v>29652</v>
      </c>
      <c r="G95">
        <v>46650719.363636367</v>
      </c>
      <c r="H95">
        <v>0.97838523171164771</v>
      </c>
      <c r="I95">
        <v>0.93960584869675778</v>
      </c>
      <c r="J95">
        <v>9372596.8181818184</v>
      </c>
      <c r="K95">
        <v>52175</v>
      </c>
      <c r="L95">
        <v>2</v>
      </c>
      <c r="M95">
        <v>153</v>
      </c>
      <c r="N95">
        <v>0.93324856961220604</v>
      </c>
      <c r="O95">
        <v>8940751.1818181816</v>
      </c>
      <c r="P95">
        <v>52824</v>
      </c>
      <c r="Q95">
        <v>2</v>
      </c>
      <c r="R95">
        <v>154</v>
      </c>
      <c r="S95">
        <v>12.217166494312306</v>
      </c>
      <c r="T95">
        <v>0.98604650497436519</v>
      </c>
      <c r="W95">
        <f>Tabela6[[#This Row],[mlp_params]]</f>
        <v>52175</v>
      </c>
      <c r="X95">
        <f>Tabela6[[#This Row],[mlp_test_acc]]</f>
        <v>0.93960584869675778</v>
      </c>
      <c r="Y95">
        <f>Tabela6[[#This Row],[kan_val_acc_1]]</f>
        <v>0.98604650497436519</v>
      </c>
      <c r="Z95">
        <f>Tabela6[[#This Row],[no_steps]]</f>
        <v>12.217166494312306</v>
      </c>
    </row>
    <row r="96" spans="1:26" hidden="1" x14ac:dyDescent="0.25">
      <c r="A96" t="s">
        <v>18</v>
      </c>
      <c r="B96">
        <v>3</v>
      </c>
      <c r="C96">
        <v>3</v>
      </c>
      <c r="D96">
        <v>0</v>
      </c>
      <c r="E96" t="s">
        <v>89</v>
      </c>
      <c r="F96">
        <v>29794</v>
      </c>
      <c r="G96">
        <v>47272252.727272727</v>
      </c>
      <c r="H96">
        <v>0.97711377794092347</v>
      </c>
      <c r="I96">
        <v>0.93642720915448185</v>
      </c>
      <c r="J96">
        <v>9524006.1818181816</v>
      </c>
      <c r="K96">
        <v>52824</v>
      </c>
      <c r="L96">
        <v>2</v>
      </c>
      <c r="M96">
        <v>154</v>
      </c>
      <c r="N96">
        <v>0.93769866497139231</v>
      </c>
      <c r="O96">
        <v>9163239.8181818184</v>
      </c>
      <c r="P96">
        <v>53477</v>
      </c>
      <c r="Q96">
        <v>2</v>
      </c>
      <c r="R96">
        <v>155</v>
      </c>
      <c r="S96">
        <v>12.223650385604113</v>
      </c>
      <c r="T96">
        <v>0.9837209224700928</v>
      </c>
      <c r="W96">
        <f>Tabela6[[#This Row],[mlp_params]]</f>
        <v>52824</v>
      </c>
      <c r="X96">
        <f>Tabela6[[#This Row],[mlp_test_acc]]</f>
        <v>0.93642720915448185</v>
      </c>
      <c r="Y96">
        <f>Tabela6[[#This Row],[kan_val_acc_1]]</f>
        <v>0.9837209224700928</v>
      </c>
      <c r="Z96">
        <f>Tabela6[[#This Row],[no_steps]]</f>
        <v>12.223650385604113</v>
      </c>
    </row>
    <row r="97" spans="1:26" hidden="1" x14ac:dyDescent="0.25">
      <c r="A97" t="s">
        <v>18</v>
      </c>
      <c r="B97">
        <v>3</v>
      </c>
      <c r="C97">
        <v>3</v>
      </c>
      <c r="D97">
        <v>0</v>
      </c>
      <c r="E97" t="s">
        <v>75</v>
      </c>
      <c r="F97">
        <v>30338</v>
      </c>
      <c r="G97">
        <v>46827604.454545453</v>
      </c>
      <c r="H97">
        <v>0.97774952108209778</v>
      </c>
      <c r="I97">
        <v>0.93261284170375081</v>
      </c>
      <c r="J97">
        <v>8549976.9090909082</v>
      </c>
      <c r="K97">
        <v>53477</v>
      </c>
      <c r="L97">
        <v>2</v>
      </c>
      <c r="M97">
        <v>155</v>
      </c>
      <c r="N97">
        <v>0.93642720915448185</v>
      </c>
      <c r="O97">
        <v>9796942.2727272734</v>
      </c>
      <c r="P97">
        <v>54134</v>
      </c>
      <c r="Q97">
        <v>2</v>
      </c>
      <c r="R97">
        <v>156</v>
      </c>
      <c r="S97">
        <v>12.227505112474438</v>
      </c>
      <c r="T97">
        <v>0.98720929622650144</v>
      </c>
      <c r="W97">
        <f>Tabela6[[#This Row],[mlp_params]]</f>
        <v>53477</v>
      </c>
      <c r="X97">
        <f>Tabela6[[#This Row],[mlp_test_acc]]</f>
        <v>0.93261284170375081</v>
      </c>
      <c r="Y97">
        <f>Tabela6[[#This Row],[kan_val_acc_1]]</f>
        <v>0.98720929622650144</v>
      </c>
      <c r="Z97">
        <f>Tabela6[[#This Row],[no_steps]]</f>
        <v>12.227505112474438</v>
      </c>
    </row>
    <row r="98" spans="1:26" hidden="1" x14ac:dyDescent="0.25">
      <c r="A98" t="s">
        <v>18</v>
      </c>
      <c r="B98">
        <v>3</v>
      </c>
      <c r="C98">
        <v>3</v>
      </c>
      <c r="D98">
        <v>0</v>
      </c>
      <c r="E98" t="s">
        <v>90</v>
      </c>
      <c r="F98">
        <v>30516</v>
      </c>
      <c r="G98">
        <v>52948691.18181818</v>
      </c>
      <c r="H98">
        <v>0.97393515435132116</v>
      </c>
      <c r="I98">
        <v>0.9376986649713922</v>
      </c>
      <c r="J98">
        <v>8957905.4545454551</v>
      </c>
      <c r="K98">
        <v>54134</v>
      </c>
      <c r="L98">
        <v>2</v>
      </c>
      <c r="M98">
        <v>156</v>
      </c>
      <c r="N98">
        <v>0.94214876033057848</v>
      </c>
      <c r="O98">
        <v>7494731.5454545459</v>
      </c>
      <c r="P98">
        <v>54795</v>
      </c>
      <c r="Q98">
        <v>2</v>
      </c>
      <c r="R98">
        <v>157</v>
      </c>
      <c r="S98">
        <v>12.238434163701067</v>
      </c>
      <c r="T98">
        <v>0.9837209224700928</v>
      </c>
      <c r="W98">
        <f>Tabela6[[#This Row],[mlp_params]]</f>
        <v>54134</v>
      </c>
      <c r="X98">
        <f>Tabela6[[#This Row],[mlp_test_acc]]</f>
        <v>0.9376986649713922</v>
      </c>
      <c r="Y98">
        <f>Tabela6[[#This Row],[kan_val_acc_1]]</f>
        <v>0.9837209224700928</v>
      </c>
      <c r="Z98">
        <f>Tabela6[[#This Row],[no_steps]]</f>
        <v>12.238434163701067</v>
      </c>
    </row>
    <row r="99" spans="1:26" hidden="1" x14ac:dyDescent="0.25">
      <c r="A99" t="s">
        <v>18</v>
      </c>
      <c r="B99">
        <v>3</v>
      </c>
      <c r="C99">
        <v>3</v>
      </c>
      <c r="D99">
        <v>0</v>
      </c>
      <c r="E99" t="s">
        <v>91</v>
      </c>
      <c r="F99">
        <v>31238</v>
      </c>
      <c r="G99">
        <v>50576178.636363633</v>
      </c>
      <c r="H99">
        <v>0.97838524796745996</v>
      </c>
      <c r="I99">
        <v>0.9376986649713922</v>
      </c>
      <c r="J99">
        <v>9204049.2727272734</v>
      </c>
      <c r="K99">
        <v>54795</v>
      </c>
      <c r="L99">
        <v>2</v>
      </c>
      <c r="M99">
        <v>157</v>
      </c>
      <c r="N99">
        <v>0.93388429752066116</v>
      </c>
      <c r="O99">
        <v>8500011.2727272734</v>
      </c>
      <c r="P99">
        <v>55460</v>
      </c>
      <c r="Q99">
        <v>2</v>
      </c>
      <c r="R99">
        <v>158</v>
      </c>
      <c r="S99">
        <v>12.246208291203235</v>
      </c>
      <c r="T99">
        <v>0.97790696620941164</v>
      </c>
      <c r="W99">
        <f>Tabela6[[#This Row],[mlp_params]]</f>
        <v>54795</v>
      </c>
      <c r="X99">
        <f>Tabela6[[#This Row],[mlp_test_acc]]</f>
        <v>0.9376986649713922</v>
      </c>
      <c r="Y99">
        <f>Tabela6[[#This Row],[kan_val_acc_1]]</f>
        <v>0.97790696620941164</v>
      </c>
      <c r="Z99">
        <f>Tabela6[[#This Row],[no_steps]]</f>
        <v>12.246208291203235</v>
      </c>
    </row>
    <row r="100" spans="1:26" hidden="1" x14ac:dyDescent="0.25">
      <c r="A100" t="s">
        <v>18</v>
      </c>
      <c r="B100">
        <v>3</v>
      </c>
      <c r="C100">
        <v>3</v>
      </c>
      <c r="D100">
        <v>0</v>
      </c>
      <c r="E100" t="s">
        <v>92</v>
      </c>
      <c r="F100">
        <v>31960</v>
      </c>
      <c r="G100">
        <v>49019818.727272727</v>
      </c>
      <c r="H100">
        <v>0.97774952108209778</v>
      </c>
      <c r="I100">
        <v>0.93642720915448185</v>
      </c>
      <c r="J100">
        <v>9116021.4545454551</v>
      </c>
      <c r="K100">
        <v>56129</v>
      </c>
      <c r="L100">
        <v>2</v>
      </c>
      <c r="M100">
        <v>159</v>
      </c>
      <c r="N100">
        <v>0.94151303242212336</v>
      </c>
      <c r="O100">
        <v>9482272.6363636367</v>
      </c>
      <c r="P100">
        <v>56802</v>
      </c>
      <c r="Q100">
        <v>2</v>
      </c>
      <c r="R100">
        <v>160</v>
      </c>
      <c r="S100">
        <v>12.248868778280542</v>
      </c>
      <c r="T100">
        <v>0.9837209224700928</v>
      </c>
      <c r="W100">
        <f>Tabela6[[#This Row],[mlp_params]]</f>
        <v>56129</v>
      </c>
      <c r="X100">
        <f>Tabela6[[#This Row],[mlp_test_acc]]</f>
        <v>0.93642720915448185</v>
      </c>
      <c r="Y100">
        <f>Tabela6[[#This Row],[kan_val_acc_1]]</f>
        <v>0.9837209224700928</v>
      </c>
      <c r="Z100">
        <f>Tabela6[[#This Row],[no_steps]]</f>
        <v>12.248868778280542</v>
      </c>
    </row>
    <row r="101" spans="1:26" hidden="1" x14ac:dyDescent="0.25">
      <c r="A101" t="s">
        <v>18</v>
      </c>
      <c r="B101">
        <v>3</v>
      </c>
      <c r="C101">
        <v>3</v>
      </c>
      <c r="D101">
        <v>0</v>
      </c>
      <c r="E101" t="s">
        <v>105</v>
      </c>
      <c r="F101">
        <v>6360</v>
      </c>
      <c r="G101">
        <v>43710912.909090906</v>
      </c>
      <c r="H101">
        <v>0.97838524796745996</v>
      </c>
      <c r="I101">
        <v>0.93769866497139231</v>
      </c>
      <c r="J101">
        <v>8759095.8181818184</v>
      </c>
      <c r="K101">
        <v>11024</v>
      </c>
      <c r="L101">
        <v>2</v>
      </c>
      <c r="M101">
        <v>66</v>
      </c>
      <c r="N101">
        <v>0.9351557533375715</v>
      </c>
      <c r="O101">
        <v>7951133.5454545459</v>
      </c>
      <c r="P101">
        <v>11325</v>
      </c>
      <c r="Q101">
        <v>2</v>
      </c>
      <c r="R101">
        <v>67</v>
      </c>
      <c r="S101">
        <v>12.246</v>
      </c>
      <c r="T101">
        <v>0.97790696620941164</v>
      </c>
      <c r="W101">
        <f>Tabela6[[#This Row],[mlp_params]]</f>
        <v>11024</v>
      </c>
      <c r="X101">
        <f>Tabela6[[#This Row],[mlp_test_acc]]</f>
        <v>0.93769866497139231</v>
      </c>
      <c r="Y101">
        <f>Tabela6[[#This Row],[kan_val_acc_1]]</f>
        <v>0.97790696620941164</v>
      </c>
      <c r="Z101">
        <f>Tabela6[[#This Row],[no_steps]]</f>
        <v>12.246</v>
      </c>
    </row>
    <row r="102" spans="1:26" hidden="1" x14ac:dyDescent="0.25">
      <c r="A102" t="s">
        <v>18</v>
      </c>
      <c r="B102">
        <v>3</v>
      </c>
      <c r="C102">
        <v>3</v>
      </c>
      <c r="D102">
        <v>0</v>
      </c>
      <c r="E102" t="s">
        <v>19</v>
      </c>
      <c r="F102">
        <v>6938</v>
      </c>
      <c r="G102">
        <v>12495857.636363637</v>
      </c>
      <c r="H102">
        <v>0.97012078220194031</v>
      </c>
      <c r="I102">
        <v>0.94087730451366813</v>
      </c>
      <c r="J102">
        <v>3141285</v>
      </c>
      <c r="K102">
        <v>12252</v>
      </c>
      <c r="L102">
        <v>2</v>
      </c>
      <c r="M102">
        <v>70</v>
      </c>
      <c r="N102">
        <v>0.94532739987285441</v>
      </c>
      <c r="O102">
        <v>2963200.8181818184</v>
      </c>
      <c r="P102">
        <v>12569</v>
      </c>
      <c r="Q102">
        <v>2</v>
      </c>
      <c r="R102">
        <v>71</v>
      </c>
      <c r="S102">
        <v>12.232222774738936</v>
      </c>
      <c r="T102">
        <v>0.97558138370513914</v>
      </c>
      <c r="W102">
        <f>Tabela6[[#This Row],[mlp_params]]</f>
        <v>12252</v>
      </c>
      <c r="X102">
        <f>Tabela6[[#This Row],[mlp_test_acc]]</f>
        <v>0.94087730451366813</v>
      </c>
      <c r="Y102">
        <f>Tabela6[[#This Row],[kan_val_acc_1]]</f>
        <v>0.97558138370513914</v>
      </c>
      <c r="Z102">
        <f>Tabela6[[#This Row],[no_steps]]</f>
        <v>12.232222774738936</v>
      </c>
    </row>
    <row r="103" spans="1:26" hidden="1" x14ac:dyDescent="0.25">
      <c r="A103" t="s">
        <v>18</v>
      </c>
      <c r="B103">
        <v>3</v>
      </c>
      <c r="C103">
        <v>3</v>
      </c>
      <c r="D103">
        <v>0</v>
      </c>
      <c r="E103" t="s">
        <v>20</v>
      </c>
      <c r="F103">
        <v>7516</v>
      </c>
      <c r="G103">
        <v>12193870.454545455</v>
      </c>
      <c r="H103">
        <v>0.95994912494312634</v>
      </c>
      <c r="I103">
        <v>0.94214876033057848</v>
      </c>
      <c r="J103">
        <v>3085452.0909090908</v>
      </c>
      <c r="K103">
        <v>13215</v>
      </c>
      <c r="L103">
        <v>2</v>
      </c>
      <c r="M103">
        <v>73</v>
      </c>
      <c r="N103">
        <v>0.94850603941513034</v>
      </c>
      <c r="O103">
        <v>1805649.3636363635</v>
      </c>
      <c r="P103">
        <v>13544</v>
      </c>
      <c r="Q103">
        <v>2</v>
      </c>
      <c r="R103">
        <v>74</v>
      </c>
      <c r="S103">
        <v>12.214638971315528</v>
      </c>
      <c r="T103">
        <v>0.97325580120086674</v>
      </c>
      <c r="W103">
        <f>Tabela6[[#This Row],[mlp_params]]</f>
        <v>13215</v>
      </c>
      <c r="X103">
        <f>Tabela6[[#This Row],[mlp_test_acc]]</f>
        <v>0.94214876033057848</v>
      </c>
      <c r="Y103">
        <f>Tabela6[[#This Row],[kan_val_acc_1]]</f>
        <v>0.97325580120086674</v>
      </c>
      <c r="Z103">
        <f>Tabela6[[#This Row],[no_steps]]</f>
        <v>12.214638971315528</v>
      </c>
    </row>
    <row r="104" spans="1:26" hidden="1" x14ac:dyDescent="0.25">
      <c r="A104" t="s">
        <v>18</v>
      </c>
      <c r="B104">
        <v>3</v>
      </c>
      <c r="C104">
        <v>3</v>
      </c>
      <c r="D104">
        <v>0</v>
      </c>
      <c r="E104" t="s">
        <v>21</v>
      </c>
      <c r="F104">
        <v>8094</v>
      </c>
      <c r="G104">
        <v>12159144.818181818</v>
      </c>
      <c r="H104">
        <v>0.95740623365749011</v>
      </c>
      <c r="I104">
        <v>0.94342021614748883</v>
      </c>
      <c r="J104">
        <v>3254536.7272727271</v>
      </c>
      <c r="K104">
        <v>14214</v>
      </c>
      <c r="L104">
        <v>2</v>
      </c>
      <c r="M104">
        <v>76</v>
      </c>
      <c r="N104">
        <v>0.94850603941513034</v>
      </c>
      <c r="O104">
        <v>1717552.1818181819</v>
      </c>
      <c r="P104">
        <v>14555</v>
      </c>
      <c r="Q104">
        <v>2</v>
      </c>
      <c r="R104">
        <v>77</v>
      </c>
      <c r="S104">
        <v>12.195769798327595</v>
      </c>
      <c r="T104">
        <v>0.97209300994873049</v>
      </c>
      <c r="W104">
        <f>Tabela6[[#This Row],[mlp_params]]</f>
        <v>14214</v>
      </c>
      <c r="X104">
        <f>Tabela6[[#This Row],[mlp_test_acc]]</f>
        <v>0.94342021614748883</v>
      </c>
      <c r="Y104">
        <f>Tabela6[[#This Row],[kan_val_acc_1]]</f>
        <v>0.97209300994873049</v>
      </c>
      <c r="Z104">
        <f>Tabela6[[#This Row],[no_steps]]</f>
        <v>12.195769798327595</v>
      </c>
    </row>
    <row r="105" spans="1:26" hidden="1" x14ac:dyDescent="0.25">
      <c r="A105" t="s">
        <v>18</v>
      </c>
      <c r="B105">
        <v>3</v>
      </c>
      <c r="C105">
        <v>3</v>
      </c>
      <c r="D105">
        <v>0</v>
      </c>
      <c r="E105" t="s">
        <v>22</v>
      </c>
      <c r="F105">
        <v>8672</v>
      </c>
      <c r="G105">
        <v>14744585.636363637</v>
      </c>
      <c r="H105">
        <v>0.96249205415899108</v>
      </c>
      <c r="I105">
        <v>0.94659885568976476</v>
      </c>
      <c r="J105">
        <v>2840685.9090909092</v>
      </c>
      <c r="K105">
        <v>15249</v>
      </c>
      <c r="L105">
        <v>2</v>
      </c>
      <c r="M105">
        <v>79</v>
      </c>
      <c r="N105">
        <v>0.94278448823903371</v>
      </c>
      <c r="O105">
        <v>2405993.8181818184</v>
      </c>
      <c r="P105">
        <v>15602</v>
      </c>
      <c r="Q105">
        <v>2</v>
      </c>
      <c r="R105">
        <v>80</v>
      </c>
      <c r="S105">
        <v>12.185420743639922</v>
      </c>
      <c r="T105">
        <v>0.97441859245300289</v>
      </c>
      <c r="W105">
        <f>Tabela6[[#This Row],[mlp_params]]</f>
        <v>15249</v>
      </c>
      <c r="X105">
        <f>Tabela6[[#This Row],[mlp_test_acc]]</f>
        <v>0.94659885568976476</v>
      </c>
      <c r="Y105">
        <f>Tabela6[[#This Row],[kan_val_acc_1]]</f>
        <v>0.97441859245300289</v>
      </c>
      <c r="Z105">
        <f>Tabela6[[#This Row],[no_steps]]</f>
        <v>12.185420743639922</v>
      </c>
    </row>
    <row r="106" spans="1:26" hidden="1" x14ac:dyDescent="0.25">
      <c r="A106" t="s">
        <v>18</v>
      </c>
      <c r="B106">
        <v>3</v>
      </c>
      <c r="C106">
        <v>3</v>
      </c>
      <c r="D106">
        <v>0</v>
      </c>
      <c r="E106" t="s">
        <v>39</v>
      </c>
      <c r="F106">
        <v>9250</v>
      </c>
      <c r="G106">
        <v>14929971.181818182</v>
      </c>
      <c r="H106">
        <v>0.97520662437785754</v>
      </c>
      <c r="I106">
        <v>0.94405594405594406</v>
      </c>
      <c r="J106">
        <v>2658907.9090909092</v>
      </c>
      <c r="K106">
        <v>16320</v>
      </c>
      <c r="L106">
        <v>2</v>
      </c>
      <c r="M106">
        <v>82</v>
      </c>
      <c r="N106">
        <v>0.95168467895740627</v>
      </c>
      <c r="O106">
        <v>2355393.8181818184</v>
      </c>
      <c r="P106">
        <v>16685</v>
      </c>
      <c r="Q106">
        <v>2</v>
      </c>
      <c r="R106">
        <v>83</v>
      </c>
      <c r="S106">
        <v>12.172749391727494</v>
      </c>
      <c r="T106">
        <v>0.97790696620941164</v>
      </c>
      <c r="W106">
        <f>Tabela6[[#This Row],[mlp_params]]</f>
        <v>16320</v>
      </c>
      <c r="X106">
        <f>Tabela6[[#This Row],[mlp_test_acc]]</f>
        <v>0.94405594405594406</v>
      </c>
      <c r="Y106">
        <f>Tabela6[[#This Row],[kan_val_acc_1]]</f>
        <v>0.97790696620941164</v>
      </c>
      <c r="Z106">
        <f>Tabela6[[#This Row],[no_steps]]</f>
        <v>12.172749391727494</v>
      </c>
    </row>
    <row r="107" spans="1:26" hidden="1" x14ac:dyDescent="0.25">
      <c r="A107" t="s">
        <v>18</v>
      </c>
      <c r="B107">
        <v>3</v>
      </c>
      <c r="C107">
        <v>3</v>
      </c>
      <c r="D107">
        <v>0</v>
      </c>
      <c r="E107" t="s">
        <v>55</v>
      </c>
      <c r="F107">
        <v>9828</v>
      </c>
      <c r="G107">
        <v>14621836.636363637</v>
      </c>
      <c r="H107">
        <v>0.96376350792971521</v>
      </c>
      <c r="I107">
        <v>0.94469167196439929</v>
      </c>
      <c r="J107">
        <v>3011865.0909090908</v>
      </c>
      <c r="K107">
        <v>17427</v>
      </c>
      <c r="L107">
        <v>2</v>
      </c>
      <c r="M107">
        <v>85</v>
      </c>
      <c r="N107">
        <v>0.94405594405594406</v>
      </c>
      <c r="O107">
        <v>2615377.4545454546</v>
      </c>
      <c r="P107">
        <v>17804</v>
      </c>
      <c r="Q107">
        <v>2</v>
      </c>
      <c r="R107">
        <v>86</v>
      </c>
      <c r="S107">
        <v>12.156824782187803</v>
      </c>
      <c r="T107">
        <v>0.97558138370513914</v>
      </c>
      <c r="W107">
        <f>Tabela6[[#This Row],[mlp_params]]</f>
        <v>17427</v>
      </c>
      <c r="X107">
        <f>Tabela6[[#This Row],[mlp_test_acc]]</f>
        <v>0.94469167196439929</v>
      </c>
      <c r="Y107">
        <f>Tabela6[[#This Row],[kan_val_acc_1]]</f>
        <v>0.97558138370513914</v>
      </c>
      <c r="Z107">
        <f>Tabela6[[#This Row],[no_steps]]</f>
        <v>12.156824782187803</v>
      </c>
    </row>
    <row r="108" spans="1:26" hidden="1" x14ac:dyDescent="0.25">
      <c r="A108" t="s">
        <v>18</v>
      </c>
      <c r="B108">
        <v>3</v>
      </c>
      <c r="C108">
        <v>3</v>
      </c>
      <c r="D108">
        <v>0</v>
      </c>
      <c r="E108" t="s">
        <v>66</v>
      </c>
      <c r="F108">
        <v>10406</v>
      </c>
      <c r="G108">
        <v>15789131.818181818</v>
      </c>
      <c r="H108">
        <v>0.95994914119893859</v>
      </c>
      <c r="I108">
        <v>0.93833439287984743</v>
      </c>
      <c r="J108">
        <v>7516838.0909090908</v>
      </c>
      <c r="K108">
        <v>18185</v>
      </c>
      <c r="L108">
        <v>2</v>
      </c>
      <c r="M108">
        <v>87</v>
      </c>
      <c r="N108">
        <v>0.94087730451366813</v>
      </c>
      <c r="O108">
        <v>8677278.4545454551</v>
      </c>
      <c r="P108">
        <v>18570</v>
      </c>
      <c r="Q108">
        <v>2</v>
      </c>
      <c r="R108">
        <v>88</v>
      </c>
      <c r="S108">
        <v>12.142994703899856</v>
      </c>
      <c r="T108">
        <v>0.97674417495727539</v>
      </c>
      <c r="W108">
        <f>Tabela6[[#This Row],[mlp_params]]</f>
        <v>18185</v>
      </c>
      <c r="X108">
        <f>Tabela6[[#This Row],[mlp_test_acc]]</f>
        <v>0.93833439287984743</v>
      </c>
      <c r="Y108">
        <f>Tabela6[[#This Row],[kan_val_acc_1]]</f>
        <v>0.97674417495727539</v>
      </c>
      <c r="Z108">
        <f>Tabela6[[#This Row],[no_steps]]</f>
        <v>12.142994703899856</v>
      </c>
    </row>
    <row r="109" spans="1:26" hidden="1" x14ac:dyDescent="0.25">
      <c r="A109" t="s">
        <v>18</v>
      </c>
      <c r="B109">
        <v>3</v>
      </c>
      <c r="C109">
        <v>3</v>
      </c>
      <c r="D109">
        <v>0</v>
      </c>
      <c r="E109" t="s">
        <v>76</v>
      </c>
      <c r="F109">
        <v>10984</v>
      </c>
      <c r="G109">
        <v>15054462.454545455</v>
      </c>
      <c r="H109">
        <v>0.96567069400440564</v>
      </c>
      <c r="I109">
        <v>0.94087730451366813</v>
      </c>
      <c r="J109">
        <v>8965327.4545454551</v>
      </c>
      <c r="K109">
        <v>19352</v>
      </c>
      <c r="L109">
        <v>2</v>
      </c>
      <c r="M109">
        <v>90</v>
      </c>
      <c r="N109">
        <v>0.94278448823903371</v>
      </c>
      <c r="O109">
        <v>8101640</v>
      </c>
      <c r="P109">
        <v>19749</v>
      </c>
      <c r="Q109">
        <v>2</v>
      </c>
      <c r="R109">
        <v>91</v>
      </c>
      <c r="S109">
        <v>12.125478927203066</v>
      </c>
      <c r="T109">
        <v>0.97209300994873049</v>
      </c>
      <c r="W109">
        <f>Tabela6[[#This Row],[mlp_params]]</f>
        <v>19352</v>
      </c>
      <c r="X109">
        <f>Tabela6[[#This Row],[mlp_test_acc]]</f>
        <v>0.94087730451366813</v>
      </c>
      <c r="Y109">
        <f>Tabela6[[#This Row],[kan_val_acc_1]]</f>
        <v>0.97209300994873049</v>
      </c>
      <c r="Z109">
        <f>Tabela6[[#This Row],[no_steps]]</f>
        <v>12.125478927203066</v>
      </c>
    </row>
    <row r="110" spans="1:26" hidden="1" x14ac:dyDescent="0.25">
      <c r="A110" t="s">
        <v>18</v>
      </c>
      <c r="B110">
        <v>3</v>
      </c>
      <c r="C110">
        <v>3</v>
      </c>
      <c r="D110">
        <v>0</v>
      </c>
      <c r="E110" t="s">
        <v>93</v>
      </c>
      <c r="F110">
        <v>11562</v>
      </c>
      <c r="G110">
        <v>17116412.818181816</v>
      </c>
      <c r="H110">
        <v>0.96757787466049194</v>
      </c>
      <c r="I110">
        <v>0.94596312778130964</v>
      </c>
      <c r="J110">
        <v>8652354.7272727266</v>
      </c>
      <c r="K110">
        <v>20150</v>
      </c>
      <c r="L110">
        <v>2</v>
      </c>
      <c r="M110">
        <v>92</v>
      </c>
      <c r="N110">
        <v>0.94342021614748883</v>
      </c>
      <c r="O110">
        <v>7766900.9090909092</v>
      </c>
      <c r="P110">
        <v>20555</v>
      </c>
      <c r="Q110">
        <v>2</v>
      </c>
      <c r="R110">
        <v>93</v>
      </c>
      <c r="S110">
        <v>12.112434492615531</v>
      </c>
      <c r="T110">
        <v>0.97674417495727539</v>
      </c>
      <c r="W110">
        <f>Tabela6[[#This Row],[mlp_params]]</f>
        <v>20150</v>
      </c>
      <c r="X110">
        <f>Tabela6[[#This Row],[mlp_test_acc]]</f>
        <v>0.94596312778130964</v>
      </c>
      <c r="Y110">
        <f>Tabela6[[#This Row],[kan_val_acc_1]]</f>
        <v>0.97674417495727539</v>
      </c>
      <c r="Z110">
        <f>Tabela6[[#This Row],[no_steps]]</f>
        <v>12.112434492615531</v>
      </c>
    </row>
    <row r="111" spans="1:26" hidden="1" x14ac:dyDescent="0.25">
      <c r="A111" t="s">
        <v>18</v>
      </c>
      <c r="B111">
        <v>3</v>
      </c>
      <c r="C111">
        <v>3</v>
      </c>
      <c r="D111">
        <v>0</v>
      </c>
      <c r="E111" t="s">
        <v>94</v>
      </c>
      <c r="F111">
        <v>12140</v>
      </c>
      <c r="G111">
        <v>17388578.90909091</v>
      </c>
      <c r="H111">
        <v>0.96630641005255957</v>
      </c>
      <c r="I111">
        <v>0.94469167196439929</v>
      </c>
      <c r="J111">
        <v>8382239.2727272725</v>
      </c>
      <c r="K111">
        <v>21377</v>
      </c>
      <c r="L111">
        <v>2</v>
      </c>
      <c r="M111">
        <v>95</v>
      </c>
      <c r="N111">
        <v>0.94469167196439929</v>
      </c>
      <c r="O111">
        <v>9012080.9090909082</v>
      </c>
      <c r="P111">
        <v>21794</v>
      </c>
      <c r="Q111">
        <v>2</v>
      </c>
      <c r="R111">
        <v>96</v>
      </c>
      <c r="S111">
        <v>12.099052132701422</v>
      </c>
      <c r="T111">
        <v>0.97441859245300289</v>
      </c>
      <c r="W111">
        <f>Tabela6[[#This Row],[mlp_params]]</f>
        <v>21377</v>
      </c>
      <c r="X111">
        <f>Tabela6[[#This Row],[mlp_test_acc]]</f>
        <v>0.94469167196439929</v>
      </c>
      <c r="Y111">
        <f>Tabela6[[#This Row],[kan_val_acc_1]]</f>
        <v>0.97441859245300289</v>
      </c>
      <c r="Z111">
        <f>Tabela6[[#This Row],[no_steps]]</f>
        <v>12.099052132701422</v>
      </c>
    </row>
    <row r="112" spans="1:26" hidden="1" x14ac:dyDescent="0.25">
      <c r="A112" t="s">
        <v>18</v>
      </c>
      <c r="B112">
        <v>3</v>
      </c>
      <c r="C112">
        <v>3</v>
      </c>
      <c r="D112">
        <v>0</v>
      </c>
      <c r="E112" t="s">
        <v>95</v>
      </c>
      <c r="F112">
        <v>12718</v>
      </c>
      <c r="G112">
        <v>17442521.727272727</v>
      </c>
      <c r="H112">
        <v>0.96694214235652576</v>
      </c>
      <c r="I112">
        <v>0.94914176732358546</v>
      </c>
      <c r="J112">
        <v>7597274.2727272725</v>
      </c>
      <c r="K112">
        <v>22215</v>
      </c>
      <c r="L112">
        <v>2</v>
      </c>
      <c r="M112">
        <v>97</v>
      </c>
      <c r="N112">
        <v>0.94024157660521301</v>
      </c>
      <c r="O112">
        <v>7667371.8181818184</v>
      </c>
      <c r="P112">
        <v>22640</v>
      </c>
      <c r="Q112">
        <v>2</v>
      </c>
      <c r="R112">
        <v>98</v>
      </c>
      <c r="S112">
        <v>12.083922677982084</v>
      </c>
      <c r="T112">
        <v>0.9790697574615479</v>
      </c>
      <c r="W112">
        <f>Tabela6[[#This Row],[mlp_params]]</f>
        <v>22215</v>
      </c>
      <c r="X112">
        <f>Tabela6[[#This Row],[mlp_test_acc]]</f>
        <v>0.94914176732358546</v>
      </c>
      <c r="Y112">
        <f>Tabela6[[#This Row],[kan_val_acc_1]]</f>
        <v>0.9790697574615479</v>
      </c>
      <c r="Z112">
        <f>Tabela6[[#This Row],[no_steps]]</f>
        <v>12.083922677982084</v>
      </c>
    </row>
    <row r="113" spans="1:26" hidden="1" x14ac:dyDescent="0.25">
      <c r="A113" t="s">
        <v>18</v>
      </c>
      <c r="B113">
        <v>3</v>
      </c>
      <c r="C113">
        <v>4</v>
      </c>
      <c r="D113">
        <v>0</v>
      </c>
      <c r="E113" t="s">
        <v>93</v>
      </c>
      <c r="F113">
        <v>12842</v>
      </c>
      <c r="G113">
        <v>19471856.181818184</v>
      </c>
      <c r="H113">
        <v>0.96376351334831933</v>
      </c>
      <c r="I113">
        <v>0.94405594405594406</v>
      </c>
      <c r="J113">
        <v>7245586.1818181816</v>
      </c>
      <c r="K113">
        <v>23939</v>
      </c>
      <c r="L113">
        <v>2</v>
      </c>
      <c r="M113">
        <v>101</v>
      </c>
      <c r="N113">
        <v>0.94469167196439929</v>
      </c>
      <c r="O113">
        <v>8202663.5454545459</v>
      </c>
      <c r="P113">
        <v>24380</v>
      </c>
      <c r="Q113">
        <v>2</v>
      </c>
      <c r="R113">
        <v>102</v>
      </c>
      <c r="S113">
        <v>12.072701688555346</v>
      </c>
      <c r="T113">
        <v>0.97325580120086674</v>
      </c>
      <c r="W113">
        <f>Tabela6[[#This Row],[mlp_params]]</f>
        <v>23939</v>
      </c>
      <c r="X113">
        <f>Tabela6[[#This Row],[mlp_test_acc]]</f>
        <v>0.94405594405594406</v>
      </c>
      <c r="Y113">
        <f>Tabela6[[#This Row],[kan_val_acc_1]]</f>
        <v>0.97325580120086674</v>
      </c>
      <c r="Z113">
        <f>Tabela6[[#This Row],[no_steps]]</f>
        <v>12.072701688555346</v>
      </c>
    </row>
    <row r="114" spans="1:26" hidden="1" x14ac:dyDescent="0.25">
      <c r="A114" t="s">
        <v>18</v>
      </c>
      <c r="B114">
        <v>3</v>
      </c>
      <c r="C114">
        <v>4</v>
      </c>
      <c r="D114">
        <v>0</v>
      </c>
      <c r="E114" t="s">
        <v>94</v>
      </c>
      <c r="F114">
        <v>13484</v>
      </c>
      <c r="G114">
        <v>18020417.727272727</v>
      </c>
      <c r="H114">
        <v>0.98092816092751245</v>
      </c>
      <c r="I114">
        <v>0.93070565797838523</v>
      </c>
      <c r="J114">
        <v>8288212.0909090908</v>
      </c>
      <c r="K114">
        <v>25274</v>
      </c>
      <c r="L114">
        <v>2</v>
      </c>
      <c r="M114">
        <v>104</v>
      </c>
      <c r="N114">
        <v>0.93833439287984743</v>
      </c>
      <c r="O114">
        <v>8995722.7272727266</v>
      </c>
      <c r="P114">
        <v>25727</v>
      </c>
      <c r="Q114">
        <v>2</v>
      </c>
      <c r="R114">
        <v>105</v>
      </c>
      <c r="S114">
        <v>12.060195986934204</v>
      </c>
      <c r="T114">
        <v>0.98023254871368404</v>
      </c>
      <c r="W114">
        <f>Tabela6[[#This Row],[mlp_params]]</f>
        <v>25274</v>
      </c>
      <c r="X114">
        <f>Tabela6[[#This Row],[mlp_test_acc]]</f>
        <v>0.93070565797838523</v>
      </c>
      <c r="Y114">
        <f>Tabela6[[#This Row],[kan_val_acc_1]]</f>
        <v>0.98023254871368404</v>
      </c>
      <c r="Z114">
        <f>Tabela6[[#This Row],[no_steps]]</f>
        <v>12.060195986934204</v>
      </c>
    </row>
    <row r="115" spans="1:26" hidden="1" x14ac:dyDescent="0.25">
      <c r="A115" t="s">
        <v>18</v>
      </c>
      <c r="B115">
        <v>3</v>
      </c>
      <c r="C115">
        <v>4</v>
      </c>
      <c r="D115">
        <v>0</v>
      </c>
      <c r="E115" t="s">
        <v>95</v>
      </c>
      <c r="F115">
        <v>14126</v>
      </c>
      <c r="G115">
        <v>18922745.454545453</v>
      </c>
      <c r="H115">
        <v>0.98219961469823669</v>
      </c>
      <c r="I115">
        <v>0.94278448823903371</v>
      </c>
      <c r="J115">
        <v>7914378.4545454541</v>
      </c>
      <c r="K115">
        <v>26645</v>
      </c>
      <c r="L115">
        <v>2</v>
      </c>
      <c r="M115">
        <v>107</v>
      </c>
      <c r="N115">
        <v>0.93960584869675778</v>
      </c>
      <c r="O115">
        <v>8970891.2727272734</v>
      </c>
      <c r="P115">
        <v>27110</v>
      </c>
      <c r="Q115">
        <v>2</v>
      </c>
      <c r="R115">
        <v>108</v>
      </c>
      <c r="S115">
        <v>12.046889507892294</v>
      </c>
      <c r="T115">
        <v>0.97441859245300289</v>
      </c>
      <c r="W115">
        <f>Tabela6[[#This Row],[mlp_params]]</f>
        <v>26645</v>
      </c>
      <c r="X115">
        <f>Tabela6[[#This Row],[mlp_test_acc]]</f>
        <v>0.94278448823903371</v>
      </c>
      <c r="Y115">
        <f>Tabela6[[#This Row],[kan_val_acc_1]]</f>
        <v>0.97441859245300289</v>
      </c>
      <c r="Z115">
        <f>Tabela6[[#This Row],[no_steps]]</f>
        <v>12.046889507892294</v>
      </c>
    </row>
    <row r="116" spans="1:26" hidden="1" x14ac:dyDescent="0.25">
      <c r="A116" t="s">
        <v>18</v>
      </c>
      <c r="B116">
        <v>3</v>
      </c>
      <c r="C116">
        <v>4</v>
      </c>
      <c r="D116">
        <v>0</v>
      </c>
      <c r="E116" t="s">
        <v>96</v>
      </c>
      <c r="F116">
        <v>14768</v>
      </c>
      <c r="G116">
        <v>18577778.727272727</v>
      </c>
      <c r="H116">
        <v>0.97965669090097596</v>
      </c>
      <c r="I116">
        <v>0.93833439287984743</v>
      </c>
      <c r="J116">
        <v>8895583.7272727266</v>
      </c>
      <c r="K116">
        <v>27579</v>
      </c>
      <c r="L116">
        <v>2</v>
      </c>
      <c r="M116">
        <v>109</v>
      </c>
      <c r="N116">
        <v>0.93769866497139231</v>
      </c>
      <c r="O116">
        <v>8500042.6363636367</v>
      </c>
      <c r="P116">
        <v>28052</v>
      </c>
      <c r="Q116">
        <v>2</v>
      </c>
      <c r="R116">
        <v>110</v>
      </c>
      <c r="S116">
        <v>12.033718244803696</v>
      </c>
      <c r="T116">
        <v>0.97558138370513914</v>
      </c>
      <c r="W116">
        <f>Tabela6[[#This Row],[mlp_params]]</f>
        <v>27579</v>
      </c>
      <c r="X116">
        <f>Tabela6[[#This Row],[mlp_test_acc]]</f>
        <v>0.93833439287984743</v>
      </c>
      <c r="Y116">
        <f>Tabela6[[#This Row],[kan_val_acc_1]]</f>
        <v>0.97558138370513914</v>
      </c>
      <c r="Z116">
        <f>Tabela6[[#This Row],[no_steps]]</f>
        <v>12.033718244803696</v>
      </c>
    </row>
    <row r="117" spans="1:26" hidden="1" x14ac:dyDescent="0.25">
      <c r="A117" t="s">
        <v>18</v>
      </c>
      <c r="B117">
        <v>3</v>
      </c>
      <c r="C117">
        <v>4</v>
      </c>
      <c r="D117">
        <v>0</v>
      </c>
      <c r="E117" t="s">
        <v>97</v>
      </c>
      <c r="F117">
        <v>15410</v>
      </c>
      <c r="G117">
        <v>20506343.09090909</v>
      </c>
      <c r="H117">
        <v>0.9821996201168407</v>
      </c>
      <c r="I117">
        <v>0.9351557533375715</v>
      </c>
      <c r="J117">
        <v>9276978.1818181816</v>
      </c>
      <c r="K117">
        <v>29010</v>
      </c>
      <c r="L117">
        <v>2</v>
      </c>
      <c r="M117">
        <v>112</v>
      </c>
      <c r="N117">
        <v>0.93261284170375081</v>
      </c>
      <c r="O117">
        <v>8002139.7272727275</v>
      </c>
      <c r="P117">
        <v>29495</v>
      </c>
      <c r="Q117">
        <v>2</v>
      </c>
      <c r="R117">
        <v>113</v>
      </c>
      <c r="S117">
        <v>12.0234375</v>
      </c>
      <c r="T117">
        <v>0.97790696620941164</v>
      </c>
      <c r="W117">
        <f>Tabela6[[#This Row],[mlp_params]]</f>
        <v>29010</v>
      </c>
      <c r="X117">
        <f>Tabela6[[#This Row],[mlp_test_acc]]</f>
        <v>0.9351557533375715</v>
      </c>
      <c r="Y117">
        <f>Tabela6[[#This Row],[kan_val_acc_1]]</f>
        <v>0.97790696620941164</v>
      </c>
      <c r="Z117">
        <f>Tabela6[[#This Row],[no_steps]]</f>
        <v>12.0234375</v>
      </c>
    </row>
    <row r="118" spans="1:26" hidden="1" x14ac:dyDescent="0.25">
      <c r="A118" t="s">
        <v>18</v>
      </c>
      <c r="B118">
        <v>3</v>
      </c>
      <c r="C118">
        <v>4</v>
      </c>
      <c r="D118">
        <v>0</v>
      </c>
      <c r="E118" t="s">
        <v>98</v>
      </c>
      <c r="F118">
        <v>16052</v>
      </c>
      <c r="G118">
        <v>22357537.636363637</v>
      </c>
      <c r="H118">
        <v>0.98219960927963257</v>
      </c>
      <c r="I118">
        <v>0.93579148124602674</v>
      </c>
      <c r="J118">
        <v>8804203.2727272734</v>
      </c>
      <c r="K118">
        <v>29984</v>
      </c>
      <c r="L118">
        <v>2</v>
      </c>
      <c r="M118">
        <v>114</v>
      </c>
      <c r="N118">
        <v>0.93897012078830255</v>
      </c>
      <c r="O118">
        <v>8136293.9090909092</v>
      </c>
      <c r="P118">
        <v>30477</v>
      </c>
      <c r="Q118">
        <v>2</v>
      </c>
      <c r="R118">
        <v>115</v>
      </c>
      <c r="S118">
        <v>12.015089163237311</v>
      </c>
      <c r="T118">
        <v>0.98255813121795654</v>
      </c>
      <c r="W118">
        <f>Tabela6[[#This Row],[mlp_params]]</f>
        <v>29984</v>
      </c>
      <c r="X118">
        <f>Tabela6[[#This Row],[mlp_test_acc]]</f>
        <v>0.93579148124602674</v>
      </c>
      <c r="Y118">
        <f>Tabela6[[#This Row],[kan_val_acc_1]]</f>
        <v>0.98255813121795654</v>
      </c>
      <c r="Z118">
        <f>Tabela6[[#This Row],[no_steps]]</f>
        <v>12.015089163237311</v>
      </c>
    </row>
    <row r="119" spans="1:26" hidden="1" x14ac:dyDescent="0.25">
      <c r="A119" t="s">
        <v>18</v>
      </c>
      <c r="B119">
        <v>3</v>
      </c>
      <c r="C119">
        <v>4</v>
      </c>
      <c r="D119">
        <v>0</v>
      </c>
      <c r="E119" t="s">
        <v>99</v>
      </c>
      <c r="F119">
        <v>16694</v>
      </c>
      <c r="G119">
        <v>24394208.181818184</v>
      </c>
      <c r="H119">
        <v>0.97902095859700988</v>
      </c>
      <c r="I119">
        <v>0.93833439287984743</v>
      </c>
      <c r="J119">
        <v>8089637.7272727275</v>
      </c>
      <c r="K119">
        <v>31475</v>
      </c>
      <c r="L119">
        <v>2</v>
      </c>
      <c r="M119">
        <v>117</v>
      </c>
      <c r="N119">
        <v>0.9351557533375715</v>
      </c>
      <c r="O119">
        <v>9253157.9090909082</v>
      </c>
      <c r="P119">
        <v>31980</v>
      </c>
      <c r="Q119">
        <v>2</v>
      </c>
      <c r="R119">
        <v>118</v>
      </c>
      <c r="S119">
        <v>12.008189262966333</v>
      </c>
      <c r="T119">
        <v>0.97790696620941164</v>
      </c>
      <c r="W119">
        <f>Tabela6[[#This Row],[mlp_params]]</f>
        <v>31475</v>
      </c>
      <c r="X119">
        <f>Tabela6[[#This Row],[mlp_test_acc]]</f>
        <v>0.93833439287984743</v>
      </c>
      <c r="Y119">
        <f>Tabela6[[#This Row],[kan_val_acc_1]]</f>
        <v>0.97790696620941164</v>
      </c>
      <c r="Z119">
        <f>Tabela6[[#This Row],[no_steps]]</f>
        <v>12.008189262966333</v>
      </c>
    </row>
    <row r="120" spans="1:26" hidden="1" x14ac:dyDescent="0.25">
      <c r="A120" t="s">
        <v>18</v>
      </c>
      <c r="B120">
        <v>3</v>
      </c>
      <c r="C120">
        <v>4</v>
      </c>
      <c r="D120">
        <v>0</v>
      </c>
      <c r="E120" t="s">
        <v>100</v>
      </c>
      <c r="F120">
        <v>17336</v>
      </c>
      <c r="G120">
        <v>21984614.727272727</v>
      </c>
      <c r="H120">
        <v>0.9783852262930437</v>
      </c>
      <c r="I120">
        <v>0.93897012078830266</v>
      </c>
      <c r="J120">
        <v>8415139.0909090918</v>
      </c>
      <c r="K120">
        <v>32489</v>
      </c>
      <c r="L120">
        <v>2</v>
      </c>
      <c r="M120">
        <v>119</v>
      </c>
      <c r="N120">
        <v>0.93579148124602674</v>
      </c>
      <c r="O120">
        <v>8787866.0909090918</v>
      </c>
      <c r="P120">
        <v>33002</v>
      </c>
      <c r="Q120">
        <v>2</v>
      </c>
      <c r="R120">
        <v>120</v>
      </c>
      <c r="S120">
        <v>11.997283838841104</v>
      </c>
      <c r="T120">
        <v>0.9790697574615479</v>
      </c>
      <c r="W120">
        <f>Tabela6[[#This Row],[mlp_params]]</f>
        <v>32489</v>
      </c>
      <c r="X120">
        <f>Tabela6[[#This Row],[mlp_test_acc]]</f>
        <v>0.93897012078830266</v>
      </c>
      <c r="Y120">
        <f>Tabela6[[#This Row],[kan_val_acc_1]]</f>
        <v>0.9790697574615479</v>
      </c>
      <c r="Z120">
        <f>Tabela6[[#This Row],[no_steps]]</f>
        <v>11.997283838841104</v>
      </c>
    </row>
    <row r="121" spans="1:26" hidden="1" x14ac:dyDescent="0.25">
      <c r="A121" t="s">
        <v>18</v>
      </c>
      <c r="B121">
        <v>3</v>
      </c>
      <c r="C121">
        <v>4</v>
      </c>
      <c r="D121">
        <v>0</v>
      </c>
      <c r="E121" t="s">
        <v>101</v>
      </c>
      <c r="F121">
        <v>17978</v>
      </c>
      <c r="G121">
        <v>25207823.181818184</v>
      </c>
      <c r="H121">
        <v>0.98092815550890833</v>
      </c>
      <c r="I121">
        <v>0.94024157660521301</v>
      </c>
      <c r="J121">
        <v>7805614.9090909092</v>
      </c>
      <c r="K121">
        <v>34040</v>
      </c>
      <c r="L121">
        <v>2</v>
      </c>
      <c r="M121">
        <v>122</v>
      </c>
      <c r="N121">
        <v>0.94087730451366813</v>
      </c>
      <c r="O121">
        <v>8904205.7272727266</v>
      </c>
      <c r="P121">
        <v>34565</v>
      </c>
      <c r="Q121">
        <v>2</v>
      </c>
      <c r="R121">
        <v>123</v>
      </c>
      <c r="S121">
        <v>11.99009009009009</v>
      </c>
      <c r="T121">
        <v>0.98255813121795654</v>
      </c>
      <c r="W121">
        <f>Tabela6[[#This Row],[mlp_params]]</f>
        <v>34040</v>
      </c>
      <c r="X121">
        <f>Tabela6[[#This Row],[mlp_test_acc]]</f>
        <v>0.94024157660521301</v>
      </c>
      <c r="Y121">
        <f>Tabela6[[#This Row],[kan_val_acc_1]]</f>
        <v>0.98255813121795654</v>
      </c>
      <c r="Z121">
        <f>Tabela6[[#This Row],[no_steps]]</f>
        <v>11.99009009009009</v>
      </c>
    </row>
    <row r="122" spans="1:26" hidden="1" x14ac:dyDescent="0.25">
      <c r="A122" t="s">
        <v>18</v>
      </c>
      <c r="B122">
        <v>3</v>
      </c>
      <c r="C122">
        <v>4</v>
      </c>
      <c r="D122">
        <v>0</v>
      </c>
      <c r="E122" t="s">
        <v>102</v>
      </c>
      <c r="F122">
        <v>18620</v>
      </c>
      <c r="G122">
        <v>25738760.454545453</v>
      </c>
      <c r="H122">
        <v>0.97584232958880335</v>
      </c>
      <c r="I122">
        <v>0.93897012078830255</v>
      </c>
      <c r="J122">
        <v>8688646.3636363633</v>
      </c>
      <c r="K122">
        <v>35094</v>
      </c>
      <c r="L122">
        <v>2</v>
      </c>
      <c r="M122">
        <v>124</v>
      </c>
      <c r="N122">
        <v>0.93579148124602674</v>
      </c>
      <c r="O122">
        <v>8909970.0909090918</v>
      </c>
      <c r="P122">
        <v>35627</v>
      </c>
      <c r="Q122">
        <v>2</v>
      </c>
      <c r="R122">
        <v>125</v>
      </c>
      <c r="S122">
        <v>11.982070820259974</v>
      </c>
      <c r="T122">
        <v>0.98023254871368404</v>
      </c>
      <c r="W122">
        <f>Tabela6[[#This Row],[mlp_params]]</f>
        <v>35094</v>
      </c>
      <c r="X122">
        <f>Tabela6[[#This Row],[mlp_test_acc]]</f>
        <v>0.93897012078830255</v>
      </c>
      <c r="Y122">
        <f>Tabela6[[#This Row],[kan_val_acc_1]]</f>
        <v>0.98023254871368404</v>
      </c>
      <c r="Z122">
        <f>Tabela6[[#This Row],[no_steps]]</f>
        <v>11.982070820259974</v>
      </c>
    </row>
    <row r="123" spans="1:26" hidden="1" x14ac:dyDescent="0.25">
      <c r="A123" t="s">
        <v>18</v>
      </c>
      <c r="B123">
        <v>3</v>
      </c>
      <c r="C123">
        <v>4</v>
      </c>
      <c r="D123">
        <v>0</v>
      </c>
      <c r="E123" t="s">
        <v>103</v>
      </c>
      <c r="F123">
        <v>19262</v>
      </c>
      <c r="G123">
        <v>24915606</v>
      </c>
      <c r="H123">
        <v>0.97469197284607656</v>
      </c>
      <c r="I123">
        <v>0.93706293706293708</v>
      </c>
      <c r="J123">
        <v>9311345.5238095243</v>
      </c>
      <c r="K123">
        <v>36164</v>
      </c>
      <c r="L123">
        <v>2</v>
      </c>
      <c r="M123">
        <v>126</v>
      </c>
      <c r="N123">
        <v>0.93706293706293708</v>
      </c>
      <c r="O123">
        <v>8542329.7619047612</v>
      </c>
      <c r="P123">
        <v>36705</v>
      </c>
      <c r="Q123">
        <v>2</v>
      </c>
      <c r="R123">
        <v>127</v>
      </c>
      <c r="S123">
        <v>11.958703374777976</v>
      </c>
      <c r="T123">
        <v>0.9790697574615479</v>
      </c>
      <c r="W123">
        <f>Tabela6[[#This Row],[mlp_params]]</f>
        <v>36164</v>
      </c>
      <c r="X123">
        <f>Tabela6[[#This Row],[mlp_test_acc]]</f>
        <v>0.93706293706293708</v>
      </c>
      <c r="Y123">
        <f>Tabela6[[#This Row],[kan_val_acc_1]]</f>
        <v>0.9790697574615479</v>
      </c>
      <c r="Z123">
        <f>Tabela6[[#This Row],[no_steps]]</f>
        <v>11.958703374777976</v>
      </c>
    </row>
    <row r="124" spans="1:26" hidden="1" x14ac:dyDescent="0.25">
      <c r="A124" t="s">
        <v>18</v>
      </c>
      <c r="B124">
        <v>3</v>
      </c>
      <c r="C124">
        <v>4</v>
      </c>
      <c r="D124">
        <v>0</v>
      </c>
      <c r="E124" t="s">
        <v>104</v>
      </c>
      <c r="F124">
        <v>19904</v>
      </c>
      <c r="G124">
        <v>27507856.095238097</v>
      </c>
      <c r="H124">
        <v>0.97735597406114849</v>
      </c>
      <c r="I124">
        <v>0.93406593406593408</v>
      </c>
      <c r="J124">
        <v>8297191.666666667</v>
      </c>
      <c r="K124">
        <v>37250</v>
      </c>
      <c r="L124">
        <v>2</v>
      </c>
      <c r="M124">
        <v>128</v>
      </c>
      <c r="N124">
        <v>0.94338994338994342</v>
      </c>
      <c r="O124">
        <v>8592050.0476190485</v>
      </c>
      <c r="P124">
        <v>37799</v>
      </c>
      <c r="Q124">
        <v>2</v>
      </c>
      <c r="R124">
        <v>129</v>
      </c>
      <c r="S124">
        <v>11.945446546414431</v>
      </c>
      <c r="T124">
        <v>0.98604650497436519</v>
      </c>
      <c r="W124">
        <f>Tabela6[[#This Row],[mlp_params]]</f>
        <v>37250</v>
      </c>
      <c r="X124">
        <f>Tabela6[[#This Row],[mlp_test_acc]]</f>
        <v>0.93406593406593408</v>
      </c>
      <c r="Y124">
        <f>Tabela6[[#This Row],[kan_val_acc_1]]</f>
        <v>0.98604650497436519</v>
      </c>
      <c r="Z124">
        <f>Tabela6[[#This Row],[no_steps]]</f>
        <v>11.945446546414431</v>
      </c>
    </row>
    <row r="125" spans="1:26" hidden="1" x14ac:dyDescent="0.25">
      <c r="A125" t="s">
        <v>18</v>
      </c>
      <c r="B125">
        <v>3</v>
      </c>
      <c r="C125">
        <v>4</v>
      </c>
      <c r="D125">
        <v>0</v>
      </c>
      <c r="E125" t="s">
        <v>25</v>
      </c>
      <c r="F125">
        <v>19946</v>
      </c>
      <c r="G125">
        <v>29962921.476190478</v>
      </c>
      <c r="H125">
        <v>0.98068598338535851</v>
      </c>
      <c r="I125">
        <v>0.9430569430569431</v>
      </c>
      <c r="J125">
        <v>7982556.8571428573</v>
      </c>
      <c r="K125">
        <v>37799</v>
      </c>
      <c r="L125">
        <v>2</v>
      </c>
      <c r="M125">
        <v>129</v>
      </c>
      <c r="N125">
        <v>0.93539793539793537</v>
      </c>
      <c r="O125">
        <v>8839306.2857142854</v>
      </c>
      <c r="P125">
        <v>38352</v>
      </c>
      <c r="Q125">
        <v>2</v>
      </c>
      <c r="R125">
        <v>130</v>
      </c>
      <c r="S125">
        <v>11.935483870967742</v>
      </c>
      <c r="T125">
        <v>0.98139533996582029</v>
      </c>
      <c r="W125">
        <f>Tabela6[[#This Row],[mlp_params]]</f>
        <v>37799</v>
      </c>
      <c r="X125">
        <f>Tabela6[[#This Row],[mlp_test_acc]]</f>
        <v>0.9430569430569431</v>
      </c>
      <c r="Y125">
        <f>Tabela6[[#This Row],[kan_val_acc_1]]</f>
        <v>0.98139533996582029</v>
      </c>
      <c r="Z125">
        <f>Tabela6[[#This Row],[no_steps]]</f>
        <v>11.935483870967742</v>
      </c>
    </row>
    <row r="126" spans="1:26" hidden="1" x14ac:dyDescent="0.25">
      <c r="A126" t="s">
        <v>18</v>
      </c>
      <c r="B126">
        <v>3</v>
      </c>
      <c r="C126">
        <v>4</v>
      </c>
      <c r="D126">
        <v>0</v>
      </c>
      <c r="E126" t="s">
        <v>26</v>
      </c>
      <c r="F126">
        <v>20588</v>
      </c>
      <c r="G126">
        <v>28806988.181818184</v>
      </c>
      <c r="H126">
        <v>0.97774952108209778</v>
      </c>
      <c r="I126">
        <v>0.9376986649713922</v>
      </c>
      <c r="J126">
        <v>9538953.4545454551</v>
      </c>
      <c r="K126">
        <v>38909</v>
      </c>
      <c r="L126">
        <v>2</v>
      </c>
      <c r="M126">
        <v>131</v>
      </c>
      <c r="N126">
        <v>0.93452002542911639</v>
      </c>
      <c r="O126">
        <v>8678890.8181818184</v>
      </c>
      <c r="P126">
        <v>39470</v>
      </c>
      <c r="Q126">
        <v>2</v>
      </c>
      <c r="R126">
        <v>132</v>
      </c>
      <c r="S126">
        <v>11.927548806941431</v>
      </c>
      <c r="T126">
        <v>0.9837209224700928</v>
      </c>
      <c r="W126">
        <f>Tabela6[[#This Row],[mlp_params]]</f>
        <v>38909</v>
      </c>
      <c r="X126">
        <f>Tabela6[[#This Row],[mlp_test_acc]]</f>
        <v>0.9376986649713922</v>
      </c>
      <c r="Y126">
        <f>Tabela6[[#This Row],[kan_val_acc_1]]</f>
        <v>0.9837209224700928</v>
      </c>
      <c r="Z126">
        <f>Tabela6[[#This Row],[no_steps]]</f>
        <v>11.927548806941431</v>
      </c>
    </row>
    <row r="127" spans="1:26" hidden="1" x14ac:dyDescent="0.25">
      <c r="A127" t="s">
        <v>18</v>
      </c>
      <c r="B127">
        <v>3</v>
      </c>
      <c r="C127">
        <v>4</v>
      </c>
      <c r="D127">
        <v>0</v>
      </c>
      <c r="E127" t="s">
        <v>56</v>
      </c>
      <c r="F127">
        <v>21066</v>
      </c>
      <c r="G127">
        <v>30661247.952380951</v>
      </c>
      <c r="H127">
        <v>0.96803195987428936</v>
      </c>
      <c r="I127">
        <v>0.93872793872793869</v>
      </c>
      <c r="J127">
        <v>9394113</v>
      </c>
      <c r="K127">
        <v>39470</v>
      </c>
      <c r="L127">
        <v>2</v>
      </c>
      <c r="M127">
        <v>132</v>
      </c>
      <c r="N127">
        <v>0.93373293373293376</v>
      </c>
      <c r="O127">
        <v>9283052.1904761903</v>
      </c>
      <c r="P127">
        <v>40035</v>
      </c>
      <c r="Q127">
        <v>2</v>
      </c>
      <c r="R127">
        <v>133</v>
      </c>
      <c r="S127">
        <v>11.918314703353396</v>
      </c>
      <c r="T127">
        <v>0.98081394433975222</v>
      </c>
      <c r="W127">
        <f>Tabela6[[#This Row],[mlp_params]]</f>
        <v>39470</v>
      </c>
      <c r="X127">
        <f>Tabela6[[#This Row],[mlp_test_acc]]</f>
        <v>0.93872793872793869</v>
      </c>
      <c r="Y127">
        <f>Tabela6[[#This Row],[kan_val_acc_1]]</f>
        <v>0.98081394433975222</v>
      </c>
      <c r="Z127">
        <f>Tabela6[[#This Row],[no_steps]]</f>
        <v>11.918314703353396</v>
      </c>
    </row>
    <row r="128" spans="1:26" hidden="1" x14ac:dyDescent="0.25">
      <c r="A128" t="s">
        <v>18</v>
      </c>
      <c r="B128">
        <v>3</v>
      </c>
      <c r="C128">
        <v>4</v>
      </c>
      <c r="D128">
        <v>0</v>
      </c>
      <c r="E128" t="s">
        <v>27</v>
      </c>
      <c r="F128">
        <v>21230</v>
      </c>
      <c r="G128">
        <v>31446953.454545453</v>
      </c>
      <c r="H128">
        <v>0.9745708703994751</v>
      </c>
      <c r="I128">
        <v>0.92943420216147488</v>
      </c>
      <c r="J128">
        <v>8276518.2727272725</v>
      </c>
      <c r="K128">
        <v>40035</v>
      </c>
      <c r="L128">
        <v>2</v>
      </c>
      <c r="M128">
        <v>133</v>
      </c>
      <c r="N128">
        <v>0.93388429752066116</v>
      </c>
      <c r="O128">
        <v>9347737.1818181816</v>
      </c>
      <c r="P128">
        <v>40604</v>
      </c>
      <c r="Q128">
        <v>2</v>
      </c>
      <c r="R128">
        <v>134</v>
      </c>
      <c r="S128">
        <v>11.913564398801883</v>
      </c>
      <c r="T128">
        <v>0.98023254871368404</v>
      </c>
      <c r="W128">
        <f>Tabela6[[#This Row],[mlp_params]]</f>
        <v>40035</v>
      </c>
      <c r="X128">
        <f>Tabela6[[#This Row],[mlp_test_acc]]</f>
        <v>0.92943420216147488</v>
      </c>
      <c r="Y128">
        <f>Tabela6[[#This Row],[kan_val_acc_1]]</f>
        <v>0.98023254871368404</v>
      </c>
      <c r="Z128">
        <f>Tabela6[[#This Row],[no_steps]]</f>
        <v>11.913564398801883</v>
      </c>
    </row>
    <row r="129" spans="1:26" hidden="1" x14ac:dyDescent="0.25">
      <c r="A129" t="s">
        <v>18</v>
      </c>
      <c r="B129">
        <v>3</v>
      </c>
      <c r="C129">
        <v>4</v>
      </c>
      <c r="D129">
        <v>0</v>
      </c>
      <c r="E129" t="s">
        <v>28</v>
      </c>
      <c r="F129">
        <v>21872</v>
      </c>
      <c r="G129">
        <v>32573226.285714287</v>
      </c>
      <c r="H129">
        <v>0.97602397203445435</v>
      </c>
      <c r="I129">
        <v>0.9343989343989344</v>
      </c>
      <c r="J129">
        <v>9086401.1904761903</v>
      </c>
      <c r="K129">
        <v>41177</v>
      </c>
      <c r="L129">
        <v>2</v>
      </c>
      <c r="M129">
        <v>135</v>
      </c>
      <c r="N129">
        <v>0.93772893772893773</v>
      </c>
      <c r="O129">
        <v>7915540.2380952379</v>
      </c>
      <c r="P129">
        <v>41754</v>
      </c>
      <c r="Q129">
        <v>2</v>
      </c>
      <c r="R129">
        <v>136</v>
      </c>
      <c r="S129">
        <v>11.906276505513146</v>
      </c>
      <c r="T129">
        <v>0.98139533996582029</v>
      </c>
      <c r="W129">
        <f>Tabela6[[#This Row],[mlp_params]]</f>
        <v>41177</v>
      </c>
      <c r="X129">
        <f>Tabela6[[#This Row],[mlp_test_acc]]</f>
        <v>0.9343989343989344</v>
      </c>
      <c r="Y129">
        <f>Tabela6[[#This Row],[kan_val_acc_1]]</f>
        <v>0.98139533996582029</v>
      </c>
      <c r="Z129">
        <f>Tabela6[[#This Row],[no_steps]]</f>
        <v>11.906276505513146</v>
      </c>
    </row>
    <row r="130" spans="1:26" hidden="1" x14ac:dyDescent="0.25">
      <c r="A130" t="s">
        <v>18</v>
      </c>
      <c r="B130">
        <v>3</v>
      </c>
      <c r="C130">
        <v>4</v>
      </c>
      <c r="D130">
        <v>0</v>
      </c>
      <c r="E130" t="s">
        <v>67</v>
      </c>
      <c r="F130">
        <v>22268</v>
      </c>
      <c r="G130">
        <v>33569996.129032262</v>
      </c>
      <c r="H130">
        <v>0.97247912614576282</v>
      </c>
      <c r="I130">
        <v>0.93909316489961647</v>
      </c>
      <c r="J130">
        <v>9016687.8064516131</v>
      </c>
      <c r="K130">
        <v>41754</v>
      </c>
      <c r="L130">
        <v>2</v>
      </c>
      <c r="M130">
        <v>136</v>
      </c>
      <c r="N130">
        <v>0.94022106925332738</v>
      </c>
      <c r="O130">
        <v>8675234.2580645159</v>
      </c>
      <c r="P130">
        <v>42335</v>
      </c>
      <c r="Q130">
        <v>2</v>
      </c>
      <c r="R130">
        <v>137</v>
      </c>
      <c r="S130">
        <v>11.895353704478861</v>
      </c>
      <c r="T130">
        <v>0.98217053413391109</v>
      </c>
      <c r="W130">
        <f>Tabela6[[#This Row],[mlp_params]]</f>
        <v>41754</v>
      </c>
      <c r="X130">
        <f>Tabela6[[#This Row],[mlp_test_acc]]</f>
        <v>0.93909316489961647</v>
      </c>
      <c r="Y130">
        <f>Tabela6[[#This Row],[kan_val_acc_1]]</f>
        <v>0.98217053413391109</v>
      </c>
      <c r="Z130">
        <f>Tabela6[[#This Row],[no_steps]]</f>
        <v>11.895353704478861</v>
      </c>
    </row>
    <row r="131" spans="1:26" hidden="1" x14ac:dyDescent="0.25">
      <c r="A131" t="s">
        <v>18</v>
      </c>
      <c r="B131">
        <v>3</v>
      </c>
      <c r="C131">
        <v>4</v>
      </c>
      <c r="D131">
        <v>0</v>
      </c>
      <c r="E131" t="s">
        <v>29</v>
      </c>
      <c r="F131">
        <v>22514</v>
      </c>
      <c r="G131">
        <v>35063937.18181818</v>
      </c>
      <c r="H131">
        <v>0.95931341431357642</v>
      </c>
      <c r="I131">
        <v>0.94151303242212336</v>
      </c>
      <c r="J131">
        <v>8777371.9090909082</v>
      </c>
      <c r="K131">
        <v>42335</v>
      </c>
      <c r="L131">
        <v>2</v>
      </c>
      <c r="M131">
        <v>137</v>
      </c>
      <c r="N131">
        <v>0.9376986649713922</v>
      </c>
      <c r="O131">
        <v>8965068.5454545449</v>
      </c>
      <c r="P131">
        <v>42920</v>
      </c>
      <c r="Q131">
        <v>2</v>
      </c>
      <c r="R131">
        <v>138</v>
      </c>
      <c r="S131">
        <v>11.892083333333334</v>
      </c>
      <c r="T131">
        <v>0.9686046421527863</v>
      </c>
      <c r="W131">
        <f>Tabela6[[#This Row],[mlp_params]]</f>
        <v>42335</v>
      </c>
      <c r="X131">
        <f>Tabela6[[#This Row],[mlp_test_acc]]</f>
        <v>0.94151303242212336</v>
      </c>
      <c r="Y131">
        <f>Tabela6[[#This Row],[kan_val_acc_1]]</f>
        <v>0.9686046421527863</v>
      </c>
      <c r="Z131">
        <f>Tabela6[[#This Row],[no_steps]]</f>
        <v>11.892083333333334</v>
      </c>
    </row>
    <row r="132" spans="1:26" hidden="1" x14ac:dyDescent="0.25">
      <c r="A132" t="s">
        <v>18</v>
      </c>
      <c r="B132">
        <v>3</v>
      </c>
      <c r="C132">
        <v>4</v>
      </c>
      <c r="D132">
        <v>0</v>
      </c>
      <c r="E132" t="s">
        <v>30</v>
      </c>
      <c r="F132">
        <v>23156</v>
      </c>
      <c r="G132">
        <v>33941094.516129032</v>
      </c>
      <c r="H132">
        <v>0.97450935456060594</v>
      </c>
      <c r="I132">
        <v>0.93999548838258518</v>
      </c>
      <c r="J132">
        <v>8413130.4193548393</v>
      </c>
      <c r="K132">
        <v>43509</v>
      </c>
      <c r="L132">
        <v>2</v>
      </c>
      <c r="M132">
        <v>139</v>
      </c>
      <c r="N132">
        <v>0.9336792240018047</v>
      </c>
      <c r="O132">
        <v>8844208.9032258056</v>
      </c>
      <c r="P132">
        <v>44102</v>
      </c>
      <c r="Q132">
        <v>2</v>
      </c>
      <c r="R132">
        <v>140</v>
      </c>
      <c r="S132">
        <v>11.88358700123406</v>
      </c>
      <c r="T132">
        <v>0.98023254871368404</v>
      </c>
      <c r="W132">
        <f>Tabela6[[#This Row],[mlp_params]]</f>
        <v>43509</v>
      </c>
      <c r="X132">
        <f>Tabela6[[#This Row],[mlp_test_acc]]</f>
        <v>0.93999548838258518</v>
      </c>
      <c r="Y132">
        <f>Tabela6[[#This Row],[kan_val_acc_1]]</f>
        <v>0.98023254871368404</v>
      </c>
      <c r="Z132">
        <f>Tabela6[[#This Row],[no_steps]]</f>
        <v>11.88358700123406</v>
      </c>
    </row>
    <row r="133" spans="1:26" hidden="1" x14ac:dyDescent="0.25">
      <c r="A133" t="s">
        <v>18</v>
      </c>
      <c r="B133">
        <v>3</v>
      </c>
      <c r="C133">
        <v>4</v>
      </c>
      <c r="D133">
        <v>0</v>
      </c>
      <c r="E133" t="s">
        <v>44</v>
      </c>
      <c r="F133">
        <v>23274</v>
      </c>
      <c r="G133">
        <v>33425404.967741936</v>
      </c>
      <c r="H133">
        <v>0.97338144817659933</v>
      </c>
      <c r="I133">
        <v>0.93006993006993011</v>
      </c>
      <c r="J133">
        <v>8763317.9032258056</v>
      </c>
      <c r="K133">
        <v>44102</v>
      </c>
      <c r="L133">
        <v>2</v>
      </c>
      <c r="M133">
        <v>140</v>
      </c>
      <c r="N133">
        <v>0.9305210918114144</v>
      </c>
      <c r="O133">
        <v>9407023.5161290318</v>
      </c>
      <c r="P133">
        <v>44699</v>
      </c>
      <c r="Q133">
        <v>2</v>
      </c>
      <c r="R133">
        <v>141</v>
      </c>
      <c r="S133">
        <v>11.866774979691307</v>
      </c>
      <c r="T133">
        <v>0.97984495162963869</v>
      </c>
      <c r="W133">
        <f>Tabela6[[#This Row],[mlp_params]]</f>
        <v>44102</v>
      </c>
      <c r="X133">
        <f>Tabela6[[#This Row],[mlp_test_acc]]</f>
        <v>0.93006993006993011</v>
      </c>
      <c r="Y133">
        <f>Tabela6[[#This Row],[kan_val_acc_1]]</f>
        <v>0.97984495162963869</v>
      </c>
      <c r="Z133">
        <f>Tabela6[[#This Row],[no_steps]]</f>
        <v>11.866774979691307</v>
      </c>
    </row>
    <row r="134" spans="1:26" hidden="1" x14ac:dyDescent="0.25">
      <c r="A134" t="s">
        <v>18</v>
      </c>
      <c r="B134">
        <v>3</v>
      </c>
      <c r="C134">
        <v>4</v>
      </c>
      <c r="D134">
        <v>0</v>
      </c>
      <c r="E134" t="s">
        <v>31</v>
      </c>
      <c r="F134">
        <v>23798</v>
      </c>
      <c r="G134">
        <v>33827228.142857142</v>
      </c>
      <c r="H134">
        <v>0.9793539700053987</v>
      </c>
      <c r="I134">
        <v>0.9357309357309358</v>
      </c>
      <c r="J134">
        <v>9314553.2380952388</v>
      </c>
      <c r="K134">
        <v>44699</v>
      </c>
      <c r="L134">
        <v>2</v>
      </c>
      <c r="M134">
        <v>141</v>
      </c>
      <c r="N134">
        <v>0.9357309357309358</v>
      </c>
      <c r="O134">
        <v>8865231.7142857146</v>
      </c>
      <c r="P134">
        <v>45300</v>
      </c>
      <c r="Q134">
        <v>2</v>
      </c>
      <c r="R134">
        <v>142</v>
      </c>
      <c r="S134">
        <v>11.855014095851793</v>
      </c>
      <c r="T134">
        <v>0.98081394433975222</v>
      </c>
      <c r="W134">
        <f>Tabela6[[#This Row],[mlp_params]]</f>
        <v>44699</v>
      </c>
      <c r="X134">
        <f>Tabela6[[#This Row],[mlp_test_acc]]</f>
        <v>0.9357309357309358</v>
      </c>
      <c r="Y134">
        <f>Tabela6[[#This Row],[kan_val_acc_1]]</f>
        <v>0.98081394433975222</v>
      </c>
      <c r="Z134">
        <f>Tabela6[[#This Row],[no_steps]]</f>
        <v>11.855014095851793</v>
      </c>
    </row>
    <row r="135" spans="1:26" hidden="1" x14ac:dyDescent="0.25">
      <c r="A135" t="s">
        <v>18</v>
      </c>
      <c r="B135">
        <v>3</v>
      </c>
      <c r="C135">
        <v>4</v>
      </c>
      <c r="D135">
        <v>0</v>
      </c>
      <c r="E135" t="s">
        <v>45</v>
      </c>
      <c r="F135">
        <v>23956</v>
      </c>
      <c r="G135">
        <v>33196924.285714287</v>
      </c>
      <c r="H135">
        <v>0.96936395906266715</v>
      </c>
      <c r="I135">
        <v>0.94205794205794202</v>
      </c>
      <c r="J135">
        <v>8831631.7142857146</v>
      </c>
      <c r="K135">
        <v>45300</v>
      </c>
      <c r="L135">
        <v>2</v>
      </c>
      <c r="M135">
        <v>142</v>
      </c>
      <c r="N135">
        <v>0.93772893772893773</v>
      </c>
      <c r="O135">
        <v>8513968.8571428563</v>
      </c>
      <c r="P135">
        <v>45905</v>
      </c>
      <c r="Q135">
        <v>2</v>
      </c>
      <c r="R135">
        <v>143</v>
      </c>
      <c r="S135">
        <v>11.840654952076678</v>
      </c>
      <c r="T135">
        <v>0.9790697574615479</v>
      </c>
      <c r="W135">
        <f>Tabela6[[#This Row],[mlp_params]]</f>
        <v>45300</v>
      </c>
      <c r="X135">
        <f>Tabela6[[#This Row],[mlp_test_acc]]</f>
        <v>0.94205794205794202</v>
      </c>
      <c r="Y135">
        <f>Tabela6[[#This Row],[kan_val_acc_1]]</f>
        <v>0.9790697574615479</v>
      </c>
      <c r="Z135">
        <f>Tabela6[[#This Row],[no_steps]]</f>
        <v>11.840654952076678</v>
      </c>
    </row>
    <row r="136" spans="1:26" hidden="1" x14ac:dyDescent="0.25">
      <c r="A136" t="s">
        <v>18</v>
      </c>
      <c r="B136">
        <v>3</v>
      </c>
      <c r="C136">
        <v>4</v>
      </c>
      <c r="D136">
        <v>0</v>
      </c>
      <c r="E136" t="s">
        <v>32</v>
      </c>
      <c r="F136">
        <v>24440</v>
      </c>
      <c r="G136">
        <v>38041370</v>
      </c>
      <c r="H136">
        <v>0.97602397203445435</v>
      </c>
      <c r="I136">
        <v>0.93739593739593741</v>
      </c>
      <c r="J136">
        <v>7824598.3809523806</v>
      </c>
      <c r="K136">
        <v>45905</v>
      </c>
      <c r="L136">
        <v>2</v>
      </c>
      <c r="M136">
        <v>143</v>
      </c>
      <c r="N136">
        <v>0.93772893772893773</v>
      </c>
      <c r="O136">
        <v>9583681.9523809515</v>
      </c>
      <c r="P136">
        <v>46514</v>
      </c>
      <c r="Q136">
        <v>2</v>
      </c>
      <c r="R136">
        <v>144</v>
      </c>
      <c r="S136">
        <v>11.83960396039604</v>
      </c>
      <c r="T136">
        <v>0.97965115308761597</v>
      </c>
      <c r="W136">
        <f>Tabela6[[#This Row],[mlp_params]]</f>
        <v>45905</v>
      </c>
      <c r="X136">
        <f>Tabela6[[#This Row],[mlp_test_acc]]</f>
        <v>0.93739593739593741</v>
      </c>
      <c r="Y136">
        <f>Tabela6[[#This Row],[kan_val_acc_1]]</f>
        <v>0.97965115308761597</v>
      </c>
      <c r="Z136">
        <f>Tabela6[[#This Row],[no_steps]]</f>
        <v>11.83960396039604</v>
      </c>
    </row>
    <row r="137" spans="1:26" hidden="1" x14ac:dyDescent="0.25">
      <c r="A137" t="s">
        <v>18</v>
      </c>
      <c r="B137">
        <v>3</v>
      </c>
      <c r="C137">
        <v>4</v>
      </c>
      <c r="D137">
        <v>0</v>
      </c>
      <c r="E137" t="s">
        <v>46</v>
      </c>
      <c r="F137">
        <v>24638</v>
      </c>
      <c r="G137">
        <v>36050346.714285716</v>
      </c>
      <c r="H137">
        <v>0.97569096656072707</v>
      </c>
      <c r="I137">
        <v>0.93872793872793869</v>
      </c>
      <c r="J137">
        <v>9259886.0952380951</v>
      </c>
      <c r="K137">
        <v>46514</v>
      </c>
      <c r="L137">
        <v>2</v>
      </c>
      <c r="M137">
        <v>144</v>
      </c>
      <c r="N137">
        <v>0.93606393606393612</v>
      </c>
      <c r="O137">
        <v>8931886.5238095243</v>
      </c>
      <c r="P137">
        <v>47127</v>
      </c>
      <c r="Q137">
        <v>2</v>
      </c>
      <c r="R137">
        <v>145</v>
      </c>
      <c r="S137">
        <v>11.831500392772977</v>
      </c>
      <c r="T137">
        <v>0.98081394433975222</v>
      </c>
      <c r="W137">
        <f>Tabela6[[#This Row],[mlp_params]]</f>
        <v>46514</v>
      </c>
      <c r="X137">
        <f>Tabela6[[#This Row],[mlp_test_acc]]</f>
        <v>0.93872793872793869</v>
      </c>
      <c r="Y137">
        <f>Tabela6[[#This Row],[kan_val_acc_1]]</f>
        <v>0.98081394433975222</v>
      </c>
      <c r="Z137">
        <f>Tabela6[[#This Row],[no_steps]]</f>
        <v>11.831500392772977</v>
      </c>
    </row>
    <row r="138" spans="1:26" hidden="1" x14ac:dyDescent="0.25">
      <c r="A138" t="s">
        <v>18</v>
      </c>
      <c r="B138">
        <v>3</v>
      </c>
      <c r="C138">
        <v>4</v>
      </c>
      <c r="D138">
        <v>0</v>
      </c>
      <c r="E138" t="s">
        <v>33</v>
      </c>
      <c r="F138">
        <v>25082</v>
      </c>
      <c r="G138">
        <v>36450766.645161293</v>
      </c>
      <c r="H138">
        <v>0.96819309265382825</v>
      </c>
      <c r="I138">
        <v>0.93728851793367929</v>
      </c>
      <c r="J138">
        <v>9140768.5161290318</v>
      </c>
      <c r="K138">
        <v>47127</v>
      </c>
      <c r="L138">
        <v>2</v>
      </c>
      <c r="M138">
        <v>145</v>
      </c>
      <c r="N138">
        <v>0.93796526054590568</v>
      </c>
      <c r="O138">
        <v>8403498.4838709682</v>
      </c>
      <c r="P138">
        <v>47744</v>
      </c>
      <c r="Q138">
        <v>2</v>
      </c>
      <c r="R138">
        <v>146</v>
      </c>
      <c r="S138">
        <v>11.820721769499418</v>
      </c>
      <c r="T138">
        <v>0.97945735454559324</v>
      </c>
      <c r="W138">
        <f>Tabela6[[#This Row],[mlp_params]]</f>
        <v>47127</v>
      </c>
      <c r="X138">
        <f>Tabela6[[#This Row],[mlp_test_acc]]</f>
        <v>0.93728851793367929</v>
      </c>
      <c r="Y138">
        <f>Tabela6[[#This Row],[kan_val_acc_1]]</f>
        <v>0.97945735454559324</v>
      </c>
      <c r="Z138">
        <f>Tabela6[[#This Row],[no_steps]]</f>
        <v>11.820721769499418</v>
      </c>
    </row>
    <row r="139" spans="1:26" hidden="1" x14ac:dyDescent="0.25">
      <c r="A139" t="s">
        <v>18</v>
      </c>
      <c r="B139">
        <v>3</v>
      </c>
      <c r="C139">
        <v>4</v>
      </c>
      <c r="D139">
        <v>0</v>
      </c>
      <c r="E139" t="s">
        <v>47</v>
      </c>
      <c r="F139">
        <v>25320</v>
      </c>
      <c r="G139">
        <v>37171087.047619045</v>
      </c>
      <c r="H139">
        <v>0.97236096858978271</v>
      </c>
      <c r="I139">
        <v>0.93906093906093913</v>
      </c>
      <c r="J139">
        <v>9412689.9523809515</v>
      </c>
      <c r="K139">
        <v>47744</v>
      </c>
      <c r="L139">
        <v>2</v>
      </c>
      <c r="M139">
        <v>146</v>
      </c>
      <c r="N139">
        <v>0.93539793539793548</v>
      </c>
      <c r="O139">
        <v>8607880.3809523806</v>
      </c>
      <c r="P139">
        <v>48365</v>
      </c>
      <c r="Q139">
        <v>2</v>
      </c>
      <c r="R139">
        <v>147</v>
      </c>
      <c r="S139">
        <v>11.81562740569669</v>
      </c>
      <c r="T139">
        <v>0.98197673559188847</v>
      </c>
      <c r="W139">
        <f>Tabela6[[#This Row],[mlp_params]]</f>
        <v>47744</v>
      </c>
      <c r="X139">
        <f>Tabela6[[#This Row],[mlp_test_acc]]</f>
        <v>0.93906093906093913</v>
      </c>
      <c r="Y139">
        <f>Tabela6[[#This Row],[kan_val_acc_1]]</f>
        <v>0.98197673559188847</v>
      </c>
      <c r="Z139">
        <f>Tabela6[[#This Row],[no_steps]]</f>
        <v>11.81562740569669</v>
      </c>
    </row>
    <row r="140" spans="1:26" hidden="1" x14ac:dyDescent="0.25">
      <c r="A140" t="s">
        <v>18</v>
      </c>
      <c r="B140">
        <v>3</v>
      </c>
      <c r="C140">
        <v>4</v>
      </c>
      <c r="D140">
        <v>0</v>
      </c>
      <c r="E140" t="s">
        <v>34</v>
      </c>
      <c r="F140">
        <v>25724</v>
      </c>
      <c r="G140">
        <v>36851052.806451611</v>
      </c>
      <c r="H140">
        <v>0.97383260919201764</v>
      </c>
      <c r="I140">
        <v>0.9305210918114144</v>
      </c>
      <c r="J140">
        <v>8464013.2258064523</v>
      </c>
      <c r="K140">
        <v>48365</v>
      </c>
      <c r="L140">
        <v>2</v>
      </c>
      <c r="M140">
        <v>147</v>
      </c>
      <c r="N140">
        <v>0.93931874577035868</v>
      </c>
      <c r="O140">
        <v>8685602.9032258056</v>
      </c>
      <c r="P140">
        <v>48990</v>
      </c>
      <c r="Q140">
        <v>2</v>
      </c>
      <c r="R140">
        <v>148</v>
      </c>
      <c r="S140">
        <v>11.803727653100038</v>
      </c>
      <c r="T140">
        <v>0.98100774288177495</v>
      </c>
      <c r="W140">
        <f>Tabela6[[#This Row],[mlp_params]]</f>
        <v>48365</v>
      </c>
      <c r="X140">
        <f>Tabela6[[#This Row],[mlp_test_acc]]</f>
        <v>0.9305210918114144</v>
      </c>
      <c r="Y140">
        <f>Tabela6[[#This Row],[kan_val_acc_1]]</f>
        <v>0.98100774288177495</v>
      </c>
      <c r="Z140">
        <f>Tabela6[[#This Row],[no_steps]]</f>
        <v>11.803727653100038</v>
      </c>
    </row>
    <row r="141" spans="1:26" hidden="1" x14ac:dyDescent="0.25">
      <c r="A141" t="s">
        <v>18</v>
      </c>
      <c r="B141">
        <v>3</v>
      </c>
      <c r="C141">
        <v>4</v>
      </c>
      <c r="D141">
        <v>0</v>
      </c>
      <c r="E141" t="s">
        <v>48</v>
      </c>
      <c r="F141">
        <v>26002</v>
      </c>
      <c r="G141">
        <v>36061804.909090906</v>
      </c>
      <c r="H141">
        <v>0.97647806189276953</v>
      </c>
      <c r="I141">
        <v>0.94024157660521301</v>
      </c>
      <c r="J141">
        <v>9057232.0909090918</v>
      </c>
      <c r="K141">
        <v>48990</v>
      </c>
      <c r="L141">
        <v>2</v>
      </c>
      <c r="M141">
        <v>148</v>
      </c>
      <c r="N141">
        <v>0.94532739987285441</v>
      </c>
      <c r="O141">
        <v>9262982.4545454551</v>
      </c>
      <c r="P141">
        <v>49619</v>
      </c>
      <c r="Q141">
        <v>2</v>
      </c>
      <c r="R141">
        <v>149</v>
      </c>
      <c r="S141">
        <v>11.800378787878788</v>
      </c>
      <c r="T141">
        <v>0.98255813121795654</v>
      </c>
      <c r="W141">
        <f>Tabela6[[#This Row],[mlp_params]]</f>
        <v>48990</v>
      </c>
      <c r="X141">
        <f>Tabela6[[#This Row],[mlp_test_acc]]</f>
        <v>0.94024157660521301</v>
      </c>
      <c r="Y141">
        <f>Tabela6[[#This Row],[kan_val_acc_1]]</f>
        <v>0.98255813121795654</v>
      </c>
      <c r="Z141">
        <f>Tabela6[[#This Row],[no_steps]]</f>
        <v>11.800378787878788</v>
      </c>
    </row>
    <row r="142" spans="1:26" hidden="1" x14ac:dyDescent="0.25">
      <c r="A142" t="s">
        <v>18</v>
      </c>
      <c r="B142">
        <v>3</v>
      </c>
      <c r="C142">
        <v>4</v>
      </c>
      <c r="D142">
        <v>0</v>
      </c>
      <c r="E142" t="s">
        <v>35</v>
      </c>
      <c r="F142">
        <v>26366</v>
      </c>
      <c r="G142">
        <v>39007558.536585368</v>
      </c>
      <c r="H142">
        <v>0.96998123134054792</v>
      </c>
      <c r="I142">
        <v>0.93979191540167151</v>
      </c>
      <c r="J142">
        <v>8449056.9268292692</v>
      </c>
      <c r="K142">
        <v>49619</v>
      </c>
      <c r="L142">
        <v>2</v>
      </c>
      <c r="M142">
        <v>149</v>
      </c>
      <c r="N142">
        <v>0.93621013133208253</v>
      </c>
      <c r="O142">
        <v>8913779.7560975607</v>
      </c>
      <c r="P142">
        <v>50252</v>
      </c>
      <c r="Q142">
        <v>2</v>
      </c>
      <c r="R142">
        <v>150</v>
      </c>
      <c r="S142">
        <v>11.7911227154047</v>
      </c>
      <c r="T142">
        <v>0.97994185090065</v>
      </c>
      <c r="W142">
        <f>Tabela6[[#This Row],[mlp_params]]</f>
        <v>49619</v>
      </c>
      <c r="X142">
        <f>Tabela6[[#This Row],[mlp_test_acc]]</f>
        <v>0.93979191540167151</v>
      </c>
      <c r="Y142">
        <f>Tabela6[[#This Row],[kan_val_acc_1]]</f>
        <v>0.97994185090065</v>
      </c>
      <c r="Z142">
        <f>Tabela6[[#This Row],[no_steps]]</f>
        <v>11.7911227154047</v>
      </c>
    </row>
    <row r="143" spans="1:26" hidden="1" x14ac:dyDescent="0.25">
      <c r="A143" t="s">
        <v>18</v>
      </c>
      <c r="B143">
        <v>3</v>
      </c>
      <c r="C143">
        <v>4</v>
      </c>
      <c r="D143">
        <v>0</v>
      </c>
      <c r="E143" t="s">
        <v>49</v>
      </c>
      <c r="F143">
        <v>26684</v>
      </c>
      <c r="G143">
        <v>43294123.727272727</v>
      </c>
      <c r="H143">
        <v>0.97520660812204529</v>
      </c>
      <c r="I143">
        <v>0.94342021614748883</v>
      </c>
      <c r="J143">
        <v>9736620.2727272734</v>
      </c>
      <c r="K143">
        <v>50252</v>
      </c>
      <c r="L143">
        <v>2</v>
      </c>
      <c r="M143">
        <v>150</v>
      </c>
      <c r="N143">
        <v>0.94024157660521301</v>
      </c>
      <c r="O143">
        <v>7892230.6363636367</v>
      </c>
      <c r="P143">
        <v>50889</v>
      </c>
      <c r="Q143">
        <v>2</v>
      </c>
      <c r="R143">
        <v>151</v>
      </c>
      <c r="S143">
        <v>11.792347696879643</v>
      </c>
      <c r="T143">
        <v>0.98255813121795654</v>
      </c>
      <c r="W143">
        <f>Tabela6[[#This Row],[mlp_params]]</f>
        <v>50252</v>
      </c>
      <c r="X143">
        <f>Tabela6[[#This Row],[mlp_test_acc]]</f>
        <v>0.94342021614748883</v>
      </c>
      <c r="Y143">
        <f>Tabela6[[#This Row],[kan_val_acc_1]]</f>
        <v>0.98255813121795654</v>
      </c>
      <c r="Z143">
        <f>Tabela6[[#This Row],[no_steps]]</f>
        <v>11.792347696879643</v>
      </c>
    </row>
    <row r="144" spans="1:26" hidden="1" x14ac:dyDescent="0.25">
      <c r="A144" t="s">
        <v>18</v>
      </c>
      <c r="B144">
        <v>3</v>
      </c>
      <c r="C144">
        <v>4</v>
      </c>
      <c r="D144">
        <v>0</v>
      </c>
      <c r="E144" t="s">
        <v>36</v>
      </c>
      <c r="F144">
        <v>27008</v>
      </c>
      <c r="G144">
        <v>39061368.333333336</v>
      </c>
      <c r="H144">
        <v>0.97469196433112737</v>
      </c>
      <c r="I144">
        <v>0.93606393606393612</v>
      </c>
      <c r="J144">
        <v>8875895.2380952388</v>
      </c>
      <c r="K144">
        <v>50889</v>
      </c>
      <c r="L144">
        <v>2</v>
      </c>
      <c r="M144">
        <v>151</v>
      </c>
      <c r="N144">
        <v>0.9343989343989344</v>
      </c>
      <c r="O144">
        <v>9756820</v>
      </c>
      <c r="P144">
        <v>51530</v>
      </c>
      <c r="Q144">
        <v>2</v>
      </c>
      <c r="R144">
        <v>152</v>
      </c>
      <c r="S144">
        <v>11.786214522668633</v>
      </c>
      <c r="T144">
        <v>0.9790697574615479</v>
      </c>
      <c r="W144">
        <f>Tabela6[[#This Row],[mlp_params]]</f>
        <v>50889</v>
      </c>
      <c r="X144">
        <f>Tabela6[[#This Row],[mlp_test_acc]]</f>
        <v>0.93606393606393612</v>
      </c>
      <c r="Y144">
        <f>Tabela6[[#This Row],[kan_val_acc_1]]</f>
        <v>0.9790697574615479</v>
      </c>
      <c r="Z144">
        <f>Tabela6[[#This Row],[no_steps]]</f>
        <v>11.786214522668633</v>
      </c>
    </row>
    <row r="145" spans="1:26" hidden="1" x14ac:dyDescent="0.25">
      <c r="A145" t="s">
        <v>18</v>
      </c>
      <c r="B145">
        <v>3</v>
      </c>
      <c r="C145">
        <v>4</v>
      </c>
      <c r="D145">
        <v>0</v>
      </c>
      <c r="E145" t="s">
        <v>50</v>
      </c>
      <c r="F145">
        <v>27366</v>
      </c>
      <c r="G145">
        <v>40117900.935483873</v>
      </c>
      <c r="H145">
        <v>0.97225354371532313</v>
      </c>
      <c r="I145">
        <v>0.94112339273629597</v>
      </c>
      <c r="J145">
        <v>7989653.7419354841</v>
      </c>
      <c r="K145">
        <v>51530</v>
      </c>
      <c r="L145">
        <v>2</v>
      </c>
      <c r="M145">
        <v>152</v>
      </c>
      <c r="N145">
        <v>0.94044665012406947</v>
      </c>
      <c r="O145">
        <v>9467939.935483871</v>
      </c>
      <c r="P145">
        <v>52175</v>
      </c>
      <c r="Q145">
        <v>2</v>
      </c>
      <c r="R145">
        <v>153</v>
      </c>
      <c r="S145">
        <v>11.78134110787172</v>
      </c>
      <c r="T145">
        <v>0.97984495162963869</v>
      </c>
      <c r="W145">
        <f>Tabela6[[#This Row],[mlp_params]]</f>
        <v>51530</v>
      </c>
      <c r="X145">
        <f>Tabela6[[#This Row],[mlp_test_acc]]</f>
        <v>0.94112339273629597</v>
      </c>
      <c r="Y145">
        <f>Tabela6[[#This Row],[kan_val_acc_1]]</f>
        <v>0.97984495162963869</v>
      </c>
      <c r="Z145">
        <f>Tabela6[[#This Row],[no_steps]]</f>
        <v>11.78134110787172</v>
      </c>
    </row>
    <row r="146" spans="1:26" hidden="1" x14ac:dyDescent="0.25">
      <c r="A146" t="s">
        <v>18</v>
      </c>
      <c r="B146">
        <v>3</v>
      </c>
      <c r="C146">
        <v>4</v>
      </c>
      <c r="D146">
        <v>0</v>
      </c>
      <c r="E146" t="s">
        <v>37</v>
      </c>
      <c r="F146">
        <v>27650</v>
      </c>
      <c r="G146">
        <v>40446010</v>
      </c>
      <c r="H146">
        <v>0.97169496331896099</v>
      </c>
      <c r="I146">
        <v>0.93939393939393945</v>
      </c>
      <c r="J146">
        <v>8449428.0952380951</v>
      </c>
      <c r="K146">
        <v>52175</v>
      </c>
      <c r="L146">
        <v>2</v>
      </c>
      <c r="M146">
        <v>153</v>
      </c>
      <c r="N146">
        <v>0.93839493839493837</v>
      </c>
      <c r="O146">
        <v>9245884.2857142854</v>
      </c>
      <c r="P146">
        <v>52824</v>
      </c>
      <c r="Q146">
        <v>2</v>
      </c>
      <c r="R146">
        <v>154</v>
      </c>
      <c r="S146">
        <v>11.773960216998193</v>
      </c>
      <c r="T146">
        <v>0.97848836183547971</v>
      </c>
      <c r="W146">
        <f>Tabela6[[#This Row],[mlp_params]]</f>
        <v>52175</v>
      </c>
      <c r="X146">
        <f>Tabela6[[#This Row],[mlp_test_acc]]</f>
        <v>0.93939393939393945</v>
      </c>
      <c r="Y146">
        <f>Tabela6[[#This Row],[kan_val_acc_1]]</f>
        <v>0.97848836183547971</v>
      </c>
      <c r="Z146">
        <f>Tabela6[[#This Row],[no_steps]]</f>
        <v>11.773960216998193</v>
      </c>
    </row>
    <row r="147" spans="1:26" hidden="1" x14ac:dyDescent="0.25">
      <c r="A147" t="s">
        <v>18</v>
      </c>
      <c r="B147">
        <v>3</v>
      </c>
      <c r="C147">
        <v>4</v>
      </c>
      <c r="D147">
        <v>0</v>
      </c>
      <c r="E147" t="s">
        <v>51</v>
      </c>
      <c r="F147">
        <v>28048</v>
      </c>
      <c r="G147">
        <v>37900056.580645159</v>
      </c>
      <c r="H147">
        <v>0.97541167851417299</v>
      </c>
      <c r="I147">
        <v>0.93525829009699979</v>
      </c>
      <c r="J147">
        <v>8358050.5161290327</v>
      </c>
      <c r="K147">
        <v>52824</v>
      </c>
      <c r="L147">
        <v>2</v>
      </c>
      <c r="M147">
        <v>154</v>
      </c>
      <c r="N147">
        <v>0.93661177532145279</v>
      </c>
      <c r="O147">
        <v>8952376.5483870972</v>
      </c>
      <c r="P147">
        <v>53477</v>
      </c>
      <c r="Q147">
        <v>2</v>
      </c>
      <c r="R147">
        <v>155</v>
      </c>
      <c r="S147">
        <v>11.765379113018598</v>
      </c>
      <c r="T147">
        <v>0.97751936912536619</v>
      </c>
      <c r="W147">
        <f>Tabela6[[#This Row],[mlp_params]]</f>
        <v>52824</v>
      </c>
      <c r="X147">
        <f>Tabela6[[#This Row],[mlp_test_acc]]</f>
        <v>0.93525829009699979</v>
      </c>
      <c r="Y147">
        <f>Tabela6[[#This Row],[kan_val_acc_1]]</f>
        <v>0.97751936912536619</v>
      </c>
      <c r="Z147">
        <f>Tabela6[[#This Row],[no_steps]]</f>
        <v>11.765379113018598</v>
      </c>
    </row>
    <row r="148" spans="1:26" hidden="1" x14ac:dyDescent="0.25">
      <c r="A148" t="s">
        <v>18</v>
      </c>
      <c r="B148">
        <v>3</v>
      </c>
      <c r="C148">
        <v>4</v>
      </c>
      <c r="D148">
        <v>0</v>
      </c>
      <c r="E148" t="s">
        <v>38</v>
      </c>
      <c r="F148">
        <v>28292</v>
      </c>
      <c r="G148">
        <v>37973665.81818182</v>
      </c>
      <c r="H148">
        <v>0.97520660270344128</v>
      </c>
      <c r="I148">
        <v>0.93134138588684046</v>
      </c>
      <c r="J148">
        <v>8102080.5454545459</v>
      </c>
      <c r="K148">
        <v>53477</v>
      </c>
      <c r="L148">
        <v>2</v>
      </c>
      <c r="M148">
        <v>155</v>
      </c>
      <c r="N148">
        <v>0.94278448823903371</v>
      </c>
      <c r="O148">
        <v>8442931.8181818184</v>
      </c>
      <c r="P148">
        <v>54134</v>
      </c>
      <c r="Q148">
        <v>2</v>
      </c>
      <c r="R148">
        <v>156</v>
      </c>
      <c r="S148">
        <v>11.758104738154614</v>
      </c>
      <c r="T148">
        <v>0.98488371372222905</v>
      </c>
      <c r="W148">
        <f>Tabela6[[#This Row],[mlp_params]]</f>
        <v>53477</v>
      </c>
      <c r="X148">
        <f>Tabela6[[#This Row],[mlp_test_acc]]</f>
        <v>0.93134138588684046</v>
      </c>
      <c r="Y148">
        <f>Tabela6[[#This Row],[kan_val_acc_1]]</f>
        <v>0.98488371372222905</v>
      </c>
      <c r="Z148">
        <f>Tabela6[[#This Row],[no_steps]]</f>
        <v>11.758104738154614</v>
      </c>
    </row>
    <row r="149" spans="1:26" hidden="1" x14ac:dyDescent="0.25">
      <c r="A149" t="s">
        <v>18</v>
      </c>
      <c r="B149">
        <v>3</v>
      </c>
      <c r="C149">
        <v>4</v>
      </c>
      <c r="D149">
        <v>0</v>
      </c>
      <c r="E149" t="s">
        <v>52</v>
      </c>
      <c r="F149">
        <v>28730</v>
      </c>
      <c r="G149">
        <v>41652513.121951222</v>
      </c>
      <c r="H149">
        <v>0.97492750824951546</v>
      </c>
      <c r="I149">
        <v>0.93535732560122808</v>
      </c>
      <c r="J149">
        <v>9006394.9268292692</v>
      </c>
      <c r="K149">
        <v>54134</v>
      </c>
      <c r="L149">
        <v>2</v>
      </c>
      <c r="M149">
        <v>156</v>
      </c>
      <c r="N149">
        <v>0.93723349820910795</v>
      </c>
      <c r="O149">
        <v>8788061.5365853664</v>
      </c>
      <c r="P149">
        <v>54795</v>
      </c>
      <c r="Q149">
        <v>2</v>
      </c>
      <c r="R149">
        <v>157</v>
      </c>
      <c r="S149">
        <v>11.751755617977528</v>
      </c>
      <c r="T149">
        <v>0.98168603777885433</v>
      </c>
      <c r="W149">
        <f>Tabela6[[#This Row],[mlp_params]]</f>
        <v>54134</v>
      </c>
      <c r="X149">
        <f>Tabela6[[#This Row],[mlp_test_acc]]</f>
        <v>0.93535732560122808</v>
      </c>
      <c r="Y149">
        <f>Tabela6[[#This Row],[kan_val_acc_1]]</f>
        <v>0.98168603777885433</v>
      </c>
      <c r="Z149">
        <f>Tabela6[[#This Row],[no_steps]]</f>
        <v>11.751755617977528</v>
      </c>
    </row>
    <row r="150" spans="1:26" hidden="1" x14ac:dyDescent="0.25">
      <c r="A150" t="s">
        <v>18</v>
      </c>
      <c r="B150">
        <v>3</v>
      </c>
      <c r="C150">
        <v>4</v>
      </c>
      <c r="D150">
        <v>0</v>
      </c>
      <c r="E150" t="s">
        <v>61</v>
      </c>
      <c r="F150">
        <v>29008</v>
      </c>
      <c r="G150">
        <v>44021992.545454547</v>
      </c>
      <c r="H150">
        <v>0.96630641547116369</v>
      </c>
      <c r="I150">
        <v>0.93706293706293708</v>
      </c>
      <c r="J150">
        <v>7634894.6363636367</v>
      </c>
      <c r="K150">
        <v>54795</v>
      </c>
      <c r="L150">
        <v>2</v>
      </c>
      <c r="M150">
        <v>157</v>
      </c>
      <c r="N150">
        <v>0.93197711379529569</v>
      </c>
      <c r="O150">
        <v>9442640.1818181816</v>
      </c>
      <c r="P150">
        <v>55460</v>
      </c>
      <c r="Q150">
        <v>2</v>
      </c>
      <c r="R150">
        <v>158</v>
      </c>
      <c r="S150">
        <v>11.750961874781392</v>
      </c>
      <c r="T150">
        <v>0.9790697574615479</v>
      </c>
      <c r="W150">
        <f>Tabela6[[#This Row],[mlp_params]]</f>
        <v>54795</v>
      </c>
      <c r="X150">
        <f>Tabela6[[#This Row],[mlp_test_acc]]</f>
        <v>0.93706293706293708</v>
      </c>
      <c r="Y150">
        <f>Tabela6[[#This Row],[kan_val_acc_1]]</f>
        <v>0.9790697574615479</v>
      </c>
      <c r="Z150">
        <f>Tabela6[[#This Row],[no_steps]]</f>
        <v>11.750961874781392</v>
      </c>
    </row>
    <row r="151" spans="1:26" hidden="1" x14ac:dyDescent="0.25">
      <c r="A151" t="s">
        <v>18</v>
      </c>
      <c r="B151">
        <v>3</v>
      </c>
      <c r="C151">
        <v>4</v>
      </c>
      <c r="D151">
        <v>0</v>
      </c>
      <c r="E151" t="s">
        <v>53</v>
      </c>
      <c r="F151">
        <v>29412</v>
      </c>
      <c r="G151">
        <v>41738986.161290325</v>
      </c>
      <c r="H151">
        <v>0.97067448785228116</v>
      </c>
      <c r="I151">
        <v>0.93864200315813218</v>
      </c>
      <c r="J151">
        <v>9193541.5483870972</v>
      </c>
      <c r="K151">
        <v>55460</v>
      </c>
      <c r="L151">
        <v>2</v>
      </c>
      <c r="M151">
        <v>158</v>
      </c>
      <c r="N151">
        <v>0.93525829009699979</v>
      </c>
      <c r="O151">
        <v>9079290.6129032262</v>
      </c>
      <c r="P151">
        <v>56129</v>
      </c>
      <c r="Q151">
        <v>2</v>
      </c>
      <c r="R151">
        <v>159</v>
      </c>
      <c r="S151">
        <v>11.749134948096886</v>
      </c>
      <c r="T151">
        <v>0.98178293704986574</v>
      </c>
      <c r="W151">
        <f>Tabela6[[#This Row],[mlp_params]]</f>
        <v>55460</v>
      </c>
      <c r="X151">
        <f>Tabela6[[#This Row],[mlp_test_acc]]</f>
        <v>0.93864200315813218</v>
      </c>
      <c r="Y151">
        <f>Tabela6[[#This Row],[kan_val_acc_1]]</f>
        <v>0.98178293704986574</v>
      </c>
      <c r="Z151">
        <f>Tabela6[[#This Row],[no_steps]]</f>
        <v>11.749134948096886</v>
      </c>
    </row>
    <row r="152" spans="1:26" hidden="1" x14ac:dyDescent="0.25">
      <c r="A152" t="s">
        <v>18</v>
      </c>
      <c r="B152">
        <v>3</v>
      </c>
      <c r="C152">
        <v>4</v>
      </c>
      <c r="D152">
        <v>0</v>
      </c>
      <c r="E152" t="s">
        <v>62</v>
      </c>
      <c r="F152">
        <v>29730</v>
      </c>
      <c r="G152">
        <v>41809527</v>
      </c>
      <c r="H152">
        <v>0.97647805647416552</v>
      </c>
      <c r="I152">
        <v>0.93642720915448185</v>
      </c>
      <c r="J152">
        <v>10157729.363636363</v>
      </c>
      <c r="K152">
        <v>56129</v>
      </c>
      <c r="L152">
        <v>2</v>
      </c>
      <c r="M152">
        <v>159</v>
      </c>
      <c r="N152">
        <v>0.93706293706293708</v>
      </c>
      <c r="O152">
        <v>7422029</v>
      </c>
      <c r="P152">
        <v>56802</v>
      </c>
      <c r="Q152">
        <v>2</v>
      </c>
      <c r="R152">
        <v>160</v>
      </c>
      <c r="S152">
        <v>11.744915546363323</v>
      </c>
      <c r="T152">
        <v>0.97790696620941164</v>
      </c>
      <c r="W152">
        <f>Tabela6[[#This Row],[mlp_params]]</f>
        <v>56129</v>
      </c>
      <c r="X152">
        <f>Tabela6[[#This Row],[mlp_test_acc]]</f>
        <v>0.93642720915448185</v>
      </c>
      <c r="Y152">
        <f>Tabela6[[#This Row],[kan_val_acc_1]]</f>
        <v>0.97790696620941164</v>
      </c>
      <c r="Z152">
        <f>Tabela6[[#This Row],[no_steps]]</f>
        <v>11.744915546363323</v>
      </c>
    </row>
    <row r="153" spans="1:26" hidden="1" x14ac:dyDescent="0.25">
      <c r="A153" t="s">
        <v>18</v>
      </c>
      <c r="B153">
        <v>3</v>
      </c>
      <c r="C153">
        <v>4</v>
      </c>
      <c r="D153">
        <v>0</v>
      </c>
      <c r="E153" t="s">
        <v>54</v>
      </c>
      <c r="F153">
        <v>30094</v>
      </c>
      <c r="G153">
        <v>40391503.225806452</v>
      </c>
      <c r="H153">
        <v>0.97563726094461256</v>
      </c>
      <c r="I153">
        <v>0.93954432664110088</v>
      </c>
      <c r="J153">
        <v>9507053.1935483869</v>
      </c>
      <c r="K153">
        <v>56802</v>
      </c>
      <c r="L153">
        <v>2</v>
      </c>
      <c r="M153">
        <v>160</v>
      </c>
      <c r="N153">
        <v>0.93751409880442138</v>
      </c>
      <c r="O153">
        <v>8894233.5161290318</v>
      </c>
      <c r="P153">
        <v>57479</v>
      </c>
      <c r="Q153">
        <v>2</v>
      </c>
      <c r="R153">
        <v>161</v>
      </c>
      <c r="S153">
        <v>11.732264665757162</v>
      </c>
      <c r="T153">
        <v>0.9790697574615479</v>
      </c>
      <c r="W153">
        <f>Tabela6[[#This Row],[mlp_params]]</f>
        <v>56802</v>
      </c>
      <c r="X153">
        <f>Tabela6[[#This Row],[mlp_test_acc]]</f>
        <v>0.93954432664110088</v>
      </c>
      <c r="Y153">
        <f>Tabela6[[#This Row],[kan_val_acc_1]]</f>
        <v>0.9790697574615479</v>
      </c>
      <c r="Z153">
        <f>Tabela6[[#This Row],[no_steps]]</f>
        <v>11.732264665757162</v>
      </c>
    </row>
    <row r="154" spans="1:26" hidden="1" x14ac:dyDescent="0.25">
      <c r="A154" t="s">
        <v>18</v>
      </c>
      <c r="B154">
        <v>3</v>
      </c>
      <c r="C154">
        <v>4</v>
      </c>
      <c r="D154">
        <v>0</v>
      </c>
      <c r="E154" t="s">
        <v>63</v>
      </c>
      <c r="F154">
        <v>30452</v>
      </c>
      <c r="G154">
        <v>42204799.545454547</v>
      </c>
      <c r="H154">
        <v>0.97711379419673572</v>
      </c>
      <c r="I154">
        <v>0.9351557533375715</v>
      </c>
      <c r="J154">
        <v>8623822.7272727266</v>
      </c>
      <c r="K154">
        <v>57479</v>
      </c>
      <c r="L154">
        <v>2</v>
      </c>
      <c r="M154">
        <v>161</v>
      </c>
      <c r="N154">
        <v>0.93388429752066116</v>
      </c>
      <c r="O154">
        <v>9342307.7272727266</v>
      </c>
      <c r="P154">
        <v>58160</v>
      </c>
      <c r="Q154">
        <v>2</v>
      </c>
      <c r="R154">
        <v>162</v>
      </c>
      <c r="S154">
        <v>11.728848114169216</v>
      </c>
      <c r="T154">
        <v>0.97441859245300289</v>
      </c>
      <c r="W154">
        <f>Tabela6[[#This Row],[mlp_params]]</f>
        <v>57479</v>
      </c>
      <c r="X154">
        <f>Tabela6[[#This Row],[mlp_test_acc]]</f>
        <v>0.9351557533375715</v>
      </c>
      <c r="Y154">
        <f>Tabela6[[#This Row],[kan_val_acc_1]]</f>
        <v>0.97441859245300289</v>
      </c>
      <c r="Z154">
        <f>Tabela6[[#This Row],[no_steps]]</f>
        <v>11.728848114169216</v>
      </c>
    </row>
    <row r="155" spans="1:26" hidden="1" x14ac:dyDescent="0.25">
      <c r="A155" t="s">
        <v>18</v>
      </c>
      <c r="B155">
        <v>3</v>
      </c>
      <c r="C155">
        <v>4</v>
      </c>
      <c r="D155">
        <v>0</v>
      </c>
      <c r="E155" t="s">
        <v>86</v>
      </c>
      <c r="F155">
        <v>30688</v>
      </c>
      <c r="G155">
        <v>41766688.809523806</v>
      </c>
      <c r="H155">
        <v>0.97236096291314988</v>
      </c>
      <c r="I155">
        <v>0.93806193806193805</v>
      </c>
      <c r="J155">
        <v>8610128.4761904757</v>
      </c>
      <c r="K155">
        <v>58160</v>
      </c>
      <c r="L155">
        <v>2</v>
      </c>
      <c r="M155">
        <v>162</v>
      </c>
      <c r="N155">
        <v>0.93639693639693644</v>
      </c>
      <c r="O155">
        <v>10030483</v>
      </c>
      <c r="P155">
        <v>58845</v>
      </c>
      <c r="Q155">
        <v>2</v>
      </c>
      <c r="R155">
        <v>163</v>
      </c>
      <c r="S155">
        <v>11.719635627530364</v>
      </c>
      <c r="T155">
        <v>0.97616277933120732</v>
      </c>
      <c r="W155">
        <f>Tabela6[[#This Row],[mlp_params]]</f>
        <v>58160</v>
      </c>
      <c r="X155">
        <f>Tabela6[[#This Row],[mlp_test_acc]]</f>
        <v>0.93806193806193805</v>
      </c>
      <c r="Y155">
        <f>Tabela6[[#This Row],[kan_val_acc_1]]</f>
        <v>0.97616277933120732</v>
      </c>
      <c r="Z155">
        <f>Tabela6[[#This Row],[no_steps]]</f>
        <v>11.719635627530364</v>
      </c>
    </row>
    <row r="156" spans="1:26" hidden="1" x14ac:dyDescent="0.25">
      <c r="A156" t="s">
        <v>18</v>
      </c>
      <c r="B156">
        <v>3</v>
      </c>
      <c r="C156">
        <v>4</v>
      </c>
      <c r="D156">
        <v>0</v>
      </c>
      <c r="E156" t="s">
        <v>64</v>
      </c>
      <c r="F156">
        <v>31174</v>
      </c>
      <c r="G156">
        <v>45775893.090909094</v>
      </c>
      <c r="H156">
        <v>0.97457088123668323</v>
      </c>
      <c r="I156">
        <v>0.93388429752066116</v>
      </c>
      <c r="J156">
        <v>9676229.9090909082</v>
      </c>
      <c r="K156">
        <v>58845</v>
      </c>
      <c r="L156">
        <v>2</v>
      </c>
      <c r="M156">
        <v>163</v>
      </c>
      <c r="N156">
        <v>0.93261284170375081</v>
      </c>
      <c r="O156">
        <v>9919059.6363636367</v>
      </c>
      <c r="P156">
        <v>59534</v>
      </c>
      <c r="Q156">
        <v>2</v>
      </c>
      <c r="R156">
        <v>164</v>
      </c>
      <c r="S156">
        <v>11.718655462184874</v>
      </c>
      <c r="T156">
        <v>0.9837209224700928</v>
      </c>
      <c r="W156">
        <f>Tabela6[[#This Row],[mlp_params]]</f>
        <v>58845</v>
      </c>
      <c r="X156">
        <f>Tabela6[[#This Row],[mlp_test_acc]]</f>
        <v>0.93388429752066116</v>
      </c>
      <c r="Y156">
        <f>Tabela6[[#This Row],[kan_val_acc_1]]</f>
        <v>0.9837209224700928</v>
      </c>
      <c r="Z156">
        <f>Tabela6[[#This Row],[no_steps]]</f>
        <v>11.718655462184874</v>
      </c>
    </row>
    <row r="157" spans="1:26" hidden="1" x14ac:dyDescent="0.25">
      <c r="A157" t="s">
        <v>18</v>
      </c>
      <c r="B157">
        <v>3</v>
      </c>
      <c r="C157">
        <v>4</v>
      </c>
      <c r="D157">
        <v>0</v>
      </c>
      <c r="E157" t="s">
        <v>72</v>
      </c>
      <c r="F157">
        <v>31412</v>
      </c>
      <c r="G157">
        <v>39568677.090909094</v>
      </c>
      <c r="H157">
        <v>0.97774951566349377</v>
      </c>
      <c r="I157">
        <v>0.93769866497139231</v>
      </c>
      <c r="J157">
        <v>8408278.8181818184</v>
      </c>
      <c r="K157">
        <v>59534</v>
      </c>
      <c r="L157">
        <v>2</v>
      </c>
      <c r="M157">
        <v>164</v>
      </c>
      <c r="N157">
        <v>0.93324856961220604</v>
      </c>
      <c r="O157">
        <v>8076161</v>
      </c>
      <c r="P157">
        <v>60227</v>
      </c>
      <c r="Q157">
        <v>2</v>
      </c>
      <c r="R157">
        <v>165</v>
      </c>
      <c r="S157">
        <v>11.714668452779639</v>
      </c>
      <c r="T157">
        <v>0.98139533996582029</v>
      </c>
      <c r="W157">
        <f>Tabela6[[#This Row],[mlp_params]]</f>
        <v>59534</v>
      </c>
      <c r="X157">
        <f>Tabela6[[#This Row],[mlp_test_acc]]</f>
        <v>0.93769866497139231</v>
      </c>
      <c r="Y157">
        <f>Tabela6[[#This Row],[kan_val_acc_1]]</f>
        <v>0.98139533996582029</v>
      </c>
      <c r="Z157">
        <f>Tabela6[[#This Row],[no_steps]]</f>
        <v>11.714668452779639</v>
      </c>
    </row>
    <row r="158" spans="1:26" hidden="1" x14ac:dyDescent="0.25">
      <c r="A158" t="s">
        <v>18</v>
      </c>
      <c r="B158">
        <v>3</v>
      </c>
      <c r="C158">
        <v>4</v>
      </c>
      <c r="D158">
        <v>0</v>
      </c>
      <c r="E158" t="s">
        <v>65</v>
      </c>
      <c r="F158">
        <v>31896</v>
      </c>
      <c r="G158">
        <v>45169416.285714284</v>
      </c>
      <c r="H158">
        <v>0.96603395257677349</v>
      </c>
      <c r="I158">
        <v>0.94072594072594073</v>
      </c>
      <c r="J158">
        <v>9599025</v>
      </c>
      <c r="K158">
        <v>60227</v>
      </c>
      <c r="L158">
        <v>2</v>
      </c>
      <c r="M158">
        <v>165</v>
      </c>
      <c r="N158">
        <v>0.9343989343989344</v>
      </c>
      <c r="O158">
        <v>9671356.7142857146</v>
      </c>
      <c r="P158">
        <v>60924</v>
      </c>
      <c r="Q158">
        <v>2</v>
      </c>
      <c r="R158">
        <v>166</v>
      </c>
      <c r="S158">
        <v>11.707682075157965</v>
      </c>
      <c r="T158">
        <v>0.97790696620941164</v>
      </c>
      <c r="W158">
        <f>Tabela6[[#This Row],[mlp_params]]</f>
        <v>60227</v>
      </c>
      <c r="X158">
        <f>Tabela6[[#This Row],[mlp_test_acc]]</f>
        <v>0.94072594072594073</v>
      </c>
      <c r="Y158">
        <f>Tabela6[[#This Row],[kan_val_acc_1]]</f>
        <v>0.97790696620941164</v>
      </c>
      <c r="Z158">
        <f>Tabela6[[#This Row],[no_steps]]</f>
        <v>11.707682075157965</v>
      </c>
    </row>
    <row r="159" spans="1:26" hidden="1" x14ac:dyDescent="0.25">
      <c r="A159" t="s">
        <v>18</v>
      </c>
      <c r="B159">
        <v>3</v>
      </c>
      <c r="C159">
        <v>4</v>
      </c>
      <c r="D159">
        <v>0</v>
      </c>
      <c r="E159" t="s">
        <v>73</v>
      </c>
      <c r="F159">
        <v>32174</v>
      </c>
      <c r="G159">
        <v>44232264.090909094</v>
      </c>
      <c r="H159">
        <v>0.97647805647416552</v>
      </c>
      <c r="I159">
        <v>0.94342021614748883</v>
      </c>
      <c r="J159">
        <v>9158892.2727272734</v>
      </c>
      <c r="K159">
        <v>60924</v>
      </c>
      <c r="L159">
        <v>2</v>
      </c>
      <c r="M159">
        <v>166</v>
      </c>
      <c r="N159">
        <v>0.93261284170375081</v>
      </c>
      <c r="O159">
        <v>8713520.6363636367</v>
      </c>
      <c r="P159">
        <v>61625</v>
      </c>
      <c r="Q159">
        <v>2</v>
      </c>
      <c r="R159">
        <v>167</v>
      </c>
      <c r="S159">
        <v>11.703777335984096</v>
      </c>
      <c r="T159">
        <v>0.98255813121795654</v>
      </c>
      <c r="W159">
        <f>Tabela6[[#This Row],[mlp_params]]</f>
        <v>60924</v>
      </c>
      <c r="X159">
        <f>Tabela6[[#This Row],[mlp_test_acc]]</f>
        <v>0.94342021614748883</v>
      </c>
      <c r="Y159">
        <f>Tabela6[[#This Row],[kan_val_acc_1]]</f>
        <v>0.98255813121795654</v>
      </c>
      <c r="Z159">
        <f>Tabela6[[#This Row],[no_steps]]</f>
        <v>11.703777335984096</v>
      </c>
    </row>
    <row r="160" spans="1:26" hidden="1" x14ac:dyDescent="0.25">
      <c r="A160" t="s">
        <v>18</v>
      </c>
      <c r="B160">
        <v>3</v>
      </c>
      <c r="C160">
        <v>4</v>
      </c>
      <c r="D160">
        <v>0</v>
      </c>
      <c r="E160" t="s">
        <v>74</v>
      </c>
      <c r="F160">
        <v>32936</v>
      </c>
      <c r="G160">
        <v>48383031.333333336</v>
      </c>
      <c r="H160">
        <v>0.98001997811453678</v>
      </c>
      <c r="I160">
        <v>0.93706293706293708</v>
      </c>
      <c r="J160">
        <v>9874272</v>
      </c>
      <c r="K160">
        <v>62330</v>
      </c>
      <c r="L160">
        <v>2</v>
      </c>
      <c r="M160">
        <v>168</v>
      </c>
      <c r="N160">
        <v>0.93506493506493504</v>
      </c>
      <c r="O160">
        <v>9636520.9047619049</v>
      </c>
      <c r="P160">
        <v>63039</v>
      </c>
      <c r="Q160">
        <v>2</v>
      </c>
      <c r="R160">
        <v>169</v>
      </c>
      <c r="S160">
        <v>11.704508061862455</v>
      </c>
      <c r="T160">
        <v>0.98023254871368404</v>
      </c>
      <c r="W160">
        <f>Tabela6[[#This Row],[mlp_params]]</f>
        <v>62330</v>
      </c>
      <c r="X160">
        <f>Tabela6[[#This Row],[mlp_test_acc]]</f>
        <v>0.93706293706293708</v>
      </c>
      <c r="Y160">
        <f>Tabela6[[#This Row],[kan_val_acc_1]]</f>
        <v>0.98023254871368404</v>
      </c>
      <c r="Z160">
        <f>Tabela6[[#This Row],[no_steps]]</f>
        <v>11.704508061862455</v>
      </c>
    </row>
    <row r="161" spans="1:26" hidden="1" x14ac:dyDescent="0.25">
      <c r="A161" t="s">
        <v>18</v>
      </c>
      <c r="B161">
        <v>3</v>
      </c>
      <c r="C161">
        <v>4</v>
      </c>
      <c r="D161">
        <v>0</v>
      </c>
      <c r="E161" t="s">
        <v>75</v>
      </c>
      <c r="F161">
        <v>33698</v>
      </c>
      <c r="G161">
        <v>45309448.571428575</v>
      </c>
      <c r="H161">
        <v>0.97635696615491596</v>
      </c>
      <c r="I161">
        <v>0.94105894105894106</v>
      </c>
      <c r="J161">
        <v>9142617.333333334</v>
      </c>
      <c r="K161">
        <v>63752</v>
      </c>
      <c r="L161">
        <v>2</v>
      </c>
      <c r="M161">
        <v>170</v>
      </c>
      <c r="N161">
        <v>0.93339993339993343</v>
      </c>
      <c r="O161">
        <v>9388355.666666666</v>
      </c>
      <c r="P161">
        <v>64469</v>
      </c>
      <c r="Q161">
        <v>2</v>
      </c>
      <c r="R161">
        <v>171</v>
      </c>
      <c r="S161">
        <v>11.695751633986928</v>
      </c>
      <c r="T161">
        <v>0.98197673559188847</v>
      </c>
      <c r="W161">
        <f>Tabela6[[#This Row],[mlp_params]]</f>
        <v>63752</v>
      </c>
      <c r="X161">
        <f>Tabela6[[#This Row],[mlp_test_acc]]</f>
        <v>0.94105894105894106</v>
      </c>
      <c r="Y161">
        <f>Tabela6[[#This Row],[kan_val_acc_1]]</f>
        <v>0.98197673559188847</v>
      </c>
      <c r="Z161">
        <f>Tabela6[[#This Row],[no_steps]]</f>
        <v>11.695751633986928</v>
      </c>
    </row>
    <row r="162" spans="1:26" hidden="1" x14ac:dyDescent="0.25">
      <c r="A162" t="s">
        <v>18</v>
      </c>
      <c r="B162">
        <v>3</v>
      </c>
      <c r="C162">
        <v>4</v>
      </c>
      <c r="D162">
        <v>0</v>
      </c>
      <c r="E162" t="s">
        <v>91</v>
      </c>
      <c r="F162">
        <v>34698</v>
      </c>
      <c r="G162">
        <v>47805886.952380955</v>
      </c>
      <c r="H162">
        <v>0.96137195541745135</v>
      </c>
      <c r="I162">
        <v>0.93839493839493837</v>
      </c>
      <c r="J162">
        <v>9766886.5714285709</v>
      </c>
      <c r="K162">
        <v>65190</v>
      </c>
      <c r="L162">
        <v>2</v>
      </c>
      <c r="M162">
        <v>172</v>
      </c>
      <c r="N162">
        <v>0.93273393273393279</v>
      </c>
      <c r="O162">
        <v>9905761.9047619049</v>
      </c>
      <c r="P162">
        <v>65915</v>
      </c>
      <c r="Q162">
        <v>2</v>
      </c>
      <c r="R162">
        <v>173</v>
      </c>
      <c r="S162">
        <v>11.690360272638754</v>
      </c>
      <c r="T162">
        <v>0.98139533996582029</v>
      </c>
      <c r="W162">
        <f>Tabela6[[#This Row],[mlp_params]]</f>
        <v>65190</v>
      </c>
      <c r="X162">
        <f>Tabela6[[#This Row],[mlp_test_acc]]</f>
        <v>0.93839493839493837</v>
      </c>
      <c r="Y162">
        <f>Tabela6[[#This Row],[kan_val_acc_1]]</f>
        <v>0.98139533996582029</v>
      </c>
      <c r="Z162">
        <f>Tabela6[[#This Row],[no_steps]]</f>
        <v>11.690360272638754</v>
      </c>
    </row>
    <row r="163" spans="1:26" hidden="1" x14ac:dyDescent="0.25">
      <c r="A163" t="s">
        <v>18</v>
      </c>
      <c r="B163">
        <v>3</v>
      </c>
      <c r="C163">
        <v>4</v>
      </c>
      <c r="D163">
        <v>0</v>
      </c>
      <c r="E163" t="s">
        <v>92</v>
      </c>
      <c r="F163">
        <v>35500</v>
      </c>
      <c r="G163">
        <v>47463063.454545453</v>
      </c>
      <c r="H163">
        <v>0.97393514893271704</v>
      </c>
      <c r="I163">
        <v>0.93452002542911639</v>
      </c>
      <c r="J163">
        <v>9084635</v>
      </c>
      <c r="K163">
        <v>66644</v>
      </c>
      <c r="L163">
        <v>2</v>
      </c>
      <c r="M163">
        <v>174</v>
      </c>
      <c r="N163">
        <v>0.9351557533375715</v>
      </c>
      <c r="O163">
        <v>11008780.727272727</v>
      </c>
      <c r="P163">
        <v>67377</v>
      </c>
      <c r="Q163">
        <v>2</v>
      </c>
      <c r="R163">
        <v>175</v>
      </c>
      <c r="S163">
        <v>11.6879042690815</v>
      </c>
      <c r="T163">
        <v>0.9790697574615479</v>
      </c>
      <c r="W163">
        <f>Tabela6[[#This Row],[mlp_params]]</f>
        <v>66644</v>
      </c>
      <c r="X163">
        <f>Tabela6[[#This Row],[mlp_test_acc]]</f>
        <v>0.93452002542911639</v>
      </c>
      <c r="Y163">
        <f>Tabela6[[#This Row],[kan_val_acc_1]]</f>
        <v>0.9790697574615479</v>
      </c>
      <c r="Z163">
        <f>Tabela6[[#This Row],[no_steps]]</f>
        <v>11.6879042690815</v>
      </c>
    </row>
    <row r="164" spans="1:26" hidden="1" x14ac:dyDescent="0.25">
      <c r="A164" t="s">
        <v>18</v>
      </c>
      <c r="B164">
        <v>3</v>
      </c>
      <c r="C164">
        <v>4</v>
      </c>
      <c r="D164">
        <v>0</v>
      </c>
      <c r="E164" t="s">
        <v>105</v>
      </c>
      <c r="F164">
        <v>7064</v>
      </c>
      <c r="G164">
        <v>48312125.909090906</v>
      </c>
      <c r="H164">
        <v>0.97457088123668323</v>
      </c>
      <c r="I164">
        <v>0.9376986649713922</v>
      </c>
      <c r="J164">
        <v>9689855.9090909082</v>
      </c>
      <c r="K164">
        <v>13215</v>
      </c>
      <c r="L164">
        <v>2</v>
      </c>
      <c r="M164">
        <v>73</v>
      </c>
      <c r="N164">
        <v>0.93833439287984743</v>
      </c>
      <c r="O164">
        <v>8920133.9090909082</v>
      </c>
      <c r="P164">
        <v>13544</v>
      </c>
      <c r="Q164">
        <v>2</v>
      </c>
      <c r="R164">
        <v>74</v>
      </c>
      <c r="S164">
        <v>11.686110215920078</v>
      </c>
      <c r="T164">
        <v>0.98604650497436519</v>
      </c>
      <c r="W164">
        <f>Tabela6[[#This Row],[mlp_params]]</f>
        <v>13215</v>
      </c>
      <c r="X164">
        <f>Tabela6[[#This Row],[mlp_test_acc]]</f>
        <v>0.9376986649713922</v>
      </c>
      <c r="Y164">
        <f>Tabela6[[#This Row],[kan_val_acc_1]]</f>
        <v>0.98604650497436519</v>
      </c>
      <c r="Z164">
        <f>Tabela6[[#This Row],[no_steps]]</f>
        <v>11.686110215920078</v>
      </c>
    </row>
    <row r="165" spans="1:26" hidden="1" x14ac:dyDescent="0.25">
      <c r="A165" t="s">
        <v>18</v>
      </c>
      <c r="B165">
        <v>3</v>
      </c>
      <c r="C165">
        <v>4</v>
      </c>
      <c r="D165">
        <v>0</v>
      </c>
      <c r="E165" t="s">
        <v>19</v>
      </c>
      <c r="F165">
        <v>7706</v>
      </c>
      <c r="G165">
        <v>12696765.545454545</v>
      </c>
      <c r="H165">
        <v>0.98474252765828918</v>
      </c>
      <c r="I165">
        <v>0.9402415766052129</v>
      </c>
      <c r="J165">
        <v>3270672.5454545454</v>
      </c>
      <c r="K165">
        <v>14555</v>
      </c>
      <c r="L165">
        <v>2</v>
      </c>
      <c r="M165">
        <v>77</v>
      </c>
      <c r="N165">
        <v>0.93833439287984743</v>
      </c>
      <c r="O165">
        <v>1843558.3636363635</v>
      </c>
      <c r="P165">
        <v>14900</v>
      </c>
      <c r="Q165">
        <v>2</v>
      </c>
      <c r="R165">
        <v>78</v>
      </c>
      <c r="S165">
        <v>11.680475272960821</v>
      </c>
      <c r="T165">
        <v>0.97674417495727539</v>
      </c>
      <c r="W165">
        <f>Tabela6[[#This Row],[mlp_params]]</f>
        <v>14555</v>
      </c>
      <c r="X165">
        <f>Tabela6[[#This Row],[mlp_test_acc]]</f>
        <v>0.9402415766052129</v>
      </c>
      <c r="Y165">
        <f>Tabela6[[#This Row],[kan_val_acc_1]]</f>
        <v>0.97674417495727539</v>
      </c>
      <c r="Z165">
        <f>Tabela6[[#This Row],[no_steps]]</f>
        <v>11.680475272960821</v>
      </c>
    </row>
    <row r="166" spans="1:26" hidden="1" x14ac:dyDescent="0.25">
      <c r="A166" t="s">
        <v>18</v>
      </c>
      <c r="B166">
        <v>3</v>
      </c>
      <c r="C166">
        <v>4</v>
      </c>
      <c r="D166">
        <v>0</v>
      </c>
      <c r="E166" t="s">
        <v>20</v>
      </c>
      <c r="F166">
        <v>8348</v>
      </c>
      <c r="G166">
        <v>10665033.727272727</v>
      </c>
      <c r="H166">
        <v>0.98283534700220276</v>
      </c>
      <c r="I166">
        <v>0.93897012078830255</v>
      </c>
      <c r="J166">
        <v>3330470.7272727271</v>
      </c>
      <c r="K166">
        <v>15602</v>
      </c>
      <c r="L166">
        <v>2</v>
      </c>
      <c r="M166">
        <v>80</v>
      </c>
      <c r="N166">
        <v>0.93388429752066116</v>
      </c>
      <c r="O166">
        <v>2368796.2727272729</v>
      </c>
      <c r="P166">
        <v>15959</v>
      </c>
      <c r="Q166">
        <v>2</v>
      </c>
      <c r="R166">
        <v>81</v>
      </c>
      <c r="S166">
        <v>11.668799999999999</v>
      </c>
      <c r="T166">
        <v>0.97209300994873049</v>
      </c>
      <c r="W166">
        <f>Tabela6[[#This Row],[mlp_params]]</f>
        <v>15602</v>
      </c>
      <c r="X166">
        <f>Tabela6[[#This Row],[mlp_test_acc]]</f>
        <v>0.93897012078830255</v>
      </c>
      <c r="Y166">
        <f>Tabela6[[#This Row],[kan_val_acc_1]]</f>
        <v>0.97209300994873049</v>
      </c>
      <c r="Z166">
        <f>Tabela6[[#This Row],[no_steps]]</f>
        <v>11.668799999999999</v>
      </c>
    </row>
    <row r="167" spans="1:26" hidden="1" x14ac:dyDescent="0.25">
      <c r="A167" t="s">
        <v>18</v>
      </c>
      <c r="B167">
        <v>3</v>
      </c>
      <c r="C167">
        <v>4</v>
      </c>
      <c r="D167">
        <v>0</v>
      </c>
      <c r="E167" t="s">
        <v>21</v>
      </c>
      <c r="F167">
        <v>8990</v>
      </c>
      <c r="G167">
        <v>12697467.909090908</v>
      </c>
      <c r="H167">
        <v>0.9815638823942705</v>
      </c>
      <c r="I167">
        <v>0.94469167196439929</v>
      </c>
      <c r="J167">
        <v>2477660.1818181816</v>
      </c>
      <c r="K167">
        <v>16685</v>
      </c>
      <c r="L167">
        <v>2</v>
      </c>
      <c r="M167">
        <v>83</v>
      </c>
      <c r="N167">
        <v>0.93579148124602674</v>
      </c>
      <c r="O167">
        <v>2825408</v>
      </c>
      <c r="P167">
        <v>17054</v>
      </c>
      <c r="Q167">
        <v>2</v>
      </c>
      <c r="R167">
        <v>84</v>
      </c>
      <c r="S167">
        <v>11.659757653061224</v>
      </c>
      <c r="T167">
        <v>0.98023254871368404</v>
      </c>
      <c r="W167">
        <f>Tabela6[[#This Row],[mlp_params]]</f>
        <v>16685</v>
      </c>
      <c r="X167">
        <f>Tabela6[[#This Row],[mlp_test_acc]]</f>
        <v>0.94469167196439929</v>
      </c>
      <c r="Y167">
        <f>Tabela6[[#This Row],[kan_val_acc_1]]</f>
        <v>0.98023254871368404</v>
      </c>
      <c r="Z167">
        <f>Tabela6[[#This Row],[no_steps]]</f>
        <v>11.659757653061224</v>
      </c>
    </row>
    <row r="168" spans="1:26" hidden="1" x14ac:dyDescent="0.25">
      <c r="A168" t="s">
        <v>18</v>
      </c>
      <c r="B168">
        <v>3</v>
      </c>
      <c r="C168">
        <v>4</v>
      </c>
      <c r="D168">
        <v>0</v>
      </c>
      <c r="E168" t="s">
        <v>22</v>
      </c>
      <c r="F168">
        <v>9632</v>
      </c>
      <c r="G168">
        <v>14303867.454545455</v>
      </c>
      <c r="H168">
        <v>0.98029243946075439</v>
      </c>
      <c r="I168">
        <v>0.93833439287984743</v>
      </c>
      <c r="J168">
        <v>2755607.2727272729</v>
      </c>
      <c r="K168">
        <v>18185</v>
      </c>
      <c r="L168">
        <v>2</v>
      </c>
      <c r="M168">
        <v>87</v>
      </c>
      <c r="N168">
        <v>0.93769866497139231</v>
      </c>
      <c r="O168">
        <v>3337936.5454545454</v>
      </c>
      <c r="P168">
        <v>18570</v>
      </c>
      <c r="Q168">
        <v>2</v>
      </c>
      <c r="R168">
        <v>88</v>
      </c>
      <c r="S168">
        <v>11.654591674610741</v>
      </c>
      <c r="T168">
        <v>0.9790697574615479</v>
      </c>
      <c r="W168">
        <f>Tabela6[[#This Row],[mlp_params]]</f>
        <v>18185</v>
      </c>
      <c r="X168">
        <f>Tabela6[[#This Row],[mlp_test_acc]]</f>
        <v>0.93833439287984743</v>
      </c>
      <c r="Y168">
        <f>Tabela6[[#This Row],[kan_val_acc_1]]</f>
        <v>0.9790697574615479</v>
      </c>
      <c r="Z168">
        <f>Tabela6[[#This Row],[no_steps]]</f>
        <v>11.654591674610741</v>
      </c>
    </row>
    <row r="169" spans="1:26" hidden="1" x14ac:dyDescent="0.25">
      <c r="A169" t="s">
        <v>18</v>
      </c>
      <c r="B169">
        <v>3</v>
      </c>
      <c r="C169">
        <v>4</v>
      </c>
      <c r="D169">
        <v>0</v>
      </c>
      <c r="E169" t="s">
        <v>39</v>
      </c>
      <c r="F169">
        <v>10274</v>
      </c>
      <c r="G169">
        <v>14477175</v>
      </c>
      <c r="H169">
        <v>0.97965669631958008</v>
      </c>
      <c r="I169">
        <v>0.93960584869675778</v>
      </c>
      <c r="J169">
        <v>7919947.4545454541</v>
      </c>
      <c r="K169">
        <v>19352</v>
      </c>
      <c r="L169">
        <v>2</v>
      </c>
      <c r="M169">
        <v>90</v>
      </c>
      <c r="N169">
        <v>0.9351557533375715</v>
      </c>
      <c r="O169">
        <v>7420738.2727272725</v>
      </c>
      <c r="P169">
        <v>19749</v>
      </c>
      <c r="Q169">
        <v>2</v>
      </c>
      <c r="R169">
        <v>91</v>
      </c>
      <c r="S169">
        <v>11.647245091830273</v>
      </c>
      <c r="T169">
        <v>0.98139533996582029</v>
      </c>
      <c r="W169">
        <f>Tabela6[[#This Row],[mlp_params]]</f>
        <v>19352</v>
      </c>
      <c r="X169">
        <f>Tabela6[[#This Row],[mlp_test_acc]]</f>
        <v>0.93960584869675778</v>
      </c>
      <c r="Y169">
        <f>Tabela6[[#This Row],[kan_val_acc_1]]</f>
        <v>0.98139533996582029</v>
      </c>
      <c r="Z169">
        <f>Tabela6[[#This Row],[no_steps]]</f>
        <v>11.647245091830273</v>
      </c>
    </row>
    <row r="170" spans="1:26" hidden="1" x14ac:dyDescent="0.25">
      <c r="A170" t="s">
        <v>18</v>
      </c>
      <c r="B170">
        <v>3</v>
      </c>
      <c r="C170">
        <v>4</v>
      </c>
      <c r="D170">
        <v>0</v>
      </c>
      <c r="E170" t="s">
        <v>55</v>
      </c>
      <c r="F170">
        <v>10916</v>
      </c>
      <c r="G170">
        <v>16268408.454545455</v>
      </c>
      <c r="H170">
        <v>0.98092816092751245</v>
      </c>
      <c r="I170">
        <v>0.93769866497139231</v>
      </c>
      <c r="J170">
        <v>7904432.2727272725</v>
      </c>
      <c r="K170">
        <v>20555</v>
      </c>
      <c r="L170">
        <v>2</v>
      </c>
      <c r="M170">
        <v>93</v>
      </c>
      <c r="N170">
        <v>0.93324856961220604</v>
      </c>
      <c r="O170">
        <v>8415909.0909090918</v>
      </c>
      <c r="P170">
        <v>20964</v>
      </c>
      <c r="Q170">
        <v>2</v>
      </c>
      <c r="R170">
        <v>94</v>
      </c>
      <c r="S170">
        <v>11.641211738718839</v>
      </c>
      <c r="T170">
        <v>0.9790697574615479</v>
      </c>
      <c r="W170">
        <f>Tabela6[[#This Row],[mlp_params]]</f>
        <v>20555</v>
      </c>
      <c r="X170">
        <f>Tabela6[[#This Row],[mlp_test_acc]]</f>
        <v>0.93769866497139231</v>
      </c>
      <c r="Y170">
        <f>Tabela6[[#This Row],[kan_val_acc_1]]</f>
        <v>0.9790697574615479</v>
      </c>
      <c r="Z170">
        <f>Tabela6[[#This Row],[no_steps]]</f>
        <v>11.641211738718839</v>
      </c>
    </row>
    <row r="171" spans="1:26" hidden="1" x14ac:dyDescent="0.25">
      <c r="A171" t="s">
        <v>18</v>
      </c>
      <c r="B171">
        <v>3</v>
      </c>
      <c r="C171">
        <v>4</v>
      </c>
      <c r="D171">
        <v>0</v>
      </c>
      <c r="E171" t="s">
        <v>66</v>
      </c>
      <c r="F171">
        <v>11558</v>
      </c>
      <c r="G171">
        <v>16689170</v>
      </c>
      <c r="H171">
        <v>0.97647805647416552</v>
      </c>
      <c r="I171">
        <v>0.93833439287984743</v>
      </c>
      <c r="J171">
        <v>7749008.9090909092</v>
      </c>
      <c r="K171">
        <v>21794</v>
      </c>
      <c r="L171">
        <v>2</v>
      </c>
      <c r="M171">
        <v>96</v>
      </c>
      <c r="N171">
        <v>0.93897012078830266</v>
      </c>
      <c r="O171">
        <v>9144744.1818181816</v>
      </c>
      <c r="P171">
        <v>22215</v>
      </c>
      <c r="Q171">
        <v>2</v>
      </c>
      <c r="R171">
        <v>97</v>
      </c>
      <c r="S171">
        <v>11.635220125786164</v>
      </c>
      <c r="T171">
        <v>0.9790697574615479</v>
      </c>
      <c r="W171">
        <f>Tabela6[[#This Row],[mlp_params]]</f>
        <v>21794</v>
      </c>
      <c r="X171">
        <f>Tabela6[[#This Row],[mlp_test_acc]]</f>
        <v>0.93833439287984743</v>
      </c>
      <c r="Y171">
        <f>Tabela6[[#This Row],[kan_val_acc_1]]</f>
        <v>0.9790697574615479</v>
      </c>
      <c r="Z171">
        <f>Tabela6[[#This Row],[no_steps]]</f>
        <v>11.635220125786164</v>
      </c>
    </row>
    <row r="172" spans="1:26" hidden="1" x14ac:dyDescent="0.25">
      <c r="A172" t="s">
        <v>18</v>
      </c>
      <c r="B172">
        <v>3</v>
      </c>
      <c r="C172">
        <v>4</v>
      </c>
      <c r="D172">
        <v>0</v>
      </c>
      <c r="E172" t="s">
        <v>76</v>
      </c>
      <c r="F172">
        <v>12200</v>
      </c>
      <c r="G172">
        <v>17102112.90909091</v>
      </c>
      <c r="H172">
        <v>0.96185633811083704</v>
      </c>
      <c r="I172">
        <v>0.93897012078830255</v>
      </c>
      <c r="J172">
        <v>8098663.8181818184</v>
      </c>
      <c r="K172">
        <v>23069</v>
      </c>
      <c r="L172">
        <v>2</v>
      </c>
      <c r="M172">
        <v>99</v>
      </c>
      <c r="N172">
        <v>0.93642720915448185</v>
      </c>
      <c r="O172">
        <v>7870518.8181818184</v>
      </c>
      <c r="P172">
        <v>23502</v>
      </c>
      <c r="Q172">
        <v>2</v>
      </c>
      <c r="R172">
        <v>100</v>
      </c>
      <c r="S172">
        <v>11.62864305860232</v>
      </c>
      <c r="T172">
        <v>0.97790696620941164</v>
      </c>
      <c r="W172">
        <f>Tabela6[[#This Row],[mlp_params]]</f>
        <v>23069</v>
      </c>
      <c r="X172">
        <f>Tabela6[[#This Row],[mlp_test_acc]]</f>
        <v>0.93897012078830255</v>
      </c>
      <c r="Y172">
        <f>Tabela6[[#This Row],[kan_val_acc_1]]</f>
        <v>0.97790696620941164</v>
      </c>
      <c r="Z172">
        <f>Tabela6[[#This Row],[no_steps]]</f>
        <v>11.62864305860232</v>
      </c>
    </row>
    <row r="173" spans="1:26" hidden="1" x14ac:dyDescent="0.25">
      <c r="A173" t="s">
        <v>18</v>
      </c>
      <c r="B173">
        <v>3</v>
      </c>
      <c r="C173">
        <v>5</v>
      </c>
      <c r="D173">
        <v>0</v>
      </c>
      <c r="E173" t="s">
        <v>55</v>
      </c>
      <c r="F173">
        <v>12004</v>
      </c>
      <c r="G173">
        <v>18548368.818181816</v>
      </c>
      <c r="H173">
        <v>0.97838523713025183</v>
      </c>
      <c r="I173">
        <v>0.93833439287984743</v>
      </c>
      <c r="J173">
        <v>7936511.8181818184</v>
      </c>
      <c r="K173">
        <v>23939</v>
      </c>
      <c r="L173">
        <v>2</v>
      </c>
      <c r="M173">
        <v>101</v>
      </c>
      <c r="N173">
        <v>0.9376986649713922</v>
      </c>
      <c r="O173">
        <v>8284011.8181818184</v>
      </c>
      <c r="P173">
        <v>24380</v>
      </c>
      <c r="Q173">
        <v>2</v>
      </c>
      <c r="R173">
        <v>102</v>
      </c>
      <c r="S173">
        <v>11.623672704559651</v>
      </c>
      <c r="T173">
        <v>0.9790697574615479</v>
      </c>
      <c r="W173">
        <f>Tabela6[[#This Row],[mlp_params]]</f>
        <v>23939</v>
      </c>
      <c r="X173">
        <f>Tabela6[[#This Row],[mlp_test_acc]]</f>
        <v>0.93833439287984743</v>
      </c>
      <c r="Y173">
        <f>Tabela6[[#This Row],[kan_val_acc_1]]</f>
        <v>0.9790697574615479</v>
      </c>
      <c r="Z173">
        <f>Tabela6[[#This Row],[no_steps]]</f>
        <v>11.623672704559651</v>
      </c>
    </row>
    <row r="174" spans="1:26" hidden="1" x14ac:dyDescent="0.25">
      <c r="A174" t="s">
        <v>18</v>
      </c>
      <c r="B174">
        <v>3</v>
      </c>
      <c r="C174">
        <v>5</v>
      </c>
      <c r="D174">
        <v>0</v>
      </c>
      <c r="E174" t="s">
        <v>66</v>
      </c>
      <c r="F174">
        <v>12710</v>
      </c>
      <c r="G174">
        <v>26077994.272727273</v>
      </c>
      <c r="H174">
        <v>0.97393515435132116</v>
      </c>
      <c r="I174">
        <v>0.93134138588684046</v>
      </c>
      <c r="J174">
        <v>8781265.3636363633</v>
      </c>
      <c r="K174">
        <v>25274</v>
      </c>
      <c r="L174">
        <v>2</v>
      </c>
      <c r="M174">
        <v>104</v>
      </c>
      <c r="N174">
        <v>0.93706293706293708</v>
      </c>
      <c r="O174">
        <v>9046504.8181818184</v>
      </c>
      <c r="P174">
        <v>25727</v>
      </c>
      <c r="Q174">
        <v>2</v>
      </c>
      <c r="R174">
        <v>105</v>
      </c>
      <c r="S174">
        <v>11.625894802365391</v>
      </c>
      <c r="T174">
        <v>0.98604650497436519</v>
      </c>
      <c r="W174">
        <f>Tabela6[[#This Row],[mlp_params]]</f>
        <v>25274</v>
      </c>
      <c r="X174">
        <f>Tabela6[[#This Row],[mlp_test_acc]]</f>
        <v>0.93134138588684046</v>
      </c>
      <c r="Y174">
        <f>Tabela6[[#This Row],[kan_val_acc_1]]</f>
        <v>0.98604650497436519</v>
      </c>
      <c r="Z174">
        <f>Tabela6[[#This Row],[no_steps]]</f>
        <v>11.625894802365391</v>
      </c>
    </row>
    <row r="175" spans="1:26" hidden="1" x14ac:dyDescent="0.25">
      <c r="A175" t="s">
        <v>18</v>
      </c>
      <c r="B175">
        <v>3</v>
      </c>
      <c r="C175">
        <v>5</v>
      </c>
      <c r="D175">
        <v>0</v>
      </c>
      <c r="E175" t="s">
        <v>76</v>
      </c>
      <c r="F175">
        <v>13416</v>
      </c>
      <c r="G175">
        <v>23813496.272727273</v>
      </c>
      <c r="H175">
        <v>0.97647806189276953</v>
      </c>
      <c r="I175">
        <v>0.93897012078830266</v>
      </c>
      <c r="J175">
        <v>8879885.0909090918</v>
      </c>
      <c r="K175">
        <v>26645</v>
      </c>
      <c r="L175">
        <v>2</v>
      </c>
      <c r="M175">
        <v>107</v>
      </c>
      <c r="N175">
        <v>0.93706293706293708</v>
      </c>
      <c r="O175">
        <v>8904270.7272727266</v>
      </c>
      <c r="P175">
        <v>27110</v>
      </c>
      <c r="Q175">
        <v>2</v>
      </c>
      <c r="R175">
        <v>108</v>
      </c>
      <c r="S175">
        <v>11.622828784119108</v>
      </c>
      <c r="T175">
        <v>0.98255813121795654</v>
      </c>
      <c r="W175">
        <f>Tabela6[[#This Row],[mlp_params]]</f>
        <v>26645</v>
      </c>
      <c r="X175">
        <f>Tabela6[[#This Row],[mlp_test_acc]]</f>
        <v>0.93897012078830266</v>
      </c>
      <c r="Y175">
        <f>Tabela6[[#This Row],[kan_val_acc_1]]</f>
        <v>0.98255813121795654</v>
      </c>
      <c r="Z175">
        <f>Tabela6[[#This Row],[no_steps]]</f>
        <v>11.622828784119108</v>
      </c>
    </row>
    <row r="176" spans="1:26" hidden="1" x14ac:dyDescent="0.25">
      <c r="A176" t="s">
        <v>18</v>
      </c>
      <c r="B176">
        <v>3</v>
      </c>
      <c r="C176">
        <v>5</v>
      </c>
      <c r="D176">
        <v>0</v>
      </c>
      <c r="E176" t="s">
        <v>93</v>
      </c>
      <c r="F176">
        <v>14122</v>
      </c>
      <c r="G176">
        <v>25225412.727272727</v>
      </c>
      <c r="H176">
        <v>0.98029242862354626</v>
      </c>
      <c r="I176">
        <v>0.94214876033057848</v>
      </c>
      <c r="J176">
        <v>8119285.0909090908</v>
      </c>
      <c r="K176">
        <v>28052</v>
      </c>
      <c r="L176">
        <v>2</v>
      </c>
      <c r="M176">
        <v>110</v>
      </c>
      <c r="N176">
        <v>0.93134138588684046</v>
      </c>
      <c r="O176">
        <v>7951661.2727272725</v>
      </c>
      <c r="P176">
        <v>28529</v>
      </c>
      <c r="Q176">
        <v>2</v>
      </c>
      <c r="R176">
        <v>111</v>
      </c>
      <c r="S176">
        <v>11.620401854714064</v>
      </c>
      <c r="T176">
        <v>0.98488371372222905</v>
      </c>
      <c r="W176">
        <f>Tabela6[[#This Row],[mlp_params]]</f>
        <v>28052</v>
      </c>
      <c r="X176">
        <f>Tabela6[[#This Row],[mlp_test_acc]]</f>
        <v>0.94214876033057848</v>
      </c>
      <c r="Y176">
        <f>Tabela6[[#This Row],[kan_val_acc_1]]</f>
        <v>0.98488371372222905</v>
      </c>
      <c r="Z176">
        <f>Tabela6[[#This Row],[no_steps]]</f>
        <v>11.620401854714064</v>
      </c>
    </row>
    <row r="177" spans="1:26" hidden="1" x14ac:dyDescent="0.25">
      <c r="A177" t="s">
        <v>18</v>
      </c>
      <c r="B177">
        <v>3</v>
      </c>
      <c r="C177">
        <v>5</v>
      </c>
      <c r="D177">
        <v>0</v>
      </c>
      <c r="E177" t="s">
        <v>94</v>
      </c>
      <c r="F177">
        <v>14828</v>
      </c>
      <c r="G177">
        <v>23089645.454545453</v>
      </c>
      <c r="H177">
        <v>0.97774952108209778</v>
      </c>
      <c r="I177">
        <v>0.94087730451366813</v>
      </c>
      <c r="J177">
        <v>9006215.1818181816</v>
      </c>
      <c r="K177">
        <v>29495</v>
      </c>
      <c r="L177">
        <v>2</v>
      </c>
      <c r="M177">
        <v>113</v>
      </c>
      <c r="N177">
        <v>0.93579148124602674</v>
      </c>
      <c r="O177">
        <v>9472504.0909090918</v>
      </c>
      <c r="P177">
        <v>29984</v>
      </c>
      <c r="Q177">
        <v>2</v>
      </c>
      <c r="R177">
        <v>114</v>
      </c>
      <c r="S177">
        <v>11.613986444855206</v>
      </c>
      <c r="T177">
        <v>0.98139533996582029</v>
      </c>
      <c r="W177">
        <f>Tabela6[[#This Row],[mlp_params]]</f>
        <v>29495</v>
      </c>
      <c r="X177">
        <f>Tabela6[[#This Row],[mlp_test_acc]]</f>
        <v>0.94087730451366813</v>
      </c>
      <c r="Y177">
        <f>Tabela6[[#This Row],[kan_val_acc_1]]</f>
        <v>0.98139533996582029</v>
      </c>
      <c r="Z177">
        <f>Tabela6[[#This Row],[no_steps]]</f>
        <v>11.613986444855206</v>
      </c>
    </row>
    <row r="178" spans="1:26" hidden="1" x14ac:dyDescent="0.25">
      <c r="A178" t="s">
        <v>18</v>
      </c>
      <c r="B178">
        <v>3</v>
      </c>
      <c r="C178">
        <v>5</v>
      </c>
      <c r="D178">
        <v>0</v>
      </c>
      <c r="E178" t="s">
        <v>95</v>
      </c>
      <c r="F178">
        <v>15534</v>
      </c>
      <c r="G178">
        <v>25113546.09090909</v>
      </c>
      <c r="H178">
        <v>0.97965669631958008</v>
      </c>
      <c r="I178">
        <v>0.94532739987285441</v>
      </c>
      <c r="J178">
        <v>7587800.4545454541</v>
      </c>
      <c r="K178">
        <v>30974</v>
      </c>
      <c r="L178">
        <v>2</v>
      </c>
      <c r="M178">
        <v>116</v>
      </c>
      <c r="N178">
        <v>0.94087730451366813</v>
      </c>
      <c r="O178">
        <v>7730960.1818181816</v>
      </c>
      <c r="P178">
        <v>31475</v>
      </c>
      <c r="Q178">
        <v>2</v>
      </c>
      <c r="R178">
        <v>117</v>
      </c>
      <c r="S178">
        <v>11.609456555112066</v>
      </c>
      <c r="T178">
        <v>0.9837209224700928</v>
      </c>
      <c r="W178">
        <f>Tabela6[[#This Row],[mlp_params]]</f>
        <v>30974</v>
      </c>
      <c r="X178">
        <f>Tabela6[[#This Row],[mlp_test_acc]]</f>
        <v>0.94532739987285441</v>
      </c>
      <c r="Y178">
        <f>Tabela6[[#This Row],[kan_val_acc_1]]</f>
        <v>0.9837209224700928</v>
      </c>
      <c r="Z178">
        <f>Tabela6[[#This Row],[no_steps]]</f>
        <v>11.609456555112066</v>
      </c>
    </row>
    <row r="179" spans="1:26" hidden="1" x14ac:dyDescent="0.25">
      <c r="A179" t="s">
        <v>18</v>
      </c>
      <c r="B179">
        <v>3</v>
      </c>
      <c r="C179">
        <v>5</v>
      </c>
      <c r="D179">
        <v>0</v>
      </c>
      <c r="E179" t="s">
        <v>96</v>
      </c>
      <c r="F179">
        <v>16240</v>
      </c>
      <c r="G179">
        <v>32844961.90909091</v>
      </c>
      <c r="H179">
        <v>0.98283535242080688</v>
      </c>
      <c r="I179">
        <v>0.94024157660521301</v>
      </c>
      <c r="J179">
        <v>8575644</v>
      </c>
      <c r="K179">
        <v>31980</v>
      </c>
      <c r="L179">
        <v>2</v>
      </c>
      <c r="M179">
        <v>118</v>
      </c>
      <c r="N179">
        <v>0.93706293706293708</v>
      </c>
      <c r="O179">
        <v>7612041.3636363633</v>
      </c>
      <c r="P179">
        <v>32489</v>
      </c>
      <c r="Q179">
        <v>2</v>
      </c>
      <c r="R179">
        <v>119</v>
      </c>
      <c r="S179">
        <v>11.612301101591187</v>
      </c>
      <c r="T179">
        <v>0.9837209224700928</v>
      </c>
      <c r="W179">
        <f>Tabela6[[#This Row],[mlp_params]]</f>
        <v>31980</v>
      </c>
      <c r="X179">
        <f>Tabela6[[#This Row],[mlp_test_acc]]</f>
        <v>0.94024157660521301</v>
      </c>
      <c r="Y179">
        <f>Tabela6[[#This Row],[kan_val_acc_1]]</f>
        <v>0.9837209224700928</v>
      </c>
      <c r="Z179">
        <f>Tabela6[[#This Row],[no_steps]]</f>
        <v>11.612301101591187</v>
      </c>
    </row>
    <row r="180" spans="1:26" hidden="1" x14ac:dyDescent="0.25">
      <c r="A180" t="s">
        <v>18</v>
      </c>
      <c r="B180">
        <v>3</v>
      </c>
      <c r="C180">
        <v>5</v>
      </c>
      <c r="D180">
        <v>0</v>
      </c>
      <c r="E180" t="s">
        <v>97</v>
      </c>
      <c r="F180">
        <v>16946</v>
      </c>
      <c r="G180">
        <v>29644317.363636363</v>
      </c>
      <c r="H180">
        <v>0.98156388781287451</v>
      </c>
      <c r="I180">
        <v>0.93197711379529569</v>
      </c>
      <c r="J180">
        <v>7808222.7272727275</v>
      </c>
      <c r="K180">
        <v>33519</v>
      </c>
      <c r="L180">
        <v>2</v>
      </c>
      <c r="M180">
        <v>121</v>
      </c>
      <c r="N180">
        <v>0.94087730451366813</v>
      </c>
      <c r="O180">
        <v>8261675.8181818184</v>
      </c>
      <c r="P180">
        <v>34040</v>
      </c>
      <c r="Q180">
        <v>2</v>
      </c>
      <c r="R180">
        <v>122</v>
      </c>
      <c r="S180">
        <v>11.610247026532479</v>
      </c>
      <c r="T180">
        <v>0.98255813121795654</v>
      </c>
      <c r="W180">
        <f>Tabela6[[#This Row],[mlp_params]]</f>
        <v>33519</v>
      </c>
      <c r="X180">
        <f>Tabela6[[#This Row],[mlp_test_acc]]</f>
        <v>0.93197711379529569</v>
      </c>
      <c r="Y180">
        <f>Tabela6[[#This Row],[kan_val_acc_1]]</f>
        <v>0.98255813121795654</v>
      </c>
      <c r="Z180">
        <f>Tabela6[[#This Row],[no_steps]]</f>
        <v>11.610247026532479</v>
      </c>
    </row>
    <row r="181" spans="1:26" hidden="1" x14ac:dyDescent="0.25">
      <c r="A181" t="s">
        <v>18</v>
      </c>
      <c r="B181">
        <v>3</v>
      </c>
      <c r="C181">
        <v>5</v>
      </c>
      <c r="D181">
        <v>0</v>
      </c>
      <c r="E181" t="s">
        <v>98</v>
      </c>
      <c r="F181">
        <v>17652</v>
      </c>
      <c r="G181">
        <v>28910865.818181816</v>
      </c>
      <c r="H181">
        <v>0.98156389865008264</v>
      </c>
      <c r="I181">
        <v>0.94278448823903371</v>
      </c>
      <c r="J181">
        <v>7003061.6363636367</v>
      </c>
      <c r="K181">
        <v>35094</v>
      </c>
      <c r="L181">
        <v>2</v>
      </c>
      <c r="M181">
        <v>124</v>
      </c>
      <c r="N181">
        <v>0.94024157660521301</v>
      </c>
      <c r="O181">
        <v>9550688.3636363633</v>
      </c>
      <c r="P181">
        <v>35627</v>
      </c>
      <c r="Q181">
        <v>2</v>
      </c>
      <c r="R181">
        <v>125</v>
      </c>
      <c r="S181">
        <v>11.607902735562311</v>
      </c>
      <c r="T181">
        <v>0.98255813121795654</v>
      </c>
      <c r="W181">
        <f>Tabela6[[#This Row],[mlp_params]]</f>
        <v>35094</v>
      </c>
      <c r="X181">
        <f>Tabela6[[#This Row],[mlp_test_acc]]</f>
        <v>0.94278448823903371</v>
      </c>
      <c r="Y181">
        <f>Tabela6[[#This Row],[kan_val_acc_1]]</f>
        <v>0.98255813121795654</v>
      </c>
      <c r="Z181">
        <f>Tabela6[[#This Row],[no_steps]]</f>
        <v>11.607902735562311</v>
      </c>
    </row>
    <row r="182" spans="1:26" hidden="1" x14ac:dyDescent="0.25">
      <c r="A182" t="s">
        <v>18</v>
      </c>
      <c r="B182">
        <v>3</v>
      </c>
      <c r="C182">
        <v>5</v>
      </c>
      <c r="D182">
        <v>0</v>
      </c>
      <c r="E182" t="s">
        <v>99</v>
      </c>
      <c r="F182">
        <v>18358</v>
      </c>
      <c r="G182">
        <v>27852520</v>
      </c>
      <c r="H182">
        <v>0.97902096943421801</v>
      </c>
      <c r="I182">
        <v>0.93706293706293708</v>
      </c>
      <c r="J182">
        <v>7929865.2727272725</v>
      </c>
      <c r="K182">
        <v>36164</v>
      </c>
      <c r="L182">
        <v>2</v>
      </c>
      <c r="M182">
        <v>126</v>
      </c>
      <c r="N182">
        <v>0.93579148124602674</v>
      </c>
      <c r="O182">
        <v>9118164.1818181816</v>
      </c>
      <c r="P182">
        <v>36705</v>
      </c>
      <c r="Q182">
        <v>2</v>
      </c>
      <c r="R182">
        <v>127</v>
      </c>
      <c r="S182">
        <v>11.601332929415328</v>
      </c>
      <c r="T182">
        <v>0.98023254871368404</v>
      </c>
      <c r="W182">
        <f>Tabela6[[#This Row],[mlp_params]]</f>
        <v>36164</v>
      </c>
      <c r="X182">
        <f>Tabela6[[#This Row],[mlp_test_acc]]</f>
        <v>0.93706293706293708</v>
      </c>
      <c r="Y182">
        <f>Tabela6[[#This Row],[kan_val_acc_1]]</f>
        <v>0.98023254871368404</v>
      </c>
      <c r="Z182">
        <f>Tabela6[[#This Row],[no_steps]]</f>
        <v>11.601332929415328</v>
      </c>
    </row>
    <row r="183" spans="1:26" hidden="1" x14ac:dyDescent="0.25">
      <c r="A183" t="s">
        <v>18</v>
      </c>
      <c r="B183">
        <v>3</v>
      </c>
      <c r="C183">
        <v>5</v>
      </c>
      <c r="D183">
        <v>0</v>
      </c>
      <c r="E183" t="s">
        <v>100</v>
      </c>
      <c r="F183">
        <v>19064</v>
      </c>
      <c r="G183">
        <v>27543750.454545453</v>
      </c>
      <c r="H183">
        <v>0.98092815550890833</v>
      </c>
      <c r="I183">
        <v>0.93579148124602674</v>
      </c>
      <c r="J183">
        <v>8424543.9090909082</v>
      </c>
      <c r="K183">
        <v>37799</v>
      </c>
      <c r="L183">
        <v>2</v>
      </c>
      <c r="M183">
        <v>129</v>
      </c>
      <c r="N183">
        <v>0.94024157660521301</v>
      </c>
      <c r="O183">
        <v>9101860.2727272734</v>
      </c>
      <c r="P183">
        <v>38352</v>
      </c>
      <c r="Q183">
        <v>2</v>
      </c>
      <c r="R183">
        <v>130</v>
      </c>
      <c r="S183">
        <v>11.595410628019323</v>
      </c>
      <c r="T183">
        <v>0.98139533996582029</v>
      </c>
      <c r="W183">
        <f>Tabela6[[#This Row],[mlp_params]]</f>
        <v>37799</v>
      </c>
      <c r="X183">
        <f>Tabela6[[#This Row],[mlp_test_acc]]</f>
        <v>0.93579148124602674</v>
      </c>
      <c r="Y183">
        <f>Tabela6[[#This Row],[kan_val_acc_1]]</f>
        <v>0.98139533996582029</v>
      </c>
      <c r="Z183">
        <f>Tabela6[[#This Row],[no_steps]]</f>
        <v>11.595410628019323</v>
      </c>
    </row>
    <row r="184" spans="1:26" hidden="1" x14ac:dyDescent="0.25">
      <c r="A184" t="s">
        <v>18</v>
      </c>
      <c r="B184">
        <v>3</v>
      </c>
      <c r="C184">
        <v>5</v>
      </c>
      <c r="D184">
        <v>0</v>
      </c>
      <c r="E184" t="s">
        <v>101</v>
      </c>
      <c r="F184">
        <v>19770</v>
      </c>
      <c r="G184">
        <v>29734488.727272727</v>
      </c>
      <c r="H184">
        <v>0.97774951566349377</v>
      </c>
      <c r="I184">
        <v>0.93642720915448185</v>
      </c>
      <c r="J184">
        <v>8623756.2727272734</v>
      </c>
      <c r="K184">
        <v>39470</v>
      </c>
      <c r="L184">
        <v>2</v>
      </c>
      <c r="M184">
        <v>132</v>
      </c>
      <c r="N184">
        <v>0.93642720915448185</v>
      </c>
      <c r="O184">
        <v>9181106.0909090918</v>
      </c>
      <c r="P184">
        <v>40035</v>
      </c>
      <c r="Q184">
        <v>2</v>
      </c>
      <c r="R184">
        <v>133</v>
      </c>
      <c r="S184">
        <v>11.588323803791754</v>
      </c>
      <c r="T184">
        <v>0.9837209224700928</v>
      </c>
      <c r="W184">
        <f>Tabela6[[#This Row],[mlp_params]]</f>
        <v>39470</v>
      </c>
      <c r="X184">
        <f>Tabela6[[#This Row],[mlp_test_acc]]</f>
        <v>0.93642720915448185</v>
      </c>
      <c r="Y184">
        <f>Tabela6[[#This Row],[kan_val_acc_1]]</f>
        <v>0.9837209224700928</v>
      </c>
      <c r="Z184">
        <f>Tabela6[[#This Row],[no_steps]]</f>
        <v>11.588323803791754</v>
      </c>
    </row>
    <row r="185" spans="1:26" hidden="1" x14ac:dyDescent="0.25">
      <c r="A185" t="s">
        <v>18</v>
      </c>
      <c r="B185">
        <v>3</v>
      </c>
      <c r="C185">
        <v>5</v>
      </c>
      <c r="D185">
        <v>0</v>
      </c>
      <c r="E185" t="s">
        <v>102</v>
      </c>
      <c r="F185">
        <v>20476</v>
      </c>
      <c r="G185">
        <v>32993139.181818184</v>
      </c>
      <c r="H185">
        <v>0.98283535242080688</v>
      </c>
      <c r="I185">
        <v>0.93134138588684046</v>
      </c>
      <c r="J185">
        <v>8697714.9090909082</v>
      </c>
      <c r="K185">
        <v>40604</v>
      </c>
      <c r="L185">
        <v>2</v>
      </c>
      <c r="M185">
        <v>134</v>
      </c>
      <c r="N185">
        <v>0.93452002542911639</v>
      </c>
      <c r="O185">
        <v>8810438.5454545449</v>
      </c>
      <c r="P185">
        <v>41177</v>
      </c>
      <c r="Q185">
        <v>2</v>
      </c>
      <c r="R185">
        <v>135</v>
      </c>
      <c r="S185">
        <v>11.585182963407318</v>
      </c>
      <c r="T185">
        <v>0.9883720874786377</v>
      </c>
      <c r="W185">
        <f>Tabela6[[#This Row],[mlp_params]]</f>
        <v>40604</v>
      </c>
      <c r="X185">
        <f>Tabela6[[#This Row],[mlp_test_acc]]</f>
        <v>0.93134138588684046</v>
      </c>
      <c r="Y185">
        <f>Tabela6[[#This Row],[kan_val_acc_1]]</f>
        <v>0.9883720874786377</v>
      </c>
      <c r="Z185">
        <f>Tabela6[[#This Row],[no_steps]]</f>
        <v>11.585182963407318</v>
      </c>
    </row>
    <row r="186" spans="1:26" hidden="1" x14ac:dyDescent="0.25">
      <c r="A186" t="s">
        <v>18</v>
      </c>
      <c r="B186">
        <v>3</v>
      </c>
      <c r="C186">
        <v>5</v>
      </c>
      <c r="D186">
        <v>0</v>
      </c>
      <c r="E186" t="s">
        <v>103</v>
      </c>
      <c r="F186">
        <v>21182</v>
      </c>
      <c r="G186">
        <v>34676983.714285716</v>
      </c>
      <c r="H186">
        <v>0.97668997162864324</v>
      </c>
      <c r="I186">
        <v>0.93506493506493504</v>
      </c>
      <c r="J186">
        <v>9101321.9523809515</v>
      </c>
      <c r="K186">
        <v>41754</v>
      </c>
      <c r="L186">
        <v>2</v>
      </c>
      <c r="M186">
        <v>136</v>
      </c>
      <c r="N186">
        <v>0.94005994005994009</v>
      </c>
      <c r="O186">
        <v>8556245.0952380951</v>
      </c>
      <c r="P186">
        <v>42335</v>
      </c>
      <c r="Q186">
        <v>2</v>
      </c>
      <c r="R186">
        <v>137</v>
      </c>
      <c r="S186">
        <v>11.579731743666169</v>
      </c>
      <c r="T186">
        <v>0.97616278231143949</v>
      </c>
      <c r="W186">
        <f>Tabela6[[#This Row],[mlp_params]]</f>
        <v>41754</v>
      </c>
      <c r="X186">
        <f>Tabela6[[#This Row],[mlp_test_acc]]</f>
        <v>0.93506493506493504</v>
      </c>
      <c r="Y186">
        <f>Tabela6[[#This Row],[kan_val_acc_1]]</f>
        <v>0.97616278231143949</v>
      </c>
      <c r="Z186">
        <f>Tabela6[[#This Row],[no_steps]]</f>
        <v>11.579731743666169</v>
      </c>
    </row>
    <row r="187" spans="1:26" hidden="1" x14ac:dyDescent="0.25">
      <c r="A187" t="s">
        <v>18</v>
      </c>
      <c r="B187">
        <v>3</v>
      </c>
      <c r="C187">
        <v>5</v>
      </c>
      <c r="D187">
        <v>0</v>
      </c>
      <c r="E187" t="s">
        <v>24</v>
      </c>
      <c r="F187">
        <v>21228</v>
      </c>
      <c r="G187">
        <v>37935644.090909094</v>
      </c>
      <c r="H187">
        <v>0.97774951566349377</v>
      </c>
      <c r="I187">
        <v>0.93324856961220604</v>
      </c>
      <c r="J187">
        <v>8540209.9090909082</v>
      </c>
      <c r="K187">
        <v>42335</v>
      </c>
      <c r="L187">
        <v>2</v>
      </c>
      <c r="M187">
        <v>137</v>
      </c>
      <c r="N187">
        <v>0.9376986649713922</v>
      </c>
      <c r="O187">
        <v>8599485.3636363633</v>
      </c>
      <c r="P187">
        <v>42920</v>
      </c>
      <c r="Q187">
        <v>2</v>
      </c>
      <c r="R187">
        <v>138</v>
      </c>
      <c r="S187">
        <v>11.579025549613785</v>
      </c>
      <c r="T187">
        <v>0.98604650497436519</v>
      </c>
      <c r="W187">
        <f>Tabela6[[#This Row],[mlp_params]]</f>
        <v>42335</v>
      </c>
      <c r="X187">
        <f>Tabela6[[#This Row],[mlp_test_acc]]</f>
        <v>0.93324856961220604</v>
      </c>
      <c r="Y187">
        <f>Tabela6[[#This Row],[kan_val_acc_1]]</f>
        <v>0.98604650497436519</v>
      </c>
      <c r="Z187">
        <f>Tabela6[[#This Row],[no_steps]]</f>
        <v>11.579025549613785</v>
      </c>
    </row>
    <row r="188" spans="1:26" hidden="1" x14ac:dyDescent="0.25">
      <c r="A188" t="s">
        <v>18</v>
      </c>
      <c r="B188">
        <v>3</v>
      </c>
      <c r="C188">
        <v>5</v>
      </c>
      <c r="D188">
        <v>0</v>
      </c>
      <c r="E188" t="s">
        <v>104</v>
      </c>
      <c r="F188">
        <v>21888</v>
      </c>
      <c r="G188">
        <v>41440017.727272727</v>
      </c>
      <c r="H188">
        <v>0.97393515435132116</v>
      </c>
      <c r="I188">
        <v>0.93642720915448185</v>
      </c>
      <c r="J188">
        <v>8619040.5454545449</v>
      </c>
      <c r="K188">
        <v>43509</v>
      </c>
      <c r="L188">
        <v>2</v>
      </c>
      <c r="M188">
        <v>139</v>
      </c>
      <c r="N188">
        <v>0.9351557533375715</v>
      </c>
      <c r="O188">
        <v>9413686.7272727266</v>
      </c>
      <c r="P188">
        <v>44102</v>
      </c>
      <c r="Q188">
        <v>2</v>
      </c>
      <c r="R188">
        <v>140</v>
      </c>
      <c r="S188">
        <v>11.582469647616227</v>
      </c>
      <c r="T188">
        <v>0.98488371372222905</v>
      </c>
      <c r="W188">
        <f>Tabela6[[#This Row],[mlp_params]]</f>
        <v>43509</v>
      </c>
      <c r="X188">
        <f>Tabela6[[#This Row],[mlp_test_acc]]</f>
        <v>0.93642720915448185</v>
      </c>
      <c r="Y188">
        <f>Tabela6[[#This Row],[kan_val_acc_1]]</f>
        <v>0.98488371372222905</v>
      </c>
      <c r="Z188">
        <f>Tabela6[[#This Row],[no_steps]]</f>
        <v>11.582469647616227</v>
      </c>
    </row>
    <row r="189" spans="1:26" hidden="1" x14ac:dyDescent="0.25">
      <c r="A189" t="s">
        <v>18</v>
      </c>
      <c r="B189">
        <v>3</v>
      </c>
      <c r="C189">
        <v>5</v>
      </c>
      <c r="D189">
        <v>0</v>
      </c>
      <c r="E189" t="s">
        <v>26</v>
      </c>
      <c r="F189">
        <v>22640</v>
      </c>
      <c r="G189">
        <v>40058605.064516127</v>
      </c>
      <c r="H189">
        <v>0.96977216005325317</v>
      </c>
      <c r="I189">
        <v>0.93345364313106249</v>
      </c>
      <c r="J189">
        <v>8734611.8064516131</v>
      </c>
      <c r="K189">
        <v>44699</v>
      </c>
      <c r="L189">
        <v>2</v>
      </c>
      <c r="M189">
        <v>141</v>
      </c>
      <c r="N189">
        <v>0.93593503270922629</v>
      </c>
      <c r="O189">
        <v>9383885.3225806449</v>
      </c>
      <c r="P189">
        <v>45300</v>
      </c>
      <c r="Q189">
        <v>2</v>
      </c>
      <c r="R189">
        <v>142</v>
      </c>
      <c r="S189">
        <v>11.583920187793428</v>
      </c>
      <c r="T189">
        <v>0.97790696819623313</v>
      </c>
      <c r="W189">
        <f>Tabela6[[#This Row],[mlp_params]]</f>
        <v>44699</v>
      </c>
      <c r="X189">
        <f>Tabela6[[#This Row],[mlp_test_acc]]</f>
        <v>0.93345364313106249</v>
      </c>
      <c r="Y189">
        <f>Tabela6[[#This Row],[kan_val_acc_1]]</f>
        <v>0.97790696819623313</v>
      </c>
      <c r="Z189">
        <f>Tabela6[[#This Row],[no_steps]]</f>
        <v>11.583920187793428</v>
      </c>
    </row>
    <row r="190" spans="1:26" hidden="1" x14ac:dyDescent="0.25">
      <c r="A190" t="s">
        <v>18</v>
      </c>
      <c r="B190">
        <v>3</v>
      </c>
      <c r="C190">
        <v>5</v>
      </c>
      <c r="D190">
        <v>0</v>
      </c>
      <c r="E190" t="s">
        <v>56</v>
      </c>
      <c r="F190">
        <v>23166</v>
      </c>
      <c r="G190">
        <v>43797860.428571425</v>
      </c>
      <c r="H190">
        <v>0.95970695359366276</v>
      </c>
      <c r="I190">
        <v>0.93806193806193805</v>
      </c>
      <c r="J190">
        <v>9021320.2380952388</v>
      </c>
      <c r="K190">
        <v>45905</v>
      </c>
      <c r="L190">
        <v>2</v>
      </c>
      <c r="M190">
        <v>143</v>
      </c>
      <c r="N190">
        <v>0.93872793872793869</v>
      </c>
      <c r="O190">
        <v>8539939.5238095243</v>
      </c>
      <c r="P190">
        <v>46514</v>
      </c>
      <c r="Q190">
        <v>2</v>
      </c>
      <c r="R190">
        <v>144</v>
      </c>
      <c r="S190">
        <v>11.584135316418781</v>
      </c>
      <c r="T190">
        <v>0.96918603181838991</v>
      </c>
      <c r="W190">
        <f>Tabela6[[#This Row],[mlp_params]]</f>
        <v>45905</v>
      </c>
      <c r="X190">
        <f>Tabela6[[#This Row],[mlp_test_acc]]</f>
        <v>0.93806193806193805</v>
      </c>
      <c r="Y190">
        <f>Tabela6[[#This Row],[kan_val_acc_1]]</f>
        <v>0.96918603181838991</v>
      </c>
      <c r="Z190">
        <f>Tabela6[[#This Row],[no_steps]]</f>
        <v>11.584135316418781</v>
      </c>
    </row>
    <row r="191" spans="1:26" hidden="1" x14ac:dyDescent="0.25">
      <c r="A191" t="s">
        <v>18</v>
      </c>
      <c r="B191">
        <v>3</v>
      </c>
      <c r="C191">
        <v>5</v>
      </c>
      <c r="D191">
        <v>0</v>
      </c>
      <c r="E191" t="s">
        <v>27</v>
      </c>
      <c r="F191">
        <v>23346</v>
      </c>
      <c r="G191">
        <v>47684712.18181818</v>
      </c>
      <c r="H191">
        <v>0.97075651992451062</v>
      </c>
      <c r="I191">
        <v>0.93706293706293708</v>
      </c>
      <c r="J191">
        <v>8423796.2727272734</v>
      </c>
      <c r="K191">
        <v>46514</v>
      </c>
      <c r="L191">
        <v>2</v>
      </c>
      <c r="M191">
        <v>144</v>
      </c>
      <c r="N191">
        <v>0.94024157660521301</v>
      </c>
      <c r="O191">
        <v>10101640.454545455</v>
      </c>
      <c r="P191">
        <v>47127</v>
      </c>
      <c r="Q191">
        <v>2</v>
      </c>
      <c r="R191">
        <v>145</v>
      </c>
      <c r="S191">
        <v>11.587790697674418</v>
      </c>
      <c r="T191">
        <v>0.9779069721698761</v>
      </c>
      <c r="W191">
        <f>Tabela6[[#This Row],[mlp_params]]</f>
        <v>46514</v>
      </c>
      <c r="X191">
        <f>Tabela6[[#This Row],[mlp_test_acc]]</f>
        <v>0.93706293706293708</v>
      </c>
      <c r="Y191">
        <f>Tabela6[[#This Row],[kan_val_acc_1]]</f>
        <v>0.9779069721698761</v>
      </c>
      <c r="Z191">
        <f>Tabela6[[#This Row],[no_steps]]</f>
        <v>11.587790697674418</v>
      </c>
    </row>
    <row r="192" spans="1:26" hidden="1" x14ac:dyDescent="0.25">
      <c r="A192" t="s">
        <v>18</v>
      </c>
      <c r="B192">
        <v>3</v>
      </c>
      <c r="C192">
        <v>5</v>
      </c>
      <c r="D192">
        <v>0</v>
      </c>
      <c r="E192" t="s">
        <v>28</v>
      </c>
      <c r="F192">
        <v>24052</v>
      </c>
      <c r="G192">
        <v>46164022.095238097</v>
      </c>
      <c r="H192">
        <v>0.96070595866157893</v>
      </c>
      <c r="I192">
        <v>0.93872793872793869</v>
      </c>
      <c r="J192">
        <v>9400169.4761904757</v>
      </c>
      <c r="K192">
        <v>47744</v>
      </c>
      <c r="L192">
        <v>2</v>
      </c>
      <c r="M192">
        <v>146</v>
      </c>
      <c r="N192">
        <v>0.93906093906093913</v>
      </c>
      <c r="O192">
        <v>9194964.6190476194</v>
      </c>
      <c r="P192">
        <v>48365</v>
      </c>
      <c r="Q192">
        <v>2</v>
      </c>
      <c r="R192">
        <v>147</v>
      </c>
      <c r="S192">
        <v>11.592892227679862</v>
      </c>
      <c r="T192">
        <v>0.97093022763729098</v>
      </c>
      <c r="W192">
        <f>Tabela6[[#This Row],[mlp_params]]</f>
        <v>47744</v>
      </c>
      <c r="X192">
        <f>Tabela6[[#This Row],[mlp_test_acc]]</f>
        <v>0.93872793872793869</v>
      </c>
      <c r="Y192">
        <f>Tabela6[[#This Row],[kan_val_acc_1]]</f>
        <v>0.97093022763729098</v>
      </c>
      <c r="Z192">
        <f>Tabela6[[#This Row],[no_steps]]</f>
        <v>11.592892227679862</v>
      </c>
    </row>
    <row r="193" spans="1:26" hidden="1" x14ac:dyDescent="0.25">
      <c r="A193" t="s">
        <v>18</v>
      </c>
      <c r="B193">
        <v>3</v>
      </c>
      <c r="C193">
        <v>5</v>
      </c>
      <c r="D193">
        <v>0</v>
      </c>
      <c r="E193" t="s">
        <v>67</v>
      </c>
      <c r="F193">
        <v>24488</v>
      </c>
      <c r="G193">
        <v>49680999.096774191</v>
      </c>
      <c r="H193">
        <v>0.95916985504088859</v>
      </c>
      <c r="I193">
        <v>0.93728851793367929</v>
      </c>
      <c r="J193">
        <v>8885591.3870967738</v>
      </c>
      <c r="K193">
        <v>48365</v>
      </c>
      <c r="L193">
        <v>2</v>
      </c>
      <c r="M193">
        <v>147</v>
      </c>
      <c r="N193">
        <v>0.93819084141664788</v>
      </c>
      <c r="O193">
        <v>9753206.1290322579</v>
      </c>
      <c r="P193">
        <v>48990</v>
      </c>
      <c r="Q193">
        <v>2</v>
      </c>
      <c r="R193">
        <v>148</v>
      </c>
      <c r="S193">
        <v>11.608820160366552</v>
      </c>
      <c r="T193">
        <v>0.97558138767878211</v>
      </c>
      <c r="W193">
        <f>Tabela6[[#This Row],[mlp_params]]</f>
        <v>48365</v>
      </c>
      <c r="X193">
        <f>Tabela6[[#This Row],[mlp_test_acc]]</f>
        <v>0.93728851793367929</v>
      </c>
      <c r="Y193">
        <f>Tabela6[[#This Row],[kan_val_acc_1]]</f>
        <v>0.97558138767878211</v>
      </c>
      <c r="Z193">
        <f>Tabela6[[#This Row],[no_steps]]</f>
        <v>11.608820160366552</v>
      </c>
    </row>
    <row r="194" spans="1:26" hidden="1" x14ac:dyDescent="0.25">
      <c r="A194" t="s">
        <v>18</v>
      </c>
      <c r="B194">
        <v>3</v>
      </c>
      <c r="C194">
        <v>5</v>
      </c>
      <c r="D194">
        <v>0</v>
      </c>
      <c r="E194" t="s">
        <v>29</v>
      </c>
      <c r="F194">
        <v>24758</v>
      </c>
      <c r="G194">
        <v>43392571.272727273</v>
      </c>
      <c r="H194">
        <v>0.9618563218550249</v>
      </c>
      <c r="I194">
        <v>0.94151303242212336</v>
      </c>
      <c r="J194">
        <v>8984579.8181818184</v>
      </c>
      <c r="K194">
        <v>48990</v>
      </c>
      <c r="L194">
        <v>2</v>
      </c>
      <c r="M194">
        <v>148</v>
      </c>
      <c r="N194">
        <v>0.94087730451366813</v>
      </c>
      <c r="O194">
        <v>9277183.5454545449</v>
      </c>
      <c r="P194">
        <v>49619</v>
      </c>
      <c r="Q194">
        <v>2</v>
      </c>
      <c r="R194">
        <v>149</v>
      </c>
      <c r="S194">
        <v>11.607193833856694</v>
      </c>
      <c r="T194">
        <v>0.95930231213569639</v>
      </c>
      <c r="W194">
        <f>Tabela6[[#This Row],[mlp_params]]</f>
        <v>48990</v>
      </c>
      <c r="X194">
        <f>Tabela6[[#This Row],[mlp_test_acc]]</f>
        <v>0.94151303242212336</v>
      </c>
      <c r="Y194">
        <f>Tabela6[[#This Row],[kan_val_acc_1]]</f>
        <v>0.95930231213569639</v>
      </c>
      <c r="Z194">
        <f>Tabela6[[#This Row],[no_steps]]</f>
        <v>11.607193833856694</v>
      </c>
    </row>
    <row r="195" spans="1:26" hidden="1" x14ac:dyDescent="0.25">
      <c r="A195" t="s">
        <v>18</v>
      </c>
      <c r="B195">
        <v>3</v>
      </c>
      <c r="C195">
        <v>5</v>
      </c>
      <c r="D195">
        <v>0</v>
      </c>
      <c r="E195" t="s">
        <v>30</v>
      </c>
      <c r="F195">
        <v>25464</v>
      </c>
      <c r="G195">
        <v>47720964.516129032</v>
      </c>
      <c r="H195">
        <v>0.95939543939405869</v>
      </c>
      <c r="I195">
        <v>0.93706293706293708</v>
      </c>
      <c r="J195">
        <v>9002247.064516129</v>
      </c>
      <c r="K195">
        <v>50252</v>
      </c>
      <c r="L195">
        <v>2</v>
      </c>
      <c r="M195">
        <v>150</v>
      </c>
      <c r="N195">
        <v>0.94022106925332738</v>
      </c>
      <c r="O195">
        <v>8780447.7096774187</v>
      </c>
      <c r="P195">
        <v>50889</v>
      </c>
      <c r="Q195">
        <v>2</v>
      </c>
      <c r="R195">
        <v>151</v>
      </c>
      <c r="S195">
        <v>11.612903225806452</v>
      </c>
      <c r="T195">
        <v>0.97403099735577903</v>
      </c>
      <c r="W195">
        <f>Tabela6[[#This Row],[mlp_params]]</f>
        <v>50252</v>
      </c>
      <c r="X195">
        <f>Tabela6[[#This Row],[mlp_test_acc]]</f>
        <v>0.93706293706293708</v>
      </c>
      <c r="Y195">
        <f>Tabela6[[#This Row],[kan_val_acc_1]]</f>
        <v>0.97403099735577903</v>
      </c>
      <c r="Z195">
        <f>Tabela6[[#This Row],[no_steps]]</f>
        <v>11.612903225806452</v>
      </c>
    </row>
    <row r="196" spans="1:26" hidden="1" x14ac:dyDescent="0.25">
      <c r="A196" t="s">
        <v>18</v>
      </c>
      <c r="B196">
        <v>3</v>
      </c>
      <c r="C196">
        <v>5</v>
      </c>
      <c r="D196">
        <v>0</v>
      </c>
      <c r="E196" t="s">
        <v>44</v>
      </c>
      <c r="F196">
        <v>25594</v>
      </c>
      <c r="G196">
        <v>54174648</v>
      </c>
      <c r="H196">
        <v>0.96669995500927874</v>
      </c>
      <c r="I196">
        <v>0.93839493839493837</v>
      </c>
      <c r="J196">
        <v>8139582.6190476194</v>
      </c>
      <c r="K196">
        <v>50889</v>
      </c>
      <c r="L196">
        <v>2</v>
      </c>
      <c r="M196">
        <v>151</v>
      </c>
      <c r="N196">
        <v>0.93939393939393945</v>
      </c>
      <c r="O196">
        <v>9477768.9523809515</v>
      </c>
      <c r="P196">
        <v>51530</v>
      </c>
      <c r="Q196">
        <v>2</v>
      </c>
      <c r="R196">
        <v>152</v>
      </c>
      <c r="S196">
        <v>11.627285513361462</v>
      </c>
      <c r="T196">
        <v>0.9831395298242569</v>
      </c>
      <c r="W196">
        <f>Tabela6[[#This Row],[mlp_params]]</f>
        <v>50889</v>
      </c>
      <c r="X196">
        <f>Tabela6[[#This Row],[mlp_test_acc]]</f>
        <v>0.93839493839493837</v>
      </c>
      <c r="Y196">
        <f>Tabela6[[#This Row],[kan_val_acc_1]]</f>
        <v>0.9831395298242569</v>
      </c>
      <c r="Z196">
        <f>Tabela6[[#This Row],[no_steps]]</f>
        <v>11.627285513361462</v>
      </c>
    </row>
    <row r="197" spans="1:26" hidden="1" x14ac:dyDescent="0.25">
      <c r="A197" t="s">
        <v>18</v>
      </c>
      <c r="B197">
        <v>3</v>
      </c>
      <c r="C197">
        <v>5</v>
      </c>
      <c r="D197">
        <v>0</v>
      </c>
      <c r="E197" t="s">
        <v>77</v>
      </c>
      <c r="F197">
        <v>25810</v>
      </c>
      <c r="G197">
        <v>46977539.095238097</v>
      </c>
      <c r="H197">
        <v>0.96669996352422805</v>
      </c>
      <c r="I197">
        <v>0.94239094239094245</v>
      </c>
      <c r="J197">
        <v>8959737.5238095243</v>
      </c>
      <c r="K197">
        <v>51530</v>
      </c>
      <c r="L197">
        <v>2</v>
      </c>
      <c r="M197">
        <v>152</v>
      </c>
      <c r="N197">
        <v>0.93672993672993676</v>
      </c>
      <c r="O197">
        <v>9022859.2857142854</v>
      </c>
      <c r="P197">
        <v>52175</v>
      </c>
      <c r="Q197">
        <v>2</v>
      </c>
      <c r="R197">
        <v>153</v>
      </c>
      <c r="S197">
        <v>11.63003355704698</v>
      </c>
      <c r="T197">
        <v>0.97151162326335905</v>
      </c>
      <c r="W197">
        <f>Tabela6[[#This Row],[mlp_params]]</f>
        <v>51530</v>
      </c>
      <c r="X197">
        <f>Tabela6[[#This Row],[mlp_test_acc]]</f>
        <v>0.94239094239094245</v>
      </c>
      <c r="Y197">
        <f>Tabela6[[#This Row],[kan_val_acc_1]]</f>
        <v>0.97151162326335905</v>
      </c>
      <c r="Z197">
        <f>Tabela6[[#This Row],[no_steps]]</f>
        <v>11.63003355704698</v>
      </c>
    </row>
    <row r="198" spans="1:26" hidden="1" x14ac:dyDescent="0.25">
      <c r="A198" t="s">
        <v>18</v>
      </c>
      <c r="B198">
        <v>3</v>
      </c>
      <c r="C198">
        <v>5</v>
      </c>
      <c r="D198">
        <v>0</v>
      </c>
      <c r="E198" t="s">
        <v>31</v>
      </c>
      <c r="F198">
        <v>26170</v>
      </c>
      <c r="G198">
        <v>54290401.636363633</v>
      </c>
      <c r="H198">
        <v>0.94087730212645093</v>
      </c>
      <c r="I198">
        <v>0.94596312778130964</v>
      </c>
      <c r="J198">
        <v>9694464.1818181816</v>
      </c>
      <c r="K198">
        <v>52175</v>
      </c>
      <c r="L198">
        <v>2</v>
      </c>
      <c r="M198">
        <v>153</v>
      </c>
      <c r="N198">
        <v>0.93706293706293708</v>
      </c>
      <c r="O198">
        <v>9397183.9090909082</v>
      </c>
      <c r="P198">
        <v>52824</v>
      </c>
      <c r="Q198">
        <v>2</v>
      </c>
      <c r="R198">
        <v>154</v>
      </c>
      <c r="S198">
        <v>11.635071090047393</v>
      </c>
      <c r="T198">
        <v>0.96976742744445799</v>
      </c>
      <c r="W198">
        <f>Tabela6[[#This Row],[mlp_params]]</f>
        <v>52175</v>
      </c>
      <c r="X198">
        <f>Tabela6[[#This Row],[mlp_test_acc]]</f>
        <v>0.94596312778130964</v>
      </c>
      <c r="Y198">
        <f>Tabela6[[#This Row],[kan_val_acc_1]]</f>
        <v>0.96976742744445799</v>
      </c>
      <c r="Z198">
        <f>Tabela6[[#This Row],[no_steps]]</f>
        <v>11.635071090047393</v>
      </c>
    </row>
    <row r="199" spans="1:26" hidden="1" x14ac:dyDescent="0.25">
      <c r="A199" t="s">
        <v>18</v>
      </c>
      <c r="B199">
        <v>3</v>
      </c>
      <c r="C199">
        <v>5</v>
      </c>
      <c r="D199">
        <v>0</v>
      </c>
      <c r="E199" t="s">
        <v>78</v>
      </c>
      <c r="F199">
        <v>26692</v>
      </c>
      <c r="G199">
        <v>52347323.804878049</v>
      </c>
      <c r="H199">
        <v>0.96008868624524368</v>
      </c>
      <c r="I199">
        <v>0.94371482176360222</v>
      </c>
      <c r="J199">
        <v>9146734.7073170729</v>
      </c>
      <c r="K199">
        <v>52824</v>
      </c>
      <c r="L199">
        <v>2</v>
      </c>
      <c r="M199">
        <v>154</v>
      </c>
      <c r="N199">
        <v>0.94064472113252606</v>
      </c>
      <c r="O199">
        <v>10151324.560975609</v>
      </c>
      <c r="P199">
        <v>53477</v>
      </c>
      <c r="Q199">
        <v>2</v>
      </c>
      <c r="R199">
        <v>155</v>
      </c>
      <c r="S199">
        <v>11.65077177508269</v>
      </c>
      <c r="T199">
        <v>0.97499999254941938</v>
      </c>
      <c r="W199">
        <f>Tabela6[[#This Row],[mlp_params]]</f>
        <v>52824</v>
      </c>
      <c r="X199">
        <f>Tabela6[[#This Row],[mlp_test_acc]]</f>
        <v>0.94371482176360222</v>
      </c>
      <c r="Y199">
        <f>Tabela6[[#This Row],[kan_val_acc_1]]</f>
        <v>0.97499999254941938</v>
      </c>
      <c r="Z199">
        <f>Tabela6[[#This Row],[no_steps]]</f>
        <v>11.65077177508269</v>
      </c>
    </row>
    <row r="200" spans="1:26" hidden="1" x14ac:dyDescent="0.25">
      <c r="A200" t="s">
        <v>18</v>
      </c>
      <c r="B200">
        <v>3</v>
      </c>
      <c r="C200">
        <v>5</v>
      </c>
      <c r="D200">
        <v>0</v>
      </c>
      <c r="E200" t="s">
        <v>32</v>
      </c>
      <c r="F200">
        <v>26876</v>
      </c>
      <c r="G200">
        <v>57231636.545454547</v>
      </c>
      <c r="H200">
        <v>0.95804194970564405</v>
      </c>
      <c r="I200">
        <v>0.94151303242212336</v>
      </c>
      <c r="J200">
        <v>10602767.454545455</v>
      </c>
      <c r="K200">
        <v>53477</v>
      </c>
      <c r="L200">
        <v>2</v>
      </c>
      <c r="M200">
        <v>155</v>
      </c>
      <c r="N200">
        <v>0.94342021614748883</v>
      </c>
      <c r="O200">
        <v>9651428.5454545449</v>
      </c>
      <c r="P200">
        <v>54134</v>
      </c>
      <c r="Q200">
        <v>2</v>
      </c>
      <c r="R200">
        <v>156</v>
      </c>
      <c r="S200">
        <v>11.655125034350096</v>
      </c>
      <c r="T200">
        <v>0.9499999940395355</v>
      </c>
      <c r="W200">
        <f>Tabela6[[#This Row],[mlp_params]]</f>
        <v>53477</v>
      </c>
      <c r="X200">
        <f>Tabela6[[#This Row],[mlp_test_acc]]</f>
        <v>0.94151303242212336</v>
      </c>
      <c r="Y200">
        <f>Tabela6[[#This Row],[kan_val_acc_1]]</f>
        <v>0.9499999940395355</v>
      </c>
      <c r="Z200">
        <f>Tabela6[[#This Row],[no_steps]]</f>
        <v>11.655125034350096</v>
      </c>
    </row>
    <row r="201" spans="1:26" hidden="1" x14ac:dyDescent="0.25">
      <c r="A201" t="s">
        <v>18</v>
      </c>
      <c r="B201">
        <v>3</v>
      </c>
      <c r="C201">
        <v>5</v>
      </c>
      <c r="D201">
        <v>0</v>
      </c>
      <c r="E201" t="s">
        <v>58</v>
      </c>
      <c r="F201">
        <v>27136</v>
      </c>
      <c r="G201">
        <v>53737725.483870968</v>
      </c>
      <c r="H201">
        <v>0.95104893945878555</v>
      </c>
      <c r="I201">
        <v>0.93728851793367929</v>
      </c>
      <c r="J201">
        <v>9246992.8709677421</v>
      </c>
      <c r="K201">
        <v>54134</v>
      </c>
      <c r="L201">
        <v>2</v>
      </c>
      <c r="M201">
        <v>156</v>
      </c>
      <c r="N201">
        <v>0.94112339273629597</v>
      </c>
      <c r="O201">
        <v>8624912.1935483869</v>
      </c>
      <c r="P201">
        <v>54795</v>
      </c>
      <c r="Q201">
        <v>2</v>
      </c>
      <c r="R201">
        <v>157</v>
      </c>
      <c r="S201">
        <v>11.668119891008175</v>
      </c>
      <c r="T201">
        <v>0.97248060901959732</v>
      </c>
      <c r="W201">
        <f>Tabela6[[#This Row],[mlp_params]]</f>
        <v>54134</v>
      </c>
      <c r="X201">
        <f>Tabela6[[#This Row],[mlp_test_acc]]</f>
        <v>0.93728851793367929</v>
      </c>
      <c r="Y201">
        <f>Tabela6[[#This Row],[kan_val_acc_1]]</f>
        <v>0.97248060901959732</v>
      </c>
      <c r="Z201">
        <f>Tabela6[[#This Row],[no_steps]]</f>
        <v>11.668119891008175</v>
      </c>
    </row>
    <row r="202" spans="1:26" hidden="1" x14ac:dyDescent="0.25">
      <c r="A202" t="s">
        <v>18</v>
      </c>
      <c r="B202">
        <v>3</v>
      </c>
      <c r="C202">
        <v>5</v>
      </c>
      <c r="D202">
        <v>0</v>
      </c>
      <c r="E202" t="s">
        <v>33</v>
      </c>
      <c r="F202">
        <v>27582</v>
      </c>
      <c r="G202">
        <v>50713251.636363633</v>
      </c>
      <c r="H202">
        <v>0.96948505531657825</v>
      </c>
      <c r="I202">
        <v>0.93833439287984743</v>
      </c>
      <c r="J202">
        <v>9774065.0909090918</v>
      </c>
      <c r="K202">
        <v>54795</v>
      </c>
      <c r="L202">
        <v>2</v>
      </c>
      <c r="M202">
        <v>157</v>
      </c>
      <c r="N202">
        <v>0.94405594405594406</v>
      </c>
      <c r="O202">
        <v>10412826.363636363</v>
      </c>
      <c r="P202">
        <v>55460</v>
      </c>
      <c r="Q202">
        <v>2</v>
      </c>
      <c r="R202">
        <v>158</v>
      </c>
      <c r="S202">
        <v>11.671284976908449</v>
      </c>
      <c r="T202">
        <v>0.9837209224700928</v>
      </c>
      <c r="W202">
        <f>Tabela6[[#This Row],[mlp_params]]</f>
        <v>54795</v>
      </c>
      <c r="X202">
        <f>Tabela6[[#This Row],[mlp_test_acc]]</f>
        <v>0.93833439287984743</v>
      </c>
      <c r="Y202">
        <f>Tabela6[[#This Row],[kan_val_acc_1]]</f>
        <v>0.9837209224700928</v>
      </c>
      <c r="Z202">
        <f>Tabela6[[#This Row],[no_steps]]</f>
        <v>11.671284976908449</v>
      </c>
    </row>
    <row r="203" spans="1:26" hidden="1" x14ac:dyDescent="0.25">
      <c r="A203" t="s">
        <v>18</v>
      </c>
      <c r="B203">
        <v>3</v>
      </c>
      <c r="C203">
        <v>5</v>
      </c>
      <c r="D203">
        <v>0</v>
      </c>
      <c r="E203" t="s">
        <v>47</v>
      </c>
      <c r="F203">
        <v>27844</v>
      </c>
      <c r="G203">
        <v>51343904.095238097</v>
      </c>
      <c r="H203">
        <v>0.96969696737471078</v>
      </c>
      <c r="I203">
        <v>0.93839493839493837</v>
      </c>
      <c r="J203">
        <v>9199601.8571428563</v>
      </c>
      <c r="K203">
        <v>55460</v>
      </c>
      <c r="L203">
        <v>2</v>
      </c>
      <c r="M203">
        <v>158</v>
      </c>
      <c r="N203">
        <v>0.93806193806193805</v>
      </c>
      <c r="O203">
        <v>10591205.285714285</v>
      </c>
      <c r="P203">
        <v>56129</v>
      </c>
      <c r="Q203">
        <v>2</v>
      </c>
      <c r="R203">
        <v>159</v>
      </c>
      <c r="S203">
        <v>11.672879524581308</v>
      </c>
      <c r="T203">
        <v>0.97790696620941164</v>
      </c>
      <c r="W203">
        <f>Tabela6[[#This Row],[mlp_params]]</f>
        <v>55460</v>
      </c>
      <c r="X203">
        <f>Tabela6[[#This Row],[mlp_test_acc]]</f>
        <v>0.93839493839493837</v>
      </c>
      <c r="Y203">
        <f>Tabela6[[#This Row],[kan_val_acc_1]]</f>
        <v>0.97790696620941164</v>
      </c>
      <c r="Z203">
        <f>Tabela6[[#This Row],[no_steps]]</f>
        <v>11.672879524581308</v>
      </c>
    </row>
    <row r="204" spans="1:26" hidden="1" x14ac:dyDescent="0.25">
      <c r="A204" t="s">
        <v>18</v>
      </c>
      <c r="B204">
        <v>3</v>
      </c>
      <c r="C204">
        <v>5</v>
      </c>
      <c r="D204">
        <v>0</v>
      </c>
      <c r="E204" t="s">
        <v>34</v>
      </c>
      <c r="F204">
        <v>28288</v>
      </c>
      <c r="G204">
        <v>49498121.612903222</v>
      </c>
      <c r="H204">
        <v>0.96571170322356681</v>
      </c>
      <c r="I204">
        <v>0.93976990751184297</v>
      </c>
      <c r="J204">
        <v>8565427.2580645159</v>
      </c>
      <c r="K204">
        <v>56129</v>
      </c>
      <c r="L204">
        <v>2</v>
      </c>
      <c r="M204">
        <v>159</v>
      </c>
      <c r="N204">
        <v>0.94134897360703818</v>
      </c>
      <c r="O204">
        <v>9895879.2903225813</v>
      </c>
      <c r="P204">
        <v>56802</v>
      </c>
      <c r="Q204">
        <v>2</v>
      </c>
      <c r="R204">
        <v>160</v>
      </c>
      <c r="S204">
        <v>11.674792392177872</v>
      </c>
      <c r="T204">
        <v>0.97674417694409688</v>
      </c>
      <c r="W204">
        <f>Tabela6[[#This Row],[mlp_params]]</f>
        <v>56129</v>
      </c>
      <c r="X204">
        <f>Tabela6[[#This Row],[mlp_test_acc]]</f>
        <v>0.93976990751184297</v>
      </c>
      <c r="Y204">
        <f>Tabela6[[#This Row],[kan_val_acc_1]]</f>
        <v>0.97674417694409688</v>
      </c>
      <c r="Z204">
        <f>Tabela6[[#This Row],[no_steps]]</f>
        <v>11.674792392177872</v>
      </c>
    </row>
    <row r="205" spans="1:26" hidden="1" x14ac:dyDescent="0.25">
      <c r="A205" t="s">
        <v>18</v>
      </c>
      <c r="B205">
        <v>3</v>
      </c>
      <c r="C205">
        <v>5</v>
      </c>
      <c r="D205">
        <v>0</v>
      </c>
      <c r="E205" t="s">
        <v>48</v>
      </c>
      <c r="F205">
        <v>28594</v>
      </c>
      <c r="G205">
        <v>61932981.18181818</v>
      </c>
      <c r="H205">
        <v>0.95232040231878112</v>
      </c>
      <c r="I205">
        <v>0.93706293706293708</v>
      </c>
      <c r="J205">
        <v>9466084.2727272734</v>
      </c>
      <c r="K205">
        <v>56802</v>
      </c>
      <c r="L205">
        <v>2</v>
      </c>
      <c r="M205">
        <v>160</v>
      </c>
      <c r="N205">
        <v>0.93833439287984743</v>
      </c>
      <c r="O205">
        <v>9919410.8181818184</v>
      </c>
      <c r="P205">
        <v>57479</v>
      </c>
      <c r="Q205">
        <v>2</v>
      </c>
      <c r="R205">
        <v>161</v>
      </c>
      <c r="S205">
        <v>11.681623931623932</v>
      </c>
      <c r="T205">
        <v>0.97441859245300289</v>
      </c>
      <c r="W205">
        <f>Tabela6[[#This Row],[mlp_params]]</f>
        <v>56802</v>
      </c>
      <c r="X205">
        <f>Tabela6[[#This Row],[mlp_test_acc]]</f>
        <v>0.93706293706293708</v>
      </c>
      <c r="Y205">
        <f>Tabela6[[#This Row],[kan_val_acc_1]]</f>
        <v>0.97441859245300289</v>
      </c>
      <c r="Z205">
        <f>Tabela6[[#This Row],[no_steps]]</f>
        <v>11.681623931623932</v>
      </c>
    </row>
    <row r="206" spans="1:26" hidden="1" x14ac:dyDescent="0.25">
      <c r="A206" t="s">
        <v>18</v>
      </c>
      <c r="B206">
        <v>3</v>
      </c>
      <c r="C206">
        <v>5</v>
      </c>
      <c r="D206">
        <v>0</v>
      </c>
      <c r="E206" t="s">
        <v>35</v>
      </c>
      <c r="F206">
        <v>28994</v>
      </c>
      <c r="G206">
        <v>53973218.926829271</v>
      </c>
      <c r="H206">
        <v>0.95991812537356125</v>
      </c>
      <c r="I206">
        <v>0.93876854852464608</v>
      </c>
      <c r="J206">
        <v>9512748.2926829271</v>
      </c>
      <c r="K206">
        <v>57479</v>
      </c>
      <c r="L206">
        <v>2</v>
      </c>
      <c r="M206">
        <v>161</v>
      </c>
      <c r="N206">
        <v>0.94013303769401335</v>
      </c>
      <c r="O206">
        <v>10364235</v>
      </c>
      <c r="P206">
        <v>58160</v>
      </c>
      <c r="Q206">
        <v>2</v>
      </c>
      <c r="R206">
        <v>162</v>
      </c>
      <c r="S206">
        <v>11.690092470277412</v>
      </c>
      <c r="T206">
        <v>0.97180231958627705</v>
      </c>
      <c r="W206">
        <f>Tabela6[[#This Row],[mlp_params]]</f>
        <v>57479</v>
      </c>
      <c r="X206">
        <f>Tabela6[[#This Row],[mlp_test_acc]]</f>
        <v>0.93876854852464608</v>
      </c>
      <c r="Y206">
        <f>Tabela6[[#This Row],[kan_val_acc_1]]</f>
        <v>0.97180231958627705</v>
      </c>
      <c r="Z206">
        <f>Tabela6[[#This Row],[no_steps]]</f>
        <v>11.690092470277412</v>
      </c>
    </row>
    <row r="207" spans="1:26" hidden="1" x14ac:dyDescent="0.25">
      <c r="A207" t="s">
        <v>18</v>
      </c>
      <c r="B207">
        <v>3</v>
      </c>
      <c r="C207">
        <v>5</v>
      </c>
      <c r="D207">
        <v>0</v>
      </c>
      <c r="E207" t="s">
        <v>49</v>
      </c>
      <c r="F207">
        <v>29344</v>
      </c>
      <c r="G207">
        <v>53753951.81818182</v>
      </c>
      <c r="H207">
        <v>0.96058486808430066</v>
      </c>
      <c r="I207">
        <v>0.94278448823903371</v>
      </c>
      <c r="J207">
        <v>8741703.7272727266</v>
      </c>
      <c r="K207">
        <v>58160</v>
      </c>
      <c r="L207">
        <v>2</v>
      </c>
      <c r="M207">
        <v>162</v>
      </c>
      <c r="N207">
        <v>0.93960584869675778</v>
      </c>
      <c r="O207">
        <v>9757836.4545454551</v>
      </c>
      <c r="P207">
        <v>58845</v>
      </c>
      <c r="Q207">
        <v>2</v>
      </c>
      <c r="R207">
        <v>163</v>
      </c>
      <c r="S207">
        <v>11.692571127502635</v>
      </c>
      <c r="T207">
        <v>0.9686046421527863</v>
      </c>
      <c r="W207">
        <f>Tabela6[[#This Row],[mlp_params]]</f>
        <v>58160</v>
      </c>
      <c r="X207">
        <f>Tabela6[[#This Row],[mlp_test_acc]]</f>
        <v>0.94278448823903371</v>
      </c>
      <c r="Y207">
        <f>Tabela6[[#This Row],[kan_val_acc_1]]</f>
        <v>0.9686046421527863</v>
      </c>
      <c r="Z207">
        <f>Tabela6[[#This Row],[no_steps]]</f>
        <v>11.692571127502635</v>
      </c>
    </row>
    <row r="208" spans="1:26" hidden="1" x14ac:dyDescent="0.25">
      <c r="A208" t="s">
        <v>18</v>
      </c>
      <c r="B208">
        <v>3</v>
      </c>
      <c r="C208">
        <v>5</v>
      </c>
      <c r="D208">
        <v>0</v>
      </c>
      <c r="E208" t="s">
        <v>36</v>
      </c>
      <c r="F208">
        <v>29700</v>
      </c>
      <c r="G208">
        <v>50203226.428571425</v>
      </c>
      <c r="H208">
        <v>0.94405594042369301</v>
      </c>
      <c r="I208">
        <v>0.9417249417249417</v>
      </c>
      <c r="J208">
        <v>9502690.7619047612</v>
      </c>
      <c r="K208">
        <v>58845</v>
      </c>
      <c r="L208">
        <v>2</v>
      </c>
      <c r="M208">
        <v>163</v>
      </c>
      <c r="N208">
        <v>0.93772893772893773</v>
      </c>
      <c r="O208">
        <v>10166679.619047619</v>
      </c>
      <c r="P208">
        <v>59534</v>
      </c>
      <c r="Q208">
        <v>2</v>
      </c>
      <c r="R208">
        <v>164</v>
      </c>
      <c r="S208">
        <v>11.689284778621955</v>
      </c>
      <c r="T208">
        <v>0.97441859841346745</v>
      </c>
      <c r="W208">
        <f>Tabela6[[#This Row],[mlp_params]]</f>
        <v>58845</v>
      </c>
      <c r="X208">
        <f>Tabela6[[#This Row],[mlp_test_acc]]</f>
        <v>0.9417249417249417</v>
      </c>
      <c r="Y208">
        <f>Tabela6[[#This Row],[kan_val_acc_1]]</f>
        <v>0.97441859841346745</v>
      </c>
      <c r="Z208">
        <f>Tabela6[[#This Row],[no_steps]]</f>
        <v>11.689284778621955</v>
      </c>
    </row>
    <row r="209" spans="1:26" hidden="1" x14ac:dyDescent="0.25">
      <c r="A209" t="s">
        <v>18</v>
      </c>
      <c r="B209">
        <v>3</v>
      </c>
      <c r="C209">
        <v>5</v>
      </c>
      <c r="D209">
        <v>0</v>
      </c>
      <c r="E209" t="s">
        <v>50</v>
      </c>
      <c r="F209">
        <v>30094</v>
      </c>
      <c r="G209">
        <v>56371516.354838707</v>
      </c>
      <c r="H209">
        <v>0.96029776527035626</v>
      </c>
      <c r="I209">
        <v>0.94022106925332738</v>
      </c>
      <c r="J209">
        <v>9628715.4193548393</v>
      </c>
      <c r="K209">
        <v>59534</v>
      </c>
      <c r="L209">
        <v>2</v>
      </c>
      <c r="M209">
        <v>164</v>
      </c>
      <c r="N209">
        <v>0.93976990751184297</v>
      </c>
      <c r="O209">
        <v>10083522.129032258</v>
      </c>
      <c r="P209">
        <v>60227</v>
      </c>
      <c r="Q209">
        <v>2</v>
      </c>
      <c r="R209">
        <v>165</v>
      </c>
      <c r="S209">
        <v>11.696205821205821</v>
      </c>
      <c r="T209">
        <v>0.96899223526318867</v>
      </c>
      <c r="W209">
        <f>Tabela6[[#This Row],[mlp_params]]</f>
        <v>59534</v>
      </c>
      <c r="X209">
        <f>Tabela6[[#This Row],[mlp_test_acc]]</f>
        <v>0.94022106925332738</v>
      </c>
      <c r="Y209">
        <f>Tabela6[[#This Row],[kan_val_acc_1]]</f>
        <v>0.96899223526318867</v>
      </c>
      <c r="Z209">
        <f>Tabela6[[#This Row],[no_steps]]</f>
        <v>11.696205821205821</v>
      </c>
    </row>
    <row r="210" spans="1:26" hidden="1" x14ac:dyDescent="0.25">
      <c r="A210" t="s">
        <v>18</v>
      </c>
      <c r="B210">
        <v>3</v>
      </c>
      <c r="C210">
        <v>5</v>
      </c>
      <c r="D210">
        <v>0</v>
      </c>
      <c r="E210" t="s">
        <v>37</v>
      </c>
      <c r="F210">
        <v>30406</v>
      </c>
      <c r="G210">
        <v>59506162.636363633</v>
      </c>
      <c r="H210">
        <v>0.95613476363095373</v>
      </c>
      <c r="I210">
        <v>0.93960584869675778</v>
      </c>
      <c r="J210">
        <v>10318729.272727273</v>
      </c>
      <c r="K210">
        <v>60227</v>
      </c>
      <c r="L210">
        <v>2</v>
      </c>
      <c r="M210">
        <v>165</v>
      </c>
      <c r="N210">
        <v>0.93833439287984743</v>
      </c>
      <c r="O210">
        <v>10591135</v>
      </c>
      <c r="P210">
        <v>60924</v>
      </c>
      <c r="Q210">
        <v>2</v>
      </c>
      <c r="R210">
        <v>166</v>
      </c>
      <c r="S210">
        <v>11.700699663125162</v>
      </c>
      <c r="T210">
        <v>0.97674417495727539</v>
      </c>
      <c r="W210">
        <f>Tabela6[[#This Row],[mlp_params]]</f>
        <v>60227</v>
      </c>
      <c r="X210">
        <f>Tabela6[[#This Row],[mlp_test_acc]]</f>
        <v>0.93960584869675778</v>
      </c>
      <c r="Y210">
        <f>Tabela6[[#This Row],[kan_val_acc_1]]</f>
        <v>0.97674417495727539</v>
      </c>
      <c r="Z210">
        <f>Tabela6[[#This Row],[no_steps]]</f>
        <v>11.700699663125162</v>
      </c>
    </row>
    <row r="211" spans="1:26" hidden="1" x14ac:dyDescent="0.25">
      <c r="A211" t="s">
        <v>18</v>
      </c>
      <c r="B211">
        <v>3</v>
      </c>
      <c r="C211">
        <v>5</v>
      </c>
      <c r="D211">
        <v>0</v>
      </c>
      <c r="E211" t="s">
        <v>51</v>
      </c>
      <c r="F211">
        <v>30844</v>
      </c>
      <c r="G211">
        <v>60534348.390243903</v>
      </c>
      <c r="H211">
        <v>0.95718914851909731</v>
      </c>
      <c r="I211">
        <v>0.94371482176360222</v>
      </c>
      <c r="J211">
        <v>10541261.414634146</v>
      </c>
      <c r="K211">
        <v>60924</v>
      </c>
      <c r="L211">
        <v>2</v>
      </c>
      <c r="M211">
        <v>166</v>
      </c>
      <c r="N211">
        <v>0.93655125362442437</v>
      </c>
      <c r="O211">
        <v>9868457.4146341458</v>
      </c>
      <c r="P211">
        <v>61625</v>
      </c>
      <c r="Q211">
        <v>2</v>
      </c>
      <c r="R211">
        <v>167</v>
      </c>
      <c r="S211">
        <v>11.714615384615385</v>
      </c>
      <c r="T211">
        <v>0.97063952386379238</v>
      </c>
      <c r="W211">
        <f>Tabela6[[#This Row],[mlp_params]]</f>
        <v>60924</v>
      </c>
      <c r="X211">
        <f>Tabela6[[#This Row],[mlp_test_acc]]</f>
        <v>0.94371482176360222</v>
      </c>
      <c r="Y211">
        <f>Tabela6[[#This Row],[kan_val_acc_1]]</f>
        <v>0.97063952386379238</v>
      </c>
      <c r="Z211">
        <f>Tabela6[[#This Row],[no_steps]]</f>
        <v>11.714615384615385</v>
      </c>
    </row>
    <row r="212" spans="1:26" hidden="1" x14ac:dyDescent="0.25">
      <c r="A212" t="s">
        <v>18</v>
      </c>
      <c r="B212">
        <v>3</v>
      </c>
      <c r="C212">
        <v>5</v>
      </c>
      <c r="D212">
        <v>0</v>
      </c>
      <c r="E212" t="s">
        <v>38</v>
      </c>
      <c r="F212">
        <v>31112</v>
      </c>
      <c r="G212">
        <v>60125301.363636367</v>
      </c>
      <c r="H212">
        <v>0.92879847504875879</v>
      </c>
      <c r="I212">
        <v>0.94405594405594406</v>
      </c>
      <c r="J212">
        <v>10704351.363636363</v>
      </c>
      <c r="K212">
        <v>61625</v>
      </c>
      <c r="L212">
        <v>2</v>
      </c>
      <c r="M212">
        <v>167</v>
      </c>
      <c r="N212">
        <v>0.93960584869675778</v>
      </c>
      <c r="O212">
        <v>11378481</v>
      </c>
      <c r="P212">
        <v>62330</v>
      </c>
      <c r="Q212">
        <v>2</v>
      </c>
      <c r="R212">
        <v>168</v>
      </c>
      <c r="S212">
        <v>11.717207875223728</v>
      </c>
      <c r="T212">
        <v>0.96162790060043335</v>
      </c>
      <c r="W212">
        <f>Tabela6[[#This Row],[mlp_params]]</f>
        <v>61625</v>
      </c>
      <c r="X212">
        <f>Tabela6[[#This Row],[mlp_test_acc]]</f>
        <v>0.94405594405594406</v>
      </c>
      <c r="Y212">
        <f>Tabela6[[#This Row],[kan_val_acc_1]]</f>
        <v>0.96162790060043335</v>
      </c>
      <c r="Z212">
        <f>Tabela6[[#This Row],[no_steps]]</f>
        <v>11.717207875223728</v>
      </c>
    </row>
    <row r="213" spans="1:26" hidden="1" x14ac:dyDescent="0.25">
      <c r="A213" t="s">
        <v>18</v>
      </c>
      <c r="B213">
        <v>3</v>
      </c>
      <c r="C213">
        <v>5</v>
      </c>
      <c r="D213">
        <v>0</v>
      </c>
      <c r="E213" t="s">
        <v>52</v>
      </c>
      <c r="F213">
        <v>31594</v>
      </c>
      <c r="G213">
        <v>55375298.975609757</v>
      </c>
      <c r="H213">
        <v>0.95838307462087491</v>
      </c>
      <c r="I213">
        <v>0.94030359884018422</v>
      </c>
      <c r="J213">
        <v>10010984.731707318</v>
      </c>
      <c r="K213">
        <v>63039</v>
      </c>
      <c r="L213">
        <v>2</v>
      </c>
      <c r="M213">
        <v>169</v>
      </c>
      <c r="N213">
        <v>0.94064472113252606</v>
      </c>
      <c r="O213">
        <v>10556987.731707318</v>
      </c>
      <c r="P213">
        <v>63752</v>
      </c>
      <c r="Q213">
        <v>2</v>
      </c>
      <c r="R213">
        <v>170</v>
      </c>
      <c r="S213">
        <v>11.717864372469636</v>
      </c>
      <c r="T213">
        <v>0.97441859394311903</v>
      </c>
      <c r="W213">
        <f>Tabela6[[#This Row],[mlp_params]]</f>
        <v>63039</v>
      </c>
      <c r="X213">
        <f>Tabela6[[#This Row],[mlp_test_acc]]</f>
        <v>0.94030359884018422</v>
      </c>
      <c r="Y213">
        <f>Tabela6[[#This Row],[kan_val_acc_1]]</f>
        <v>0.97441859394311903</v>
      </c>
      <c r="Z213">
        <f>Tabela6[[#This Row],[no_steps]]</f>
        <v>11.717864372469636</v>
      </c>
    </row>
    <row r="214" spans="1:26" hidden="1" x14ac:dyDescent="0.25">
      <c r="A214" t="s">
        <v>18</v>
      </c>
      <c r="B214">
        <v>3</v>
      </c>
      <c r="C214">
        <v>5</v>
      </c>
      <c r="D214">
        <v>0</v>
      </c>
      <c r="E214" t="s">
        <v>70</v>
      </c>
      <c r="F214">
        <v>32030</v>
      </c>
      <c r="G214">
        <v>61366459.666666664</v>
      </c>
      <c r="H214">
        <v>0.96070595866157893</v>
      </c>
      <c r="I214">
        <v>0.93906093906093913</v>
      </c>
      <c r="J214">
        <v>10129593.047619049</v>
      </c>
      <c r="K214">
        <v>63752</v>
      </c>
      <c r="L214">
        <v>2</v>
      </c>
      <c r="M214">
        <v>170</v>
      </c>
      <c r="N214">
        <v>0.94105894105894106</v>
      </c>
      <c r="O214">
        <v>10431955.095238095</v>
      </c>
      <c r="P214">
        <v>64469</v>
      </c>
      <c r="Q214">
        <v>2</v>
      </c>
      <c r="R214">
        <v>171</v>
      </c>
      <c r="S214">
        <v>11.723131135162346</v>
      </c>
      <c r="T214">
        <v>0.96686045527458186</v>
      </c>
      <c r="W214">
        <f>Tabela6[[#This Row],[mlp_params]]</f>
        <v>63752</v>
      </c>
      <c r="X214">
        <f>Tabela6[[#This Row],[mlp_test_acc]]</f>
        <v>0.93906093906093913</v>
      </c>
      <c r="Y214">
        <f>Tabela6[[#This Row],[kan_val_acc_1]]</f>
        <v>0.96686045527458186</v>
      </c>
      <c r="Z214">
        <f>Tabela6[[#This Row],[no_steps]]</f>
        <v>11.723131135162346</v>
      </c>
    </row>
    <row r="215" spans="1:26" hidden="1" x14ac:dyDescent="0.25">
      <c r="A215" t="s">
        <v>18</v>
      </c>
      <c r="B215">
        <v>3</v>
      </c>
      <c r="C215">
        <v>5</v>
      </c>
      <c r="D215">
        <v>0</v>
      </c>
      <c r="E215" t="s">
        <v>53</v>
      </c>
      <c r="F215">
        <v>32344</v>
      </c>
      <c r="G215">
        <v>57163535.809523806</v>
      </c>
      <c r="H215">
        <v>0.95504494508107507</v>
      </c>
      <c r="I215">
        <v>0.9417249417249417</v>
      </c>
      <c r="J215">
        <v>10478629.666666666</v>
      </c>
      <c r="K215">
        <v>64469</v>
      </c>
      <c r="L215">
        <v>2</v>
      </c>
      <c r="M215">
        <v>171</v>
      </c>
      <c r="N215">
        <v>0.94072594072594073</v>
      </c>
      <c r="O215">
        <v>10462985.380952381</v>
      </c>
      <c r="P215">
        <v>65190</v>
      </c>
      <c r="Q215">
        <v>2</v>
      </c>
      <c r="R215">
        <v>172</v>
      </c>
      <c r="S215">
        <v>11.725338007010516</v>
      </c>
      <c r="T215">
        <v>0.96686045527458186</v>
      </c>
      <c r="W215">
        <f>Tabela6[[#This Row],[mlp_params]]</f>
        <v>64469</v>
      </c>
      <c r="X215">
        <f>Tabela6[[#This Row],[mlp_test_acc]]</f>
        <v>0.9417249417249417</v>
      </c>
      <c r="Y215">
        <f>Tabela6[[#This Row],[kan_val_acc_1]]</f>
        <v>0.96686045527458186</v>
      </c>
      <c r="Z215">
        <f>Tabela6[[#This Row],[no_steps]]</f>
        <v>11.725338007010516</v>
      </c>
    </row>
    <row r="216" spans="1:26" hidden="1" x14ac:dyDescent="0.25">
      <c r="A216" t="s">
        <v>18</v>
      </c>
      <c r="B216">
        <v>3</v>
      </c>
      <c r="C216">
        <v>5</v>
      </c>
      <c r="D216">
        <v>0</v>
      </c>
      <c r="E216" t="s">
        <v>62</v>
      </c>
      <c r="F216">
        <v>32694</v>
      </c>
      <c r="G216">
        <v>62446848.363636367</v>
      </c>
      <c r="H216">
        <v>0.92371264912865381</v>
      </c>
      <c r="I216">
        <v>0.94024157660521301</v>
      </c>
      <c r="J216">
        <v>9621147.5454545449</v>
      </c>
      <c r="K216">
        <v>65190</v>
      </c>
      <c r="L216">
        <v>2</v>
      </c>
      <c r="M216">
        <v>172</v>
      </c>
      <c r="N216">
        <v>0.93897012078830266</v>
      </c>
      <c r="O216">
        <v>10497453.545454545</v>
      </c>
      <c r="P216">
        <v>65915</v>
      </c>
      <c r="Q216">
        <v>2</v>
      </c>
      <c r="R216">
        <v>173</v>
      </c>
      <c r="S216">
        <v>11.727840199750313</v>
      </c>
      <c r="T216">
        <v>0.98139534592628475</v>
      </c>
      <c r="W216">
        <f>Tabela6[[#This Row],[mlp_params]]</f>
        <v>65190</v>
      </c>
      <c r="X216">
        <f>Tabela6[[#This Row],[mlp_test_acc]]</f>
        <v>0.94024157660521301</v>
      </c>
      <c r="Y216">
        <f>Tabela6[[#This Row],[kan_val_acc_1]]</f>
        <v>0.98139534592628475</v>
      </c>
      <c r="Z216">
        <f>Tabela6[[#This Row],[no_steps]]</f>
        <v>11.727840199750313</v>
      </c>
    </row>
    <row r="217" spans="1:26" hidden="1" x14ac:dyDescent="0.25">
      <c r="A217" t="s">
        <v>18</v>
      </c>
      <c r="B217">
        <v>3</v>
      </c>
      <c r="C217">
        <v>5</v>
      </c>
      <c r="D217">
        <v>0</v>
      </c>
      <c r="E217" t="s">
        <v>54</v>
      </c>
      <c r="F217">
        <v>33094</v>
      </c>
      <c r="G217">
        <v>60302084.096774191</v>
      </c>
      <c r="H217">
        <v>0.95894427837864049</v>
      </c>
      <c r="I217">
        <v>0.94270245883149106</v>
      </c>
      <c r="J217">
        <v>11030870.677419355</v>
      </c>
      <c r="K217">
        <v>65915</v>
      </c>
      <c r="L217">
        <v>2</v>
      </c>
      <c r="M217">
        <v>173</v>
      </c>
      <c r="N217">
        <v>0.94315362057297547</v>
      </c>
      <c r="O217">
        <v>10861548.548387097</v>
      </c>
      <c r="P217">
        <v>66644</v>
      </c>
      <c r="Q217">
        <v>2</v>
      </c>
      <c r="R217">
        <v>174</v>
      </c>
      <c r="S217">
        <v>11.732408325074331</v>
      </c>
      <c r="T217">
        <v>0.97635657986005142</v>
      </c>
      <c r="W217">
        <f>Tabela6[[#This Row],[mlp_params]]</f>
        <v>65915</v>
      </c>
      <c r="X217">
        <f>Tabela6[[#This Row],[mlp_test_acc]]</f>
        <v>0.94270245883149106</v>
      </c>
      <c r="Y217">
        <f>Tabela6[[#This Row],[kan_val_acc_1]]</f>
        <v>0.97635657986005142</v>
      </c>
      <c r="Z217">
        <f>Tabela6[[#This Row],[no_steps]]</f>
        <v>11.732408325074331</v>
      </c>
    </row>
    <row r="218" spans="1:26" hidden="1" x14ac:dyDescent="0.25">
      <c r="A218" t="s">
        <v>18</v>
      </c>
      <c r="B218">
        <v>3</v>
      </c>
      <c r="C218">
        <v>5</v>
      </c>
      <c r="D218">
        <v>0</v>
      </c>
      <c r="E218" t="s">
        <v>63</v>
      </c>
      <c r="F218">
        <v>33488</v>
      </c>
      <c r="G218">
        <v>68194207.090909094</v>
      </c>
      <c r="H218">
        <v>0.96312778104435315</v>
      </c>
      <c r="I218">
        <v>0.93960584869675778</v>
      </c>
      <c r="J218">
        <v>11017500.909090908</v>
      </c>
      <c r="K218">
        <v>66644</v>
      </c>
      <c r="L218">
        <v>2</v>
      </c>
      <c r="M218">
        <v>174</v>
      </c>
      <c r="N218">
        <v>0.94214876033057848</v>
      </c>
      <c r="O218">
        <v>10554081.272727273</v>
      </c>
      <c r="P218">
        <v>67377</v>
      </c>
      <c r="Q218">
        <v>2</v>
      </c>
      <c r="R218">
        <v>175</v>
      </c>
      <c r="S218">
        <v>11.738571781566593</v>
      </c>
      <c r="T218">
        <v>0.97093021869659424</v>
      </c>
      <c r="W218">
        <f>Tabela6[[#This Row],[mlp_params]]</f>
        <v>66644</v>
      </c>
      <c r="X218">
        <f>Tabela6[[#This Row],[mlp_test_acc]]</f>
        <v>0.93960584869675778</v>
      </c>
      <c r="Y218">
        <f>Tabela6[[#This Row],[kan_val_acc_1]]</f>
        <v>0.97093021869659424</v>
      </c>
      <c r="Z218">
        <f>Tabela6[[#This Row],[no_steps]]</f>
        <v>11.738571781566593</v>
      </c>
    </row>
    <row r="219" spans="1:26" hidden="1" x14ac:dyDescent="0.25">
      <c r="A219" t="s">
        <v>18</v>
      </c>
      <c r="B219">
        <v>3</v>
      </c>
      <c r="C219">
        <v>5</v>
      </c>
      <c r="D219">
        <v>0</v>
      </c>
      <c r="E219" t="s">
        <v>86</v>
      </c>
      <c r="F219">
        <v>33748</v>
      </c>
      <c r="G219">
        <v>68224306</v>
      </c>
      <c r="H219">
        <v>0.96370295967374531</v>
      </c>
      <c r="I219">
        <v>0.93972693972693977</v>
      </c>
      <c r="J219">
        <v>10670893.952380951</v>
      </c>
      <c r="K219">
        <v>67377</v>
      </c>
      <c r="L219">
        <v>2</v>
      </c>
      <c r="M219">
        <v>175</v>
      </c>
      <c r="N219">
        <v>0.9417249417249417</v>
      </c>
      <c r="O219">
        <v>10340968.571428571</v>
      </c>
      <c r="P219">
        <v>68114</v>
      </c>
      <c r="Q219">
        <v>2</v>
      </c>
      <c r="R219">
        <v>176</v>
      </c>
      <c r="S219">
        <v>11.751229105211406</v>
      </c>
      <c r="T219">
        <v>0.97093022167682652</v>
      </c>
      <c r="W219">
        <f>Tabela6[[#This Row],[mlp_params]]</f>
        <v>67377</v>
      </c>
      <c r="X219">
        <f>Tabela6[[#This Row],[mlp_test_acc]]</f>
        <v>0.93972693972693977</v>
      </c>
      <c r="Y219">
        <f>Tabela6[[#This Row],[kan_val_acc_1]]</f>
        <v>0.97093022167682652</v>
      </c>
      <c r="Z219">
        <f>Tabela6[[#This Row],[no_steps]]</f>
        <v>11.751229105211406</v>
      </c>
    </row>
    <row r="220" spans="1:26" hidden="1" x14ac:dyDescent="0.25">
      <c r="A220" t="s">
        <v>18</v>
      </c>
      <c r="B220">
        <v>3</v>
      </c>
      <c r="C220">
        <v>5</v>
      </c>
      <c r="D220">
        <v>0</v>
      </c>
      <c r="E220" t="s">
        <v>64</v>
      </c>
      <c r="F220">
        <v>34282</v>
      </c>
      <c r="G220">
        <v>61210055.454545453</v>
      </c>
      <c r="H220">
        <v>0.96821360696445813</v>
      </c>
      <c r="I220">
        <v>0.94596312778130964</v>
      </c>
      <c r="J220">
        <v>10924223.090909092</v>
      </c>
      <c r="K220">
        <v>68114</v>
      </c>
      <c r="L220">
        <v>2</v>
      </c>
      <c r="M220">
        <v>176</v>
      </c>
      <c r="N220">
        <v>0.93897012078830266</v>
      </c>
      <c r="O220">
        <v>10750038.272727273</v>
      </c>
      <c r="P220">
        <v>68855</v>
      </c>
      <c r="Q220">
        <v>2</v>
      </c>
      <c r="R220">
        <v>177</v>
      </c>
      <c r="S220">
        <v>11.752390291738172</v>
      </c>
      <c r="T220">
        <v>0.97209301590919495</v>
      </c>
      <c r="W220">
        <f>Tabela6[[#This Row],[mlp_params]]</f>
        <v>68114</v>
      </c>
      <c r="X220">
        <f>Tabela6[[#This Row],[mlp_test_acc]]</f>
        <v>0.94596312778130964</v>
      </c>
      <c r="Y220">
        <f>Tabela6[[#This Row],[kan_val_acc_1]]</f>
        <v>0.97209301590919495</v>
      </c>
      <c r="Z220">
        <f>Tabela6[[#This Row],[no_steps]]</f>
        <v>11.752390291738172</v>
      </c>
    </row>
    <row r="221" spans="1:26" hidden="1" x14ac:dyDescent="0.25">
      <c r="A221" t="s">
        <v>18</v>
      </c>
      <c r="B221">
        <v>3</v>
      </c>
      <c r="C221">
        <v>5</v>
      </c>
      <c r="D221">
        <v>0</v>
      </c>
      <c r="E221" t="s">
        <v>72</v>
      </c>
      <c r="F221">
        <v>34544</v>
      </c>
      <c r="G221">
        <v>66350467.81818182</v>
      </c>
      <c r="H221">
        <v>0.96821360696445813</v>
      </c>
      <c r="I221">
        <v>0.93897012078830266</v>
      </c>
      <c r="J221">
        <v>10753541</v>
      </c>
      <c r="K221">
        <v>68855</v>
      </c>
      <c r="L221">
        <v>2</v>
      </c>
      <c r="M221">
        <v>177</v>
      </c>
      <c r="N221">
        <v>0.93897012078830266</v>
      </c>
      <c r="O221">
        <v>11450633.818181818</v>
      </c>
      <c r="P221">
        <v>69600</v>
      </c>
      <c r="Q221">
        <v>2</v>
      </c>
      <c r="R221">
        <v>178</v>
      </c>
      <c r="S221">
        <v>11.756723716381417</v>
      </c>
      <c r="T221">
        <v>0.97441859245300289</v>
      </c>
      <c r="W221">
        <f>Tabela6[[#This Row],[mlp_params]]</f>
        <v>68855</v>
      </c>
      <c r="X221">
        <f>Tabela6[[#This Row],[mlp_test_acc]]</f>
        <v>0.93897012078830266</v>
      </c>
      <c r="Y221">
        <f>Tabela6[[#This Row],[kan_val_acc_1]]</f>
        <v>0.97441859245300289</v>
      </c>
      <c r="Z221">
        <f>Tabela6[[#This Row],[no_steps]]</f>
        <v>11.756723716381417</v>
      </c>
    </row>
    <row r="222" spans="1:26" hidden="1" x14ac:dyDescent="0.25">
      <c r="A222" t="s">
        <v>18</v>
      </c>
      <c r="B222">
        <v>3</v>
      </c>
      <c r="C222">
        <v>5</v>
      </c>
      <c r="D222">
        <v>0</v>
      </c>
      <c r="E222" t="s">
        <v>65</v>
      </c>
      <c r="F222">
        <v>35076</v>
      </c>
      <c r="G222">
        <v>64107190.476190478</v>
      </c>
      <c r="H222">
        <v>0.96270395744414561</v>
      </c>
      <c r="I222">
        <v>0.94538794538794535</v>
      </c>
      <c r="J222">
        <v>11671855.857142856</v>
      </c>
      <c r="K222">
        <v>69600</v>
      </c>
      <c r="L222">
        <v>2</v>
      </c>
      <c r="M222">
        <v>178</v>
      </c>
      <c r="N222">
        <v>0.93972693972693977</v>
      </c>
      <c r="O222">
        <v>11078242.952380951</v>
      </c>
      <c r="P222">
        <v>70349</v>
      </c>
      <c r="Q222">
        <v>2</v>
      </c>
      <c r="R222">
        <v>179</v>
      </c>
      <c r="S222">
        <v>11.761371928971053</v>
      </c>
      <c r="T222">
        <v>0.97267440557479856</v>
      </c>
      <c r="W222">
        <f>Tabela6[[#This Row],[mlp_params]]</f>
        <v>69600</v>
      </c>
      <c r="X222">
        <f>Tabela6[[#This Row],[mlp_test_acc]]</f>
        <v>0.94538794538794535</v>
      </c>
      <c r="Y222">
        <f>Tabela6[[#This Row],[kan_val_acc_1]]</f>
        <v>0.97267440557479856</v>
      </c>
      <c r="Z222">
        <f>Tabela6[[#This Row],[no_steps]]</f>
        <v>11.761371928971053</v>
      </c>
    </row>
    <row r="223" spans="1:26" hidden="1" x14ac:dyDescent="0.25">
      <c r="A223" t="s">
        <v>18</v>
      </c>
      <c r="B223">
        <v>3</v>
      </c>
      <c r="C223">
        <v>5</v>
      </c>
      <c r="D223">
        <v>0</v>
      </c>
      <c r="E223" t="s">
        <v>73</v>
      </c>
      <c r="F223">
        <v>35382</v>
      </c>
      <c r="G223">
        <v>67845900.63636364</v>
      </c>
      <c r="H223">
        <v>0.95041322166269471</v>
      </c>
      <c r="I223">
        <v>0.94278448823903371</v>
      </c>
      <c r="J223">
        <v>11034048.363636363</v>
      </c>
      <c r="K223">
        <v>70349</v>
      </c>
      <c r="L223">
        <v>2</v>
      </c>
      <c r="M223">
        <v>179</v>
      </c>
      <c r="N223">
        <v>0.94596312778130964</v>
      </c>
      <c r="O223">
        <v>11115497.090909092</v>
      </c>
      <c r="P223">
        <v>71102</v>
      </c>
      <c r="Q223">
        <v>2</v>
      </c>
      <c r="R223">
        <v>180</v>
      </c>
      <c r="S223">
        <v>11.764677341096554</v>
      </c>
      <c r="T223">
        <v>0.95813953280448916</v>
      </c>
      <c r="W223">
        <f>Tabela6[[#This Row],[mlp_params]]</f>
        <v>70349</v>
      </c>
      <c r="X223">
        <f>Tabela6[[#This Row],[mlp_test_acc]]</f>
        <v>0.94278448823903371</v>
      </c>
      <c r="Y223">
        <f>Tabela6[[#This Row],[kan_val_acc_1]]</f>
        <v>0.95813953280448916</v>
      </c>
      <c r="Z223">
        <f>Tabela6[[#This Row],[no_steps]]</f>
        <v>11.764677341096554</v>
      </c>
    </row>
    <row r="224" spans="1:26" hidden="1" x14ac:dyDescent="0.25">
      <c r="A224" t="s">
        <v>18</v>
      </c>
      <c r="B224">
        <v>3</v>
      </c>
      <c r="C224">
        <v>5</v>
      </c>
      <c r="D224">
        <v>0</v>
      </c>
      <c r="E224" t="s">
        <v>74</v>
      </c>
      <c r="F224">
        <v>36220</v>
      </c>
      <c r="G224">
        <v>62264227.285714284</v>
      </c>
      <c r="H224">
        <v>0.96403596514747258</v>
      </c>
      <c r="I224">
        <v>0.9430569430569431</v>
      </c>
      <c r="J224">
        <v>11706964.476190476</v>
      </c>
      <c r="K224">
        <v>71859</v>
      </c>
      <c r="L224">
        <v>2</v>
      </c>
      <c r="M224">
        <v>181</v>
      </c>
      <c r="N224">
        <v>0.94072594072594073</v>
      </c>
      <c r="O224">
        <v>12243078.857142856</v>
      </c>
      <c r="P224">
        <v>72620</v>
      </c>
      <c r="Q224">
        <v>2</v>
      </c>
      <c r="R224">
        <v>182</v>
      </c>
      <c r="S224">
        <v>11.766835626357711</v>
      </c>
      <c r="T224">
        <v>0.97267440557479856</v>
      </c>
      <c r="W224">
        <f>Tabela6[[#This Row],[mlp_params]]</f>
        <v>71859</v>
      </c>
      <c r="X224">
        <f>Tabela6[[#This Row],[mlp_test_acc]]</f>
        <v>0.9430569430569431</v>
      </c>
      <c r="Y224">
        <f>Tabela6[[#This Row],[kan_val_acc_1]]</f>
        <v>0.97267440557479856</v>
      </c>
      <c r="Z224">
        <f>Tabela6[[#This Row],[no_steps]]</f>
        <v>11.766835626357711</v>
      </c>
    </row>
    <row r="225" spans="1:26" hidden="1" x14ac:dyDescent="0.25">
      <c r="A225" t="s">
        <v>18</v>
      </c>
      <c r="B225">
        <v>3</v>
      </c>
      <c r="C225">
        <v>5</v>
      </c>
      <c r="D225">
        <v>0</v>
      </c>
      <c r="E225" t="s">
        <v>89</v>
      </c>
      <c r="F225">
        <v>36394</v>
      </c>
      <c r="G225">
        <v>67435568.181818187</v>
      </c>
      <c r="H225">
        <v>0.96948505531657825</v>
      </c>
      <c r="I225">
        <v>0.94024157660521301</v>
      </c>
      <c r="J225">
        <v>13222686.818181818</v>
      </c>
      <c r="K225">
        <v>72620</v>
      </c>
      <c r="L225">
        <v>2</v>
      </c>
      <c r="M225">
        <v>182</v>
      </c>
      <c r="N225">
        <v>0.93897012078830266</v>
      </c>
      <c r="O225">
        <v>12567108.818181818</v>
      </c>
      <c r="P225">
        <v>73385</v>
      </c>
      <c r="Q225">
        <v>2</v>
      </c>
      <c r="R225">
        <v>183</v>
      </c>
      <c r="S225">
        <v>11.76865671641791</v>
      </c>
      <c r="T225">
        <v>0.9686046421527863</v>
      </c>
      <c r="W225">
        <f>Tabela6[[#This Row],[mlp_params]]</f>
        <v>72620</v>
      </c>
      <c r="X225">
        <f>Tabela6[[#This Row],[mlp_test_acc]]</f>
        <v>0.94024157660521301</v>
      </c>
      <c r="Y225">
        <f>Tabela6[[#This Row],[kan_val_acc_1]]</f>
        <v>0.9686046421527863</v>
      </c>
      <c r="Z225">
        <f>Tabela6[[#This Row],[no_steps]]</f>
        <v>11.76865671641791</v>
      </c>
    </row>
    <row r="226" spans="1:26" hidden="1" x14ac:dyDescent="0.25">
      <c r="A226" t="s">
        <v>18</v>
      </c>
      <c r="B226">
        <v>3</v>
      </c>
      <c r="C226">
        <v>5</v>
      </c>
      <c r="D226">
        <v>0</v>
      </c>
      <c r="E226" t="s">
        <v>75</v>
      </c>
      <c r="F226">
        <v>37058</v>
      </c>
      <c r="G226">
        <v>57521184.727272727</v>
      </c>
      <c r="H226">
        <v>0.95994913578033447</v>
      </c>
      <c r="I226">
        <v>0.93833439287984743</v>
      </c>
      <c r="J226">
        <v>12945946.454545455</v>
      </c>
      <c r="K226">
        <v>73385</v>
      </c>
      <c r="L226">
        <v>2</v>
      </c>
      <c r="M226">
        <v>183</v>
      </c>
      <c r="N226">
        <v>0.93897012078830266</v>
      </c>
      <c r="O226">
        <v>13341281.181818182</v>
      </c>
      <c r="P226">
        <v>74154</v>
      </c>
      <c r="Q226">
        <v>2</v>
      </c>
      <c r="R226">
        <v>184</v>
      </c>
      <c r="S226">
        <v>11.765426170468187</v>
      </c>
      <c r="T226">
        <v>0.9546511590480804</v>
      </c>
      <c r="W226">
        <f>Tabela6[[#This Row],[mlp_params]]</f>
        <v>73385</v>
      </c>
      <c r="X226">
        <f>Tabela6[[#This Row],[mlp_test_acc]]</f>
        <v>0.93833439287984743</v>
      </c>
      <c r="Y226">
        <f>Tabela6[[#This Row],[kan_val_acc_1]]</f>
        <v>0.9546511590480804</v>
      </c>
      <c r="Z226">
        <f>Tabela6[[#This Row],[no_steps]]</f>
        <v>11.765426170468187</v>
      </c>
    </row>
    <row r="227" spans="1:26" hidden="1" x14ac:dyDescent="0.25">
      <c r="A227" t="s">
        <v>18</v>
      </c>
      <c r="B227">
        <v>3</v>
      </c>
      <c r="C227">
        <v>5</v>
      </c>
      <c r="D227">
        <v>0</v>
      </c>
      <c r="E227" t="s">
        <v>90</v>
      </c>
      <c r="F227">
        <v>37276</v>
      </c>
      <c r="G227">
        <v>67175576.909090906</v>
      </c>
      <c r="H227">
        <v>0.96058486808430066</v>
      </c>
      <c r="I227">
        <v>0.94214876033057848</v>
      </c>
      <c r="J227">
        <v>12995341.181818182</v>
      </c>
      <c r="K227">
        <v>74154</v>
      </c>
      <c r="L227">
        <v>2</v>
      </c>
      <c r="M227">
        <v>184</v>
      </c>
      <c r="N227">
        <v>0.93579148124602674</v>
      </c>
      <c r="O227">
        <v>11962181.090909092</v>
      </c>
      <c r="P227">
        <v>74927</v>
      </c>
      <c r="Q227">
        <v>2</v>
      </c>
      <c r="R227">
        <v>185</v>
      </c>
      <c r="S227">
        <v>11.767241379310345</v>
      </c>
      <c r="T227">
        <v>0.96511626839637754</v>
      </c>
      <c r="W227">
        <f>Tabela6[[#This Row],[mlp_params]]</f>
        <v>74154</v>
      </c>
      <c r="X227">
        <f>Tabela6[[#This Row],[mlp_test_acc]]</f>
        <v>0.94214876033057848</v>
      </c>
      <c r="Y227">
        <f>Tabela6[[#This Row],[kan_val_acc_1]]</f>
        <v>0.96511626839637754</v>
      </c>
      <c r="Z227">
        <f>Tabela6[[#This Row],[no_steps]]</f>
        <v>11.767241379310345</v>
      </c>
    </row>
    <row r="228" spans="1:26" hidden="1" x14ac:dyDescent="0.25">
      <c r="A228" t="s">
        <v>18</v>
      </c>
      <c r="B228">
        <v>3</v>
      </c>
      <c r="C228">
        <v>5</v>
      </c>
      <c r="D228">
        <v>0</v>
      </c>
      <c r="E228" t="s">
        <v>91</v>
      </c>
      <c r="F228">
        <v>38158</v>
      </c>
      <c r="G228">
        <v>65003001.909090906</v>
      </c>
      <c r="H228">
        <v>0.96630641547116369</v>
      </c>
      <c r="I228">
        <v>0.94214876033057848</v>
      </c>
      <c r="J228">
        <v>12083818.636363637</v>
      </c>
      <c r="K228">
        <v>75704</v>
      </c>
      <c r="L228">
        <v>2</v>
      </c>
      <c r="M228">
        <v>186</v>
      </c>
      <c r="N228">
        <v>0.93960584869675778</v>
      </c>
      <c r="O228">
        <v>13152637.636363637</v>
      </c>
      <c r="P228">
        <v>76485</v>
      </c>
      <c r="Q228">
        <v>2</v>
      </c>
      <c r="R228">
        <v>187</v>
      </c>
      <c r="S228">
        <v>11.768091712443276</v>
      </c>
      <c r="T228">
        <v>0.98023254871368404</v>
      </c>
      <c r="W228">
        <f>Tabela6[[#This Row],[mlp_params]]</f>
        <v>75704</v>
      </c>
      <c r="X228">
        <f>Tabela6[[#This Row],[mlp_test_acc]]</f>
        <v>0.94214876033057848</v>
      </c>
      <c r="Y228">
        <f>Tabela6[[#This Row],[kan_val_acc_1]]</f>
        <v>0.98023254871368404</v>
      </c>
      <c r="Z228">
        <f>Tabela6[[#This Row],[no_steps]]</f>
        <v>11.768091712443276</v>
      </c>
    </row>
    <row r="229" spans="1:26" hidden="1" x14ac:dyDescent="0.25">
      <c r="A229" t="s">
        <v>18</v>
      </c>
      <c r="B229">
        <v>3</v>
      </c>
      <c r="C229">
        <v>5</v>
      </c>
      <c r="D229">
        <v>0</v>
      </c>
      <c r="E229" t="s">
        <v>92</v>
      </c>
      <c r="F229">
        <v>39040</v>
      </c>
      <c r="G229">
        <v>82083822.909090906</v>
      </c>
      <c r="H229">
        <v>0.95677050135352393</v>
      </c>
      <c r="I229">
        <v>0.94214876033057848</v>
      </c>
      <c r="J229">
        <v>14268581.636363637</v>
      </c>
      <c r="K229">
        <v>77270</v>
      </c>
      <c r="L229">
        <v>2</v>
      </c>
      <c r="M229">
        <v>188</v>
      </c>
      <c r="N229">
        <v>0.94342021614748883</v>
      </c>
      <c r="O229">
        <v>14175419.181818182</v>
      </c>
      <c r="P229">
        <v>78059</v>
      </c>
      <c r="Q229">
        <v>2</v>
      </c>
      <c r="R229">
        <v>189</v>
      </c>
      <c r="S229">
        <v>11.774892806098142</v>
      </c>
      <c r="T229">
        <v>0.96162790060043335</v>
      </c>
      <c r="W229">
        <f>Tabela6[[#This Row],[mlp_params]]</f>
        <v>77270</v>
      </c>
      <c r="X229">
        <f>Tabela6[[#This Row],[mlp_test_acc]]</f>
        <v>0.94214876033057848</v>
      </c>
      <c r="Y229">
        <f>Tabela6[[#This Row],[kan_val_acc_1]]</f>
        <v>0.96162790060043335</v>
      </c>
      <c r="Z229">
        <f>Tabela6[[#This Row],[no_steps]]</f>
        <v>11.774892806098142</v>
      </c>
    </row>
    <row r="230" spans="1:26" hidden="1" x14ac:dyDescent="0.25">
      <c r="A230" t="s">
        <v>18</v>
      </c>
      <c r="B230">
        <v>3</v>
      </c>
      <c r="C230">
        <v>5</v>
      </c>
      <c r="D230">
        <v>0</v>
      </c>
      <c r="E230" t="s">
        <v>105</v>
      </c>
      <c r="F230">
        <v>7768</v>
      </c>
      <c r="G230">
        <v>68530973.454545453</v>
      </c>
      <c r="H230">
        <v>0.96630641547116369</v>
      </c>
      <c r="I230">
        <v>0.94405594405594406</v>
      </c>
      <c r="J230">
        <v>13564758.909090908</v>
      </c>
      <c r="K230">
        <v>15249</v>
      </c>
      <c r="L230">
        <v>2</v>
      </c>
      <c r="M230">
        <v>79</v>
      </c>
      <c r="N230">
        <v>0.94596312778130964</v>
      </c>
      <c r="O230">
        <v>13439114.090909092</v>
      </c>
      <c r="P230">
        <v>15602</v>
      </c>
      <c r="Q230">
        <v>2</v>
      </c>
      <c r="R230">
        <v>80</v>
      </c>
      <c r="S230">
        <v>11.777144214777858</v>
      </c>
      <c r="T230">
        <v>0.96976743340492244</v>
      </c>
      <c r="W230">
        <f>Tabela6[[#This Row],[mlp_params]]</f>
        <v>15249</v>
      </c>
      <c r="X230">
        <f>Tabela6[[#This Row],[mlp_test_acc]]</f>
        <v>0.94405594405594406</v>
      </c>
      <c r="Y230">
        <f>Tabela6[[#This Row],[kan_val_acc_1]]</f>
        <v>0.96976743340492244</v>
      </c>
      <c r="Z230">
        <f>Tabela6[[#This Row],[no_steps]]</f>
        <v>11.777144214777858</v>
      </c>
    </row>
    <row r="231" spans="1:26" hidden="1" x14ac:dyDescent="0.25">
      <c r="A231" t="s">
        <v>18</v>
      </c>
      <c r="B231">
        <v>3</v>
      </c>
      <c r="C231">
        <v>5</v>
      </c>
      <c r="D231">
        <v>0</v>
      </c>
      <c r="E231" t="s">
        <v>19</v>
      </c>
      <c r="F231">
        <v>8474</v>
      </c>
      <c r="G231">
        <v>16923052</v>
      </c>
      <c r="H231">
        <v>0.97902098027142614</v>
      </c>
      <c r="I231">
        <v>0.9376986649713922</v>
      </c>
      <c r="J231">
        <v>2770532</v>
      </c>
      <c r="K231">
        <v>16685</v>
      </c>
      <c r="L231">
        <v>2</v>
      </c>
      <c r="M231">
        <v>83</v>
      </c>
      <c r="N231">
        <v>0.9351557533375715</v>
      </c>
      <c r="O231">
        <v>2578340</v>
      </c>
      <c r="P231">
        <v>17054</v>
      </c>
      <c r="Q231">
        <v>2</v>
      </c>
      <c r="R231">
        <v>84</v>
      </c>
      <c r="S231">
        <v>11.772274881516587</v>
      </c>
      <c r="T231">
        <v>0.98023254871368404</v>
      </c>
      <c r="W231">
        <f>Tabela6[[#This Row],[mlp_params]]</f>
        <v>16685</v>
      </c>
      <c r="X231">
        <f>Tabela6[[#This Row],[mlp_test_acc]]</f>
        <v>0.9376986649713922</v>
      </c>
      <c r="Y231">
        <f>Tabela6[[#This Row],[kan_val_acc_1]]</f>
        <v>0.98023254871368404</v>
      </c>
      <c r="Z231">
        <f>Tabela6[[#This Row],[no_steps]]</f>
        <v>11.772274881516587</v>
      </c>
    </row>
    <row r="232" spans="1:26" hidden="1" x14ac:dyDescent="0.25">
      <c r="A232" t="s">
        <v>18</v>
      </c>
      <c r="B232">
        <v>3</v>
      </c>
      <c r="C232">
        <v>5</v>
      </c>
      <c r="D232">
        <v>0</v>
      </c>
      <c r="E232" t="s">
        <v>20</v>
      </c>
      <c r="F232">
        <v>9180</v>
      </c>
      <c r="G232">
        <v>15080374.454545455</v>
      </c>
      <c r="H232">
        <v>0.97266368974338879</v>
      </c>
      <c r="I232">
        <v>0.93833439287984743</v>
      </c>
      <c r="J232">
        <v>3802453.2727272729</v>
      </c>
      <c r="K232">
        <v>18185</v>
      </c>
      <c r="L232">
        <v>2</v>
      </c>
      <c r="M232">
        <v>87</v>
      </c>
      <c r="N232">
        <v>0.93769866497139231</v>
      </c>
      <c r="O232">
        <v>2524635.9090909092</v>
      </c>
      <c r="P232">
        <v>18570</v>
      </c>
      <c r="Q232">
        <v>2</v>
      </c>
      <c r="R232">
        <v>88</v>
      </c>
      <c r="S232">
        <v>11.764594658473174</v>
      </c>
      <c r="T232">
        <v>0.9883720874786377</v>
      </c>
      <c r="W232">
        <f>Tabela6[[#This Row],[mlp_params]]</f>
        <v>18185</v>
      </c>
      <c r="X232">
        <f>Tabela6[[#This Row],[mlp_test_acc]]</f>
        <v>0.93833439287984743</v>
      </c>
      <c r="Y232">
        <f>Tabela6[[#This Row],[kan_val_acc_1]]</f>
        <v>0.9883720874786377</v>
      </c>
      <c r="Z232">
        <f>Tabela6[[#This Row],[no_steps]]</f>
        <v>11.764594658473174</v>
      </c>
    </row>
    <row r="233" spans="1:26" hidden="1" x14ac:dyDescent="0.25">
      <c r="A233" t="s">
        <v>18</v>
      </c>
      <c r="B233">
        <v>3</v>
      </c>
      <c r="C233">
        <v>5</v>
      </c>
      <c r="D233">
        <v>0</v>
      </c>
      <c r="E233" t="s">
        <v>21</v>
      </c>
      <c r="F233">
        <v>9886</v>
      </c>
      <c r="G233">
        <v>17796002.09090909</v>
      </c>
      <c r="H233">
        <v>0.98347106846896082</v>
      </c>
      <c r="I233">
        <v>0.94278448823903371</v>
      </c>
      <c r="J233">
        <v>8306831.9090909092</v>
      </c>
      <c r="K233">
        <v>19352</v>
      </c>
      <c r="L233">
        <v>2</v>
      </c>
      <c r="M233">
        <v>90</v>
      </c>
      <c r="N233">
        <v>0.93388429752066116</v>
      </c>
      <c r="O233">
        <v>7578826.4545454541</v>
      </c>
      <c r="P233">
        <v>19749</v>
      </c>
      <c r="Q233">
        <v>2</v>
      </c>
      <c r="R233">
        <v>91</v>
      </c>
      <c r="S233">
        <v>11.760254596888259</v>
      </c>
      <c r="T233">
        <v>0.98139533996582029</v>
      </c>
      <c r="W233">
        <f>Tabela6[[#This Row],[mlp_params]]</f>
        <v>19352</v>
      </c>
      <c r="X233">
        <f>Tabela6[[#This Row],[mlp_test_acc]]</f>
        <v>0.94278448823903371</v>
      </c>
      <c r="Y233">
        <f>Tabela6[[#This Row],[kan_val_acc_1]]</f>
        <v>0.98139533996582029</v>
      </c>
      <c r="Z233">
        <f>Tabela6[[#This Row],[no_steps]]</f>
        <v>11.760254596888259</v>
      </c>
    </row>
    <row r="234" spans="1:26" hidden="1" x14ac:dyDescent="0.25">
      <c r="A234" t="s">
        <v>18</v>
      </c>
      <c r="B234">
        <v>3</v>
      </c>
      <c r="C234">
        <v>5</v>
      </c>
      <c r="D234">
        <v>0</v>
      </c>
      <c r="E234" t="s">
        <v>22</v>
      </c>
      <c r="F234">
        <v>10592</v>
      </c>
      <c r="G234">
        <v>18649754.90909091</v>
      </c>
      <c r="H234">
        <v>0.97838525338606397</v>
      </c>
      <c r="I234">
        <v>0.94151303242212336</v>
      </c>
      <c r="J234">
        <v>9705291.2727272734</v>
      </c>
      <c r="K234">
        <v>20964</v>
      </c>
      <c r="L234">
        <v>2</v>
      </c>
      <c r="M234">
        <v>94</v>
      </c>
      <c r="N234">
        <v>0.93388429752066116</v>
      </c>
      <c r="O234">
        <v>7701585.0909090908</v>
      </c>
      <c r="P234">
        <v>21377</v>
      </c>
      <c r="Q234">
        <v>2</v>
      </c>
      <c r="R234">
        <v>95</v>
      </c>
      <c r="S234">
        <v>11.755936985657183</v>
      </c>
      <c r="T234">
        <v>0.98139533996582029</v>
      </c>
      <c r="W234">
        <f>Tabela6[[#This Row],[mlp_params]]</f>
        <v>20964</v>
      </c>
      <c r="X234">
        <f>Tabela6[[#This Row],[mlp_test_acc]]</f>
        <v>0.94151303242212336</v>
      </c>
      <c r="Y234">
        <f>Tabela6[[#This Row],[kan_val_acc_1]]</f>
        <v>0.98139533996582029</v>
      </c>
      <c r="Z234">
        <f>Tabela6[[#This Row],[no_steps]]</f>
        <v>11.755936985657183</v>
      </c>
    </row>
    <row r="235" spans="1:26" hidden="1" x14ac:dyDescent="0.25">
      <c r="A235" t="s">
        <v>18</v>
      </c>
      <c r="B235">
        <v>3</v>
      </c>
      <c r="C235">
        <v>5</v>
      </c>
      <c r="D235">
        <v>0</v>
      </c>
      <c r="E235" t="s">
        <v>39</v>
      </c>
      <c r="F235">
        <v>11298</v>
      </c>
      <c r="G235">
        <v>20696221.272727273</v>
      </c>
      <c r="H235">
        <v>0.98537825996225525</v>
      </c>
      <c r="I235">
        <v>0.9351557533375715</v>
      </c>
      <c r="J235">
        <v>7895420.9090909092</v>
      </c>
      <c r="K235">
        <v>22215</v>
      </c>
      <c r="L235">
        <v>2</v>
      </c>
      <c r="M235">
        <v>97</v>
      </c>
      <c r="N235">
        <v>0.93388429752066116</v>
      </c>
      <c r="O235">
        <v>8199622.3636363633</v>
      </c>
      <c r="P235">
        <v>22640</v>
      </c>
      <c r="Q235">
        <v>2</v>
      </c>
      <c r="R235">
        <v>98</v>
      </c>
      <c r="S235">
        <v>11.752814258911821</v>
      </c>
      <c r="T235">
        <v>0.98255813121795654</v>
      </c>
      <c r="W235">
        <f>Tabela6[[#This Row],[mlp_params]]</f>
        <v>22215</v>
      </c>
      <c r="X235">
        <f>Tabela6[[#This Row],[mlp_test_acc]]</f>
        <v>0.9351557533375715</v>
      </c>
      <c r="Y235">
        <f>Tabela6[[#This Row],[kan_val_acc_1]]</f>
        <v>0.98255813121795654</v>
      </c>
      <c r="Z235">
        <f>Tabela6[[#This Row],[no_steps]]</f>
        <v>11.752814258911821</v>
      </c>
    </row>
    <row r="236" spans="1:26" hidden="1" x14ac:dyDescent="0.25">
      <c r="A236" t="s">
        <v>18</v>
      </c>
      <c r="B236">
        <v>5</v>
      </c>
      <c r="C236">
        <v>2</v>
      </c>
      <c r="D236">
        <v>0</v>
      </c>
      <c r="E236" t="s">
        <v>98</v>
      </c>
      <c r="F236">
        <v>16052</v>
      </c>
      <c r="G236">
        <v>19433454.90909091</v>
      </c>
      <c r="H236">
        <v>0.98283534158359875</v>
      </c>
      <c r="I236">
        <v>0.93769866497139231</v>
      </c>
      <c r="J236">
        <v>7719585</v>
      </c>
      <c r="K236">
        <v>23939</v>
      </c>
      <c r="L236">
        <v>2</v>
      </c>
      <c r="M236">
        <v>101</v>
      </c>
      <c r="N236">
        <v>0.92879847425301976</v>
      </c>
      <c r="O236">
        <v>7437186.8181818184</v>
      </c>
      <c r="P236">
        <v>24380</v>
      </c>
      <c r="Q236">
        <v>2</v>
      </c>
      <c r="R236">
        <v>102</v>
      </c>
      <c r="S236">
        <v>11.747602339181286</v>
      </c>
      <c r="T236">
        <v>0.9883720874786377</v>
      </c>
      <c r="W236">
        <f>Tabela6[[#This Row],[mlp_params]]</f>
        <v>23939</v>
      </c>
      <c r="X236">
        <f>Tabela6[[#This Row],[mlp_test_acc]]</f>
        <v>0.93769866497139231</v>
      </c>
      <c r="Y236">
        <f>Tabela6[[#This Row],[kan_val_acc_1]]</f>
        <v>0.9883720874786377</v>
      </c>
      <c r="Z236">
        <f>Tabela6[[#This Row],[no_steps]]</f>
        <v>11.747602339181286</v>
      </c>
    </row>
    <row r="237" spans="1:26" hidden="1" x14ac:dyDescent="0.25">
      <c r="A237" t="s">
        <v>18</v>
      </c>
      <c r="B237">
        <v>5</v>
      </c>
      <c r="C237">
        <v>2</v>
      </c>
      <c r="D237">
        <v>0</v>
      </c>
      <c r="E237" t="s">
        <v>99</v>
      </c>
      <c r="F237">
        <v>16694</v>
      </c>
      <c r="G237">
        <v>23218525.818181816</v>
      </c>
      <c r="H237">
        <v>0.97774951566349377</v>
      </c>
      <c r="I237">
        <v>0.94342021614748883</v>
      </c>
      <c r="J237">
        <v>8672995</v>
      </c>
      <c r="K237">
        <v>24825</v>
      </c>
      <c r="L237">
        <v>2</v>
      </c>
      <c r="M237">
        <v>103</v>
      </c>
      <c r="N237">
        <v>0.94914176732358546</v>
      </c>
      <c r="O237">
        <v>7973634.2727272725</v>
      </c>
      <c r="P237">
        <v>25274</v>
      </c>
      <c r="Q237">
        <v>2</v>
      </c>
      <c r="R237">
        <v>104</v>
      </c>
      <c r="S237">
        <v>11.747550163322446</v>
      </c>
      <c r="T237">
        <v>0.95813953280448916</v>
      </c>
      <c r="W237">
        <f>Tabela6[[#This Row],[mlp_params]]</f>
        <v>24825</v>
      </c>
      <c r="X237">
        <f>Tabela6[[#This Row],[mlp_test_acc]]</f>
        <v>0.94342021614748883</v>
      </c>
      <c r="Y237">
        <f>Tabela6[[#This Row],[kan_val_acc_1]]</f>
        <v>0.95813953280448916</v>
      </c>
      <c r="Z237">
        <f>Tabela6[[#This Row],[no_steps]]</f>
        <v>11.747550163322446</v>
      </c>
    </row>
    <row r="238" spans="1:26" hidden="1" x14ac:dyDescent="0.25">
      <c r="A238" t="s">
        <v>18</v>
      </c>
      <c r="B238">
        <v>5</v>
      </c>
      <c r="C238">
        <v>2</v>
      </c>
      <c r="D238">
        <v>0</v>
      </c>
      <c r="E238" t="s">
        <v>100</v>
      </c>
      <c r="F238">
        <v>17336</v>
      </c>
      <c r="G238">
        <v>23136422.90909091</v>
      </c>
      <c r="H238">
        <v>0.97711378877813171</v>
      </c>
      <c r="I238">
        <v>0.94596312778130964</v>
      </c>
      <c r="J238">
        <v>7966603.6363636367</v>
      </c>
      <c r="K238">
        <v>25727</v>
      </c>
      <c r="L238">
        <v>2</v>
      </c>
      <c r="M238">
        <v>105</v>
      </c>
      <c r="N238">
        <v>0.94278448823903371</v>
      </c>
      <c r="O238">
        <v>8639319.7272727266</v>
      </c>
      <c r="P238">
        <v>26184</v>
      </c>
      <c r="Q238">
        <v>2</v>
      </c>
      <c r="R238">
        <v>106</v>
      </c>
      <c r="S238">
        <v>11.746334652082849</v>
      </c>
      <c r="T238">
        <v>0.96046510338783264</v>
      </c>
      <c r="W238">
        <f>Tabela6[[#This Row],[mlp_params]]</f>
        <v>25727</v>
      </c>
      <c r="X238">
        <f>Tabela6[[#This Row],[mlp_test_acc]]</f>
        <v>0.94596312778130964</v>
      </c>
      <c r="Y238">
        <f>Tabela6[[#This Row],[kan_val_acc_1]]</f>
        <v>0.96046510338783264</v>
      </c>
      <c r="Z238">
        <f>Tabela6[[#This Row],[no_steps]]</f>
        <v>11.746334652082849</v>
      </c>
    </row>
    <row r="239" spans="1:26" hidden="1" x14ac:dyDescent="0.25">
      <c r="A239" t="s">
        <v>18</v>
      </c>
      <c r="B239">
        <v>5</v>
      </c>
      <c r="C239">
        <v>2</v>
      </c>
      <c r="D239">
        <v>0</v>
      </c>
      <c r="E239" t="s">
        <v>101</v>
      </c>
      <c r="F239">
        <v>17978</v>
      </c>
      <c r="G239">
        <v>24300209.363636363</v>
      </c>
      <c r="H239">
        <v>0.97902097485282202</v>
      </c>
      <c r="I239">
        <v>0.94087730451366813</v>
      </c>
      <c r="J239">
        <v>9170043.9090909082</v>
      </c>
      <c r="K239">
        <v>26645</v>
      </c>
      <c r="L239">
        <v>2</v>
      </c>
      <c r="M239">
        <v>107</v>
      </c>
      <c r="N239">
        <v>0.94405594405594406</v>
      </c>
      <c r="O239">
        <v>8328636.7272727275</v>
      </c>
      <c r="P239">
        <v>27110</v>
      </c>
      <c r="Q239">
        <v>2</v>
      </c>
      <c r="R239">
        <v>108</v>
      </c>
      <c r="S239">
        <v>11.745821727019498</v>
      </c>
      <c r="T239">
        <v>0.95813952088356014</v>
      </c>
      <c r="W239">
        <f>Tabela6[[#This Row],[mlp_params]]</f>
        <v>26645</v>
      </c>
      <c r="X239">
        <f>Tabela6[[#This Row],[mlp_test_acc]]</f>
        <v>0.94087730451366813</v>
      </c>
      <c r="Y239">
        <f>Tabela6[[#This Row],[kan_val_acc_1]]</f>
        <v>0.95813952088356014</v>
      </c>
      <c r="Z239">
        <f>Tabela6[[#This Row],[no_steps]]</f>
        <v>11.745821727019498</v>
      </c>
    </row>
    <row r="240" spans="1:26" hidden="1" x14ac:dyDescent="0.25">
      <c r="A240" t="s">
        <v>18</v>
      </c>
      <c r="B240">
        <v>5</v>
      </c>
      <c r="C240">
        <v>2</v>
      </c>
      <c r="D240">
        <v>0</v>
      </c>
      <c r="E240" t="s">
        <v>102</v>
      </c>
      <c r="F240">
        <v>18620</v>
      </c>
      <c r="G240">
        <v>27537377.90909091</v>
      </c>
      <c r="H240">
        <v>0.98601399768482556</v>
      </c>
      <c r="I240">
        <v>0.94087730451366813</v>
      </c>
      <c r="J240">
        <v>9081179.4545454551</v>
      </c>
      <c r="K240">
        <v>27579</v>
      </c>
      <c r="L240">
        <v>2</v>
      </c>
      <c r="M240">
        <v>109</v>
      </c>
      <c r="N240">
        <v>0.94405594405594406</v>
      </c>
      <c r="O240">
        <v>7798202.2727272725</v>
      </c>
      <c r="P240">
        <v>28052</v>
      </c>
      <c r="Q240">
        <v>2</v>
      </c>
      <c r="R240">
        <v>110</v>
      </c>
      <c r="S240">
        <v>11.749015975920353</v>
      </c>
      <c r="T240">
        <v>0.96279067993164058</v>
      </c>
      <c r="W240">
        <f>Tabela6[[#This Row],[mlp_params]]</f>
        <v>27579</v>
      </c>
      <c r="X240">
        <f>Tabela6[[#This Row],[mlp_test_acc]]</f>
        <v>0.94087730451366813</v>
      </c>
      <c r="Y240">
        <f>Tabela6[[#This Row],[kan_val_acc_1]]</f>
        <v>0.96279067993164058</v>
      </c>
      <c r="Z240">
        <f>Tabela6[[#This Row],[no_steps]]</f>
        <v>11.749015975920353</v>
      </c>
    </row>
    <row r="241" spans="1:26" hidden="1" x14ac:dyDescent="0.25">
      <c r="A241" t="s">
        <v>18</v>
      </c>
      <c r="B241">
        <v>5</v>
      </c>
      <c r="C241">
        <v>2</v>
      </c>
      <c r="D241">
        <v>0</v>
      </c>
      <c r="E241" t="s">
        <v>103</v>
      </c>
      <c r="F241">
        <v>19262</v>
      </c>
      <c r="G241">
        <v>28513987.952380951</v>
      </c>
      <c r="H241">
        <v>0.97236096291314988</v>
      </c>
      <c r="I241">
        <v>0.94205794205794202</v>
      </c>
      <c r="J241">
        <v>8725761.5714285709</v>
      </c>
      <c r="K241">
        <v>28529</v>
      </c>
      <c r="L241">
        <v>2</v>
      </c>
      <c r="M241">
        <v>111</v>
      </c>
      <c r="N241">
        <v>0.94139194139194138</v>
      </c>
      <c r="O241">
        <v>8349418.1428571427</v>
      </c>
      <c r="P241">
        <v>29010</v>
      </c>
      <c r="Q241">
        <v>2</v>
      </c>
      <c r="R241">
        <v>112</v>
      </c>
      <c r="S241">
        <v>11.751382488479262</v>
      </c>
      <c r="T241">
        <v>0.9563953369855881</v>
      </c>
      <c r="W241">
        <f>Tabela6[[#This Row],[mlp_params]]</f>
        <v>28529</v>
      </c>
      <c r="X241">
        <f>Tabela6[[#This Row],[mlp_test_acc]]</f>
        <v>0.94205794205794202</v>
      </c>
      <c r="Y241">
        <f>Tabela6[[#This Row],[kan_val_acc_1]]</f>
        <v>0.9563953369855881</v>
      </c>
      <c r="Z241">
        <f>Tabela6[[#This Row],[no_steps]]</f>
        <v>11.751382488479262</v>
      </c>
    </row>
    <row r="242" spans="1:26" hidden="1" x14ac:dyDescent="0.25">
      <c r="A242" t="s">
        <v>18</v>
      </c>
      <c r="B242">
        <v>5</v>
      </c>
      <c r="C242">
        <v>2</v>
      </c>
      <c r="D242">
        <v>0</v>
      </c>
      <c r="E242" t="s">
        <v>104</v>
      </c>
      <c r="F242">
        <v>19904</v>
      </c>
      <c r="G242">
        <v>26667037.285714287</v>
      </c>
      <c r="H242">
        <v>0.97502497548148748</v>
      </c>
      <c r="I242">
        <v>0.94105894105894106</v>
      </c>
      <c r="J242">
        <v>8349680.0952380951</v>
      </c>
      <c r="K242">
        <v>29495</v>
      </c>
      <c r="L242">
        <v>2</v>
      </c>
      <c r="M242">
        <v>113</v>
      </c>
      <c r="N242">
        <v>0.94405594405594406</v>
      </c>
      <c r="O242">
        <v>9163724.3809523806</v>
      </c>
      <c r="P242">
        <v>29984</v>
      </c>
      <c r="Q242">
        <v>2</v>
      </c>
      <c r="R242">
        <v>114</v>
      </c>
      <c r="S242">
        <v>11.749140105480395</v>
      </c>
      <c r="T242">
        <v>0.95348834991455078</v>
      </c>
      <c r="W242">
        <f>Tabela6[[#This Row],[mlp_params]]</f>
        <v>29495</v>
      </c>
      <c r="X242">
        <f>Tabela6[[#This Row],[mlp_test_acc]]</f>
        <v>0.94105894105894106</v>
      </c>
      <c r="Y242">
        <f>Tabela6[[#This Row],[kan_val_acc_1]]</f>
        <v>0.95348834991455078</v>
      </c>
      <c r="Z242">
        <f>Tabela6[[#This Row],[no_steps]]</f>
        <v>11.749140105480395</v>
      </c>
    </row>
    <row r="243" spans="1:26" hidden="1" x14ac:dyDescent="0.25">
      <c r="A243" t="s">
        <v>18</v>
      </c>
      <c r="B243">
        <v>5</v>
      </c>
      <c r="C243">
        <v>2</v>
      </c>
      <c r="D243">
        <v>0</v>
      </c>
      <c r="E243" t="s">
        <v>26</v>
      </c>
      <c r="F243">
        <v>20588</v>
      </c>
      <c r="G243">
        <v>28417073.096774194</v>
      </c>
      <c r="H243">
        <v>0.97541167274598151</v>
      </c>
      <c r="I243">
        <v>0.93954432664110088</v>
      </c>
      <c r="J243">
        <v>8424481.6774193551</v>
      </c>
      <c r="K243">
        <v>30477</v>
      </c>
      <c r="L243">
        <v>2</v>
      </c>
      <c r="M243">
        <v>115</v>
      </c>
      <c r="N243">
        <v>0.94563501015113915</v>
      </c>
      <c r="O243">
        <v>7792868.3225806449</v>
      </c>
      <c r="P243">
        <v>30974</v>
      </c>
      <c r="Q243">
        <v>2</v>
      </c>
      <c r="R243">
        <v>116</v>
      </c>
      <c r="S243">
        <v>11.747495446265939</v>
      </c>
      <c r="T243">
        <v>0.95348835984865821</v>
      </c>
      <c r="W243">
        <f>Tabela6[[#This Row],[mlp_params]]</f>
        <v>30477</v>
      </c>
      <c r="X243">
        <f>Tabela6[[#This Row],[mlp_test_acc]]</f>
        <v>0.93954432664110088</v>
      </c>
      <c r="Y243">
        <f>Tabela6[[#This Row],[kan_val_acc_1]]</f>
        <v>0.95348835984865821</v>
      </c>
      <c r="Z243">
        <f>Tabela6[[#This Row],[no_steps]]</f>
        <v>11.747495446265939</v>
      </c>
    </row>
    <row r="244" spans="1:26" hidden="1" x14ac:dyDescent="0.25">
      <c r="A244" t="s">
        <v>18</v>
      </c>
      <c r="B244">
        <v>5</v>
      </c>
      <c r="C244">
        <v>2</v>
      </c>
      <c r="D244">
        <v>0</v>
      </c>
      <c r="E244" t="s">
        <v>27</v>
      </c>
      <c r="F244">
        <v>21230</v>
      </c>
      <c r="G244">
        <v>27850319.238095239</v>
      </c>
      <c r="H244">
        <v>0.97569096656072707</v>
      </c>
      <c r="I244">
        <v>0.94039294039294041</v>
      </c>
      <c r="J244">
        <v>8343334.5714285718</v>
      </c>
      <c r="K244">
        <v>31475</v>
      </c>
      <c r="L244">
        <v>2</v>
      </c>
      <c r="M244">
        <v>117</v>
      </c>
      <c r="N244">
        <v>0.94638694638694643</v>
      </c>
      <c r="O244">
        <v>8623358.333333334</v>
      </c>
      <c r="P244">
        <v>31980</v>
      </c>
      <c r="Q244">
        <v>2</v>
      </c>
      <c r="R244">
        <v>118</v>
      </c>
      <c r="S244">
        <v>11.742125538182643</v>
      </c>
      <c r="T244">
        <v>0.9505813866853714</v>
      </c>
      <c r="W244">
        <f>Tabela6[[#This Row],[mlp_params]]</f>
        <v>31475</v>
      </c>
      <c r="X244">
        <f>Tabela6[[#This Row],[mlp_test_acc]]</f>
        <v>0.94039294039294041</v>
      </c>
      <c r="Y244">
        <f>Tabela6[[#This Row],[kan_val_acc_1]]</f>
        <v>0.9505813866853714</v>
      </c>
      <c r="Z244">
        <f>Tabela6[[#This Row],[no_steps]]</f>
        <v>11.742125538182643</v>
      </c>
    </row>
    <row r="245" spans="1:26" hidden="1" x14ac:dyDescent="0.25">
      <c r="A245" t="s">
        <v>18</v>
      </c>
      <c r="B245">
        <v>5</v>
      </c>
      <c r="C245">
        <v>2</v>
      </c>
      <c r="D245">
        <v>0</v>
      </c>
      <c r="E245" t="s">
        <v>28</v>
      </c>
      <c r="F245">
        <v>21872</v>
      </c>
      <c r="G245">
        <v>31542374.677419353</v>
      </c>
      <c r="H245">
        <v>0.9643582201773121</v>
      </c>
      <c r="I245">
        <v>0.94022106925332738</v>
      </c>
      <c r="J245">
        <v>8798243.8064516131</v>
      </c>
      <c r="K245">
        <v>32489</v>
      </c>
      <c r="L245">
        <v>2</v>
      </c>
      <c r="M245">
        <v>119</v>
      </c>
      <c r="N245">
        <v>0.93954432664110088</v>
      </c>
      <c r="O245">
        <v>9781592.064516129</v>
      </c>
      <c r="P245">
        <v>33002</v>
      </c>
      <c r="Q245">
        <v>2</v>
      </c>
      <c r="R245">
        <v>120</v>
      </c>
      <c r="S245">
        <v>11.742574257425742</v>
      </c>
      <c r="T245">
        <v>0.93992247184117639</v>
      </c>
      <c r="W245">
        <f>Tabela6[[#This Row],[mlp_params]]</f>
        <v>32489</v>
      </c>
      <c r="X245">
        <f>Tabela6[[#This Row],[mlp_test_acc]]</f>
        <v>0.94022106925332738</v>
      </c>
      <c r="Y245">
        <f>Tabela6[[#This Row],[kan_val_acc_1]]</f>
        <v>0.93992247184117639</v>
      </c>
      <c r="Z245">
        <f>Tabela6[[#This Row],[no_steps]]</f>
        <v>11.742574257425742</v>
      </c>
    </row>
    <row r="246" spans="1:26" hidden="1" x14ac:dyDescent="0.25">
      <c r="A246" t="s">
        <v>18</v>
      </c>
      <c r="B246">
        <v>5</v>
      </c>
      <c r="C246">
        <v>2</v>
      </c>
      <c r="D246">
        <v>0</v>
      </c>
      <c r="E246" t="s">
        <v>67</v>
      </c>
      <c r="F246">
        <v>22268</v>
      </c>
      <c r="G246">
        <v>31931043.580645163</v>
      </c>
      <c r="H246">
        <v>0.97450935840606689</v>
      </c>
      <c r="I246">
        <v>0.93909316489961658</v>
      </c>
      <c r="J246">
        <v>8167668.7741935486</v>
      </c>
      <c r="K246">
        <v>33002</v>
      </c>
      <c r="L246">
        <v>2</v>
      </c>
      <c r="M246">
        <v>120</v>
      </c>
      <c r="N246">
        <v>0.94202571621926456</v>
      </c>
      <c r="O246">
        <v>9261885.9677419346</v>
      </c>
      <c r="P246">
        <v>33519</v>
      </c>
      <c r="Q246">
        <v>2</v>
      </c>
      <c r="R246">
        <v>121</v>
      </c>
      <c r="S246">
        <v>11.743463687150838</v>
      </c>
      <c r="T246">
        <v>0.95348836183547969</v>
      </c>
      <c r="W246">
        <f>Tabela6[[#This Row],[mlp_params]]</f>
        <v>33002</v>
      </c>
      <c r="X246">
        <f>Tabela6[[#This Row],[mlp_test_acc]]</f>
        <v>0.93909316489961658</v>
      </c>
      <c r="Y246">
        <f>Tabela6[[#This Row],[kan_val_acc_1]]</f>
        <v>0.95348836183547969</v>
      </c>
      <c r="Z246">
        <f>Tabela6[[#This Row],[no_steps]]</f>
        <v>11.743463687150838</v>
      </c>
    </row>
    <row r="247" spans="1:26" hidden="1" x14ac:dyDescent="0.25">
      <c r="A247" t="s">
        <v>18</v>
      </c>
      <c r="B247">
        <v>5</v>
      </c>
      <c r="C247">
        <v>2</v>
      </c>
      <c r="D247">
        <v>0</v>
      </c>
      <c r="E247" t="s">
        <v>29</v>
      </c>
      <c r="F247">
        <v>22514</v>
      </c>
      <c r="G247">
        <v>29828749.363636363</v>
      </c>
      <c r="H247">
        <v>0.93769867311824451</v>
      </c>
      <c r="I247">
        <v>0.92116973935155755</v>
      </c>
      <c r="J247">
        <v>8039737.4545454541</v>
      </c>
      <c r="K247">
        <v>33519</v>
      </c>
      <c r="L247">
        <v>2</v>
      </c>
      <c r="M247">
        <v>121</v>
      </c>
      <c r="N247">
        <v>0.91608391608391615</v>
      </c>
      <c r="O247">
        <v>8554847.5454545449</v>
      </c>
      <c r="P247">
        <v>34040</v>
      </c>
      <c r="Q247">
        <v>2</v>
      </c>
      <c r="R247">
        <v>122</v>
      </c>
      <c r="S247">
        <v>11.745876058849754</v>
      </c>
      <c r="T247">
        <v>0.93372092247009275</v>
      </c>
      <c r="W247">
        <f>Tabela6[[#This Row],[mlp_params]]</f>
        <v>33519</v>
      </c>
      <c r="X247">
        <f>Tabela6[[#This Row],[mlp_test_acc]]</f>
        <v>0.92116973935155755</v>
      </c>
      <c r="Y247">
        <f>Tabela6[[#This Row],[kan_val_acc_1]]</f>
        <v>0.93372092247009275</v>
      </c>
      <c r="Z247">
        <f>Tabela6[[#This Row],[no_steps]]</f>
        <v>11.745876058849754</v>
      </c>
    </row>
    <row r="248" spans="1:26" hidden="1" x14ac:dyDescent="0.25">
      <c r="A248" t="s">
        <v>18</v>
      </c>
      <c r="B248">
        <v>5</v>
      </c>
      <c r="C248">
        <v>2</v>
      </c>
      <c r="D248">
        <v>0</v>
      </c>
      <c r="E248" t="s">
        <v>68</v>
      </c>
      <c r="F248">
        <v>23030</v>
      </c>
      <c r="G248">
        <v>28325336.741935484</v>
      </c>
      <c r="H248">
        <v>0.96120008153300129</v>
      </c>
      <c r="I248">
        <v>0.93661177532145279</v>
      </c>
      <c r="J248">
        <v>8464372.3225806449</v>
      </c>
      <c r="K248">
        <v>34040</v>
      </c>
      <c r="L248">
        <v>2</v>
      </c>
      <c r="M248">
        <v>122</v>
      </c>
      <c r="N248">
        <v>0.93142341529438311</v>
      </c>
      <c r="O248">
        <v>8664984.7741935477</v>
      </c>
      <c r="P248">
        <v>34565</v>
      </c>
      <c r="Q248">
        <v>2</v>
      </c>
      <c r="R248">
        <v>123</v>
      </c>
      <c r="S248">
        <v>11.737214965685189</v>
      </c>
      <c r="T248">
        <v>0.94457364281018574</v>
      </c>
      <c r="W248">
        <f>Tabela6[[#This Row],[mlp_params]]</f>
        <v>34040</v>
      </c>
      <c r="X248">
        <f>Tabela6[[#This Row],[mlp_test_acc]]</f>
        <v>0.93661177532145279</v>
      </c>
      <c r="Y248">
        <f>Tabela6[[#This Row],[kan_val_acc_1]]</f>
        <v>0.94457364281018574</v>
      </c>
      <c r="Z248">
        <f>Tabela6[[#This Row],[no_steps]]</f>
        <v>11.737214965685189</v>
      </c>
    </row>
    <row r="249" spans="1:26" hidden="1" x14ac:dyDescent="0.25">
      <c r="A249" t="s">
        <v>18</v>
      </c>
      <c r="B249">
        <v>5</v>
      </c>
      <c r="C249">
        <v>2</v>
      </c>
      <c r="D249">
        <v>0</v>
      </c>
      <c r="E249" t="s">
        <v>30</v>
      </c>
      <c r="F249">
        <v>23156</v>
      </c>
      <c r="G249">
        <v>24079384.272727273</v>
      </c>
      <c r="H249">
        <v>0.94278449361974548</v>
      </c>
      <c r="I249">
        <v>0.92371265098537825</v>
      </c>
      <c r="J249">
        <v>7470301.2727272725</v>
      </c>
      <c r="K249">
        <v>34565</v>
      </c>
      <c r="L249">
        <v>2</v>
      </c>
      <c r="M249">
        <v>123</v>
      </c>
      <c r="N249">
        <v>0.90336935791481243</v>
      </c>
      <c r="O249">
        <v>8747876.1818181816</v>
      </c>
      <c r="P249">
        <v>35094</v>
      </c>
      <c r="Q249">
        <v>2</v>
      </c>
      <c r="R249">
        <v>124</v>
      </c>
      <c r="S249">
        <v>11.732332155477032</v>
      </c>
      <c r="T249">
        <v>0.96046511530876155</v>
      </c>
      <c r="W249">
        <f>Tabela6[[#This Row],[mlp_params]]</f>
        <v>34565</v>
      </c>
      <c r="X249">
        <f>Tabela6[[#This Row],[mlp_test_acc]]</f>
        <v>0.92371265098537825</v>
      </c>
      <c r="Y249">
        <f>Tabela6[[#This Row],[kan_val_acc_1]]</f>
        <v>0.96046511530876155</v>
      </c>
      <c r="Z249">
        <f>Tabela6[[#This Row],[no_steps]]</f>
        <v>11.732332155477032</v>
      </c>
    </row>
    <row r="250" spans="1:26" hidden="1" x14ac:dyDescent="0.25">
      <c r="A250" t="s">
        <v>18</v>
      </c>
      <c r="B250">
        <v>5</v>
      </c>
      <c r="C250">
        <v>2</v>
      </c>
      <c r="D250">
        <v>0</v>
      </c>
      <c r="E250" t="s">
        <v>77</v>
      </c>
      <c r="F250">
        <v>23470</v>
      </c>
      <c r="G250">
        <v>32012242.516129032</v>
      </c>
      <c r="H250">
        <v>0.96074891859485256</v>
      </c>
      <c r="I250">
        <v>0.9325513196480939</v>
      </c>
      <c r="J250">
        <v>8271835.1935483869</v>
      </c>
      <c r="K250">
        <v>35094</v>
      </c>
      <c r="L250">
        <v>2</v>
      </c>
      <c r="M250">
        <v>124</v>
      </c>
      <c r="N250">
        <v>0.9298443491991879</v>
      </c>
      <c r="O250">
        <v>9810448.1612903234</v>
      </c>
      <c r="P250">
        <v>35627</v>
      </c>
      <c r="Q250">
        <v>2</v>
      </c>
      <c r="R250">
        <v>125</v>
      </c>
      <c r="S250">
        <v>11.733713533669665</v>
      </c>
      <c r="T250">
        <v>0.93953488270441687</v>
      </c>
      <c r="W250">
        <f>Tabela6[[#This Row],[mlp_params]]</f>
        <v>35094</v>
      </c>
      <c r="X250">
        <f>Tabela6[[#This Row],[mlp_test_acc]]</f>
        <v>0.9325513196480939</v>
      </c>
      <c r="Y250">
        <f>Tabela6[[#This Row],[kan_val_acc_1]]</f>
        <v>0.93953488270441687</v>
      </c>
      <c r="Z250">
        <f>Tabela6[[#This Row],[no_steps]]</f>
        <v>11.733713533669665</v>
      </c>
    </row>
    <row r="251" spans="1:26" hidden="1" x14ac:dyDescent="0.25">
      <c r="A251" t="s">
        <v>18</v>
      </c>
      <c r="B251">
        <v>5</v>
      </c>
      <c r="C251">
        <v>2</v>
      </c>
      <c r="D251">
        <v>0</v>
      </c>
      <c r="E251" t="s">
        <v>31</v>
      </c>
      <c r="F251">
        <v>23798</v>
      </c>
      <c r="G251">
        <v>26728630.818181816</v>
      </c>
      <c r="H251">
        <v>0.95994913578033447</v>
      </c>
      <c r="I251">
        <v>0.92180546726001267</v>
      </c>
      <c r="J251">
        <v>7812409.2727272725</v>
      </c>
      <c r="K251">
        <v>35627</v>
      </c>
      <c r="L251">
        <v>2</v>
      </c>
      <c r="M251">
        <v>125</v>
      </c>
      <c r="N251">
        <v>0.91799109980928162</v>
      </c>
      <c r="O251">
        <v>8634719.7272727266</v>
      </c>
      <c r="P251">
        <v>36164</v>
      </c>
      <c r="Q251">
        <v>2</v>
      </c>
      <c r="R251">
        <v>126</v>
      </c>
      <c r="S251">
        <v>11.731072210065646</v>
      </c>
      <c r="T251">
        <v>0.96279068589210515</v>
      </c>
      <c r="W251">
        <f>Tabela6[[#This Row],[mlp_params]]</f>
        <v>35627</v>
      </c>
      <c r="X251">
        <f>Tabela6[[#This Row],[mlp_test_acc]]</f>
        <v>0.92180546726001267</v>
      </c>
      <c r="Y251">
        <f>Tabela6[[#This Row],[kan_val_acc_1]]</f>
        <v>0.96279068589210515</v>
      </c>
      <c r="Z251">
        <f>Tabela6[[#This Row],[no_steps]]</f>
        <v>11.731072210065646</v>
      </c>
    </row>
    <row r="252" spans="1:26" hidden="1" x14ac:dyDescent="0.25">
      <c r="A252" t="s">
        <v>18</v>
      </c>
      <c r="B252">
        <v>5</v>
      </c>
      <c r="C252">
        <v>2</v>
      </c>
      <c r="D252">
        <v>0</v>
      </c>
      <c r="E252" t="s">
        <v>32</v>
      </c>
      <c r="F252">
        <v>24440</v>
      </c>
      <c r="G252">
        <v>29155306.609756097</v>
      </c>
      <c r="H252">
        <v>0.96145317321870383</v>
      </c>
      <c r="I252">
        <v>0.9278526351697084</v>
      </c>
      <c r="J252">
        <v>8293728.6097560972</v>
      </c>
      <c r="K252">
        <v>36164</v>
      </c>
      <c r="L252">
        <v>2</v>
      </c>
      <c r="M252">
        <v>126</v>
      </c>
      <c r="N252">
        <v>0.92682926829268297</v>
      </c>
      <c r="O252">
        <v>8498926.4146341458</v>
      </c>
      <c r="P252">
        <v>36705</v>
      </c>
      <c r="Q252">
        <v>2</v>
      </c>
      <c r="R252">
        <v>127</v>
      </c>
      <c r="S252">
        <v>11.720667967902841</v>
      </c>
      <c r="T252">
        <v>0.95377906709909444</v>
      </c>
      <c r="W252">
        <f>Tabela6[[#This Row],[mlp_params]]</f>
        <v>36164</v>
      </c>
      <c r="X252">
        <f>Tabela6[[#This Row],[mlp_test_acc]]</f>
        <v>0.9278526351697084</v>
      </c>
      <c r="Y252">
        <f>Tabela6[[#This Row],[kan_val_acc_1]]</f>
        <v>0.95377906709909444</v>
      </c>
      <c r="Z252">
        <f>Tabela6[[#This Row],[no_steps]]</f>
        <v>11.720667967902841</v>
      </c>
    </row>
    <row r="253" spans="1:26" hidden="1" x14ac:dyDescent="0.25">
      <c r="A253" t="s">
        <v>18</v>
      </c>
      <c r="B253">
        <v>5</v>
      </c>
      <c r="C253">
        <v>2</v>
      </c>
      <c r="D253">
        <v>0</v>
      </c>
      <c r="E253" t="s">
        <v>46</v>
      </c>
      <c r="F253">
        <v>24638</v>
      </c>
      <c r="G253">
        <v>25712641.571428571</v>
      </c>
      <c r="H253">
        <v>0.97036296413058332</v>
      </c>
      <c r="I253">
        <v>0.92973692973692978</v>
      </c>
      <c r="J253">
        <v>8236579.1428571427</v>
      </c>
      <c r="K253">
        <v>36705</v>
      </c>
      <c r="L253">
        <v>2</v>
      </c>
      <c r="M253">
        <v>127</v>
      </c>
      <c r="N253">
        <v>0.92840492840492839</v>
      </c>
      <c r="O253">
        <v>9882821.2857142854</v>
      </c>
      <c r="P253">
        <v>37250</v>
      </c>
      <c r="Q253">
        <v>2</v>
      </c>
      <c r="R253">
        <v>128</v>
      </c>
      <c r="S253">
        <v>11.708981001727116</v>
      </c>
      <c r="T253">
        <v>0.95348836183547969</v>
      </c>
      <c r="W253">
        <f>Tabela6[[#This Row],[mlp_params]]</f>
        <v>36705</v>
      </c>
      <c r="X253">
        <f>Tabela6[[#This Row],[mlp_test_acc]]</f>
        <v>0.92973692973692978</v>
      </c>
      <c r="Y253">
        <f>Tabela6[[#This Row],[kan_val_acc_1]]</f>
        <v>0.95348836183547969</v>
      </c>
      <c r="Z253">
        <f>Tabela6[[#This Row],[no_steps]]</f>
        <v>11.708981001727116</v>
      </c>
    </row>
    <row r="254" spans="1:26" hidden="1" x14ac:dyDescent="0.25">
      <c r="A254" t="s">
        <v>18</v>
      </c>
      <c r="B254">
        <v>5</v>
      </c>
      <c r="C254">
        <v>2</v>
      </c>
      <c r="D254">
        <v>0</v>
      </c>
      <c r="E254" t="s">
        <v>33</v>
      </c>
      <c r="F254">
        <v>25082</v>
      </c>
      <c r="G254">
        <v>30091347.870967742</v>
      </c>
      <c r="H254">
        <v>0.95804195442507345</v>
      </c>
      <c r="I254">
        <v>0.92307692307692313</v>
      </c>
      <c r="J254">
        <v>8601874.7419354841</v>
      </c>
      <c r="K254">
        <v>37250</v>
      </c>
      <c r="L254">
        <v>2</v>
      </c>
      <c r="M254">
        <v>128</v>
      </c>
      <c r="N254">
        <v>0.92352808481840742</v>
      </c>
      <c r="O254">
        <v>8462334.935483871</v>
      </c>
      <c r="P254">
        <v>37799</v>
      </c>
      <c r="Q254">
        <v>2</v>
      </c>
      <c r="R254">
        <v>129</v>
      </c>
      <c r="S254">
        <v>11.704267638859104</v>
      </c>
      <c r="T254">
        <v>0.95193797151247661</v>
      </c>
      <c r="W254">
        <f>Tabela6[[#This Row],[mlp_params]]</f>
        <v>37250</v>
      </c>
      <c r="X254">
        <f>Tabela6[[#This Row],[mlp_test_acc]]</f>
        <v>0.92307692307692313</v>
      </c>
      <c r="Y254">
        <f>Tabela6[[#This Row],[kan_val_acc_1]]</f>
        <v>0.95193797151247661</v>
      </c>
      <c r="Z254">
        <f>Tabela6[[#This Row],[no_steps]]</f>
        <v>11.704267638859104</v>
      </c>
    </row>
    <row r="255" spans="1:26" hidden="1" x14ac:dyDescent="0.25">
      <c r="A255" t="s">
        <v>18</v>
      </c>
      <c r="B255">
        <v>5</v>
      </c>
      <c r="C255">
        <v>2</v>
      </c>
      <c r="D255">
        <v>0</v>
      </c>
      <c r="E255" t="s">
        <v>47</v>
      </c>
      <c r="F255">
        <v>25320</v>
      </c>
      <c r="G255">
        <v>31796705.333333332</v>
      </c>
      <c r="H255">
        <v>0.97236095723651705</v>
      </c>
      <c r="I255">
        <v>0.92440892440892442</v>
      </c>
      <c r="J255">
        <v>7190773.9047619049</v>
      </c>
      <c r="K255">
        <v>37799</v>
      </c>
      <c r="L255">
        <v>2</v>
      </c>
      <c r="M255">
        <v>129</v>
      </c>
      <c r="N255">
        <v>0.92807192807192807</v>
      </c>
      <c r="O255">
        <v>8399354.3809523806</v>
      </c>
      <c r="P255">
        <v>38352</v>
      </c>
      <c r="Q255">
        <v>2</v>
      </c>
      <c r="R255">
        <v>130</v>
      </c>
      <c r="S255">
        <v>11.701110162254484</v>
      </c>
      <c r="T255">
        <v>0.95755812227725978</v>
      </c>
      <c r="W255">
        <f>Tabela6[[#This Row],[mlp_params]]</f>
        <v>37799</v>
      </c>
      <c r="X255">
        <f>Tabela6[[#This Row],[mlp_test_acc]]</f>
        <v>0.92440892440892442</v>
      </c>
      <c r="Y255">
        <f>Tabela6[[#This Row],[kan_val_acc_1]]</f>
        <v>0.95755812227725978</v>
      </c>
      <c r="Z255">
        <f>Tabela6[[#This Row],[no_steps]]</f>
        <v>11.701110162254484</v>
      </c>
    </row>
    <row r="256" spans="1:26" hidden="1" x14ac:dyDescent="0.25">
      <c r="A256" t="s">
        <v>18</v>
      </c>
      <c r="B256">
        <v>5</v>
      </c>
      <c r="C256">
        <v>2</v>
      </c>
      <c r="D256">
        <v>0</v>
      </c>
      <c r="E256" t="s">
        <v>34</v>
      </c>
      <c r="F256">
        <v>25724</v>
      </c>
      <c r="G256">
        <v>29580662.612903226</v>
      </c>
      <c r="H256">
        <v>0.95804194865688197</v>
      </c>
      <c r="I256">
        <v>0.92736295962102411</v>
      </c>
      <c r="J256">
        <v>8731013.9032258056</v>
      </c>
      <c r="K256">
        <v>38352</v>
      </c>
      <c r="L256">
        <v>2</v>
      </c>
      <c r="M256">
        <v>130</v>
      </c>
      <c r="N256">
        <v>0.92285134220618092</v>
      </c>
      <c r="O256">
        <v>8695524.1612903234</v>
      </c>
      <c r="P256">
        <v>38909</v>
      </c>
      <c r="Q256">
        <v>2</v>
      </c>
      <c r="R256">
        <v>131</v>
      </c>
      <c r="S256">
        <v>11.69374337221633</v>
      </c>
      <c r="T256">
        <v>0.94457363684972129</v>
      </c>
      <c r="W256">
        <f>Tabela6[[#This Row],[mlp_params]]</f>
        <v>38352</v>
      </c>
      <c r="X256">
        <f>Tabela6[[#This Row],[mlp_test_acc]]</f>
        <v>0.92736295962102411</v>
      </c>
      <c r="Y256">
        <f>Tabela6[[#This Row],[kan_val_acc_1]]</f>
        <v>0.94457363684972129</v>
      </c>
      <c r="Z256">
        <f>Tabela6[[#This Row],[no_steps]]</f>
        <v>11.69374337221633</v>
      </c>
    </row>
    <row r="257" spans="1:26" hidden="1" x14ac:dyDescent="0.25">
      <c r="A257" t="s">
        <v>18</v>
      </c>
      <c r="B257">
        <v>5</v>
      </c>
      <c r="C257">
        <v>2</v>
      </c>
      <c r="D257">
        <v>0</v>
      </c>
      <c r="E257" t="s">
        <v>48</v>
      </c>
      <c r="F257">
        <v>26002</v>
      </c>
      <c r="G257">
        <v>33263128.047619049</v>
      </c>
      <c r="H257">
        <v>0.96303696291787289</v>
      </c>
      <c r="I257">
        <v>0.93206793206793204</v>
      </c>
      <c r="J257">
        <v>8610791</v>
      </c>
      <c r="K257">
        <v>38909</v>
      </c>
      <c r="L257">
        <v>2</v>
      </c>
      <c r="M257">
        <v>131</v>
      </c>
      <c r="N257">
        <v>0.93240093240093236</v>
      </c>
      <c r="O257">
        <v>9717676.9523809515</v>
      </c>
      <c r="P257">
        <v>39470</v>
      </c>
      <c r="Q257">
        <v>2</v>
      </c>
      <c r="R257">
        <v>132</v>
      </c>
      <c r="S257">
        <v>11.691722972972974</v>
      </c>
      <c r="T257">
        <v>0.95116278827190404</v>
      </c>
      <c r="W257">
        <f>Tabela6[[#This Row],[mlp_params]]</f>
        <v>38909</v>
      </c>
      <c r="X257">
        <f>Tabela6[[#This Row],[mlp_test_acc]]</f>
        <v>0.93206793206793204</v>
      </c>
      <c r="Y257">
        <f>Tabela6[[#This Row],[kan_val_acc_1]]</f>
        <v>0.95116278827190404</v>
      </c>
      <c r="Z257">
        <f>Tabela6[[#This Row],[no_steps]]</f>
        <v>11.691722972972974</v>
      </c>
    </row>
    <row r="258" spans="1:26" hidden="1" x14ac:dyDescent="0.25">
      <c r="A258" t="s">
        <v>18</v>
      </c>
      <c r="B258">
        <v>5</v>
      </c>
      <c r="C258">
        <v>2</v>
      </c>
      <c r="D258">
        <v>0</v>
      </c>
      <c r="E258" t="s">
        <v>35</v>
      </c>
      <c r="F258">
        <v>26366</v>
      </c>
      <c r="G258">
        <v>30162777.612903226</v>
      </c>
      <c r="H258">
        <v>0.96097449333437024</v>
      </c>
      <c r="I258">
        <v>0.92646063613805552</v>
      </c>
      <c r="J258">
        <v>9284982.3548387103</v>
      </c>
      <c r="K258">
        <v>39470</v>
      </c>
      <c r="L258">
        <v>2</v>
      </c>
      <c r="M258">
        <v>132</v>
      </c>
      <c r="N258">
        <v>0.92623505526731331</v>
      </c>
      <c r="O258">
        <v>8866896.3225806449</v>
      </c>
      <c r="P258">
        <v>40035</v>
      </c>
      <c r="Q258">
        <v>2</v>
      </c>
      <c r="R258">
        <v>133</v>
      </c>
      <c r="S258">
        <v>11.684078036500944</v>
      </c>
      <c r="T258">
        <v>0.95232556859652207</v>
      </c>
      <c r="W258">
        <f>Tabela6[[#This Row],[mlp_params]]</f>
        <v>39470</v>
      </c>
      <c r="X258">
        <f>Tabela6[[#This Row],[mlp_test_acc]]</f>
        <v>0.92646063613805552</v>
      </c>
      <c r="Y258">
        <f>Tabela6[[#This Row],[kan_val_acc_1]]</f>
        <v>0.95232556859652207</v>
      </c>
      <c r="Z258">
        <f>Tabela6[[#This Row],[no_steps]]</f>
        <v>11.684078036500944</v>
      </c>
    </row>
    <row r="259" spans="1:26" hidden="1" x14ac:dyDescent="0.25">
      <c r="A259" t="s">
        <v>18</v>
      </c>
      <c r="B259">
        <v>5</v>
      </c>
      <c r="C259">
        <v>2</v>
      </c>
      <c r="D259">
        <v>0</v>
      </c>
      <c r="E259" t="s">
        <v>36</v>
      </c>
      <c r="F259">
        <v>27008</v>
      </c>
      <c r="G259">
        <v>34711055.290322579</v>
      </c>
      <c r="H259">
        <v>0.96548612271585776</v>
      </c>
      <c r="I259">
        <v>0.9318745770358674</v>
      </c>
      <c r="J259">
        <v>8337507.1290322579</v>
      </c>
      <c r="K259">
        <v>40035</v>
      </c>
      <c r="L259">
        <v>2</v>
      </c>
      <c r="M259">
        <v>133</v>
      </c>
      <c r="N259">
        <v>0.93142341529438299</v>
      </c>
      <c r="O259">
        <v>8802842.8709677421</v>
      </c>
      <c r="P259">
        <v>40604</v>
      </c>
      <c r="Q259">
        <v>2</v>
      </c>
      <c r="R259">
        <v>134</v>
      </c>
      <c r="S259">
        <v>11.680908711963317</v>
      </c>
      <c r="T259">
        <v>0.9519379734992981</v>
      </c>
      <c r="W259">
        <f>Tabela6[[#This Row],[mlp_params]]</f>
        <v>40035</v>
      </c>
      <c r="X259">
        <f>Tabela6[[#This Row],[mlp_test_acc]]</f>
        <v>0.9318745770358674</v>
      </c>
      <c r="Y259">
        <f>Tabela6[[#This Row],[kan_val_acc_1]]</f>
        <v>0.9519379734992981</v>
      </c>
      <c r="Z259">
        <f>Tabela6[[#This Row],[no_steps]]</f>
        <v>11.680908711963317</v>
      </c>
    </row>
    <row r="260" spans="1:26" hidden="1" x14ac:dyDescent="0.25">
      <c r="A260" t="s">
        <v>18</v>
      </c>
      <c r="B260">
        <v>5</v>
      </c>
      <c r="C260">
        <v>2</v>
      </c>
      <c r="D260">
        <v>0</v>
      </c>
      <c r="E260" t="s">
        <v>50</v>
      </c>
      <c r="F260">
        <v>27366</v>
      </c>
      <c r="G260">
        <v>37186610.838709675</v>
      </c>
      <c r="H260">
        <v>0.96548612463858818</v>
      </c>
      <c r="I260">
        <v>0.92578389352582902</v>
      </c>
      <c r="J260">
        <v>8140504.3870967738</v>
      </c>
      <c r="K260">
        <v>40604</v>
      </c>
      <c r="L260">
        <v>2</v>
      </c>
      <c r="M260">
        <v>134</v>
      </c>
      <c r="N260">
        <v>0.92397924655989172</v>
      </c>
      <c r="O260">
        <v>8299160.5483870972</v>
      </c>
      <c r="P260">
        <v>41177</v>
      </c>
      <c r="Q260">
        <v>2</v>
      </c>
      <c r="R260">
        <v>135</v>
      </c>
      <c r="S260">
        <v>11.688134189273141</v>
      </c>
      <c r="T260">
        <v>0.95465115308761606</v>
      </c>
      <c r="W260">
        <f>Tabela6[[#This Row],[mlp_params]]</f>
        <v>40604</v>
      </c>
      <c r="X260">
        <f>Tabela6[[#This Row],[mlp_test_acc]]</f>
        <v>0.92578389352582902</v>
      </c>
      <c r="Y260">
        <f>Tabela6[[#This Row],[kan_val_acc_1]]</f>
        <v>0.95465115308761606</v>
      </c>
      <c r="Z260">
        <f>Tabela6[[#This Row],[no_steps]]</f>
        <v>11.688134189273141</v>
      </c>
    </row>
    <row r="261" spans="1:26" hidden="1" x14ac:dyDescent="0.25">
      <c r="A261" t="s">
        <v>18</v>
      </c>
      <c r="B261">
        <v>5</v>
      </c>
      <c r="C261">
        <v>2</v>
      </c>
      <c r="D261">
        <v>0</v>
      </c>
      <c r="E261" t="s">
        <v>37</v>
      </c>
      <c r="F261">
        <v>27650</v>
      </c>
      <c r="G261">
        <v>41397693.363636367</v>
      </c>
      <c r="H261">
        <v>0.96503496170043945</v>
      </c>
      <c r="I261">
        <v>0.93960584869675778</v>
      </c>
      <c r="J261">
        <v>8409173.5454545449</v>
      </c>
      <c r="K261">
        <v>41177</v>
      </c>
      <c r="L261">
        <v>2</v>
      </c>
      <c r="M261">
        <v>135</v>
      </c>
      <c r="N261">
        <v>0.94024157660521301</v>
      </c>
      <c r="O261">
        <v>9061343.4545454551</v>
      </c>
      <c r="P261">
        <v>41754</v>
      </c>
      <c r="Q261">
        <v>2</v>
      </c>
      <c r="R261">
        <v>136</v>
      </c>
      <c r="S261">
        <v>11.691735537190082</v>
      </c>
      <c r="T261">
        <v>0.93720930218696596</v>
      </c>
      <c r="W261">
        <f>Tabela6[[#This Row],[mlp_params]]</f>
        <v>41177</v>
      </c>
      <c r="X261">
        <f>Tabela6[[#This Row],[mlp_test_acc]]</f>
        <v>0.93960584869675778</v>
      </c>
      <c r="Y261">
        <f>Tabela6[[#This Row],[kan_val_acc_1]]</f>
        <v>0.93720930218696596</v>
      </c>
      <c r="Z261">
        <f>Tabela6[[#This Row],[no_steps]]</f>
        <v>11.691735537190082</v>
      </c>
    </row>
    <row r="262" spans="1:26" hidden="1" x14ac:dyDescent="0.25">
      <c r="A262" t="s">
        <v>18</v>
      </c>
      <c r="B262">
        <v>5</v>
      </c>
      <c r="C262">
        <v>2</v>
      </c>
      <c r="D262">
        <v>0</v>
      </c>
      <c r="E262" t="s">
        <v>51</v>
      </c>
      <c r="F262">
        <v>28048</v>
      </c>
      <c r="G262">
        <v>30805166.707317073</v>
      </c>
      <c r="H262">
        <v>0.96469383995707447</v>
      </c>
      <c r="I262">
        <v>0.92597646256182842</v>
      </c>
      <c r="J262">
        <v>8065905.8780487804</v>
      </c>
      <c r="K262">
        <v>41754</v>
      </c>
      <c r="L262">
        <v>2</v>
      </c>
      <c r="M262">
        <v>136</v>
      </c>
      <c r="N262">
        <v>0.92341804536926486</v>
      </c>
      <c r="O262">
        <v>8937577.9512195121</v>
      </c>
      <c r="P262">
        <v>42335</v>
      </c>
      <c r="Q262">
        <v>2</v>
      </c>
      <c r="R262">
        <v>137</v>
      </c>
      <c r="S262">
        <v>11.68039336201598</v>
      </c>
      <c r="T262">
        <v>0.94970929324626918</v>
      </c>
      <c r="W262">
        <f>Tabela6[[#This Row],[mlp_params]]</f>
        <v>41754</v>
      </c>
      <c r="X262">
        <f>Tabela6[[#This Row],[mlp_test_acc]]</f>
        <v>0.92597646256182842</v>
      </c>
      <c r="Y262">
        <f>Tabela6[[#This Row],[kan_val_acc_1]]</f>
        <v>0.94970929324626918</v>
      </c>
      <c r="Z262">
        <f>Tabela6[[#This Row],[no_steps]]</f>
        <v>11.68039336201598</v>
      </c>
    </row>
    <row r="263" spans="1:26" hidden="1" x14ac:dyDescent="0.25">
      <c r="A263" t="s">
        <v>18</v>
      </c>
      <c r="B263">
        <v>5</v>
      </c>
      <c r="C263">
        <v>2</v>
      </c>
      <c r="D263">
        <v>0</v>
      </c>
      <c r="E263" t="s">
        <v>38</v>
      </c>
      <c r="F263">
        <v>28292</v>
      </c>
      <c r="G263">
        <v>35092855.909090906</v>
      </c>
      <c r="H263">
        <v>0.97329942204735498</v>
      </c>
      <c r="I263">
        <v>0.94342021614748883</v>
      </c>
      <c r="J263">
        <v>9911070.9090909082</v>
      </c>
      <c r="K263">
        <v>42335</v>
      </c>
      <c r="L263">
        <v>2</v>
      </c>
      <c r="M263">
        <v>137</v>
      </c>
      <c r="N263">
        <v>0.93642720915448185</v>
      </c>
      <c r="O263">
        <v>9146847.9090909082</v>
      </c>
      <c r="P263">
        <v>42920</v>
      </c>
      <c r="Q263">
        <v>2</v>
      </c>
      <c r="R263">
        <v>138</v>
      </c>
      <c r="S263">
        <v>11.678250204415372</v>
      </c>
      <c r="T263">
        <v>0.93255814909934998</v>
      </c>
      <c r="W263">
        <f>Tabela6[[#This Row],[mlp_params]]</f>
        <v>42335</v>
      </c>
      <c r="X263">
        <f>Tabela6[[#This Row],[mlp_test_acc]]</f>
        <v>0.94342021614748883</v>
      </c>
      <c r="Y263">
        <f>Tabela6[[#This Row],[kan_val_acc_1]]</f>
        <v>0.93255814909934998</v>
      </c>
      <c r="Z263">
        <f>Tabela6[[#This Row],[no_steps]]</f>
        <v>11.678250204415372</v>
      </c>
    </row>
    <row r="264" spans="1:26" hidden="1" x14ac:dyDescent="0.25">
      <c r="A264" t="s">
        <v>18</v>
      </c>
      <c r="B264">
        <v>5</v>
      </c>
      <c r="C264">
        <v>2</v>
      </c>
      <c r="D264">
        <v>0</v>
      </c>
      <c r="E264" t="s">
        <v>52</v>
      </c>
      <c r="F264">
        <v>28730</v>
      </c>
      <c r="G264">
        <v>35138321.146341465</v>
      </c>
      <c r="H264">
        <v>0.95838307607464679</v>
      </c>
      <c r="I264">
        <v>0.92188299505372673</v>
      </c>
      <c r="J264">
        <v>8937566.2195121944</v>
      </c>
      <c r="K264">
        <v>42920</v>
      </c>
      <c r="L264">
        <v>2</v>
      </c>
      <c r="M264">
        <v>138</v>
      </c>
      <c r="N264">
        <v>0.91727784410711244</v>
      </c>
      <c r="O264">
        <v>8613308.3902439028</v>
      </c>
      <c r="P264">
        <v>43509</v>
      </c>
      <c r="Q264">
        <v>2</v>
      </c>
      <c r="R264">
        <v>139</v>
      </c>
      <c r="S264">
        <v>11.677072775187513</v>
      </c>
      <c r="T264">
        <v>0.95145348906517024</v>
      </c>
      <c r="W264">
        <f>Tabela6[[#This Row],[mlp_params]]</f>
        <v>42920</v>
      </c>
      <c r="X264">
        <f>Tabela6[[#This Row],[mlp_test_acc]]</f>
        <v>0.92188299505372673</v>
      </c>
      <c r="Y264">
        <f>Tabela6[[#This Row],[kan_val_acc_1]]</f>
        <v>0.95145348906517024</v>
      </c>
      <c r="Z264">
        <f>Tabela6[[#This Row],[no_steps]]</f>
        <v>11.677072775187513</v>
      </c>
    </row>
    <row r="265" spans="1:26" hidden="1" x14ac:dyDescent="0.25">
      <c r="A265" t="s">
        <v>18</v>
      </c>
      <c r="B265">
        <v>5</v>
      </c>
      <c r="C265">
        <v>2</v>
      </c>
      <c r="D265">
        <v>0</v>
      </c>
      <c r="E265" t="s">
        <v>53</v>
      </c>
      <c r="F265">
        <v>29412</v>
      </c>
      <c r="G265">
        <v>38376903.476190478</v>
      </c>
      <c r="H265">
        <v>0.96237095480873469</v>
      </c>
      <c r="I265">
        <v>0.93173493173493172</v>
      </c>
      <c r="J265">
        <v>9258963.1904761903</v>
      </c>
      <c r="K265">
        <v>43509</v>
      </c>
      <c r="L265">
        <v>2</v>
      </c>
      <c r="M265">
        <v>139</v>
      </c>
      <c r="N265">
        <v>0.92973692973692978</v>
      </c>
      <c r="O265">
        <v>10078393.476190476</v>
      </c>
      <c r="P265">
        <v>44102</v>
      </c>
      <c r="Q265">
        <v>2</v>
      </c>
      <c r="R265">
        <v>140</v>
      </c>
      <c r="S265">
        <v>11.680056519983852</v>
      </c>
      <c r="T265">
        <v>0.94476743340492253</v>
      </c>
      <c r="W265">
        <f>Tabela6[[#This Row],[mlp_params]]</f>
        <v>43509</v>
      </c>
      <c r="X265">
        <f>Tabela6[[#This Row],[mlp_test_acc]]</f>
        <v>0.93173493173493172</v>
      </c>
      <c r="Y265">
        <f>Tabela6[[#This Row],[kan_val_acc_1]]</f>
        <v>0.94476743340492253</v>
      </c>
      <c r="Z265">
        <f>Tabela6[[#This Row],[no_steps]]</f>
        <v>11.680056519983852</v>
      </c>
    </row>
    <row r="266" spans="1:26" hidden="1" x14ac:dyDescent="0.25">
      <c r="A266" t="s">
        <v>18</v>
      </c>
      <c r="B266">
        <v>5</v>
      </c>
      <c r="C266">
        <v>2</v>
      </c>
      <c r="D266">
        <v>0</v>
      </c>
      <c r="E266" t="s">
        <v>62</v>
      </c>
      <c r="F266">
        <v>29730</v>
      </c>
      <c r="G266">
        <v>34079704.322580643</v>
      </c>
      <c r="H266">
        <v>0.96368147288599326</v>
      </c>
      <c r="I266">
        <v>0.92014437175727504</v>
      </c>
      <c r="J266">
        <v>8461523.2580645159</v>
      </c>
      <c r="K266">
        <v>44102</v>
      </c>
      <c r="L266">
        <v>2</v>
      </c>
      <c r="M266">
        <v>140</v>
      </c>
      <c r="N266">
        <v>0.92375366568914952</v>
      </c>
      <c r="O266">
        <v>8741260.4193548393</v>
      </c>
      <c r="P266">
        <v>44699</v>
      </c>
      <c r="Q266">
        <v>2</v>
      </c>
      <c r="R266">
        <v>141</v>
      </c>
      <c r="S266">
        <v>11.675827482447342</v>
      </c>
      <c r="T266">
        <v>0.94728681643803914</v>
      </c>
      <c r="W266">
        <f>Tabela6[[#This Row],[mlp_params]]</f>
        <v>44102</v>
      </c>
      <c r="X266">
        <f>Tabela6[[#This Row],[mlp_test_acc]]</f>
        <v>0.92014437175727504</v>
      </c>
      <c r="Y266">
        <f>Tabela6[[#This Row],[kan_val_acc_1]]</f>
        <v>0.94728681643803914</v>
      </c>
      <c r="Z266">
        <f>Tabela6[[#This Row],[no_steps]]</f>
        <v>11.675827482447342</v>
      </c>
    </row>
    <row r="267" spans="1:26" hidden="1" x14ac:dyDescent="0.25">
      <c r="A267" t="s">
        <v>18</v>
      </c>
      <c r="B267">
        <v>5</v>
      </c>
      <c r="C267">
        <v>2</v>
      </c>
      <c r="D267">
        <v>0</v>
      </c>
      <c r="E267" t="s">
        <v>54</v>
      </c>
      <c r="F267">
        <v>30094</v>
      </c>
      <c r="G267">
        <v>33881357.454545453</v>
      </c>
      <c r="H267">
        <v>0.9459631226279519</v>
      </c>
      <c r="I267">
        <v>0.92307692307692313</v>
      </c>
      <c r="J267">
        <v>9220209.1818181816</v>
      </c>
      <c r="K267">
        <v>44699</v>
      </c>
      <c r="L267">
        <v>2</v>
      </c>
      <c r="M267">
        <v>141</v>
      </c>
      <c r="N267">
        <v>0.91481246026700569</v>
      </c>
      <c r="O267">
        <v>8842414.8181818184</v>
      </c>
      <c r="P267">
        <v>45300</v>
      </c>
      <c r="Q267">
        <v>2</v>
      </c>
      <c r="R267">
        <v>142</v>
      </c>
      <c r="S267">
        <v>11.67413931144916</v>
      </c>
      <c r="T267">
        <v>0.94186046123504641</v>
      </c>
      <c r="W267">
        <f>Tabela6[[#This Row],[mlp_params]]</f>
        <v>44699</v>
      </c>
      <c r="X267">
        <f>Tabela6[[#This Row],[mlp_test_acc]]</f>
        <v>0.92307692307692313</v>
      </c>
      <c r="Y267">
        <f>Tabela6[[#This Row],[kan_val_acc_1]]</f>
        <v>0.94186046123504641</v>
      </c>
      <c r="Z267">
        <f>Tabela6[[#This Row],[no_steps]]</f>
        <v>11.67413931144916</v>
      </c>
    </row>
    <row r="268" spans="1:26" hidden="1" x14ac:dyDescent="0.25">
      <c r="A268" t="s">
        <v>18</v>
      </c>
      <c r="B268">
        <v>5</v>
      </c>
      <c r="C268">
        <v>2</v>
      </c>
      <c r="D268">
        <v>0</v>
      </c>
      <c r="E268" t="s">
        <v>63</v>
      </c>
      <c r="F268">
        <v>30452</v>
      </c>
      <c r="G268">
        <v>32554971.096774194</v>
      </c>
      <c r="H268">
        <v>0.96052335154625679</v>
      </c>
      <c r="I268">
        <v>0.92488157004286042</v>
      </c>
      <c r="J268">
        <v>9008537.3225806449</v>
      </c>
      <c r="K268">
        <v>45300</v>
      </c>
      <c r="L268">
        <v>2</v>
      </c>
      <c r="M268">
        <v>142</v>
      </c>
      <c r="N268">
        <v>0.92894202571621931</v>
      </c>
      <c r="O268">
        <v>9202977.2258064523</v>
      </c>
      <c r="P268">
        <v>45905</v>
      </c>
      <c r="Q268">
        <v>2</v>
      </c>
      <c r="R268">
        <v>143</v>
      </c>
      <c r="S268">
        <v>11.665008951661031</v>
      </c>
      <c r="T268">
        <v>0.9403100728988647</v>
      </c>
      <c r="W268">
        <f>Tabela6[[#This Row],[mlp_params]]</f>
        <v>45300</v>
      </c>
      <c r="X268">
        <f>Tabela6[[#This Row],[mlp_test_acc]]</f>
        <v>0.92488157004286042</v>
      </c>
      <c r="Y268">
        <f>Tabela6[[#This Row],[kan_val_acc_1]]</f>
        <v>0.9403100728988647</v>
      </c>
      <c r="Z268">
        <f>Tabela6[[#This Row],[no_steps]]</f>
        <v>11.665008951661031</v>
      </c>
    </row>
    <row r="269" spans="1:26" hidden="1" x14ac:dyDescent="0.25">
      <c r="A269" t="s">
        <v>18</v>
      </c>
      <c r="B269">
        <v>5</v>
      </c>
      <c r="C269">
        <v>2</v>
      </c>
      <c r="D269">
        <v>0</v>
      </c>
      <c r="E269" t="s">
        <v>71</v>
      </c>
      <c r="F269">
        <v>30650</v>
      </c>
      <c r="G269">
        <v>37040432.81818182</v>
      </c>
      <c r="H269">
        <v>0.96630641547116369</v>
      </c>
      <c r="I269">
        <v>0.92053401144310232</v>
      </c>
      <c r="J269">
        <v>9159572.1818181816</v>
      </c>
      <c r="K269">
        <v>45905</v>
      </c>
      <c r="L269">
        <v>2</v>
      </c>
      <c r="M269">
        <v>143</v>
      </c>
      <c r="N269">
        <v>0.91290527654164022</v>
      </c>
      <c r="O269">
        <v>9989109.5454545449</v>
      </c>
      <c r="P269">
        <v>46514</v>
      </c>
      <c r="Q269">
        <v>2</v>
      </c>
      <c r="R269">
        <v>144</v>
      </c>
      <c r="S269">
        <v>11.665541881699086</v>
      </c>
      <c r="T269">
        <v>0.9441860437393188</v>
      </c>
      <c r="W269">
        <f>Tabela6[[#This Row],[mlp_params]]</f>
        <v>45905</v>
      </c>
      <c r="X269">
        <f>Tabela6[[#This Row],[mlp_test_acc]]</f>
        <v>0.92053401144310232</v>
      </c>
      <c r="Y269">
        <f>Tabela6[[#This Row],[kan_val_acc_1]]</f>
        <v>0.9441860437393188</v>
      </c>
      <c r="Z269">
        <f>Tabela6[[#This Row],[no_steps]]</f>
        <v>11.665541881699086</v>
      </c>
    </row>
    <row r="270" spans="1:26" hidden="1" x14ac:dyDescent="0.25">
      <c r="A270" t="s">
        <v>18</v>
      </c>
      <c r="B270">
        <v>5</v>
      </c>
      <c r="C270">
        <v>2</v>
      </c>
      <c r="D270">
        <v>0</v>
      </c>
      <c r="E270" t="s">
        <v>64</v>
      </c>
      <c r="F270">
        <v>31174</v>
      </c>
      <c r="G270">
        <v>35718563.142857142</v>
      </c>
      <c r="H270">
        <v>0.96403596230915611</v>
      </c>
      <c r="I270">
        <v>0.91941391941391937</v>
      </c>
      <c r="J270">
        <v>9093520.2857142854</v>
      </c>
      <c r="K270">
        <v>46514</v>
      </c>
      <c r="L270">
        <v>2</v>
      </c>
      <c r="M270">
        <v>144</v>
      </c>
      <c r="N270">
        <v>0.9154179154179154</v>
      </c>
      <c r="O270">
        <v>8030192.3809523806</v>
      </c>
      <c r="P270">
        <v>47127</v>
      </c>
      <c r="Q270">
        <v>2</v>
      </c>
      <c r="R270">
        <v>145</v>
      </c>
      <c r="S270">
        <v>11.664755880608816</v>
      </c>
      <c r="T270">
        <v>0.95290697216987608</v>
      </c>
      <c r="W270">
        <f>Tabela6[[#This Row],[mlp_params]]</f>
        <v>46514</v>
      </c>
      <c r="X270">
        <f>Tabela6[[#This Row],[mlp_test_acc]]</f>
        <v>0.91941391941391937</v>
      </c>
      <c r="Y270">
        <f>Tabela6[[#This Row],[kan_val_acc_1]]</f>
        <v>0.95290697216987608</v>
      </c>
      <c r="Z270">
        <f>Tabela6[[#This Row],[no_steps]]</f>
        <v>11.664755880608816</v>
      </c>
    </row>
    <row r="271" spans="1:26" hidden="1" x14ac:dyDescent="0.25">
      <c r="A271" t="s">
        <v>18</v>
      </c>
      <c r="B271">
        <v>5</v>
      </c>
      <c r="C271">
        <v>2</v>
      </c>
      <c r="D271">
        <v>0</v>
      </c>
      <c r="E271" t="s">
        <v>87</v>
      </c>
      <c r="F271">
        <v>31490</v>
      </c>
      <c r="G271">
        <v>33939310.952380955</v>
      </c>
      <c r="H271">
        <v>0.96570096129462835</v>
      </c>
      <c r="I271">
        <v>0.91208791208791207</v>
      </c>
      <c r="J271">
        <v>9155671.2380952388</v>
      </c>
      <c r="K271">
        <v>47127</v>
      </c>
      <c r="L271">
        <v>2</v>
      </c>
      <c r="M271">
        <v>145</v>
      </c>
      <c r="N271">
        <v>0.92041292041292044</v>
      </c>
      <c r="O271">
        <v>9410344</v>
      </c>
      <c r="P271">
        <v>47744</v>
      </c>
      <c r="Q271">
        <v>2</v>
      </c>
      <c r="R271">
        <v>146</v>
      </c>
      <c r="S271">
        <v>11.660629921259842</v>
      </c>
      <c r="T271">
        <v>0.95813951790332796</v>
      </c>
      <c r="W271">
        <f>Tabela6[[#This Row],[mlp_params]]</f>
        <v>47127</v>
      </c>
      <c r="X271">
        <f>Tabela6[[#This Row],[mlp_test_acc]]</f>
        <v>0.91208791208791207</v>
      </c>
      <c r="Y271">
        <f>Tabela6[[#This Row],[kan_val_acc_1]]</f>
        <v>0.95813951790332796</v>
      </c>
      <c r="Z271">
        <f>Tabela6[[#This Row],[no_steps]]</f>
        <v>11.660629921259842</v>
      </c>
    </row>
    <row r="272" spans="1:26" hidden="1" x14ac:dyDescent="0.25">
      <c r="A272" t="s">
        <v>18</v>
      </c>
      <c r="B272">
        <v>5</v>
      </c>
      <c r="C272">
        <v>2</v>
      </c>
      <c r="D272">
        <v>0</v>
      </c>
      <c r="E272" t="s">
        <v>65</v>
      </c>
      <c r="F272">
        <v>31896</v>
      </c>
      <c r="G272">
        <v>38531173.18181818</v>
      </c>
      <c r="H272">
        <v>0.96503495628183533</v>
      </c>
      <c r="I272">
        <v>0.92180546726001267</v>
      </c>
      <c r="J272">
        <v>8732946.0909090918</v>
      </c>
      <c r="K272">
        <v>47744</v>
      </c>
      <c r="L272">
        <v>2</v>
      </c>
      <c r="M272">
        <v>146</v>
      </c>
      <c r="N272">
        <v>0.91544818817546092</v>
      </c>
      <c r="O272">
        <v>9625444.4545454551</v>
      </c>
      <c r="P272">
        <v>48365</v>
      </c>
      <c r="Q272">
        <v>2</v>
      </c>
      <c r="R272">
        <v>147</v>
      </c>
      <c r="S272">
        <v>11.661363189943037</v>
      </c>
      <c r="T272">
        <v>0.95116279125213621</v>
      </c>
      <c r="W272">
        <f>Tabela6[[#This Row],[mlp_params]]</f>
        <v>47744</v>
      </c>
      <c r="X272">
        <f>Tabela6[[#This Row],[mlp_test_acc]]</f>
        <v>0.92180546726001267</v>
      </c>
      <c r="Y272">
        <f>Tabela6[[#This Row],[kan_val_acc_1]]</f>
        <v>0.95116279125213621</v>
      </c>
      <c r="Z272">
        <f>Tabela6[[#This Row],[no_steps]]</f>
        <v>11.661363189943037</v>
      </c>
    </row>
    <row r="273" spans="1:26" hidden="1" x14ac:dyDescent="0.25">
      <c r="A273" t="s">
        <v>18</v>
      </c>
      <c r="B273">
        <v>5</v>
      </c>
      <c r="C273">
        <v>2</v>
      </c>
      <c r="D273">
        <v>0</v>
      </c>
      <c r="E273" t="s">
        <v>88</v>
      </c>
      <c r="F273">
        <v>32292</v>
      </c>
      <c r="G273">
        <v>37639138.190476194</v>
      </c>
      <c r="H273">
        <v>0.94905094305674231</v>
      </c>
      <c r="I273">
        <v>0.91641691641691647</v>
      </c>
      <c r="J273">
        <v>8294644.0952380951</v>
      </c>
      <c r="K273">
        <v>48365</v>
      </c>
      <c r="L273">
        <v>2</v>
      </c>
      <c r="M273">
        <v>147</v>
      </c>
      <c r="N273">
        <v>0.91508491508491507</v>
      </c>
      <c r="O273">
        <v>9203441</v>
      </c>
      <c r="P273">
        <v>48990</v>
      </c>
      <c r="Q273">
        <v>2</v>
      </c>
      <c r="R273">
        <v>148</v>
      </c>
      <c r="S273">
        <v>11.660406885758999</v>
      </c>
      <c r="T273">
        <v>0.93662790656089778</v>
      </c>
      <c r="W273">
        <f>Tabela6[[#This Row],[mlp_params]]</f>
        <v>48365</v>
      </c>
      <c r="X273">
        <f>Tabela6[[#This Row],[mlp_test_acc]]</f>
        <v>0.91641691641691647</v>
      </c>
      <c r="Y273">
        <f>Tabela6[[#This Row],[kan_val_acc_1]]</f>
        <v>0.93662790656089778</v>
      </c>
      <c r="Z273">
        <f>Tabela6[[#This Row],[no_steps]]</f>
        <v>11.660406885758999</v>
      </c>
    </row>
    <row r="274" spans="1:26" hidden="1" x14ac:dyDescent="0.25">
      <c r="A274" t="s">
        <v>18</v>
      </c>
      <c r="B274">
        <v>5</v>
      </c>
      <c r="C274">
        <v>2</v>
      </c>
      <c r="D274">
        <v>0</v>
      </c>
      <c r="E274" t="s">
        <v>74</v>
      </c>
      <c r="F274">
        <v>32936</v>
      </c>
      <c r="G274">
        <v>43530573.272727273</v>
      </c>
      <c r="H274">
        <v>0.9357914924621582</v>
      </c>
      <c r="I274">
        <v>0.92180546726001267</v>
      </c>
      <c r="J274">
        <v>9951231.9090909082</v>
      </c>
      <c r="K274">
        <v>48990</v>
      </c>
      <c r="L274">
        <v>2</v>
      </c>
      <c r="M274">
        <v>148</v>
      </c>
      <c r="N274">
        <v>0.91226954863318499</v>
      </c>
      <c r="O274">
        <v>7935200.7272727275</v>
      </c>
      <c r="P274">
        <v>49619</v>
      </c>
      <c r="Q274">
        <v>2</v>
      </c>
      <c r="R274">
        <v>149</v>
      </c>
      <c r="S274">
        <v>11.663868826859263</v>
      </c>
      <c r="T274">
        <v>0.9395348787307739</v>
      </c>
      <c r="W274">
        <f>Tabela6[[#This Row],[mlp_params]]</f>
        <v>48990</v>
      </c>
      <c r="X274">
        <f>Tabela6[[#This Row],[mlp_test_acc]]</f>
        <v>0.92180546726001267</v>
      </c>
      <c r="Y274">
        <f>Tabela6[[#This Row],[kan_val_acc_1]]</f>
        <v>0.9395348787307739</v>
      </c>
      <c r="Z274">
        <f>Tabela6[[#This Row],[no_steps]]</f>
        <v>11.663868826859263</v>
      </c>
    </row>
    <row r="275" spans="1:26" hidden="1" x14ac:dyDescent="0.25">
      <c r="A275" t="s">
        <v>18</v>
      </c>
      <c r="B275">
        <v>5</v>
      </c>
      <c r="C275">
        <v>2</v>
      </c>
      <c r="D275">
        <v>0</v>
      </c>
      <c r="E275" t="s">
        <v>75</v>
      </c>
      <c r="F275">
        <v>33698</v>
      </c>
      <c r="G275">
        <v>36183495.285714284</v>
      </c>
      <c r="H275">
        <v>0.96137195541745135</v>
      </c>
      <c r="I275">
        <v>0.91774891774891776</v>
      </c>
      <c r="J275">
        <v>9566936.9523809515</v>
      </c>
      <c r="K275">
        <v>50252</v>
      </c>
      <c r="L275">
        <v>2</v>
      </c>
      <c r="M275">
        <v>150</v>
      </c>
      <c r="N275">
        <v>0.91508491508491507</v>
      </c>
      <c r="O275">
        <v>9705919.8095238097</v>
      </c>
      <c r="P275">
        <v>50889</v>
      </c>
      <c r="Q275">
        <v>2</v>
      </c>
      <c r="R275">
        <v>151</v>
      </c>
      <c r="S275">
        <v>11.659797822706066</v>
      </c>
      <c r="T275">
        <v>0.94941860735416417</v>
      </c>
      <c r="W275">
        <f>Tabela6[[#This Row],[mlp_params]]</f>
        <v>50252</v>
      </c>
      <c r="X275">
        <f>Tabela6[[#This Row],[mlp_test_acc]]</f>
        <v>0.91774891774891776</v>
      </c>
      <c r="Y275">
        <f>Tabela6[[#This Row],[kan_val_acc_1]]</f>
        <v>0.94941860735416417</v>
      </c>
      <c r="Z275">
        <f>Tabela6[[#This Row],[no_steps]]</f>
        <v>11.659797822706066</v>
      </c>
    </row>
    <row r="276" spans="1:26" hidden="1" x14ac:dyDescent="0.25">
      <c r="A276" t="s">
        <v>18</v>
      </c>
      <c r="B276">
        <v>5</v>
      </c>
      <c r="C276">
        <v>2</v>
      </c>
      <c r="D276">
        <v>0</v>
      </c>
      <c r="E276" t="s">
        <v>91</v>
      </c>
      <c r="F276">
        <v>34698</v>
      </c>
      <c r="G276">
        <v>37637429.714285716</v>
      </c>
      <c r="H276">
        <v>0.95937395095825195</v>
      </c>
      <c r="I276">
        <v>0.91808191808191808</v>
      </c>
      <c r="J276">
        <v>8881103.1428571437</v>
      </c>
      <c r="K276">
        <v>51530</v>
      </c>
      <c r="L276">
        <v>2</v>
      </c>
      <c r="M276">
        <v>152</v>
      </c>
      <c r="N276">
        <v>0.91475191475191475</v>
      </c>
      <c r="O276">
        <v>9584900.5238095243</v>
      </c>
      <c r="P276">
        <v>52175</v>
      </c>
      <c r="Q276">
        <v>2</v>
      </c>
      <c r="R276">
        <v>153</v>
      </c>
      <c r="S276">
        <v>11.656921587608906</v>
      </c>
      <c r="T276">
        <v>0.95058139562606814</v>
      </c>
      <c r="W276">
        <f>Tabela6[[#This Row],[mlp_params]]</f>
        <v>51530</v>
      </c>
      <c r="X276">
        <f>Tabela6[[#This Row],[mlp_test_acc]]</f>
        <v>0.91808191808191808</v>
      </c>
      <c r="Y276">
        <f>Tabela6[[#This Row],[kan_val_acc_1]]</f>
        <v>0.95058139562606814</v>
      </c>
      <c r="Z276">
        <f>Tabela6[[#This Row],[no_steps]]</f>
        <v>11.656921587608906</v>
      </c>
    </row>
    <row r="277" spans="1:26" hidden="1" x14ac:dyDescent="0.25">
      <c r="A277" t="s">
        <v>18</v>
      </c>
      <c r="B277">
        <v>5</v>
      </c>
      <c r="C277">
        <v>2</v>
      </c>
      <c r="D277">
        <v>0</v>
      </c>
      <c r="E277" t="s">
        <v>92</v>
      </c>
      <c r="F277">
        <v>35500</v>
      </c>
      <c r="G277">
        <v>39397981.545454547</v>
      </c>
      <c r="H277">
        <v>0.96249203790317883</v>
      </c>
      <c r="I277">
        <v>0.91608391608391615</v>
      </c>
      <c r="J277">
        <v>8772762.7272727266</v>
      </c>
      <c r="K277">
        <v>52824</v>
      </c>
      <c r="L277">
        <v>2</v>
      </c>
      <c r="M277">
        <v>154</v>
      </c>
      <c r="N277">
        <v>0.91354100445009534</v>
      </c>
      <c r="O277">
        <v>9075634.5454545449</v>
      </c>
      <c r="P277">
        <v>53477</v>
      </c>
      <c r="Q277">
        <v>2</v>
      </c>
      <c r="R277">
        <v>155</v>
      </c>
      <c r="S277">
        <v>11.655525502318392</v>
      </c>
      <c r="T277">
        <v>0.95116279125213621</v>
      </c>
      <c r="W277">
        <f>Tabela6[[#This Row],[mlp_params]]</f>
        <v>52824</v>
      </c>
      <c r="X277">
        <f>Tabela6[[#This Row],[mlp_test_acc]]</f>
        <v>0.91608391608391615</v>
      </c>
      <c r="Y277">
        <f>Tabela6[[#This Row],[kan_val_acc_1]]</f>
        <v>0.95116279125213621</v>
      </c>
      <c r="Z277">
        <f>Tabela6[[#This Row],[no_steps]]</f>
        <v>11.655525502318392</v>
      </c>
    </row>
    <row r="278" spans="1:26" hidden="1" x14ac:dyDescent="0.25">
      <c r="A278" t="s">
        <v>18</v>
      </c>
      <c r="B278">
        <v>5</v>
      </c>
      <c r="C278">
        <v>2</v>
      </c>
      <c r="D278">
        <v>0</v>
      </c>
      <c r="E278" t="s">
        <v>105</v>
      </c>
      <c r="F278">
        <v>7064</v>
      </c>
      <c r="G278">
        <v>51650330.363636367</v>
      </c>
      <c r="H278">
        <v>0.94405594739046961</v>
      </c>
      <c r="I278">
        <v>0.92434837889383348</v>
      </c>
      <c r="J278">
        <v>8477754.0909090918</v>
      </c>
      <c r="K278">
        <v>10434</v>
      </c>
      <c r="L278">
        <v>2</v>
      </c>
      <c r="M278">
        <v>64</v>
      </c>
      <c r="N278">
        <v>0.9173553719008265</v>
      </c>
      <c r="O278">
        <v>8104594.0909090908</v>
      </c>
      <c r="P278">
        <v>10727</v>
      </c>
      <c r="Q278">
        <v>2</v>
      </c>
      <c r="R278">
        <v>65</v>
      </c>
      <c r="S278">
        <v>11.662618083670715</v>
      </c>
      <c r="T278">
        <v>0.95</v>
      </c>
      <c r="W278">
        <f>Tabela6[[#This Row],[mlp_params]]</f>
        <v>10434</v>
      </c>
      <c r="X278">
        <f>Tabela6[[#This Row],[mlp_test_acc]]</f>
        <v>0.92434837889383348</v>
      </c>
      <c r="Y278">
        <f>Tabela6[[#This Row],[kan_val_acc_1]]</f>
        <v>0.95</v>
      </c>
      <c r="Z278">
        <f>Tabela6[[#This Row],[no_steps]]</f>
        <v>11.662618083670715</v>
      </c>
    </row>
    <row r="279" spans="1:26" hidden="1" x14ac:dyDescent="0.25">
      <c r="A279" t="s">
        <v>18</v>
      </c>
      <c r="B279">
        <v>5</v>
      </c>
      <c r="C279">
        <v>2</v>
      </c>
      <c r="D279">
        <v>0</v>
      </c>
      <c r="E279" t="s">
        <v>19</v>
      </c>
      <c r="F279">
        <v>7706</v>
      </c>
      <c r="G279">
        <v>13387676.909090908</v>
      </c>
      <c r="H279">
        <v>0.96312778646295716</v>
      </c>
      <c r="I279">
        <v>0.94214876033057848</v>
      </c>
      <c r="J279">
        <v>2285568.0909090908</v>
      </c>
      <c r="K279">
        <v>11325</v>
      </c>
      <c r="L279">
        <v>2</v>
      </c>
      <c r="M279">
        <v>67</v>
      </c>
      <c r="N279">
        <v>0.94151303242212336</v>
      </c>
      <c r="O279">
        <v>1866398.0909090908</v>
      </c>
      <c r="P279">
        <v>11630</v>
      </c>
      <c r="Q279">
        <v>2</v>
      </c>
      <c r="R279">
        <v>68</v>
      </c>
      <c r="S279">
        <v>11.661600615621392</v>
      </c>
      <c r="T279">
        <v>0.94767439961433408</v>
      </c>
      <c r="W279">
        <f>Tabela6[[#This Row],[mlp_params]]</f>
        <v>11325</v>
      </c>
      <c r="X279">
        <f>Tabela6[[#This Row],[mlp_test_acc]]</f>
        <v>0.94214876033057848</v>
      </c>
      <c r="Y279">
        <f>Tabela6[[#This Row],[kan_val_acc_1]]</f>
        <v>0.94767439961433408</v>
      </c>
      <c r="Z279">
        <f>Tabela6[[#This Row],[no_steps]]</f>
        <v>11.661600615621392</v>
      </c>
    </row>
    <row r="280" spans="1:26" hidden="1" x14ac:dyDescent="0.25">
      <c r="A280" t="s">
        <v>18</v>
      </c>
      <c r="B280">
        <v>5</v>
      </c>
      <c r="C280">
        <v>2</v>
      </c>
      <c r="D280">
        <v>0</v>
      </c>
      <c r="E280" t="s">
        <v>20</v>
      </c>
      <c r="F280">
        <v>8348</v>
      </c>
      <c r="G280">
        <v>15418594.272727273</v>
      </c>
      <c r="H280">
        <v>0.9853782707994635</v>
      </c>
      <c r="I280">
        <v>0.94024157660521301</v>
      </c>
      <c r="J280">
        <v>2504791.0909090908</v>
      </c>
      <c r="K280">
        <v>12252</v>
      </c>
      <c r="L280">
        <v>2</v>
      </c>
      <c r="M280">
        <v>70</v>
      </c>
      <c r="N280">
        <v>0.94151303242212336</v>
      </c>
      <c r="O280">
        <v>2574388.7272727271</v>
      </c>
      <c r="P280">
        <v>12569</v>
      </c>
      <c r="Q280">
        <v>2</v>
      </c>
      <c r="R280">
        <v>71</v>
      </c>
      <c r="S280">
        <v>11.664234977922826</v>
      </c>
      <c r="T280">
        <v>0.96627905368804934</v>
      </c>
      <c r="W280">
        <f>Tabela6[[#This Row],[mlp_params]]</f>
        <v>12252</v>
      </c>
      <c r="X280">
        <f>Tabela6[[#This Row],[mlp_test_acc]]</f>
        <v>0.94024157660521301</v>
      </c>
      <c r="Y280">
        <f>Tabela6[[#This Row],[kan_val_acc_1]]</f>
        <v>0.96627905368804934</v>
      </c>
      <c r="Z280">
        <f>Tabela6[[#This Row],[no_steps]]</f>
        <v>11.664234977922826</v>
      </c>
    </row>
    <row r="281" spans="1:26" hidden="1" x14ac:dyDescent="0.25">
      <c r="A281" t="s">
        <v>18</v>
      </c>
      <c r="B281">
        <v>5</v>
      </c>
      <c r="C281">
        <v>2</v>
      </c>
      <c r="D281">
        <v>0</v>
      </c>
      <c r="E281" t="s">
        <v>21</v>
      </c>
      <c r="F281">
        <v>8990</v>
      </c>
      <c r="G281">
        <v>20233932.272727273</v>
      </c>
      <c r="H281">
        <v>0.97520660812204529</v>
      </c>
      <c r="I281">
        <v>0.94405594405594406</v>
      </c>
      <c r="J281">
        <v>2515573.4545454546</v>
      </c>
      <c r="K281">
        <v>13215</v>
      </c>
      <c r="L281">
        <v>2</v>
      </c>
      <c r="M281">
        <v>73</v>
      </c>
      <c r="N281">
        <v>0.94214876033057848</v>
      </c>
      <c r="O281">
        <v>2806009.4545454546</v>
      </c>
      <c r="P281">
        <v>13544</v>
      </c>
      <c r="Q281">
        <v>2</v>
      </c>
      <c r="R281">
        <v>74</v>
      </c>
      <c r="S281">
        <v>11.672222222222222</v>
      </c>
      <c r="T281">
        <v>0.97558138370513914</v>
      </c>
      <c r="W281">
        <f>Tabela6[[#This Row],[mlp_params]]</f>
        <v>13215</v>
      </c>
      <c r="X281">
        <f>Tabela6[[#This Row],[mlp_test_acc]]</f>
        <v>0.94405594405594406</v>
      </c>
      <c r="Y281">
        <f>Tabela6[[#This Row],[kan_val_acc_1]]</f>
        <v>0.97558138370513914</v>
      </c>
      <c r="Z281">
        <f>Tabela6[[#This Row],[no_steps]]</f>
        <v>11.672222222222222</v>
      </c>
    </row>
    <row r="282" spans="1:26" hidden="1" x14ac:dyDescent="0.25">
      <c r="A282" t="s">
        <v>18</v>
      </c>
      <c r="B282">
        <v>5</v>
      </c>
      <c r="C282">
        <v>2</v>
      </c>
      <c r="D282">
        <v>0</v>
      </c>
      <c r="E282" t="s">
        <v>22</v>
      </c>
      <c r="F282">
        <v>9632</v>
      </c>
      <c r="G282">
        <v>13950405.090909092</v>
      </c>
      <c r="H282">
        <v>0.95549905300140381</v>
      </c>
      <c r="I282">
        <v>0.94914176732358546</v>
      </c>
      <c r="J282">
        <v>2731157.4545454546</v>
      </c>
      <c r="K282">
        <v>14214</v>
      </c>
      <c r="L282">
        <v>2</v>
      </c>
      <c r="M282">
        <v>76</v>
      </c>
      <c r="N282">
        <v>0.94214876033057848</v>
      </c>
      <c r="O282">
        <v>2620147.1818181816</v>
      </c>
      <c r="P282">
        <v>14555</v>
      </c>
      <c r="Q282">
        <v>2</v>
      </c>
      <c r="R282">
        <v>77</v>
      </c>
      <c r="S282">
        <v>11.66947046453833</v>
      </c>
      <c r="T282">
        <v>0.95232558250427246</v>
      </c>
      <c r="W282">
        <f>Tabela6[[#This Row],[mlp_params]]</f>
        <v>14214</v>
      </c>
      <c r="X282">
        <f>Tabela6[[#This Row],[mlp_test_acc]]</f>
        <v>0.94914176732358546</v>
      </c>
      <c r="Y282">
        <f>Tabela6[[#This Row],[kan_val_acc_1]]</f>
        <v>0.95232558250427246</v>
      </c>
      <c r="Z282">
        <f>Tabela6[[#This Row],[no_steps]]</f>
        <v>11.66947046453833</v>
      </c>
    </row>
    <row r="283" spans="1:26" hidden="1" x14ac:dyDescent="0.25">
      <c r="A283" t="s">
        <v>18</v>
      </c>
      <c r="B283">
        <v>5</v>
      </c>
      <c r="C283">
        <v>2</v>
      </c>
      <c r="D283">
        <v>0</v>
      </c>
      <c r="E283" t="s">
        <v>39</v>
      </c>
      <c r="F283">
        <v>10274</v>
      </c>
      <c r="G283">
        <v>15485556.636363637</v>
      </c>
      <c r="H283">
        <v>0.9821996201168407</v>
      </c>
      <c r="I283">
        <v>0.94024157660521301</v>
      </c>
      <c r="J283">
        <v>3367512.1818181816</v>
      </c>
      <c r="K283">
        <v>15249</v>
      </c>
      <c r="L283">
        <v>2</v>
      </c>
      <c r="M283">
        <v>79</v>
      </c>
      <c r="N283">
        <v>0.94405594405594406</v>
      </c>
      <c r="O283">
        <v>2233859.9090909092</v>
      </c>
      <c r="P283">
        <v>15602</v>
      </c>
      <c r="Q283">
        <v>2</v>
      </c>
      <c r="R283">
        <v>80</v>
      </c>
      <c r="S283">
        <v>11.668256390690576</v>
      </c>
      <c r="T283">
        <v>0.96976742744445799</v>
      </c>
      <c r="W283">
        <f>Tabela6[[#This Row],[mlp_params]]</f>
        <v>15249</v>
      </c>
      <c r="X283">
        <f>Tabela6[[#This Row],[mlp_test_acc]]</f>
        <v>0.94024157660521301</v>
      </c>
      <c r="Y283">
        <f>Tabela6[[#This Row],[kan_val_acc_1]]</f>
        <v>0.96976742744445799</v>
      </c>
      <c r="Z283">
        <f>Tabela6[[#This Row],[no_steps]]</f>
        <v>11.668256390690576</v>
      </c>
    </row>
    <row r="284" spans="1:26" hidden="1" x14ac:dyDescent="0.25">
      <c r="A284" t="s">
        <v>18</v>
      </c>
      <c r="B284">
        <v>5</v>
      </c>
      <c r="C284">
        <v>2</v>
      </c>
      <c r="D284">
        <v>0</v>
      </c>
      <c r="E284" t="s">
        <v>55</v>
      </c>
      <c r="F284">
        <v>10916</v>
      </c>
      <c r="G284">
        <v>15102965.454545455</v>
      </c>
      <c r="H284">
        <v>0.9745708703994751</v>
      </c>
      <c r="I284">
        <v>0.94469167196439929</v>
      </c>
      <c r="J284">
        <v>2990911.8181818184</v>
      </c>
      <c r="K284">
        <v>16320</v>
      </c>
      <c r="L284">
        <v>2</v>
      </c>
      <c r="M284">
        <v>82</v>
      </c>
      <c r="N284">
        <v>0.94342021614748883</v>
      </c>
      <c r="O284">
        <v>2518549.6363636362</v>
      </c>
      <c r="P284">
        <v>16685</v>
      </c>
      <c r="Q284">
        <v>2</v>
      </c>
      <c r="R284">
        <v>83</v>
      </c>
      <c r="S284">
        <v>11.665714829621169</v>
      </c>
      <c r="T284">
        <v>0.96162788867950444</v>
      </c>
      <c r="W284">
        <f>Tabela6[[#This Row],[mlp_params]]</f>
        <v>16320</v>
      </c>
      <c r="X284">
        <f>Tabela6[[#This Row],[mlp_test_acc]]</f>
        <v>0.94469167196439929</v>
      </c>
      <c r="Y284">
        <f>Tabela6[[#This Row],[kan_val_acc_1]]</f>
        <v>0.96162788867950444</v>
      </c>
      <c r="Z284">
        <f>Tabela6[[#This Row],[no_steps]]</f>
        <v>11.665714829621169</v>
      </c>
    </row>
    <row r="285" spans="1:26" hidden="1" x14ac:dyDescent="0.25">
      <c r="A285" t="s">
        <v>18</v>
      </c>
      <c r="B285">
        <v>5</v>
      </c>
      <c r="C285">
        <v>2</v>
      </c>
      <c r="D285">
        <v>0</v>
      </c>
      <c r="E285" t="s">
        <v>66</v>
      </c>
      <c r="F285">
        <v>11558</v>
      </c>
      <c r="G285">
        <v>21206520.454545453</v>
      </c>
      <c r="H285">
        <v>0.984106800772927</v>
      </c>
      <c r="I285">
        <v>0.93833439287984743</v>
      </c>
      <c r="J285">
        <v>2976737.1818181816</v>
      </c>
      <c r="K285">
        <v>17054</v>
      </c>
      <c r="L285">
        <v>2</v>
      </c>
      <c r="M285">
        <v>84</v>
      </c>
      <c r="N285">
        <v>0.94151303242212336</v>
      </c>
      <c r="O285">
        <v>3008295.6363636362</v>
      </c>
      <c r="P285">
        <v>17427</v>
      </c>
      <c r="Q285">
        <v>2</v>
      </c>
      <c r="R285">
        <v>85</v>
      </c>
      <c r="S285">
        <v>11.67154255319149</v>
      </c>
      <c r="T285">
        <v>0.96395347118377683</v>
      </c>
      <c r="W285">
        <f>Tabela6[[#This Row],[mlp_params]]</f>
        <v>17054</v>
      </c>
      <c r="X285">
        <f>Tabela6[[#This Row],[mlp_test_acc]]</f>
        <v>0.93833439287984743</v>
      </c>
      <c r="Y285">
        <f>Tabela6[[#This Row],[kan_val_acc_1]]</f>
        <v>0.96395347118377683</v>
      </c>
      <c r="Z285">
        <f>Tabela6[[#This Row],[no_steps]]</f>
        <v>11.67154255319149</v>
      </c>
    </row>
    <row r="286" spans="1:26" hidden="1" x14ac:dyDescent="0.25">
      <c r="A286" t="s">
        <v>18</v>
      </c>
      <c r="B286">
        <v>5</v>
      </c>
      <c r="C286">
        <v>2</v>
      </c>
      <c r="D286">
        <v>0</v>
      </c>
      <c r="E286" t="s">
        <v>76</v>
      </c>
      <c r="F286">
        <v>12200</v>
      </c>
      <c r="G286">
        <v>15652872</v>
      </c>
      <c r="H286">
        <v>0.97584233500740747</v>
      </c>
      <c r="I286">
        <v>0.94087730451366813</v>
      </c>
      <c r="J286">
        <v>3317115.8181818184</v>
      </c>
      <c r="K286">
        <v>18185</v>
      </c>
      <c r="L286">
        <v>2</v>
      </c>
      <c r="M286">
        <v>87</v>
      </c>
      <c r="N286">
        <v>0.93769866497139231</v>
      </c>
      <c r="O286">
        <v>7267966.8181818184</v>
      </c>
      <c r="P286">
        <v>18570</v>
      </c>
      <c r="Q286">
        <v>2</v>
      </c>
      <c r="R286">
        <v>88</v>
      </c>
      <c r="S286">
        <v>11.66824644549763</v>
      </c>
      <c r="T286">
        <v>0.96046509742736819</v>
      </c>
      <c r="W286">
        <f>Tabela6[[#This Row],[mlp_params]]</f>
        <v>18185</v>
      </c>
      <c r="X286">
        <f>Tabela6[[#This Row],[mlp_test_acc]]</f>
        <v>0.94087730451366813</v>
      </c>
      <c r="Y286">
        <f>Tabela6[[#This Row],[kan_val_acc_1]]</f>
        <v>0.96046509742736819</v>
      </c>
      <c r="Z286">
        <f>Tabela6[[#This Row],[no_steps]]</f>
        <v>11.66824644549763</v>
      </c>
    </row>
    <row r="287" spans="1:26" hidden="1" x14ac:dyDescent="0.25">
      <c r="A287" t="s">
        <v>18</v>
      </c>
      <c r="B287">
        <v>5</v>
      </c>
      <c r="C287">
        <v>2</v>
      </c>
      <c r="D287">
        <v>0</v>
      </c>
      <c r="E287" t="s">
        <v>93</v>
      </c>
      <c r="F287">
        <v>12842</v>
      </c>
      <c r="G287">
        <v>17204621.818181816</v>
      </c>
      <c r="H287">
        <v>0.97139223597266455</v>
      </c>
      <c r="I287">
        <v>0.94024157660521301</v>
      </c>
      <c r="J287">
        <v>6668353.2727272725</v>
      </c>
      <c r="K287">
        <v>18959</v>
      </c>
      <c r="L287">
        <v>2</v>
      </c>
      <c r="M287">
        <v>89</v>
      </c>
      <c r="N287">
        <v>0.94342021614748883</v>
      </c>
      <c r="O287">
        <v>8951559.9090909082</v>
      </c>
      <c r="P287">
        <v>19352</v>
      </c>
      <c r="Q287">
        <v>2</v>
      </c>
      <c r="R287">
        <v>90</v>
      </c>
      <c r="S287">
        <v>11.66572077185017</v>
      </c>
      <c r="T287">
        <v>0.96162789463996889</v>
      </c>
      <c r="W287">
        <f>Tabela6[[#This Row],[mlp_params]]</f>
        <v>18959</v>
      </c>
      <c r="X287">
        <f>Tabela6[[#This Row],[mlp_test_acc]]</f>
        <v>0.94024157660521301</v>
      </c>
      <c r="Y287">
        <f>Tabela6[[#This Row],[kan_val_acc_1]]</f>
        <v>0.96162789463996889</v>
      </c>
      <c r="Z287">
        <f>Tabela6[[#This Row],[no_steps]]</f>
        <v>11.66572077185017</v>
      </c>
    </row>
    <row r="288" spans="1:26" hidden="1" x14ac:dyDescent="0.25">
      <c r="A288" t="s">
        <v>18</v>
      </c>
      <c r="B288">
        <v>5</v>
      </c>
      <c r="C288">
        <v>2</v>
      </c>
      <c r="D288">
        <v>0</v>
      </c>
      <c r="E288" t="s">
        <v>94</v>
      </c>
      <c r="F288">
        <v>13484</v>
      </c>
      <c r="G288">
        <v>22721084.09090909</v>
      </c>
      <c r="H288">
        <v>0.9796567017381842</v>
      </c>
      <c r="I288">
        <v>0.93833439287984743</v>
      </c>
      <c r="J288">
        <v>8437661.9090909082</v>
      </c>
      <c r="K288">
        <v>20150</v>
      </c>
      <c r="L288">
        <v>2</v>
      </c>
      <c r="M288">
        <v>92</v>
      </c>
      <c r="N288">
        <v>0.94024157660521301</v>
      </c>
      <c r="O288">
        <v>8082033.1818181816</v>
      </c>
      <c r="P288">
        <v>20555</v>
      </c>
      <c r="Q288">
        <v>2</v>
      </c>
      <c r="R288">
        <v>93</v>
      </c>
      <c r="S288">
        <v>11.669435529545025</v>
      </c>
      <c r="T288">
        <v>0.96627905964851379</v>
      </c>
      <c r="W288">
        <f>Tabela6[[#This Row],[mlp_params]]</f>
        <v>20150</v>
      </c>
      <c r="X288">
        <f>Tabela6[[#This Row],[mlp_test_acc]]</f>
        <v>0.93833439287984743</v>
      </c>
      <c r="Y288">
        <f>Tabela6[[#This Row],[kan_val_acc_1]]</f>
        <v>0.96627905964851379</v>
      </c>
      <c r="Z288">
        <f>Tabela6[[#This Row],[no_steps]]</f>
        <v>11.669435529545025</v>
      </c>
    </row>
    <row r="289" spans="1:26" hidden="1" x14ac:dyDescent="0.25">
      <c r="A289" t="s">
        <v>18</v>
      </c>
      <c r="B289">
        <v>5</v>
      </c>
      <c r="C289">
        <v>2</v>
      </c>
      <c r="D289">
        <v>0</v>
      </c>
      <c r="E289" t="s">
        <v>95</v>
      </c>
      <c r="F289">
        <v>14126</v>
      </c>
      <c r="G289">
        <v>19301597.363636363</v>
      </c>
      <c r="H289">
        <v>0.97902097485282202</v>
      </c>
      <c r="I289">
        <v>0.9351557533375715</v>
      </c>
      <c r="J289">
        <v>7994932.9090909092</v>
      </c>
      <c r="K289">
        <v>20964</v>
      </c>
      <c r="L289">
        <v>2</v>
      </c>
      <c r="M289">
        <v>94</v>
      </c>
      <c r="N289">
        <v>0.94214876033057848</v>
      </c>
      <c r="O289">
        <v>8163229.5454545459</v>
      </c>
      <c r="P289">
        <v>21377</v>
      </c>
      <c r="Q289">
        <v>2</v>
      </c>
      <c r="R289">
        <v>95</v>
      </c>
      <c r="S289">
        <v>11.668801808590807</v>
      </c>
      <c r="T289">
        <v>0.96395347118377683</v>
      </c>
      <c r="W289">
        <f>Tabela6[[#This Row],[mlp_params]]</f>
        <v>20964</v>
      </c>
      <c r="X289">
        <f>Tabela6[[#This Row],[mlp_test_acc]]</f>
        <v>0.9351557533375715</v>
      </c>
      <c r="Y289">
        <f>Tabela6[[#This Row],[kan_val_acc_1]]</f>
        <v>0.96395347118377683</v>
      </c>
      <c r="Z289">
        <f>Tabela6[[#This Row],[no_steps]]</f>
        <v>11.668801808590807</v>
      </c>
    </row>
    <row r="290" spans="1:26" hidden="1" x14ac:dyDescent="0.25">
      <c r="A290" t="s">
        <v>18</v>
      </c>
      <c r="B290">
        <v>5</v>
      </c>
      <c r="C290">
        <v>2</v>
      </c>
      <c r="D290">
        <v>0</v>
      </c>
      <c r="E290" t="s">
        <v>96</v>
      </c>
      <c r="F290">
        <v>14768</v>
      </c>
      <c r="G290">
        <v>18244493.454545453</v>
      </c>
      <c r="H290">
        <v>0.98029242320494214</v>
      </c>
      <c r="I290">
        <v>0.93960584869675778</v>
      </c>
      <c r="J290">
        <v>8068478.3636363633</v>
      </c>
      <c r="K290">
        <v>21794</v>
      </c>
      <c r="L290">
        <v>2</v>
      </c>
      <c r="M290">
        <v>96</v>
      </c>
      <c r="N290">
        <v>0.93833439287984743</v>
      </c>
      <c r="O290">
        <v>9032993.8181818184</v>
      </c>
      <c r="P290">
        <v>22215</v>
      </c>
      <c r="Q290">
        <v>2</v>
      </c>
      <c r="R290">
        <v>97</v>
      </c>
      <c r="S290">
        <v>11.666102650874224</v>
      </c>
      <c r="T290">
        <v>0.96162788867950444</v>
      </c>
      <c r="W290">
        <f>Tabela6[[#This Row],[mlp_params]]</f>
        <v>21794</v>
      </c>
      <c r="X290">
        <f>Tabela6[[#This Row],[mlp_test_acc]]</f>
        <v>0.93960584869675778</v>
      </c>
      <c r="Y290">
        <f>Tabela6[[#This Row],[kan_val_acc_1]]</f>
        <v>0.96162788867950444</v>
      </c>
      <c r="Z290">
        <f>Tabela6[[#This Row],[no_steps]]</f>
        <v>11.666102650874224</v>
      </c>
    </row>
    <row r="291" spans="1:26" hidden="1" x14ac:dyDescent="0.25">
      <c r="A291" t="s">
        <v>18</v>
      </c>
      <c r="B291">
        <v>5</v>
      </c>
      <c r="C291">
        <v>2</v>
      </c>
      <c r="D291">
        <v>0</v>
      </c>
      <c r="E291" t="s">
        <v>97</v>
      </c>
      <c r="F291">
        <v>15410</v>
      </c>
      <c r="G291">
        <v>21066857.818181816</v>
      </c>
      <c r="H291">
        <v>0.97774951566349377</v>
      </c>
      <c r="I291">
        <v>0.93833439287984743</v>
      </c>
      <c r="J291">
        <v>7739374.4545454541</v>
      </c>
      <c r="K291">
        <v>23069</v>
      </c>
      <c r="L291">
        <v>2</v>
      </c>
      <c r="M291">
        <v>99</v>
      </c>
      <c r="N291">
        <v>0.94342021614748883</v>
      </c>
      <c r="O291">
        <v>7940430.3636363633</v>
      </c>
      <c r="P291">
        <v>23502</v>
      </c>
      <c r="Q291">
        <v>2</v>
      </c>
      <c r="R291">
        <v>100</v>
      </c>
      <c r="S291">
        <v>11.665666041275797</v>
      </c>
      <c r="T291">
        <v>0.96395347118377683</v>
      </c>
      <c r="W291">
        <f>Tabela6[[#This Row],[mlp_params]]</f>
        <v>23069</v>
      </c>
      <c r="X291">
        <f>Tabela6[[#This Row],[mlp_test_acc]]</f>
        <v>0.93833439287984743</v>
      </c>
      <c r="Y291">
        <f>Tabela6[[#This Row],[kan_val_acc_1]]</f>
        <v>0.96395347118377683</v>
      </c>
      <c r="Z291">
        <f>Tabela6[[#This Row],[no_steps]]</f>
        <v>11.665666041275797</v>
      </c>
    </row>
    <row r="292" spans="1:26" hidden="1" x14ac:dyDescent="0.25">
      <c r="A292" t="s">
        <v>18</v>
      </c>
      <c r="B292">
        <v>5</v>
      </c>
      <c r="C292">
        <v>3</v>
      </c>
      <c r="D292">
        <v>0</v>
      </c>
      <c r="E292" t="s">
        <v>94</v>
      </c>
      <c r="F292">
        <v>14828</v>
      </c>
      <c r="G292">
        <v>18529197.363636363</v>
      </c>
      <c r="H292">
        <v>0.97139223055406054</v>
      </c>
      <c r="I292">
        <v>0.93960584869675778</v>
      </c>
      <c r="J292">
        <v>8610361.3636363633</v>
      </c>
      <c r="K292">
        <v>23939</v>
      </c>
      <c r="L292">
        <v>2</v>
      </c>
      <c r="M292">
        <v>101</v>
      </c>
      <c r="N292">
        <v>0.94151303242212336</v>
      </c>
      <c r="O292">
        <v>7631095.6363636367</v>
      </c>
      <c r="P292">
        <v>24380</v>
      </c>
      <c r="Q292">
        <v>2</v>
      </c>
      <c r="R292">
        <v>102</v>
      </c>
      <c r="S292">
        <v>11.662048305560756</v>
      </c>
      <c r="T292">
        <v>0.95348835587501524</v>
      </c>
      <c r="W292">
        <f>Tabela6[[#This Row],[mlp_params]]</f>
        <v>23939</v>
      </c>
      <c r="X292">
        <f>Tabela6[[#This Row],[mlp_test_acc]]</f>
        <v>0.93960584869675778</v>
      </c>
      <c r="Y292">
        <f>Tabela6[[#This Row],[kan_val_acc_1]]</f>
        <v>0.95348835587501524</v>
      </c>
      <c r="Z292">
        <f>Tabela6[[#This Row],[no_steps]]</f>
        <v>11.662048305560756</v>
      </c>
    </row>
    <row r="293" spans="1:26" hidden="1" x14ac:dyDescent="0.25">
      <c r="A293" t="s">
        <v>18</v>
      </c>
      <c r="B293">
        <v>5</v>
      </c>
      <c r="C293">
        <v>3</v>
      </c>
      <c r="D293">
        <v>0</v>
      </c>
      <c r="E293" t="s">
        <v>95</v>
      </c>
      <c r="F293">
        <v>15534</v>
      </c>
      <c r="G293">
        <v>17546237.818181816</v>
      </c>
      <c r="H293">
        <v>0.95867768200961023</v>
      </c>
      <c r="I293">
        <v>0.92180546726001267</v>
      </c>
      <c r="J293">
        <v>7555180.4545454541</v>
      </c>
      <c r="K293">
        <v>25274</v>
      </c>
      <c r="L293">
        <v>2</v>
      </c>
      <c r="M293">
        <v>104</v>
      </c>
      <c r="N293">
        <v>0.91862682771773685</v>
      </c>
      <c r="O293">
        <v>8656583.1818181816</v>
      </c>
      <c r="P293">
        <v>25727</v>
      </c>
      <c r="Q293">
        <v>2</v>
      </c>
      <c r="R293">
        <v>105</v>
      </c>
      <c r="S293">
        <v>11.660313901345292</v>
      </c>
      <c r="T293">
        <v>0.97093022465705869</v>
      </c>
      <c r="W293">
        <f>Tabela6[[#This Row],[mlp_params]]</f>
        <v>25274</v>
      </c>
      <c r="X293">
        <f>Tabela6[[#This Row],[mlp_test_acc]]</f>
        <v>0.92180546726001267</v>
      </c>
      <c r="Y293">
        <f>Tabela6[[#This Row],[kan_val_acc_1]]</f>
        <v>0.97093022465705869</v>
      </c>
      <c r="Z293">
        <f>Tabela6[[#This Row],[no_steps]]</f>
        <v>11.660313901345292</v>
      </c>
    </row>
    <row r="294" spans="1:26" hidden="1" x14ac:dyDescent="0.25">
      <c r="A294" t="s">
        <v>18</v>
      </c>
      <c r="B294">
        <v>5</v>
      </c>
      <c r="C294">
        <v>3</v>
      </c>
      <c r="D294">
        <v>0</v>
      </c>
      <c r="E294" t="s">
        <v>96</v>
      </c>
      <c r="F294">
        <v>16240</v>
      </c>
      <c r="G294">
        <v>16832059</v>
      </c>
      <c r="H294">
        <v>0.94596312804655591</v>
      </c>
      <c r="I294">
        <v>0.91799109980928162</v>
      </c>
      <c r="J294">
        <v>8730240.6363636367</v>
      </c>
      <c r="K294">
        <v>26184</v>
      </c>
      <c r="L294">
        <v>2</v>
      </c>
      <c r="M294">
        <v>106</v>
      </c>
      <c r="N294">
        <v>0.9224411951684679</v>
      </c>
      <c r="O294">
        <v>8339146.3636363633</v>
      </c>
      <c r="P294">
        <v>26645</v>
      </c>
      <c r="Q294">
        <v>2</v>
      </c>
      <c r="R294">
        <v>107</v>
      </c>
      <c r="S294">
        <v>11.655976132761515</v>
      </c>
      <c r="T294">
        <v>0.97325580120086674</v>
      </c>
      <c r="W294">
        <f>Tabela6[[#This Row],[mlp_params]]</f>
        <v>26184</v>
      </c>
      <c r="X294">
        <f>Tabela6[[#This Row],[mlp_test_acc]]</f>
        <v>0.91799109980928162</v>
      </c>
      <c r="Y294">
        <f>Tabela6[[#This Row],[kan_val_acc_1]]</f>
        <v>0.97325580120086674</v>
      </c>
      <c r="Z294">
        <f>Tabela6[[#This Row],[no_steps]]</f>
        <v>11.655976132761515</v>
      </c>
    </row>
    <row r="295" spans="1:26" hidden="1" x14ac:dyDescent="0.25">
      <c r="A295" t="s">
        <v>18</v>
      </c>
      <c r="B295">
        <v>5</v>
      </c>
      <c r="C295">
        <v>3</v>
      </c>
      <c r="D295">
        <v>0</v>
      </c>
      <c r="E295" t="s">
        <v>97</v>
      </c>
      <c r="F295">
        <v>16946</v>
      </c>
      <c r="G295">
        <v>18965252.90909091</v>
      </c>
      <c r="H295">
        <v>0.95359185608950525</v>
      </c>
      <c r="I295">
        <v>0.91862682771773685</v>
      </c>
      <c r="J295">
        <v>9491278.6363636367</v>
      </c>
      <c r="K295">
        <v>27579</v>
      </c>
      <c r="L295">
        <v>2</v>
      </c>
      <c r="M295">
        <v>109</v>
      </c>
      <c r="N295">
        <v>0.92625556261919895</v>
      </c>
      <c r="O295">
        <v>8661561.1818181816</v>
      </c>
      <c r="P295">
        <v>28052</v>
      </c>
      <c r="Q295">
        <v>2</v>
      </c>
      <c r="R295">
        <v>110</v>
      </c>
      <c r="S295">
        <v>11.653703014514328</v>
      </c>
      <c r="T295">
        <v>0.96511629223823547</v>
      </c>
      <c r="W295">
        <f>Tabela6[[#This Row],[mlp_params]]</f>
        <v>27579</v>
      </c>
      <c r="X295">
        <f>Tabela6[[#This Row],[mlp_test_acc]]</f>
        <v>0.91862682771773685</v>
      </c>
      <c r="Y295">
        <f>Tabela6[[#This Row],[kan_val_acc_1]]</f>
        <v>0.96511629223823547</v>
      </c>
      <c r="Z295">
        <f>Tabela6[[#This Row],[no_steps]]</f>
        <v>11.653703014514328</v>
      </c>
    </row>
    <row r="296" spans="1:26" hidden="1" x14ac:dyDescent="0.25">
      <c r="A296" t="s">
        <v>18</v>
      </c>
      <c r="B296">
        <v>5</v>
      </c>
      <c r="C296">
        <v>3</v>
      </c>
      <c r="D296">
        <v>0</v>
      </c>
      <c r="E296" t="s">
        <v>98</v>
      </c>
      <c r="F296">
        <v>17652</v>
      </c>
      <c r="G296">
        <v>18435763.454545453</v>
      </c>
      <c r="H296">
        <v>0.952320396900177</v>
      </c>
      <c r="I296">
        <v>0.91862682771773685</v>
      </c>
      <c r="J296">
        <v>7827845.7272727275</v>
      </c>
      <c r="K296">
        <v>28529</v>
      </c>
      <c r="L296">
        <v>2</v>
      </c>
      <c r="M296">
        <v>111</v>
      </c>
      <c r="N296">
        <v>0.91735537190082639</v>
      </c>
      <c r="O296">
        <v>6900809.0909090908</v>
      </c>
      <c r="P296">
        <v>29010</v>
      </c>
      <c r="Q296">
        <v>2</v>
      </c>
      <c r="R296">
        <v>112</v>
      </c>
      <c r="S296">
        <v>11.649582172701949</v>
      </c>
      <c r="T296">
        <v>0.9686046421527863</v>
      </c>
      <c r="W296">
        <f>Tabela6[[#This Row],[mlp_params]]</f>
        <v>28529</v>
      </c>
      <c r="X296">
        <f>Tabela6[[#This Row],[mlp_test_acc]]</f>
        <v>0.91862682771773685</v>
      </c>
      <c r="Y296">
        <f>Tabela6[[#This Row],[kan_val_acc_1]]</f>
        <v>0.9686046421527863</v>
      </c>
      <c r="Z296">
        <f>Tabela6[[#This Row],[no_steps]]</f>
        <v>11.649582172701949</v>
      </c>
    </row>
    <row r="297" spans="1:26" hidden="1" x14ac:dyDescent="0.25">
      <c r="A297" t="s">
        <v>18</v>
      </c>
      <c r="B297">
        <v>5</v>
      </c>
      <c r="C297">
        <v>3</v>
      </c>
      <c r="D297">
        <v>0</v>
      </c>
      <c r="E297" t="s">
        <v>99</v>
      </c>
      <c r="F297">
        <v>18358</v>
      </c>
      <c r="G297">
        <v>18898294</v>
      </c>
      <c r="H297">
        <v>0.95104894312945276</v>
      </c>
      <c r="I297">
        <v>0.92180546726001267</v>
      </c>
      <c r="J297">
        <v>9075375.1818181816</v>
      </c>
      <c r="K297">
        <v>29984</v>
      </c>
      <c r="L297">
        <v>2</v>
      </c>
      <c r="M297">
        <v>114</v>
      </c>
      <c r="N297">
        <v>0.9198982835346472</v>
      </c>
      <c r="O297">
        <v>9148178.9090909082</v>
      </c>
      <c r="P297">
        <v>30477</v>
      </c>
      <c r="Q297">
        <v>2</v>
      </c>
      <c r="R297">
        <v>115</v>
      </c>
      <c r="S297">
        <v>11.645478131949591</v>
      </c>
      <c r="T297">
        <v>0.96744186282157896</v>
      </c>
      <c r="W297">
        <f>Tabela6[[#This Row],[mlp_params]]</f>
        <v>29984</v>
      </c>
      <c r="X297">
        <f>Tabela6[[#This Row],[mlp_test_acc]]</f>
        <v>0.92180546726001267</v>
      </c>
      <c r="Y297">
        <f>Tabela6[[#This Row],[kan_val_acc_1]]</f>
        <v>0.96744186282157896</v>
      </c>
      <c r="Z297">
        <f>Tabela6[[#This Row],[no_steps]]</f>
        <v>11.645478131949591</v>
      </c>
    </row>
    <row r="298" spans="1:26" hidden="1" x14ac:dyDescent="0.25">
      <c r="A298" t="s">
        <v>18</v>
      </c>
      <c r="B298">
        <v>5</v>
      </c>
      <c r="C298">
        <v>3</v>
      </c>
      <c r="D298">
        <v>0</v>
      </c>
      <c r="E298" t="s">
        <v>100</v>
      </c>
      <c r="F298">
        <v>19064</v>
      </c>
      <c r="G298">
        <v>19439357.727272727</v>
      </c>
      <c r="H298">
        <v>0.95549904216419568</v>
      </c>
      <c r="I298">
        <v>0.90336935791481243</v>
      </c>
      <c r="J298">
        <v>7549219.2727272725</v>
      </c>
      <c r="K298">
        <v>30974</v>
      </c>
      <c r="L298">
        <v>2</v>
      </c>
      <c r="M298">
        <v>116</v>
      </c>
      <c r="N298">
        <v>0.93006993006993011</v>
      </c>
      <c r="O298">
        <v>7897252.4545454541</v>
      </c>
      <c r="P298">
        <v>31475</v>
      </c>
      <c r="Q298">
        <v>2</v>
      </c>
      <c r="R298">
        <v>117</v>
      </c>
      <c r="S298">
        <v>11.641945626040318</v>
      </c>
      <c r="T298">
        <v>0.9674418568611145</v>
      </c>
      <c r="W298">
        <f>Tabela6[[#This Row],[mlp_params]]</f>
        <v>30974</v>
      </c>
      <c r="X298">
        <f>Tabela6[[#This Row],[mlp_test_acc]]</f>
        <v>0.90336935791481243</v>
      </c>
      <c r="Y298">
        <f>Tabela6[[#This Row],[kan_val_acc_1]]</f>
        <v>0.9674418568611145</v>
      </c>
      <c r="Z298">
        <f>Tabela6[[#This Row],[no_steps]]</f>
        <v>11.641945626040318</v>
      </c>
    </row>
    <row r="299" spans="1:26" hidden="1" x14ac:dyDescent="0.25">
      <c r="A299" t="s">
        <v>18</v>
      </c>
      <c r="B299">
        <v>5</v>
      </c>
      <c r="C299">
        <v>3</v>
      </c>
      <c r="D299">
        <v>0</v>
      </c>
      <c r="E299" t="s">
        <v>101</v>
      </c>
      <c r="F299">
        <v>19770</v>
      </c>
      <c r="G299">
        <v>21858249.90909091</v>
      </c>
      <c r="H299">
        <v>0.95295612920414319</v>
      </c>
      <c r="I299">
        <v>0.91290527654164022</v>
      </c>
      <c r="J299">
        <v>7980605.1818181816</v>
      </c>
      <c r="K299">
        <v>31980</v>
      </c>
      <c r="L299">
        <v>2</v>
      </c>
      <c r="M299">
        <v>118</v>
      </c>
      <c r="N299">
        <v>0.91799109980928162</v>
      </c>
      <c r="O299">
        <v>9096031.6363636367</v>
      </c>
      <c r="P299">
        <v>32489</v>
      </c>
      <c r="Q299">
        <v>2</v>
      </c>
      <c r="R299">
        <v>119</v>
      </c>
      <c r="S299">
        <v>11.638612033960872</v>
      </c>
      <c r="T299">
        <v>0.96860464811325075</v>
      </c>
      <c r="W299">
        <f>Tabela6[[#This Row],[mlp_params]]</f>
        <v>31980</v>
      </c>
      <c r="X299">
        <f>Tabela6[[#This Row],[mlp_test_acc]]</f>
        <v>0.91290527654164022</v>
      </c>
      <c r="Y299">
        <f>Tabela6[[#This Row],[kan_val_acc_1]]</f>
        <v>0.96860464811325075</v>
      </c>
      <c r="Z299">
        <f>Tabela6[[#This Row],[no_steps]]</f>
        <v>11.638612033960872</v>
      </c>
    </row>
    <row r="300" spans="1:26" hidden="1" x14ac:dyDescent="0.25">
      <c r="A300" t="s">
        <v>18</v>
      </c>
      <c r="B300">
        <v>5</v>
      </c>
      <c r="C300">
        <v>3</v>
      </c>
      <c r="D300">
        <v>0</v>
      </c>
      <c r="E300" t="s">
        <v>102</v>
      </c>
      <c r="F300">
        <v>20476</v>
      </c>
      <c r="G300">
        <v>20606749.272727273</v>
      </c>
      <c r="H300">
        <v>0.94659884951331397</v>
      </c>
      <c r="I300">
        <v>0.92689129052765418</v>
      </c>
      <c r="J300">
        <v>8359371.4545454541</v>
      </c>
      <c r="K300">
        <v>33002</v>
      </c>
      <c r="L300">
        <v>2</v>
      </c>
      <c r="M300">
        <v>120</v>
      </c>
      <c r="N300">
        <v>0.91926255562619197</v>
      </c>
      <c r="O300">
        <v>8663705.9090909082</v>
      </c>
      <c r="P300">
        <v>33519</v>
      </c>
      <c r="Q300">
        <v>2</v>
      </c>
      <c r="R300">
        <v>121</v>
      </c>
      <c r="S300">
        <v>11.634002578743784</v>
      </c>
      <c r="T300">
        <v>0.96976743936538701</v>
      </c>
      <c r="W300">
        <f>Tabela6[[#This Row],[mlp_params]]</f>
        <v>33002</v>
      </c>
      <c r="X300">
        <f>Tabela6[[#This Row],[mlp_test_acc]]</f>
        <v>0.92689129052765418</v>
      </c>
      <c r="Y300">
        <f>Tabela6[[#This Row],[kan_val_acc_1]]</f>
        <v>0.96976743936538701</v>
      </c>
      <c r="Z300">
        <f>Tabela6[[#This Row],[no_steps]]</f>
        <v>11.634002578743784</v>
      </c>
    </row>
    <row r="301" spans="1:26" hidden="1" x14ac:dyDescent="0.25">
      <c r="A301" t="s">
        <v>18</v>
      </c>
      <c r="B301">
        <v>5</v>
      </c>
      <c r="C301">
        <v>3</v>
      </c>
      <c r="D301">
        <v>0</v>
      </c>
      <c r="E301" t="s">
        <v>23</v>
      </c>
      <c r="F301">
        <v>20522</v>
      </c>
      <c r="G301">
        <v>24888907</v>
      </c>
      <c r="H301">
        <v>0.94787030870264222</v>
      </c>
      <c r="I301">
        <v>0.91671964399237127</v>
      </c>
      <c r="J301">
        <v>8769670.8181818184</v>
      </c>
      <c r="K301">
        <v>33519</v>
      </c>
      <c r="L301">
        <v>2</v>
      </c>
      <c r="M301">
        <v>121</v>
      </c>
      <c r="N301">
        <v>0.92053401144310232</v>
      </c>
      <c r="O301">
        <v>7821535.7272727275</v>
      </c>
      <c r="P301">
        <v>34040</v>
      </c>
      <c r="Q301">
        <v>2</v>
      </c>
      <c r="R301">
        <v>122</v>
      </c>
      <c r="S301">
        <v>11.632720588235294</v>
      </c>
      <c r="T301">
        <v>0.96395350098609922</v>
      </c>
      <c r="W301">
        <f>Tabela6[[#This Row],[mlp_params]]</f>
        <v>33519</v>
      </c>
      <c r="X301">
        <f>Tabela6[[#This Row],[mlp_test_acc]]</f>
        <v>0.91671964399237127</v>
      </c>
      <c r="Y301">
        <f>Tabela6[[#This Row],[kan_val_acc_1]]</f>
        <v>0.96395350098609922</v>
      </c>
      <c r="Z301">
        <f>Tabela6[[#This Row],[no_steps]]</f>
        <v>11.632720588235294</v>
      </c>
    </row>
    <row r="302" spans="1:26" hidden="1" x14ac:dyDescent="0.25">
      <c r="A302" t="s">
        <v>18</v>
      </c>
      <c r="B302">
        <v>5</v>
      </c>
      <c r="C302">
        <v>3</v>
      </c>
      <c r="D302">
        <v>0</v>
      </c>
      <c r="E302" t="s">
        <v>103</v>
      </c>
      <c r="F302">
        <v>21182</v>
      </c>
      <c r="G302">
        <v>37436198.909090906</v>
      </c>
      <c r="H302">
        <v>0.9485060410066084</v>
      </c>
      <c r="I302">
        <v>0.92053401144310232</v>
      </c>
      <c r="J302">
        <v>9881858.1818181816</v>
      </c>
      <c r="K302">
        <v>34565</v>
      </c>
      <c r="L302">
        <v>2</v>
      </c>
      <c r="M302">
        <v>123</v>
      </c>
      <c r="N302">
        <v>0.91544818817546092</v>
      </c>
      <c r="O302">
        <v>8183316.8181818184</v>
      </c>
      <c r="P302">
        <v>35094</v>
      </c>
      <c r="Q302">
        <v>2</v>
      </c>
      <c r="R302">
        <v>124</v>
      </c>
      <c r="S302">
        <v>11.63896532746285</v>
      </c>
      <c r="T302">
        <v>0.96511626243591309</v>
      </c>
      <c r="W302">
        <f>Tabela6[[#This Row],[mlp_params]]</f>
        <v>34565</v>
      </c>
      <c r="X302">
        <f>Tabela6[[#This Row],[mlp_test_acc]]</f>
        <v>0.92053401144310232</v>
      </c>
      <c r="Y302">
        <f>Tabela6[[#This Row],[kan_val_acc_1]]</f>
        <v>0.96511626243591309</v>
      </c>
      <c r="Z302">
        <f>Tabela6[[#This Row],[no_steps]]</f>
        <v>11.63896532746285</v>
      </c>
    </row>
    <row r="303" spans="1:26" hidden="1" x14ac:dyDescent="0.25">
      <c r="A303" t="s">
        <v>18</v>
      </c>
      <c r="B303">
        <v>5</v>
      </c>
      <c r="C303">
        <v>3</v>
      </c>
      <c r="D303">
        <v>0</v>
      </c>
      <c r="E303" t="s">
        <v>104</v>
      </c>
      <c r="F303">
        <v>21888</v>
      </c>
      <c r="G303">
        <v>25875951.857142858</v>
      </c>
      <c r="H303">
        <v>0.95071594488053091</v>
      </c>
      <c r="I303">
        <v>0.91641691641691647</v>
      </c>
      <c r="J303">
        <v>8723729.0952380951</v>
      </c>
      <c r="K303">
        <v>35627</v>
      </c>
      <c r="L303">
        <v>2</v>
      </c>
      <c r="M303">
        <v>125</v>
      </c>
      <c r="N303">
        <v>0.91674991674991679</v>
      </c>
      <c r="O303">
        <v>8087624.333333333</v>
      </c>
      <c r="P303">
        <v>36164</v>
      </c>
      <c r="Q303">
        <v>2</v>
      </c>
      <c r="R303">
        <v>126</v>
      </c>
      <c r="S303">
        <v>11.635782163742689</v>
      </c>
      <c r="T303">
        <v>0.95697674453258519</v>
      </c>
      <c r="W303">
        <f>Tabela6[[#This Row],[mlp_params]]</f>
        <v>35627</v>
      </c>
      <c r="X303">
        <f>Tabela6[[#This Row],[mlp_test_acc]]</f>
        <v>0.91641691641691647</v>
      </c>
      <c r="Y303">
        <f>Tabela6[[#This Row],[kan_val_acc_1]]</f>
        <v>0.95697674453258519</v>
      </c>
      <c r="Z303">
        <f>Tabela6[[#This Row],[no_steps]]</f>
        <v>11.635782163742689</v>
      </c>
    </row>
    <row r="304" spans="1:26" hidden="1" x14ac:dyDescent="0.25">
      <c r="A304" t="s">
        <v>18</v>
      </c>
      <c r="B304">
        <v>5</v>
      </c>
      <c r="C304">
        <v>3</v>
      </c>
      <c r="D304">
        <v>0</v>
      </c>
      <c r="E304" t="s">
        <v>26</v>
      </c>
      <c r="F304">
        <v>22640</v>
      </c>
      <c r="G304">
        <v>29854387.774193548</v>
      </c>
      <c r="H304">
        <v>0.95894427645590996</v>
      </c>
      <c r="I304">
        <v>0.91473043085946315</v>
      </c>
      <c r="J304">
        <v>8300419.6451612907</v>
      </c>
      <c r="K304">
        <v>36705</v>
      </c>
      <c r="L304">
        <v>2</v>
      </c>
      <c r="M304">
        <v>127</v>
      </c>
      <c r="N304">
        <v>0.91179787953981506</v>
      </c>
      <c r="O304">
        <v>8816329.6129032262</v>
      </c>
      <c r="P304">
        <v>37250</v>
      </c>
      <c r="Q304">
        <v>2</v>
      </c>
      <c r="R304">
        <v>128</v>
      </c>
      <c r="S304">
        <v>11.637288751590042</v>
      </c>
      <c r="T304">
        <v>0.9682170510292053</v>
      </c>
      <c r="W304">
        <f>Tabela6[[#This Row],[mlp_params]]</f>
        <v>36705</v>
      </c>
      <c r="X304">
        <f>Tabela6[[#This Row],[mlp_test_acc]]</f>
        <v>0.91473043085946315</v>
      </c>
      <c r="Y304">
        <f>Tabela6[[#This Row],[kan_val_acc_1]]</f>
        <v>0.9682170510292053</v>
      </c>
      <c r="Z304">
        <f>Tabela6[[#This Row],[no_steps]]</f>
        <v>11.637288751590042</v>
      </c>
    </row>
    <row r="305" spans="1:26" hidden="1" x14ac:dyDescent="0.25">
      <c r="A305" t="s">
        <v>18</v>
      </c>
      <c r="B305">
        <v>5</v>
      </c>
      <c r="C305">
        <v>3</v>
      </c>
      <c r="D305">
        <v>0</v>
      </c>
      <c r="E305" t="s">
        <v>27</v>
      </c>
      <c r="F305">
        <v>23346</v>
      </c>
      <c r="G305">
        <v>34308664.523809522</v>
      </c>
      <c r="H305">
        <v>0.95670994690486366</v>
      </c>
      <c r="I305">
        <v>0.91441891441891443</v>
      </c>
      <c r="J305">
        <v>9163562.1428571437</v>
      </c>
      <c r="K305">
        <v>37799</v>
      </c>
      <c r="L305">
        <v>2</v>
      </c>
      <c r="M305">
        <v>129</v>
      </c>
      <c r="N305">
        <v>0.91741591741591744</v>
      </c>
      <c r="O305">
        <v>8411205.0476190485</v>
      </c>
      <c r="P305">
        <v>38352</v>
      </c>
      <c r="Q305">
        <v>2</v>
      </c>
      <c r="R305">
        <v>130</v>
      </c>
      <c r="S305">
        <v>11.642469225199131</v>
      </c>
      <c r="T305">
        <v>0.97034882605075834</v>
      </c>
      <c r="W305">
        <f>Tabela6[[#This Row],[mlp_params]]</f>
        <v>37799</v>
      </c>
      <c r="X305">
        <f>Tabela6[[#This Row],[mlp_test_acc]]</f>
        <v>0.91441891441891443</v>
      </c>
      <c r="Y305">
        <f>Tabela6[[#This Row],[kan_val_acc_1]]</f>
        <v>0.97034882605075834</v>
      </c>
      <c r="Z305">
        <f>Tabela6[[#This Row],[no_steps]]</f>
        <v>11.642469225199131</v>
      </c>
    </row>
    <row r="306" spans="1:26" hidden="1" x14ac:dyDescent="0.25">
      <c r="A306" t="s">
        <v>18</v>
      </c>
      <c r="B306">
        <v>5</v>
      </c>
      <c r="C306">
        <v>3</v>
      </c>
      <c r="D306">
        <v>0</v>
      </c>
      <c r="E306" t="s">
        <v>28</v>
      </c>
      <c r="F306">
        <v>24052</v>
      </c>
      <c r="G306">
        <v>34449248.419354841</v>
      </c>
      <c r="H306">
        <v>0.95420708194855719</v>
      </c>
      <c r="I306">
        <v>0.91946762914504854</v>
      </c>
      <c r="J306">
        <v>7599527.2258064514</v>
      </c>
      <c r="K306">
        <v>38909</v>
      </c>
      <c r="L306">
        <v>2</v>
      </c>
      <c r="M306">
        <v>131</v>
      </c>
      <c r="N306">
        <v>0.91473043085946315</v>
      </c>
      <c r="O306">
        <v>9556728.6129032262</v>
      </c>
      <c r="P306">
        <v>39470</v>
      </c>
      <c r="Q306">
        <v>2</v>
      </c>
      <c r="R306">
        <v>132</v>
      </c>
      <c r="S306">
        <v>11.648244824482449</v>
      </c>
      <c r="T306">
        <v>0.96821704506874084</v>
      </c>
      <c r="W306">
        <f>Tabela6[[#This Row],[mlp_params]]</f>
        <v>38909</v>
      </c>
      <c r="X306">
        <f>Tabela6[[#This Row],[mlp_test_acc]]</f>
        <v>0.91946762914504854</v>
      </c>
      <c r="Y306">
        <f>Tabela6[[#This Row],[kan_val_acc_1]]</f>
        <v>0.96821704506874084</v>
      </c>
      <c r="Z306">
        <f>Tabela6[[#This Row],[no_steps]]</f>
        <v>11.648244824482449</v>
      </c>
    </row>
    <row r="307" spans="1:26" hidden="1" x14ac:dyDescent="0.25">
      <c r="A307" t="s">
        <v>18</v>
      </c>
      <c r="B307">
        <v>5</v>
      </c>
      <c r="C307">
        <v>3</v>
      </c>
      <c r="D307">
        <v>0</v>
      </c>
      <c r="E307" t="s">
        <v>67</v>
      </c>
      <c r="F307">
        <v>24488</v>
      </c>
      <c r="G307">
        <v>37222266.451612905</v>
      </c>
      <c r="H307">
        <v>0.96345589814647548</v>
      </c>
      <c r="I307">
        <v>0.91901646740356413</v>
      </c>
      <c r="J307">
        <v>8467692.5806451607</v>
      </c>
      <c r="K307">
        <v>39470</v>
      </c>
      <c r="L307">
        <v>2</v>
      </c>
      <c r="M307">
        <v>132</v>
      </c>
      <c r="N307">
        <v>0.91495601173020524</v>
      </c>
      <c r="O307">
        <v>8867392.8064516131</v>
      </c>
      <c r="P307">
        <v>40035</v>
      </c>
      <c r="Q307">
        <v>2</v>
      </c>
      <c r="R307">
        <v>133</v>
      </c>
      <c r="S307">
        <v>11.658073755818117</v>
      </c>
      <c r="T307">
        <v>0.97015502850214641</v>
      </c>
      <c r="W307">
        <f>Tabela6[[#This Row],[mlp_params]]</f>
        <v>39470</v>
      </c>
      <c r="X307">
        <f>Tabela6[[#This Row],[mlp_test_acc]]</f>
        <v>0.91901646740356413</v>
      </c>
      <c r="Y307">
        <f>Tabela6[[#This Row],[kan_val_acc_1]]</f>
        <v>0.97015502850214641</v>
      </c>
      <c r="Z307">
        <f>Tabela6[[#This Row],[no_steps]]</f>
        <v>11.658073755818117</v>
      </c>
    </row>
    <row r="308" spans="1:26" hidden="1" x14ac:dyDescent="0.25">
      <c r="A308" t="s">
        <v>18</v>
      </c>
      <c r="B308">
        <v>5</v>
      </c>
      <c r="C308">
        <v>3</v>
      </c>
      <c r="D308">
        <v>0</v>
      </c>
      <c r="E308" t="s">
        <v>29</v>
      </c>
      <c r="F308">
        <v>24758</v>
      </c>
      <c r="G308">
        <v>37402367.81818182</v>
      </c>
      <c r="H308">
        <v>0.93388429013165564</v>
      </c>
      <c r="I308">
        <v>0.91354100445009534</v>
      </c>
      <c r="J308">
        <v>7467297.2727272725</v>
      </c>
      <c r="K308">
        <v>40035</v>
      </c>
      <c r="L308">
        <v>2</v>
      </c>
      <c r="M308">
        <v>133</v>
      </c>
      <c r="N308">
        <v>0.91926255562619197</v>
      </c>
      <c r="O308">
        <v>9573820.8181818184</v>
      </c>
      <c r="P308">
        <v>40604</v>
      </c>
      <c r="Q308">
        <v>2</v>
      </c>
      <c r="R308">
        <v>134</v>
      </c>
      <c r="S308">
        <v>11.661247096658924</v>
      </c>
      <c r="T308">
        <v>0.96046510338783264</v>
      </c>
      <c r="W308">
        <f>Tabela6[[#This Row],[mlp_params]]</f>
        <v>40035</v>
      </c>
      <c r="X308">
        <f>Tabela6[[#This Row],[mlp_test_acc]]</f>
        <v>0.91354100445009534</v>
      </c>
      <c r="Y308">
        <f>Tabela6[[#This Row],[kan_val_acc_1]]</f>
        <v>0.96046510338783264</v>
      </c>
      <c r="Z308">
        <f>Tabela6[[#This Row],[no_steps]]</f>
        <v>11.661247096658924</v>
      </c>
    </row>
    <row r="309" spans="1:26" hidden="1" x14ac:dyDescent="0.25">
      <c r="A309" t="s">
        <v>18</v>
      </c>
      <c r="B309">
        <v>5</v>
      </c>
      <c r="C309">
        <v>3</v>
      </c>
      <c r="D309">
        <v>0</v>
      </c>
      <c r="E309" t="s">
        <v>43</v>
      </c>
      <c r="F309">
        <v>24844</v>
      </c>
      <c r="G309">
        <v>35824621.619047619</v>
      </c>
      <c r="H309">
        <v>0.96436896210625056</v>
      </c>
      <c r="I309">
        <v>0.92474192474192474</v>
      </c>
      <c r="J309">
        <v>7920570.666666667</v>
      </c>
      <c r="K309">
        <v>40604</v>
      </c>
      <c r="L309">
        <v>2</v>
      </c>
      <c r="M309">
        <v>134</v>
      </c>
      <c r="N309">
        <v>0.91308691308691303</v>
      </c>
      <c r="O309">
        <v>9631989.333333334</v>
      </c>
      <c r="P309">
        <v>41177</v>
      </c>
      <c r="Q309">
        <v>2</v>
      </c>
      <c r="R309">
        <v>135</v>
      </c>
      <c r="S309">
        <v>11.66500533997864</v>
      </c>
      <c r="T309">
        <v>0.96686045527458186</v>
      </c>
      <c r="W309">
        <f>Tabela6[[#This Row],[mlp_params]]</f>
        <v>40604</v>
      </c>
      <c r="X309">
        <f>Tabela6[[#This Row],[mlp_test_acc]]</f>
        <v>0.92474192474192474</v>
      </c>
      <c r="Y309">
        <f>Tabela6[[#This Row],[kan_val_acc_1]]</f>
        <v>0.96686045527458186</v>
      </c>
      <c r="Z309">
        <f>Tabela6[[#This Row],[no_steps]]</f>
        <v>11.66500533997864</v>
      </c>
    </row>
    <row r="310" spans="1:26" hidden="1" x14ac:dyDescent="0.25">
      <c r="A310" t="s">
        <v>18</v>
      </c>
      <c r="B310">
        <v>5</v>
      </c>
      <c r="C310">
        <v>3</v>
      </c>
      <c r="D310">
        <v>0</v>
      </c>
      <c r="E310" t="s">
        <v>30</v>
      </c>
      <c r="F310">
        <v>25464</v>
      </c>
      <c r="G310">
        <v>33807779.18181818</v>
      </c>
      <c r="H310">
        <v>0.96058485724709253</v>
      </c>
      <c r="I310">
        <v>0.91926255562619197</v>
      </c>
      <c r="J310">
        <v>8736557.7272727266</v>
      </c>
      <c r="K310">
        <v>41177</v>
      </c>
      <c r="L310">
        <v>2</v>
      </c>
      <c r="M310">
        <v>135</v>
      </c>
      <c r="N310">
        <v>0.92053401144310232</v>
      </c>
      <c r="O310">
        <v>8959804.7272727266</v>
      </c>
      <c r="P310">
        <v>41754</v>
      </c>
      <c r="Q310">
        <v>2</v>
      </c>
      <c r="R310">
        <v>136</v>
      </c>
      <c r="S310">
        <v>11.664949369337361</v>
      </c>
      <c r="T310">
        <v>0.96627906560897825</v>
      </c>
      <c r="W310">
        <f>Tabela6[[#This Row],[mlp_params]]</f>
        <v>41177</v>
      </c>
      <c r="X310">
        <f>Tabela6[[#This Row],[mlp_test_acc]]</f>
        <v>0.91926255562619197</v>
      </c>
      <c r="Y310">
        <f>Tabela6[[#This Row],[kan_val_acc_1]]</f>
        <v>0.96627906560897825</v>
      </c>
      <c r="Z310">
        <f>Tabela6[[#This Row],[no_steps]]</f>
        <v>11.664949369337361</v>
      </c>
    </row>
    <row r="311" spans="1:26" hidden="1" x14ac:dyDescent="0.25">
      <c r="A311" t="s">
        <v>18</v>
      </c>
      <c r="B311">
        <v>5</v>
      </c>
      <c r="C311">
        <v>3</v>
      </c>
      <c r="D311">
        <v>0</v>
      </c>
      <c r="E311" t="s">
        <v>77</v>
      </c>
      <c r="F311">
        <v>25810</v>
      </c>
      <c r="G311">
        <v>35357941.761904761</v>
      </c>
      <c r="H311">
        <v>0.95337994325728648</v>
      </c>
      <c r="I311">
        <v>0.92141192141192141</v>
      </c>
      <c r="J311">
        <v>9427119.0476190485</v>
      </c>
      <c r="K311">
        <v>41754</v>
      </c>
      <c r="L311">
        <v>2</v>
      </c>
      <c r="M311">
        <v>136</v>
      </c>
      <c r="N311">
        <v>0.9197469197469198</v>
      </c>
      <c r="O311">
        <v>8789606.3809523806</v>
      </c>
      <c r="P311">
        <v>42335</v>
      </c>
      <c r="Q311">
        <v>2</v>
      </c>
      <c r="R311">
        <v>137</v>
      </c>
      <c r="S311">
        <v>11.667610619469027</v>
      </c>
      <c r="T311">
        <v>0.96453488171100621</v>
      </c>
      <c r="W311">
        <f>Tabela6[[#This Row],[mlp_params]]</f>
        <v>41754</v>
      </c>
      <c r="X311">
        <f>Tabela6[[#This Row],[mlp_test_acc]]</f>
        <v>0.92141192141192141</v>
      </c>
      <c r="Y311">
        <f>Tabela6[[#This Row],[kan_val_acc_1]]</f>
        <v>0.96453488171100621</v>
      </c>
      <c r="Z311">
        <f>Tabela6[[#This Row],[no_steps]]</f>
        <v>11.667610619469027</v>
      </c>
    </row>
    <row r="312" spans="1:26" hidden="1" x14ac:dyDescent="0.25">
      <c r="A312" t="s">
        <v>18</v>
      </c>
      <c r="B312">
        <v>5</v>
      </c>
      <c r="C312">
        <v>3</v>
      </c>
      <c r="D312">
        <v>0</v>
      </c>
      <c r="E312" t="s">
        <v>31</v>
      </c>
      <c r="F312">
        <v>26170</v>
      </c>
      <c r="G312">
        <v>40299877.888888888</v>
      </c>
      <c r="H312">
        <v>0.96017870638105607</v>
      </c>
      <c r="I312">
        <v>0.92249417249417254</v>
      </c>
      <c r="J312">
        <v>9007935.8611111119</v>
      </c>
      <c r="K312">
        <v>42335</v>
      </c>
      <c r="L312">
        <v>2</v>
      </c>
      <c r="M312">
        <v>137</v>
      </c>
      <c r="N312">
        <v>0.91822066822066828</v>
      </c>
      <c r="O312">
        <v>9701678.722222222</v>
      </c>
      <c r="P312">
        <v>42920</v>
      </c>
      <c r="Q312">
        <v>2</v>
      </c>
      <c r="R312">
        <v>138</v>
      </c>
      <c r="S312">
        <v>11.680091452690819</v>
      </c>
      <c r="T312">
        <v>0.9601328883852277</v>
      </c>
      <c r="W312">
        <f>Tabela6[[#This Row],[mlp_params]]</f>
        <v>42335</v>
      </c>
      <c r="X312">
        <f>Tabela6[[#This Row],[mlp_test_acc]]</f>
        <v>0.92249417249417254</v>
      </c>
      <c r="Y312">
        <f>Tabela6[[#This Row],[kan_val_acc_1]]</f>
        <v>0.9601328883852277</v>
      </c>
      <c r="Z312">
        <f>Tabela6[[#This Row],[no_steps]]</f>
        <v>11.680091452690819</v>
      </c>
    </row>
    <row r="313" spans="1:26" hidden="1" x14ac:dyDescent="0.25">
      <c r="A313" t="s">
        <v>18</v>
      </c>
      <c r="B313">
        <v>5</v>
      </c>
      <c r="C313">
        <v>3</v>
      </c>
      <c r="D313">
        <v>0</v>
      </c>
      <c r="E313" t="s">
        <v>45</v>
      </c>
      <c r="F313">
        <v>26344</v>
      </c>
      <c r="G313">
        <v>38645562.809523806</v>
      </c>
      <c r="H313">
        <v>0.95604394731067477</v>
      </c>
      <c r="I313">
        <v>0.91608391608391604</v>
      </c>
      <c r="J313">
        <v>8659557.333333334</v>
      </c>
      <c r="K313">
        <v>42920</v>
      </c>
      <c r="L313">
        <v>2</v>
      </c>
      <c r="M313">
        <v>138</v>
      </c>
      <c r="N313">
        <v>0.91075591075591078</v>
      </c>
      <c r="O313">
        <v>9156001.1904761903</v>
      </c>
      <c r="P313">
        <v>43509</v>
      </c>
      <c r="Q313">
        <v>2</v>
      </c>
      <c r="R313">
        <v>139</v>
      </c>
      <c r="S313">
        <v>11.685473979323637</v>
      </c>
      <c r="T313">
        <v>0.96627906262874608</v>
      </c>
      <c r="W313">
        <f>Tabela6[[#This Row],[mlp_params]]</f>
        <v>42920</v>
      </c>
      <c r="X313">
        <f>Tabela6[[#This Row],[mlp_test_acc]]</f>
        <v>0.91608391608391604</v>
      </c>
      <c r="Y313">
        <f>Tabela6[[#This Row],[kan_val_acc_1]]</f>
        <v>0.96627906262874608</v>
      </c>
      <c r="Z313">
        <f>Tabela6[[#This Row],[no_steps]]</f>
        <v>11.685473979323637</v>
      </c>
    </row>
    <row r="314" spans="1:26" hidden="1" x14ac:dyDescent="0.25">
      <c r="A314" t="s">
        <v>18</v>
      </c>
      <c r="B314">
        <v>5</v>
      </c>
      <c r="C314">
        <v>3</v>
      </c>
      <c r="D314">
        <v>0</v>
      </c>
      <c r="E314" t="s">
        <v>78</v>
      </c>
      <c r="F314">
        <v>26692</v>
      </c>
      <c r="G314">
        <v>40538569.095238097</v>
      </c>
      <c r="H314">
        <v>0.95071594204221455</v>
      </c>
      <c r="I314">
        <v>0.92041292041292044</v>
      </c>
      <c r="J314">
        <v>9328127.4761904757</v>
      </c>
      <c r="K314">
        <v>43509</v>
      </c>
      <c r="L314">
        <v>2</v>
      </c>
      <c r="M314">
        <v>139</v>
      </c>
      <c r="N314">
        <v>0.91441891441891443</v>
      </c>
      <c r="O314">
        <v>8454295.0476190485</v>
      </c>
      <c r="P314">
        <v>44102</v>
      </c>
      <c r="Q314">
        <v>2</v>
      </c>
      <c r="R314">
        <v>140</v>
      </c>
      <c r="S314">
        <v>11.692562849162011</v>
      </c>
      <c r="T314">
        <v>0.96453488171100621</v>
      </c>
      <c r="W314">
        <f>Tabela6[[#This Row],[mlp_params]]</f>
        <v>43509</v>
      </c>
      <c r="X314">
        <f>Tabela6[[#This Row],[mlp_test_acc]]</f>
        <v>0.92041292041292044</v>
      </c>
      <c r="Y314">
        <f>Tabela6[[#This Row],[kan_val_acc_1]]</f>
        <v>0.96453488171100621</v>
      </c>
      <c r="Z314">
        <f>Tabela6[[#This Row],[no_steps]]</f>
        <v>11.692562849162011</v>
      </c>
    </row>
    <row r="315" spans="1:26" hidden="1" x14ac:dyDescent="0.25">
      <c r="A315" t="s">
        <v>18</v>
      </c>
      <c r="B315">
        <v>5</v>
      </c>
      <c r="C315">
        <v>3</v>
      </c>
      <c r="D315">
        <v>0</v>
      </c>
      <c r="E315" t="s">
        <v>46</v>
      </c>
      <c r="F315">
        <v>27094</v>
      </c>
      <c r="G315">
        <v>35617813.57692308</v>
      </c>
      <c r="H315">
        <v>0.96637976628083444</v>
      </c>
      <c r="I315">
        <v>0.92092522861753634</v>
      </c>
      <c r="J315">
        <v>8700331.0769230761</v>
      </c>
      <c r="K315">
        <v>44102</v>
      </c>
      <c r="L315">
        <v>2</v>
      </c>
      <c r="M315">
        <v>140</v>
      </c>
      <c r="N315">
        <v>0.92011834319526631</v>
      </c>
      <c r="O315">
        <v>8966629.9230769239</v>
      </c>
      <c r="P315">
        <v>44699</v>
      </c>
      <c r="Q315">
        <v>2</v>
      </c>
      <c r="R315">
        <v>141</v>
      </c>
      <c r="S315">
        <v>11.692735488355927</v>
      </c>
      <c r="T315">
        <v>0.96139533996582027</v>
      </c>
      <c r="W315">
        <f>Tabela6[[#This Row],[mlp_params]]</f>
        <v>44102</v>
      </c>
      <c r="X315">
        <f>Tabela6[[#This Row],[mlp_test_acc]]</f>
        <v>0.92092522861753634</v>
      </c>
      <c r="Y315">
        <f>Tabela6[[#This Row],[kan_val_acc_1]]</f>
        <v>0.96139533996582027</v>
      </c>
      <c r="Z315">
        <f>Tabela6[[#This Row],[no_steps]]</f>
        <v>11.692735488355927</v>
      </c>
    </row>
    <row r="316" spans="1:26" hidden="1" x14ac:dyDescent="0.25">
      <c r="A316" t="s">
        <v>18</v>
      </c>
      <c r="B316">
        <v>5</v>
      </c>
      <c r="C316">
        <v>3</v>
      </c>
      <c r="D316">
        <v>0</v>
      </c>
      <c r="E316" t="s">
        <v>79</v>
      </c>
      <c r="F316">
        <v>27574</v>
      </c>
      <c r="G316">
        <v>34850993.354838707</v>
      </c>
      <c r="H316">
        <v>0.95623731036340032</v>
      </c>
      <c r="I316">
        <v>0.92059553349875933</v>
      </c>
      <c r="J316">
        <v>9092171.3870967738</v>
      </c>
      <c r="K316">
        <v>44699</v>
      </c>
      <c r="L316">
        <v>2</v>
      </c>
      <c r="M316">
        <v>141</v>
      </c>
      <c r="N316">
        <v>0.91879088653282204</v>
      </c>
      <c r="O316">
        <v>8515819.8387096766</v>
      </c>
      <c r="P316">
        <v>45300</v>
      </c>
      <c r="Q316">
        <v>2</v>
      </c>
      <c r="R316">
        <v>142</v>
      </c>
      <c r="S316">
        <v>11.692134831460674</v>
      </c>
      <c r="T316">
        <v>0.96162789861361186</v>
      </c>
      <c r="W316">
        <f>Tabela6[[#This Row],[mlp_params]]</f>
        <v>44699</v>
      </c>
      <c r="X316">
        <f>Tabela6[[#This Row],[mlp_test_acc]]</f>
        <v>0.92059553349875933</v>
      </c>
      <c r="Y316">
        <f>Tabela6[[#This Row],[kan_val_acc_1]]</f>
        <v>0.96162789861361186</v>
      </c>
      <c r="Z316">
        <f>Tabela6[[#This Row],[no_steps]]</f>
        <v>11.692134831460674</v>
      </c>
    </row>
    <row r="317" spans="1:26" hidden="1" x14ac:dyDescent="0.25">
      <c r="A317" t="s">
        <v>18</v>
      </c>
      <c r="B317">
        <v>5</v>
      </c>
      <c r="C317">
        <v>3</v>
      </c>
      <c r="D317">
        <v>0</v>
      </c>
      <c r="E317" t="s">
        <v>47</v>
      </c>
      <c r="F317">
        <v>27844</v>
      </c>
      <c r="G317">
        <v>37216963.153846152</v>
      </c>
      <c r="H317">
        <v>0.96933835057111883</v>
      </c>
      <c r="I317">
        <v>0.92818719741796663</v>
      </c>
      <c r="J317">
        <v>8658164.0769230761</v>
      </c>
      <c r="K317">
        <v>45300</v>
      </c>
      <c r="L317">
        <v>2</v>
      </c>
      <c r="M317">
        <v>142</v>
      </c>
      <c r="N317">
        <v>0.9276492738031199</v>
      </c>
      <c r="O317">
        <v>9927666.7692307699</v>
      </c>
      <c r="P317">
        <v>45905</v>
      </c>
      <c r="Q317">
        <v>2</v>
      </c>
      <c r="R317">
        <v>143</v>
      </c>
      <c r="S317">
        <v>11.69299604198933</v>
      </c>
      <c r="T317">
        <v>0.96139533758163453</v>
      </c>
      <c r="W317">
        <f>Tabela6[[#This Row],[mlp_params]]</f>
        <v>45300</v>
      </c>
      <c r="X317">
        <f>Tabela6[[#This Row],[mlp_test_acc]]</f>
        <v>0.92818719741796663</v>
      </c>
      <c r="Y317">
        <f>Tabela6[[#This Row],[kan_val_acc_1]]</f>
        <v>0.96139533758163453</v>
      </c>
      <c r="Z317">
        <f>Tabela6[[#This Row],[no_steps]]</f>
        <v>11.69299604198933</v>
      </c>
    </row>
    <row r="318" spans="1:26" hidden="1" x14ac:dyDescent="0.25">
      <c r="A318" t="s">
        <v>18</v>
      </c>
      <c r="B318">
        <v>5</v>
      </c>
      <c r="C318">
        <v>3</v>
      </c>
      <c r="D318">
        <v>0</v>
      </c>
      <c r="E318" t="s">
        <v>34</v>
      </c>
      <c r="F318">
        <v>28288</v>
      </c>
      <c r="G318">
        <v>37367907.161290325</v>
      </c>
      <c r="H318">
        <v>0.95646288702564852</v>
      </c>
      <c r="I318">
        <v>0.92104669524024363</v>
      </c>
      <c r="J318">
        <v>9073573.9032258056</v>
      </c>
      <c r="K318">
        <v>45905</v>
      </c>
      <c r="L318">
        <v>2</v>
      </c>
      <c r="M318">
        <v>143</v>
      </c>
      <c r="N318">
        <v>0.91901646740356413</v>
      </c>
      <c r="O318">
        <v>9423026.0322580654</v>
      </c>
      <c r="P318">
        <v>46514</v>
      </c>
      <c r="Q318">
        <v>2</v>
      </c>
      <c r="R318">
        <v>144</v>
      </c>
      <c r="S318">
        <v>11.694796302636083</v>
      </c>
      <c r="T318">
        <v>0.96279070178667703</v>
      </c>
      <c r="W318">
        <f>Tabela6[[#This Row],[mlp_params]]</f>
        <v>45905</v>
      </c>
      <c r="X318">
        <f>Tabela6[[#This Row],[mlp_test_acc]]</f>
        <v>0.92104669524024363</v>
      </c>
      <c r="Y318">
        <f>Tabela6[[#This Row],[kan_val_acc_1]]</f>
        <v>0.96279070178667703</v>
      </c>
      <c r="Z318">
        <f>Tabela6[[#This Row],[no_steps]]</f>
        <v>11.694796302636083</v>
      </c>
    </row>
    <row r="319" spans="1:26" hidden="1" x14ac:dyDescent="0.25">
      <c r="A319" t="s">
        <v>18</v>
      </c>
      <c r="B319">
        <v>5</v>
      </c>
      <c r="C319">
        <v>3</v>
      </c>
      <c r="D319">
        <v>0</v>
      </c>
      <c r="E319" t="s">
        <v>80</v>
      </c>
      <c r="F319">
        <v>28456</v>
      </c>
      <c r="G319">
        <v>46478184.454545453</v>
      </c>
      <c r="H319">
        <v>0.95613476904955774</v>
      </c>
      <c r="I319">
        <v>0.92116973935155755</v>
      </c>
      <c r="J319">
        <v>8093634.8181818184</v>
      </c>
      <c r="K319">
        <v>46514</v>
      </c>
      <c r="L319">
        <v>2</v>
      </c>
      <c r="M319">
        <v>144</v>
      </c>
      <c r="N319">
        <v>0.92053401144310232</v>
      </c>
      <c r="O319">
        <v>9246550.4545454551</v>
      </c>
      <c r="P319">
        <v>47127</v>
      </c>
      <c r="Q319">
        <v>2</v>
      </c>
      <c r="R319">
        <v>145</v>
      </c>
      <c r="S319">
        <v>11.700324619853067</v>
      </c>
      <c r="T319">
        <v>0.9686046421527863</v>
      </c>
      <c r="W319">
        <f>Tabela6[[#This Row],[mlp_params]]</f>
        <v>46514</v>
      </c>
      <c r="X319">
        <f>Tabela6[[#This Row],[mlp_test_acc]]</f>
        <v>0.92116973935155755</v>
      </c>
      <c r="Y319">
        <f>Tabela6[[#This Row],[kan_val_acc_1]]</f>
        <v>0.9686046421527863</v>
      </c>
      <c r="Z319">
        <f>Tabela6[[#This Row],[no_steps]]</f>
        <v>11.700324619853067</v>
      </c>
    </row>
    <row r="320" spans="1:26" hidden="1" x14ac:dyDescent="0.25">
      <c r="A320" t="s">
        <v>18</v>
      </c>
      <c r="B320">
        <v>5</v>
      </c>
      <c r="C320">
        <v>3</v>
      </c>
      <c r="D320">
        <v>0</v>
      </c>
      <c r="E320" t="s">
        <v>35</v>
      </c>
      <c r="F320">
        <v>28994</v>
      </c>
      <c r="G320">
        <v>40544283.152173914</v>
      </c>
      <c r="H320">
        <v>0.96093037076618359</v>
      </c>
      <c r="I320">
        <v>0.91775615688659173</v>
      </c>
      <c r="J320">
        <v>9129127.6521739122</v>
      </c>
      <c r="K320">
        <v>47127</v>
      </c>
      <c r="L320">
        <v>2</v>
      </c>
      <c r="M320">
        <v>145</v>
      </c>
      <c r="N320">
        <v>0.92505320766190335</v>
      </c>
      <c r="O320">
        <v>9490709.826086957</v>
      </c>
      <c r="P320">
        <v>47744</v>
      </c>
      <c r="Q320">
        <v>2</v>
      </c>
      <c r="R320">
        <v>146</v>
      </c>
      <c r="S320">
        <v>11.708425156806239</v>
      </c>
      <c r="T320">
        <v>0.96563306252161663</v>
      </c>
      <c r="W320">
        <f>Tabela6[[#This Row],[mlp_params]]</f>
        <v>47127</v>
      </c>
      <c r="X320">
        <f>Tabela6[[#This Row],[mlp_test_acc]]</f>
        <v>0.91775615688659173</v>
      </c>
      <c r="Y320">
        <f>Tabela6[[#This Row],[kan_val_acc_1]]</f>
        <v>0.96563306252161663</v>
      </c>
      <c r="Z320">
        <f>Tabela6[[#This Row],[no_steps]]</f>
        <v>11.708425156806239</v>
      </c>
    </row>
    <row r="321" spans="1:26" hidden="1" x14ac:dyDescent="0.25">
      <c r="A321" t="s">
        <v>18</v>
      </c>
      <c r="B321">
        <v>5</v>
      </c>
      <c r="C321">
        <v>3</v>
      </c>
      <c r="D321">
        <v>0</v>
      </c>
      <c r="E321" t="s">
        <v>81</v>
      </c>
      <c r="F321">
        <v>29338</v>
      </c>
      <c r="G321">
        <v>37875152.18181818</v>
      </c>
      <c r="H321">
        <v>0.94787029786543409</v>
      </c>
      <c r="I321">
        <v>0.9224411951684679</v>
      </c>
      <c r="J321">
        <v>7848566.1818181816</v>
      </c>
      <c r="K321">
        <v>47744</v>
      </c>
      <c r="L321">
        <v>2</v>
      </c>
      <c r="M321">
        <v>146</v>
      </c>
      <c r="N321">
        <v>0.91799109980928162</v>
      </c>
      <c r="O321">
        <v>7746327.0909090908</v>
      </c>
      <c r="P321">
        <v>48365</v>
      </c>
      <c r="Q321">
        <v>2</v>
      </c>
      <c r="R321">
        <v>147</v>
      </c>
      <c r="S321">
        <v>11.708121827411167</v>
      </c>
      <c r="T321">
        <v>0.96627905368804934</v>
      </c>
      <c r="W321">
        <f>Tabela6[[#This Row],[mlp_params]]</f>
        <v>47744</v>
      </c>
      <c r="X321">
        <f>Tabela6[[#This Row],[mlp_test_acc]]</f>
        <v>0.9224411951684679</v>
      </c>
      <c r="Y321">
        <f>Tabela6[[#This Row],[kan_val_acc_1]]</f>
        <v>0.96627905368804934</v>
      </c>
      <c r="Z321">
        <f>Tabela6[[#This Row],[no_steps]]</f>
        <v>11.708121827411167</v>
      </c>
    </row>
    <row r="322" spans="1:26" hidden="1" x14ac:dyDescent="0.25">
      <c r="A322" t="s">
        <v>18</v>
      </c>
      <c r="B322">
        <v>5</v>
      </c>
      <c r="C322">
        <v>3</v>
      </c>
      <c r="D322">
        <v>0</v>
      </c>
      <c r="E322" t="s">
        <v>36</v>
      </c>
      <c r="F322">
        <v>29700</v>
      </c>
      <c r="G322">
        <v>40534527.891304351</v>
      </c>
      <c r="H322">
        <v>0.95925813135893445</v>
      </c>
      <c r="I322">
        <v>0.92094861660079053</v>
      </c>
      <c r="J322">
        <v>9276527.2608695645</v>
      </c>
      <c r="K322">
        <v>48365</v>
      </c>
      <c r="L322">
        <v>2</v>
      </c>
      <c r="M322">
        <v>147</v>
      </c>
      <c r="N322">
        <v>0.91547582851930676</v>
      </c>
      <c r="O322">
        <v>8935179.173913043</v>
      </c>
      <c r="P322">
        <v>48990</v>
      </c>
      <c r="Q322">
        <v>2</v>
      </c>
      <c r="R322">
        <v>148</v>
      </c>
      <c r="S322">
        <v>11.711719274680995</v>
      </c>
      <c r="T322">
        <v>0.9656330664952596</v>
      </c>
      <c r="W322">
        <f>Tabela6[[#This Row],[mlp_params]]</f>
        <v>48365</v>
      </c>
      <c r="X322">
        <f>Tabela6[[#This Row],[mlp_test_acc]]</f>
        <v>0.92094861660079053</v>
      </c>
      <c r="Y322">
        <f>Tabela6[[#This Row],[kan_val_acc_1]]</f>
        <v>0.9656330664952596</v>
      </c>
      <c r="Z322">
        <f>Tabela6[[#This Row],[no_steps]]</f>
        <v>11.711719274680995</v>
      </c>
    </row>
    <row r="323" spans="1:26" hidden="1" x14ac:dyDescent="0.25">
      <c r="A323" t="s">
        <v>18</v>
      </c>
      <c r="B323">
        <v>5</v>
      </c>
      <c r="C323">
        <v>3</v>
      </c>
      <c r="D323">
        <v>0</v>
      </c>
      <c r="E323" t="s">
        <v>82</v>
      </c>
      <c r="F323">
        <v>30220</v>
      </c>
      <c r="G323">
        <v>39458081.454545453</v>
      </c>
      <c r="H323">
        <v>0.95359186150810937</v>
      </c>
      <c r="I323">
        <v>0.91862682771773685</v>
      </c>
      <c r="J323">
        <v>8799147.7272727266</v>
      </c>
      <c r="K323">
        <v>48990</v>
      </c>
      <c r="L323">
        <v>2</v>
      </c>
      <c r="M323">
        <v>148</v>
      </c>
      <c r="N323">
        <v>0.91862682771773685</v>
      </c>
      <c r="O323">
        <v>9811034</v>
      </c>
      <c r="P323">
        <v>49619</v>
      </c>
      <c r="Q323">
        <v>2</v>
      </c>
      <c r="R323">
        <v>149</v>
      </c>
      <c r="S323">
        <v>11.712585889056477</v>
      </c>
      <c r="T323">
        <v>0.96511628031730656</v>
      </c>
      <c r="W323">
        <f>Tabela6[[#This Row],[mlp_params]]</f>
        <v>48990</v>
      </c>
      <c r="X323">
        <f>Tabela6[[#This Row],[mlp_test_acc]]</f>
        <v>0.91862682771773685</v>
      </c>
      <c r="Y323">
        <f>Tabela6[[#This Row],[kan_val_acc_1]]</f>
        <v>0.96511628031730656</v>
      </c>
      <c r="Z323">
        <f>Tabela6[[#This Row],[no_steps]]</f>
        <v>11.712585889056477</v>
      </c>
    </row>
    <row r="324" spans="1:26" hidden="1" x14ac:dyDescent="0.25">
      <c r="A324" t="s">
        <v>18</v>
      </c>
      <c r="B324">
        <v>5</v>
      </c>
      <c r="C324">
        <v>3</v>
      </c>
      <c r="D324">
        <v>0</v>
      </c>
      <c r="E324" t="s">
        <v>37</v>
      </c>
      <c r="F324">
        <v>30406</v>
      </c>
      <c r="G324">
        <v>40521348.956521742</v>
      </c>
      <c r="H324">
        <v>0.96229856428892713</v>
      </c>
      <c r="I324">
        <v>0.91836424445120102</v>
      </c>
      <c r="J324">
        <v>9257306.0434782617</v>
      </c>
      <c r="K324">
        <v>49619</v>
      </c>
      <c r="L324">
        <v>2</v>
      </c>
      <c r="M324">
        <v>149</v>
      </c>
      <c r="N324">
        <v>0.91653998175737306</v>
      </c>
      <c r="O324">
        <v>9214086.5434782617</v>
      </c>
      <c r="P324">
        <v>50252</v>
      </c>
      <c r="Q324">
        <v>2</v>
      </c>
      <c r="R324">
        <v>150</v>
      </c>
      <c r="S324">
        <v>11.715616164975886</v>
      </c>
      <c r="T324">
        <v>0.96330748399098709</v>
      </c>
      <c r="W324">
        <f>Tabela6[[#This Row],[mlp_params]]</f>
        <v>49619</v>
      </c>
      <c r="X324">
        <f>Tabela6[[#This Row],[mlp_test_acc]]</f>
        <v>0.91836424445120102</v>
      </c>
      <c r="Y324">
        <f>Tabela6[[#This Row],[kan_val_acc_1]]</f>
        <v>0.96330748399098709</v>
      </c>
      <c r="Z324">
        <f>Tabela6[[#This Row],[no_steps]]</f>
        <v>11.715616164975886</v>
      </c>
    </row>
    <row r="325" spans="1:26" hidden="1" x14ac:dyDescent="0.25">
      <c r="A325" t="s">
        <v>18</v>
      </c>
      <c r="B325">
        <v>5</v>
      </c>
      <c r="C325">
        <v>3</v>
      </c>
      <c r="D325">
        <v>0</v>
      </c>
      <c r="E325" t="s">
        <v>83</v>
      </c>
      <c r="F325">
        <v>31102</v>
      </c>
      <c r="G325">
        <v>41907537.545454547</v>
      </c>
      <c r="H325">
        <v>0.96058486808430066</v>
      </c>
      <c r="I325">
        <v>0.92116973935155755</v>
      </c>
      <c r="J325">
        <v>8229017.2727272725</v>
      </c>
      <c r="K325">
        <v>50252</v>
      </c>
      <c r="L325">
        <v>2</v>
      </c>
      <c r="M325">
        <v>150</v>
      </c>
      <c r="N325">
        <v>0.91862682771773685</v>
      </c>
      <c r="O325">
        <v>9368710.2727272734</v>
      </c>
      <c r="P325">
        <v>50889</v>
      </c>
      <c r="Q325">
        <v>2</v>
      </c>
      <c r="R325">
        <v>151</v>
      </c>
      <c r="S325">
        <v>11.716965471447542</v>
      </c>
      <c r="T325">
        <v>0.96976743936538701</v>
      </c>
      <c r="W325">
        <f>Tabela6[[#This Row],[mlp_params]]</f>
        <v>50252</v>
      </c>
      <c r="X325">
        <f>Tabela6[[#This Row],[mlp_test_acc]]</f>
        <v>0.92116973935155755</v>
      </c>
      <c r="Y325">
        <f>Tabela6[[#This Row],[kan_val_acc_1]]</f>
        <v>0.96976743936538701</v>
      </c>
      <c r="Z325">
        <f>Tabela6[[#This Row],[no_steps]]</f>
        <v>11.716965471447542</v>
      </c>
    </row>
    <row r="326" spans="1:26" hidden="1" x14ac:dyDescent="0.25">
      <c r="A326" t="s">
        <v>18</v>
      </c>
      <c r="B326">
        <v>5</v>
      </c>
      <c r="C326">
        <v>3</v>
      </c>
      <c r="D326">
        <v>0</v>
      </c>
      <c r="E326" t="s">
        <v>69</v>
      </c>
      <c r="F326">
        <v>31192</v>
      </c>
      <c r="G326">
        <v>42506629.586956523</v>
      </c>
      <c r="H326">
        <v>0.95408938630767492</v>
      </c>
      <c r="I326">
        <v>0.92140468227424754</v>
      </c>
      <c r="J326">
        <v>9061945.1086956523</v>
      </c>
      <c r="K326">
        <v>50889</v>
      </c>
      <c r="L326">
        <v>2</v>
      </c>
      <c r="M326">
        <v>151</v>
      </c>
      <c r="N326">
        <v>0.92110063849194279</v>
      </c>
      <c r="O326">
        <v>9777457.2173913047</v>
      </c>
      <c r="P326">
        <v>51530</v>
      </c>
      <c r="Q326">
        <v>2</v>
      </c>
      <c r="R326">
        <v>152</v>
      </c>
      <c r="S326">
        <v>11.71993410214168</v>
      </c>
      <c r="T326">
        <v>0.96485787630081177</v>
      </c>
      <c r="W326">
        <f>Tabela6[[#This Row],[mlp_params]]</f>
        <v>50889</v>
      </c>
      <c r="X326">
        <f>Tabela6[[#This Row],[mlp_test_acc]]</f>
        <v>0.92140468227424754</v>
      </c>
      <c r="Y326">
        <f>Tabela6[[#This Row],[kan_val_acc_1]]</f>
        <v>0.96485787630081177</v>
      </c>
      <c r="Z326">
        <f>Tabela6[[#This Row],[no_steps]]</f>
        <v>11.71993410214168</v>
      </c>
    </row>
    <row r="327" spans="1:26" hidden="1" x14ac:dyDescent="0.25">
      <c r="A327" t="s">
        <v>18</v>
      </c>
      <c r="B327">
        <v>5</v>
      </c>
      <c r="C327">
        <v>3</v>
      </c>
      <c r="D327">
        <v>0</v>
      </c>
      <c r="E327" t="s">
        <v>52</v>
      </c>
      <c r="F327">
        <v>31594</v>
      </c>
      <c r="G327">
        <v>43001014.636363633</v>
      </c>
      <c r="H327">
        <v>0.94787030870264222</v>
      </c>
      <c r="I327">
        <v>0.92053401144310232</v>
      </c>
      <c r="J327">
        <v>8975148</v>
      </c>
      <c r="K327">
        <v>51530</v>
      </c>
      <c r="L327">
        <v>2</v>
      </c>
      <c r="M327">
        <v>152</v>
      </c>
      <c r="N327">
        <v>0.91926255562619197</v>
      </c>
      <c r="O327">
        <v>9731694.9090909082</v>
      </c>
      <c r="P327">
        <v>52175</v>
      </c>
      <c r="Q327">
        <v>2</v>
      </c>
      <c r="R327">
        <v>153</v>
      </c>
      <c r="S327">
        <v>11.721756290083867</v>
      </c>
      <c r="T327">
        <v>0.96162790060043335</v>
      </c>
      <c r="W327">
        <f>Tabela6[[#This Row],[mlp_params]]</f>
        <v>51530</v>
      </c>
      <c r="X327">
        <f>Tabela6[[#This Row],[mlp_test_acc]]</f>
        <v>0.92053401144310232</v>
      </c>
      <c r="Y327">
        <f>Tabela6[[#This Row],[kan_val_acc_1]]</f>
        <v>0.96162790060043335</v>
      </c>
      <c r="Z327">
        <f>Tabela6[[#This Row],[no_steps]]</f>
        <v>11.721756290083867</v>
      </c>
    </row>
    <row r="328" spans="1:26" hidden="1" x14ac:dyDescent="0.25">
      <c r="A328" t="s">
        <v>18</v>
      </c>
      <c r="B328">
        <v>5</v>
      </c>
      <c r="C328">
        <v>3</v>
      </c>
      <c r="D328">
        <v>0</v>
      </c>
      <c r="E328" t="s">
        <v>84</v>
      </c>
      <c r="F328">
        <v>31984</v>
      </c>
      <c r="G328">
        <v>42976583.619047619</v>
      </c>
      <c r="H328">
        <v>0.95437894832520254</v>
      </c>
      <c r="I328">
        <v>0.91674991674991679</v>
      </c>
      <c r="J328">
        <v>9002225.5238095243</v>
      </c>
      <c r="K328">
        <v>52175</v>
      </c>
      <c r="L328">
        <v>2</v>
      </c>
      <c r="M328">
        <v>153</v>
      </c>
      <c r="N328">
        <v>0.92007992007992012</v>
      </c>
      <c r="O328">
        <v>10413509.904761905</v>
      </c>
      <c r="P328">
        <v>52824</v>
      </c>
      <c r="Q328">
        <v>2</v>
      </c>
      <c r="R328">
        <v>154</v>
      </c>
      <c r="S328">
        <v>11.72369714847591</v>
      </c>
      <c r="T328">
        <v>0.96744185984134679</v>
      </c>
      <c r="W328">
        <f>Tabela6[[#This Row],[mlp_params]]</f>
        <v>52175</v>
      </c>
      <c r="X328">
        <f>Tabela6[[#This Row],[mlp_test_acc]]</f>
        <v>0.91674991674991679</v>
      </c>
      <c r="Y328">
        <f>Tabela6[[#This Row],[kan_val_acc_1]]</f>
        <v>0.96744185984134679</v>
      </c>
      <c r="Z328">
        <f>Tabela6[[#This Row],[no_steps]]</f>
        <v>11.72369714847591</v>
      </c>
    </row>
    <row r="329" spans="1:26" hidden="1" x14ac:dyDescent="0.25">
      <c r="A329" t="s">
        <v>18</v>
      </c>
      <c r="B329">
        <v>5</v>
      </c>
      <c r="C329">
        <v>3</v>
      </c>
      <c r="D329">
        <v>0</v>
      </c>
      <c r="E329" t="s">
        <v>53</v>
      </c>
      <c r="F329">
        <v>32344</v>
      </c>
      <c r="G329">
        <v>43009683.07692308</v>
      </c>
      <c r="H329">
        <v>0.96557288674207831</v>
      </c>
      <c r="I329">
        <v>0.92173211403980637</v>
      </c>
      <c r="J329">
        <v>9617103.4230769239</v>
      </c>
      <c r="K329">
        <v>52824</v>
      </c>
      <c r="L329">
        <v>2</v>
      </c>
      <c r="M329">
        <v>154</v>
      </c>
      <c r="N329">
        <v>0.92442173211403977</v>
      </c>
      <c r="O329">
        <v>10502743.115384616</v>
      </c>
      <c r="P329">
        <v>53477</v>
      </c>
      <c r="Q329">
        <v>2</v>
      </c>
      <c r="R329">
        <v>155</v>
      </c>
      <c r="S329">
        <v>11.725685378590079</v>
      </c>
      <c r="T329">
        <v>0.96883719921112066</v>
      </c>
      <c r="W329">
        <f>Tabela6[[#This Row],[mlp_params]]</f>
        <v>52824</v>
      </c>
      <c r="X329">
        <f>Tabela6[[#This Row],[mlp_test_acc]]</f>
        <v>0.92173211403980637</v>
      </c>
      <c r="Y329">
        <f>Tabela6[[#This Row],[kan_val_acc_1]]</f>
        <v>0.96883719921112066</v>
      </c>
      <c r="Z329">
        <f>Tabela6[[#This Row],[no_steps]]</f>
        <v>11.725685378590079</v>
      </c>
    </row>
    <row r="330" spans="1:26" hidden="1" x14ac:dyDescent="0.25">
      <c r="A330" t="s">
        <v>18</v>
      </c>
      <c r="B330">
        <v>5</v>
      </c>
      <c r="C330">
        <v>3</v>
      </c>
      <c r="D330">
        <v>0</v>
      </c>
      <c r="E330" t="s">
        <v>85</v>
      </c>
      <c r="F330">
        <v>32866</v>
      </c>
      <c r="G330">
        <v>46187575.047619045</v>
      </c>
      <c r="H330">
        <v>0.96370296251206167</v>
      </c>
      <c r="I330">
        <v>0.91375291375291379</v>
      </c>
      <c r="J330">
        <v>8766985.5238095243</v>
      </c>
      <c r="K330">
        <v>53477</v>
      </c>
      <c r="L330">
        <v>2</v>
      </c>
      <c r="M330">
        <v>155</v>
      </c>
      <c r="N330">
        <v>0.91708291708291712</v>
      </c>
      <c r="O330">
        <v>9593733.5238095243</v>
      </c>
      <c r="P330">
        <v>54134</v>
      </c>
      <c r="Q330">
        <v>2</v>
      </c>
      <c r="R330">
        <v>156</v>
      </c>
      <c r="S330">
        <v>11.7297121483168</v>
      </c>
      <c r="T330">
        <v>0.96569766998291018</v>
      </c>
      <c r="W330">
        <f>Tabela6[[#This Row],[mlp_params]]</f>
        <v>53477</v>
      </c>
      <c r="X330">
        <f>Tabela6[[#This Row],[mlp_test_acc]]</f>
        <v>0.91375291375291379</v>
      </c>
      <c r="Y330">
        <f>Tabela6[[#This Row],[kan_val_acc_1]]</f>
        <v>0.96569766998291018</v>
      </c>
      <c r="Z330">
        <f>Tabela6[[#This Row],[no_steps]]</f>
        <v>11.7297121483168</v>
      </c>
    </row>
    <row r="331" spans="1:26" hidden="1" x14ac:dyDescent="0.25">
      <c r="A331" t="s">
        <v>18</v>
      </c>
      <c r="B331">
        <v>5</v>
      </c>
      <c r="C331">
        <v>3</v>
      </c>
      <c r="D331">
        <v>0</v>
      </c>
      <c r="E331" t="s">
        <v>63</v>
      </c>
      <c r="F331">
        <v>33488</v>
      </c>
      <c r="G331">
        <v>44661559.777777776</v>
      </c>
      <c r="H331">
        <v>0.96114995910061729</v>
      </c>
      <c r="I331">
        <v>0.92443667443667443</v>
      </c>
      <c r="J331">
        <v>8614843.75</v>
      </c>
      <c r="K331">
        <v>54134</v>
      </c>
      <c r="L331">
        <v>2</v>
      </c>
      <c r="M331">
        <v>156</v>
      </c>
      <c r="N331">
        <v>0.92560217560217561</v>
      </c>
      <c r="O331">
        <v>10468384.166666666</v>
      </c>
      <c r="P331">
        <v>54795</v>
      </c>
      <c r="Q331">
        <v>2</v>
      </c>
      <c r="R331">
        <v>157</v>
      </c>
      <c r="S331">
        <v>11.73290218270008</v>
      </c>
      <c r="T331">
        <v>0.96478404487882341</v>
      </c>
      <c r="W331">
        <f>Tabela6[[#This Row],[mlp_params]]</f>
        <v>54134</v>
      </c>
      <c r="X331">
        <f>Tabela6[[#This Row],[mlp_test_acc]]</f>
        <v>0.92443667443667443</v>
      </c>
      <c r="Y331">
        <f>Tabela6[[#This Row],[kan_val_acc_1]]</f>
        <v>0.96478404487882341</v>
      </c>
      <c r="Z331">
        <f>Tabela6[[#This Row],[no_steps]]</f>
        <v>11.73290218270008</v>
      </c>
    </row>
    <row r="332" spans="1:26" hidden="1" x14ac:dyDescent="0.25">
      <c r="A332" t="s">
        <v>18</v>
      </c>
      <c r="B332">
        <v>5</v>
      </c>
      <c r="C332">
        <v>3</v>
      </c>
      <c r="D332">
        <v>0</v>
      </c>
      <c r="E332" t="s">
        <v>86</v>
      </c>
      <c r="F332">
        <v>33748</v>
      </c>
      <c r="G332">
        <v>47360404.81818182</v>
      </c>
      <c r="H332">
        <v>0.96249204874038696</v>
      </c>
      <c r="I332">
        <v>0.92053401144310232</v>
      </c>
      <c r="J332">
        <v>8964375.8181818184</v>
      </c>
      <c r="K332">
        <v>54795</v>
      </c>
      <c r="L332">
        <v>2</v>
      </c>
      <c r="M332">
        <v>157</v>
      </c>
      <c r="N332">
        <v>0.91926255562619197</v>
      </c>
      <c r="O332">
        <v>9329010.9090909082</v>
      </c>
      <c r="P332">
        <v>55460</v>
      </c>
      <c r="Q332">
        <v>2</v>
      </c>
      <c r="R332">
        <v>158</v>
      </c>
      <c r="S332">
        <v>11.734667527437056</v>
      </c>
      <c r="T332">
        <v>0.96976744532585146</v>
      </c>
      <c r="W332">
        <f>Tabela6[[#This Row],[mlp_params]]</f>
        <v>54795</v>
      </c>
      <c r="X332">
        <f>Tabela6[[#This Row],[mlp_test_acc]]</f>
        <v>0.92053401144310232</v>
      </c>
      <c r="Y332">
        <f>Tabela6[[#This Row],[kan_val_acc_1]]</f>
        <v>0.96976744532585146</v>
      </c>
      <c r="Z332">
        <f>Tabela6[[#This Row],[no_steps]]</f>
        <v>11.734667527437056</v>
      </c>
    </row>
    <row r="333" spans="1:26" hidden="1" x14ac:dyDescent="0.25">
      <c r="A333" t="s">
        <v>18</v>
      </c>
      <c r="B333">
        <v>5</v>
      </c>
      <c r="C333">
        <v>3</v>
      </c>
      <c r="D333">
        <v>0</v>
      </c>
      <c r="E333" t="s">
        <v>64</v>
      </c>
      <c r="F333">
        <v>34282</v>
      </c>
      <c r="G333">
        <v>39749483.846153848</v>
      </c>
      <c r="H333">
        <v>0.96476600261834955</v>
      </c>
      <c r="I333">
        <v>0.92630446476600325</v>
      </c>
      <c r="J333">
        <v>9682042.9230769239</v>
      </c>
      <c r="K333">
        <v>55460</v>
      </c>
      <c r="L333">
        <v>2</v>
      </c>
      <c r="M333">
        <v>158</v>
      </c>
      <c r="N333">
        <v>0.92899408284023666</v>
      </c>
      <c r="O333">
        <v>10617397.307692308</v>
      </c>
      <c r="P333">
        <v>56129</v>
      </c>
      <c r="Q333">
        <v>2</v>
      </c>
      <c r="R333">
        <v>159</v>
      </c>
      <c r="S333">
        <v>11.730633236901317</v>
      </c>
      <c r="T333">
        <v>0.96465114593505863</v>
      </c>
      <c r="W333">
        <f>Tabela6[[#This Row],[mlp_params]]</f>
        <v>55460</v>
      </c>
      <c r="X333">
        <f>Tabela6[[#This Row],[mlp_test_acc]]</f>
        <v>0.92630446476600325</v>
      </c>
      <c r="Y333">
        <f>Tabela6[[#This Row],[kan_val_acc_1]]</f>
        <v>0.96465114593505863</v>
      </c>
      <c r="Z333">
        <f>Tabela6[[#This Row],[no_steps]]</f>
        <v>11.730633236901317</v>
      </c>
    </row>
    <row r="334" spans="1:26" hidden="1" x14ac:dyDescent="0.25">
      <c r="A334" t="s">
        <v>18</v>
      </c>
      <c r="B334">
        <v>5</v>
      </c>
      <c r="C334">
        <v>3</v>
      </c>
      <c r="D334">
        <v>0</v>
      </c>
      <c r="E334" t="s">
        <v>87</v>
      </c>
      <c r="F334">
        <v>34630</v>
      </c>
      <c r="G334">
        <v>48490587.81818182</v>
      </c>
      <c r="H334">
        <v>0.95994914119893859</v>
      </c>
      <c r="I334">
        <v>0.91481246026700569</v>
      </c>
      <c r="J334">
        <v>8596672.4545454551</v>
      </c>
      <c r="K334">
        <v>56129</v>
      </c>
      <c r="L334">
        <v>2</v>
      </c>
      <c r="M334">
        <v>159</v>
      </c>
      <c r="N334">
        <v>0.91799109980928162</v>
      </c>
      <c r="O334">
        <v>10068268.090909092</v>
      </c>
      <c r="P334">
        <v>56802</v>
      </c>
      <c r="Q334">
        <v>2</v>
      </c>
      <c r="R334">
        <v>160</v>
      </c>
      <c r="S334">
        <v>11.733675597625542</v>
      </c>
      <c r="T334">
        <v>0.96744186282157896</v>
      </c>
      <c r="W334">
        <f>Tabela6[[#This Row],[mlp_params]]</f>
        <v>56129</v>
      </c>
      <c r="X334">
        <f>Tabela6[[#This Row],[mlp_test_acc]]</f>
        <v>0.91481246026700569</v>
      </c>
      <c r="Y334">
        <f>Tabela6[[#This Row],[kan_val_acc_1]]</f>
        <v>0.96744186282157896</v>
      </c>
      <c r="Z334">
        <f>Tabela6[[#This Row],[no_steps]]</f>
        <v>11.733675597625542</v>
      </c>
    </row>
    <row r="335" spans="1:26" hidden="1" x14ac:dyDescent="0.25">
      <c r="A335" t="s">
        <v>18</v>
      </c>
      <c r="B335">
        <v>5</v>
      </c>
      <c r="C335">
        <v>3</v>
      </c>
      <c r="D335">
        <v>0</v>
      </c>
      <c r="E335" t="s">
        <v>65</v>
      </c>
      <c r="F335">
        <v>35076</v>
      </c>
      <c r="G335">
        <v>44186909.346153848</v>
      </c>
      <c r="H335">
        <v>0.96584184582416832</v>
      </c>
      <c r="I335">
        <v>0.92442173211403977</v>
      </c>
      <c r="J335">
        <v>9190040.038461538</v>
      </c>
      <c r="K335">
        <v>56802</v>
      </c>
      <c r="L335">
        <v>2</v>
      </c>
      <c r="M335">
        <v>160</v>
      </c>
      <c r="N335">
        <v>0.92738031199569659</v>
      </c>
      <c r="O335">
        <v>9858559.0769230761</v>
      </c>
      <c r="P335">
        <v>57479</v>
      </c>
      <c r="Q335">
        <v>2</v>
      </c>
      <c r="R335">
        <v>161</v>
      </c>
      <c r="S335">
        <v>11.732704904936892</v>
      </c>
      <c r="T335">
        <v>0.96139533758163453</v>
      </c>
      <c r="W335">
        <f>Tabela6[[#This Row],[mlp_params]]</f>
        <v>56802</v>
      </c>
      <c r="X335">
        <f>Tabela6[[#This Row],[mlp_test_acc]]</f>
        <v>0.92442173211403977</v>
      </c>
      <c r="Y335">
        <f>Tabela6[[#This Row],[kan_val_acc_1]]</f>
        <v>0.96139533758163453</v>
      </c>
      <c r="Z335">
        <f>Tabela6[[#This Row],[no_steps]]</f>
        <v>11.732704904936892</v>
      </c>
    </row>
    <row r="336" spans="1:26" hidden="1" x14ac:dyDescent="0.25">
      <c r="A336" t="s">
        <v>18</v>
      </c>
      <c r="B336">
        <v>5</v>
      </c>
      <c r="C336">
        <v>3</v>
      </c>
      <c r="D336">
        <v>0</v>
      </c>
      <c r="E336" t="s">
        <v>88</v>
      </c>
      <c r="F336">
        <v>35512</v>
      </c>
      <c r="G336">
        <v>45676828.090909094</v>
      </c>
      <c r="H336">
        <v>0.95295612378553907</v>
      </c>
      <c r="I336">
        <v>0.9198982835346472</v>
      </c>
      <c r="J336">
        <v>10176909.181818182</v>
      </c>
      <c r="K336">
        <v>57479</v>
      </c>
      <c r="L336">
        <v>2</v>
      </c>
      <c r="M336">
        <v>161</v>
      </c>
      <c r="N336">
        <v>0.92116973935155755</v>
      </c>
      <c r="O336">
        <v>9350269.7272727266</v>
      </c>
      <c r="P336">
        <v>58160</v>
      </c>
      <c r="Q336">
        <v>2</v>
      </c>
      <c r="R336">
        <v>162</v>
      </c>
      <c r="S336">
        <v>11.733173843700159</v>
      </c>
      <c r="T336">
        <v>0.96395347714424129</v>
      </c>
      <c r="W336">
        <f>Tabela6[[#This Row],[mlp_params]]</f>
        <v>57479</v>
      </c>
      <c r="X336">
        <f>Tabela6[[#This Row],[mlp_test_acc]]</f>
        <v>0.9198982835346472</v>
      </c>
      <c r="Y336">
        <f>Tabela6[[#This Row],[kan_val_acc_1]]</f>
        <v>0.96395347714424129</v>
      </c>
      <c r="Z336">
        <f>Tabela6[[#This Row],[no_steps]]</f>
        <v>11.733173843700159</v>
      </c>
    </row>
    <row r="337" spans="1:26" hidden="1" x14ac:dyDescent="0.25">
      <c r="A337" t="s">
        <v>18</v>
      </c>
      <c r="B337">
        <v>5</v>
      </c>
      <c r="C337">
        <v>3</v>
      </c>
      <c r="D337">
        <v>0</v>
      </c>
      <c r="E337" t="s">
        <v>89</v>
      </c>
      <c r="F337">
        <v>36394</v>
      </c>
      <c r="G337">
        <v>48693561.384615384</v>
      </c>
      <c r="H337">
        <v>0.96880042323699367</v>
      </c>
      <c r="I337">
        <v>0.92469069392146319</v>
      </c>
      <c r="J337">
        <v>9338750.4230769239</v>
      </c>
      <c r="K337">
        <v>58845</v>
      </c>
      <c r="L337">
        <v>2</v>
      </c>
      <c r="M337">
        <v>163</v>
      </c>
      <c r="N337">
        <v>0.92442173211403977</v>
      </c>
      <c r="O337">
        <v>10218668.923076924</v>
      </c>
      <c r="P337">
        <v>59534</v>
      </c>
      <c r="Q337">
        <v>2</v>
      </c>
      <c r="R337">
        <v>164</v>
      </c>
      <c r="S337">
        <v>11.736340533672173</v>
      </c>
      <c r="T337">
        <v>0.96465115308761595</v>
      </c>
      <c r="W337">
        <f>Tabela6[[#This Row],[mlp_params]]</f>
        <v>58845</v>
      </c>
      <c r="X337">
        <f>Tabela6[[#This Row],[mlp_test_acc]]</f>
        <v>0.92469069392146319</v>
      </c>
      <c r="Y337">
        <f>Tabela6[[#This Row],[kan_val_acc_1]]</f>
        <v>0.96465115308761595</v>
      </c>
      <c r="Z337">
        <f>Tabela6[[#This Row],[no_steps]]</f>
        <v>11.736340533672173</v>
      </c>
    </row>
    <row r="338" spans="1:26" hidden="1" x14ac:dyDescent="0.25">
      <c r="A338" t="s">
        <v>18</v>
      </c>
      <c r="B338">
        <v>5</v>
      </c>
      <c r="C338">
        <v>3</v>
      </c>
      <c r="D338">
        <v>0</v>
      </c>
      <c r="E338" t="s">
        <v>75</v>
      </c>
      <c r="F338">
        <v>37058</v>
      </c>
      <c r="G338">
        <v>49251077.807692304</v>
      </c>
      <c r="H338">
        <v>0.96691769361495972</v>
      </c>
      <c r="I338">
        <v>0.92173211403980637</v>
      </c>
      <c r="J338">
        <v>9510371.5769230761</v>
      </c>
      <c r="K338">
        <v>60227</v>
      </c>
      <c r="L338">
        <v>2</v>
      </c>
      <c r="M338">
        <v>165</v>
      </c>
      <c r="N338">
        <v>0.9249596557288865</v>
      </c>
      <c r="O338">
        <v>10797644.576923076</v>
      </c>
      <c r="P338">
        <v>60924</v>
      </c>
      <c r="Q338">
        <v>2</v>
      </c>
      <c r="R338">
        <v>166</v>
      </c>
      <c r="S338">
        <v>11.738690287883582</v>
      </c>
      <c r="T338">
        <v>0.96418603897094723</v>
      </c>
      <c r="W338">
        <f>Tabela6[[#This Row],[mlp_params]]</f>
        <v>60227</v>
      </c>
      <c r="X338">
        <f>Tabela6[[#This Row],[mlp_test_acc]]</f>
        <v>0.92173211403980637</v>
      </c>
      <c r="Y338">
        <f>Tabela6[[#This Row],[kan_val_acc_1]]</f>
        <v>0.96418603897094723</v>
      </c>
      <c r="Z338">
        <f>Tabela6[[#This Row],[no_steps]]</f>
        <v>11.738690287883582</v>
      </c>
    </row>
    <row r="339" spans="1:26" hidden="1" x14ac:dyDescent="0.25">
      <c r="A339" t="s">
        <v>18</v>
      </c>
      <c r="B339">
        <v>5</v>
      </c>
      <c r="C339">
        <v>3</v>
      </c>
      <c r="D339">
        <v>0</v>
      </c>
      <c r="E339" t="s">
        <v>90</v>
      </c>
      <c r="F339">
        <v>37276</v>
      </c>
      <c r="G339">
        <v>47396724.083333336</v>
      </c>
      <c r="H339">
        <v>0.95979019999504089</v>
      </c>
      <c r="I339">
        <v>0.91958041958041958</v>
      </c>
      <c r="J339">
        <v>9708532.833333334</v>
      </c>
      <c r="K339">
        <v>60924</v>
      </c>
      <c r="L339">
        <v>2</v>
      </c>
      <c r="M339">
        <v>166</v>
      </c>
      <c r="N339">
        <v>0.92365967365967361</v>
      </c>
      <c r="O339">
        <v>11288018.5</v>
      </c>
      <c r="P339">
        <v>61625</v>
      </c>
      <c r="Q339">
        <v>2</v>
      </c>
      <c r="R339">
        <v>167</v>
      </c>
      <c r="S339">
        <v>11.738869592674455</v>
      </c>
      <c r="T339">
        <v>0.96934459426186304</v>
      </c>
      <c r="W339">
        <f>Tabela6[[#This Row],[mlp_params]]</f>
        <v>60924</v>
      </c>
      <c r="X339">
        <f>Tabela6[[#This Row],[mlp_test_acc]]</f>
        <v>0.91958041958041958</v>
      </c>
      <c r="Y339">
        <f>Tabela6[[#This Row],[kan_val_acc_1]]</f>
        <v>0.96934459426186304</v>
      </c>
      <c r="Z339">
        <f>Tabela6[[#This Row],[no_steps]]</f>
        <v>11.738869592674455</v>
      </c>
    </row>
    <row r="340" spans="1:26" hidden="1" x14ac:dyDescent="0.25">
      <c r="A340" t="s">
        <v>18</v>
      </c>
      <c r="B340">
        <v>5</v>
      </c>
      <c r="C340">
        <v>3</v>
      </c>
      <c r="D340">
        <v>0</v>
      </c>
      <c r="E340" t="s">
        <v>91</v>
      </c>
      <c r="F340">
        <v>38158</v>
      </c>
      <c r="G340">
        <v>46565819</v>
      </c>
      <c r="H340">
        <v>0.95541958138346672</v>
      </c>
      <c r="I340">
        <v>0.9226398601398601</v>
      </c>
      <c r="J340">
        <v>11300593.4375</v>
      </c>
      <c r="K340">
        <v>62330</v>
      </c>
      <c r="L340">
        <v>2</v>
      </c>
      <c r="M340">
        <v>168</v>
      </c>
      <c r="N340">
        <v>0.92788461538461542</v>
      </c>
      <c r="O340">
        <v>11239090.4375</v>
      </c>
      <c r="P340">
        <v>63039</v>
      </c>
      <c r="Q340">
        <v>2</v>
      </c>
      <c r="R340">
        <v>169</v>
      </c>
      <c r="S340">
        <v>11.73748031496063</v>
      </c>
      <c r="T340">
        <v>0.9596899151802063</v>
      </c>
      <c r="W340">
        <f>Tabela6[[#This Row],[mlp_params]]</f>
        <v>62330</v>
      </c>
      <c r="X340">
        <f>Tabela6[[#This Row],[mlp_test_acc]]</f>
        <v>0.9226398601398601</v>
      </c>
      <c r="Y340">
        <f>Tabela6[[#This Row],[kan_val_acc_1]]</f>
        <v>0.9596899151802063</v>
      </c>
      <c r="Z340">
        <f>Tabela6[[#This Row],[no_steps]]</f>
        <v>11.73748031496063</v>
      </c>
    </row>
    <row r="341" spans="1:26" hidden="1" x14ac:dyDescent="0.25">
      <c r="A341" t="s">
        <v>18</v>
      </c>
      <c r="B341">
        <v>5</v>
      </c>
      <c r="C341">
        <v>3</v>
      </c>
      <c r="D341">
        <v>0</v>
      </c>
      <c r="E341" t="s">
        <v>92</v>
      </c>
      <c r="F341">
        <v>39040</v>
      </c>
      <c r="G341">
        <v>47949346.3125</v>
      </c>
      <c r="H341">
        <v>0.98251747339963913</v>
      </c>
      <c r="I341">
        <v>0.93531468531468531</v>
      </c>
      <c r="J341">
        <v>11360059.9375</v>
      </c>
      <c r="K341">
        <v>63752</v>
      </c>
      <c r="L341">
        <v>2</v>
      </c>
      <c r="M341">
        <v>170</v>
      </c>
      <c r="N341">
        <v>0.93094405594405594</v>
      </c>
      <c r="O341">
        <v>11417198.875</v>
      </c>
      <c r="P341">
        <v>64469</v>
      </c>
      <c r="Q341">
        <v>2</v>
      </c>
      <c r="R341">
        <v>171</v>
      </c>
      <c r="S341">
        <v>11.736255105246622</v>
      </c>
      <c r="T341">
        <v>0.95736434062321984</v>
      </c>
      <c r="W341">
        <f>Tabela6[[#This Row],[mlp_params]]</f>
        <v>63752</v>
      </c>
      <c r="X341">
        <f>Tabela6[[#This Row],[mlp_test_acc]]</f>
        <v>0.93531468531468531</v>
      </c>
      <c r="Y341">
        <f>Tabela6[[#This Row],[kan_val_acc_1]]</f>
        <v>0.95736434062321984</v>
      </c>
      <c r="Z341">
        <f>Tabela6[[#This Row],[no_steps]]</f>
        <v>11.736255105246622</v>
      </c>
    </row>
    <row r="342" spans="1:26" hidden="1" x14ac:dyDescent="0.25">
      <c r="A342" t="s">
        <v>18</v>
      </c>
      <c r="B342">
        <v>5</v>
      </c>
      <c r="C342">
        <v>3</v>
      </c>
      <c r="D342">
        <v>0</v>
      </c>
      <c r="E342" t="s">
        <v>105</v>
      </c>
      <c r="F342">
        <v>7768</v>
      </c>
      <c r="G342">
        <v>45019947.375</v>
      </c>
      <c r="H342">
        <v>0.96722027286887169</v>
      </c>
      <c r="I342">
        <v>0.92832167832167833</v>
      </c>
      <c r="J342">
        <v>9964963.0625</v>
      </c>
      <c r="K342">
        <v>12569</v>
      </c>
      <c r="L342">
        <v>2</v>
      </c>
      <c r="M342">
        <v>71</v>
      </c>
      <c r="N342">
        <v>0.93312937062937062</v>
      </c>
      <c r="O342">
        <v>11165666.875</v>
      </c>
      <c r="P342">
        <v>12890</v>
      </c>
      <c r="Q342">
        <v>2</v>
      </c>
      <c r="R342">
        <v>72</v>
      </c>
      <c r="S342">
        <v>11.734095894703854</v>
      </c>
      <c r="T342">
        <v>0.96046510140101116</v>
      </c>
      <c r="W342">
        <f>Tabela6[[#This Row],[mlp_params]]</f>
        <v>12569</v>
      </c>
      <c r="X342">
        <f>Tabela6[[#This Row],[mlp_test_acc]]</f>
        <v>0.92832167832167833</v>
      </c>
      <c r="Y342">
        <f>Tabela6[[#This Row],[kan_val_acc_1]]</f>
        <v>0.96046510140101116</v>
      </c>
      <c r="Z342">
        <f>Tabela6[[#This Row],[no_steps]]</f>
        <v>11.734095894703854</v>
      </c>
    </row>
    <row r="343" spans="1:26" hidden="1" x14ac:dyDescent="0.25">
      <c r="A343" t="s">
        <v>18</v>
      </c>
      <c r="B343">
        <v>5</v>
      </c>
      <c r="C343">
        <v>3</v>
      </c>
      <c r="D343">
        <v>0</v>
      </c>
      <c r="E343" t="s">
        <v>19</v>
      </c>
      <c r="F343">
        <v>8474</v>
      </c>
      <c r="G343">
        <v>12819114.272727273</v>
      </c>
      <c r="H343">
        <v>0.95994914119893859</v>
      </c>
      <c r="I343">
        <v>0.9173553719008265</v>
      </c>
      <c r="J343">
        <v>2643071.0909090908</v>
      </c>
      <c r="K343">
        <v>13544</v>
      </c>
      <c r="L343">
        <v>2</v>
      </c>
      <c r="M343">
        <v>74</v>
      </c>
      <c r="N343">
        <v>0.9224411951684679</v>
      </c>
      <c r="O343">
        <v>2346136.5454545454</v>
      </c>
      <c r="P343">
        <v>13877</v>
      </c>
      <c r="Q343">
        <v>2</v>
      </c>
      <c r="R343">
        <v>75</v>
      </c>
      <c r="S343">
        <v>11.732989206945096</v>
      </c>
      <c r="T343">
        <v>0.96627905964851379</v>
      </c>
      <c r="W343">
        <f>Tabela6[[#This Row],[mlp_params]]</f>
        <v>13544</v>
      </c>
      <c r="X343">
        <f>Tabela6[[#This Row],[mlp_test_acc]]</f>
        <v>0.9173553719008265</v>
      </c>
      <c r="Y343">
        <f>Tabela6[[#This Row],[kan_val_acc_1]]</f>
        <v>0.96627905964851379</v>
      </c>
      <c r="Z343">
        <f>Tabela6[[#This Row],[no_steps]]</f>
        <v>11.732989206945096</v>
      </c>
    </row>
    <row r="344" spans="1:26" hidden="1" x14ac:dyDescent="0.25">
      <c r="A344" t="s">
        <v>18</v>
      </c>
      <c r="B344">
        <v>5</v>
      </c>
      <c r="C344">
        <v>3</v>
      </c>
      <c r="D344">
        <v>0</v>
      </c>
      <c r="E344" t="s">
        <v>20</v>
      </c>
      <c r="F344">
        <v>9180</v>
      </c>
      <c r="G344">
        <v>13352122.818181818</v>
      </c>
      <c r="H344">
        <v>0.9529561346227472</v>
      </c>
      <c r="I344">
        <v>0.91926255562619197</v>
      </c>
      <c r="J344">
        <v>2663146.1818181816</v>
      </c>
      <c r="K344">
        <v>14900</v>
      </c>
      <c r="L344">
        <v>2</v>
      </c>
      <c r="M344">
        <v>78</v>
      </c>
      <c r="N344">
        <v>0.9173553719008265</v>
      </c>
      <c r="O344">
        <v>2161542.9090909092</v>
      </c>
      <c r="P344">
        <v>15249</v>
      </c>
      <c r="Q344">
        <v>2</v>
      </c>
      <c r="R344">
        <v>79</v>
      </c>
      <c r="S344">
        <v>11.732042473454092</v>
      </c>
      <c r="T344">
        <v>0.97093021869659424</v>
      </c>
      <c r="W344">
        <f>Tabela6[[#This Row],[mlp_params]]</f>
        <v>14900</v>
      </c>
      <c r="X344">
        <f>Tabela6[[#This Row],[mlp_test_acc]]</f>
        <v>0.91926255562619197</v>
      </c>
      <c r="Y344">
        <f>Tabela6[[#This Row],[kan_val_acc_1]]</f>
        <v>0.97093021869659424</v>
      </c>
      <c r="Z344">
        <f>Tabela6[[#This Row],[no_steps]]</f>
        <v>11.732042473454092</v>
      </c>
    </row>
    <row r="345" spans="1:26" hidden="1" x14ac:dyDescent="0.25">
      <c r="A345" t="s">
        <v>18</v>
      </c>
      <c r="B345">
        <v>5</v>
      </c>
      <c r="C345">
        <v>3</v>
      </c>
      <c r="D345">
        <v>0</v>
      </c>
      <c r="E345" t="s">
        <v>21</v>
      </c>
      <c r="F345">
        <v>9886</v>
      </c>
      <c r="G345">
        <v>14249084.818181818</v>
      </c>
      <c r="H345">
        <v>0.94469167427583178</v>
      </c>
      <c r="I345">
        <v>0.91608391608391615</v>
      </c>
      <c r="J345">
        <v>2589787</v>
      </c>
      <c r="K345">
        <v>15959</v>
      </c>
      <c r="L345">
        <v>2</v>
      </c>
      <c r="M345">
        <v>81</v>
      </c>
      <c r="N345">
        <v>0.92180546726001267</v>
      </c>
      <c r="O345">
        <v>2225724.4545454546</v>
      </c>
      <c r="P345">
        <v>16320</v>
      </c>
      <c r="Q345">
        <v>2</v>
      </c>
      <c r="R345">
        <v>82</v>
      </c>
      <c r="S345">
        <v>11.73141075604053</v>
      </c>
      <c r="T345">
        <v>0.9686046421527863</v>
      </c>
      <c r="W345">
        <f>Tabela6[[#This Row],[mlp_params]]</f>
        <v>15959</v>
      </c>
      <c r="X345">
        <f>Tabela6[[#This Row],[mlp_test_acc]]</f>
        <v>0.91608391608391615</v>
      </c>
      <c r="Y345">
        <f>Tabela6[[#This Row],[kan_val_acc_1]]</f>
        <v>0.9686046421527863</v>
      </c>
      <c r="Z345">
        <f>Tabela6[[#This Row],[no_steps]]</f>
        <v>11.73141075604053</v>
      </c>
    </row>
    <row r="346" spans="1:26" hidden="1" x14ac:dyDescent="0.25">
      <c r="A346" t="s">
        <v>18</v>
      </c>
      <c r="B346">
        <v>5</v>
      </c>
      <c r="C346">
        <v>3</v>
      </c>
      <c r="D346">
        <v>0</v>
      </c>
      <c r="E346" t="s">
        <v>22</v>
      </c>
      <c r="F346">
        <v>10592</v>
      </c>
      <c r="G346">
        <v>11196784.818181818</v>
      </c>
      <c r="H346">
        <v>0.95931341431357642</v>
      </c>
      <c r="I346">
        <v>0.92307692307692313</v>
      </c>
      <c r="J346">
        <v>2240696.5454545454</v>
      </c>
      <c r="K346">
        <v>17054</v>
      </c>
      <c r="L346">
        <v>2</v>
      </c>
      <c r="M346">
        <v>84</v>
      </c>
      <c r="N346">
        <v>0.93134138588684046</v>
      </c>
      <c r="O346">
        <v>2596939.2727272729</v>
      </c>
      <c r="P346">
        <v>17427</v>
      </c>
      <c r="Q346">
        <v>2</v>
      </c>
      <c r="R346">
        <v>85</v>
      </c>
      <c r="S346">
        <v>11.725801431683784</v>
      </c>
      <c r="T346">
        <v>0.9662790715694427</v>
      </c>
      <c r="W346">
        <f>Tabela6[[#This Row],[mlp_params]]</f>
        <v>17054</v>
      </c>
      <c r="X346">
        <f>Tabela6[[#This Row],[mlp_test_acc]]</f>
        <v>0.92307692307692313</v>
      </c>
      <c r="Y346">
        <f>Tabela6[[#This Row],[kan_val_acc_1]]</f>
        <v>0.9662790715694427</v>
      </c>
      <c r="Z346">
        <f>Tabela6[[#This Row],[no_steps]]</f>
        <v>11.725801431683784</v>
      </c>
    </row>
    <row r="347" spans="1:26" hidden="1" x14ac:dyDescent="0.25">
      <c r="A347" t="s">
        <v>18</v>
      </c>
      <c r="B347">
        <v>5</v>
      </c>
      <c r="C347">
        <v>3</v>
      </c>
      <c r="D347">
        <v>0</v>
      </c>
      <c r="E347" t="s">
        <v>39</v>
      </c>
      <c r="F347">
        <v>11298</v>
      </c>
      <c r="G347">
        <v>11819815.181818182</v>
      </c>
      <c r="H347">
        <v>0.95486332069743762</v>
      </c>
      <c r="I347">
        <v>0.92307692307692313</v>
      </c>
      <c r="J347">
        <v>3487164.5454545454</v>
      </c>
      <c r="K347">
        <v>18185</v>
      </c>
      <c r="L347">
        <v>2</v>
      </c>
      <c r="M347">
        <v>87</v>
      </c>
      <c r="N347">
        <v>0.9224411951684679</v>
      </c>
      <c r="O347">
        <v>8177588.1818181816</v>
      </c>
      <c r="P347">
        <v>18570</v>
      </c>
      <c r="Q347">
        <v>2</v>
      </c>
      <c r="R347">
        <v>88</v>
      </c>
      <c r="S347">
        <v>11.721920149137796</v>
      </c>
      <c r="T347">
        <v>0.96279069781303406</v>
      </c>
      <c r="W347">
        <f>Tabela6[[#This Row],[mlp_params]]</f>
        <v>18185</v>
      </c>
      <c r="X347">
        <f>Tabela6[[#This Row],[mlp_test_acc]]</f>
        <v>0.92307692307692313</v>
      </c>
      <c r="Y347">
        <f>Tabela6[[#This Row],[kan_val_acc_1]]</f>
        <v>0.96279069781303406</v>
      </c>
      <c r="Z347">
        <f>Tabela6[[#This Row],[no_steps]]</f>
        <v>11.721920149137796</v>
      </c>
    </row>
    <row r="348" spans="1:26" hidden="1" x14ac:dyDescent="0.25">
      <c r="A348" t="s">
        <v>18</v>
      </c>
      <c r="B348">
        <v>5</v>
      </c>
      <c r="C348">
        <v>3</v>
      </c>
      <c r="D348">
        <v>0</v>
      </c>
      <c r="E348" t="s">
        <v>55</v>
      </c>
      <c r="F348">
        <v>12004</v>
      </c>
      <c r="G348">
        <v>14666954.272727273</v>
      </c>
      <c r="H348">
        <v>0.95168467543341895</v>
      </c>
      <c r="I348">
        <v>0.9198982835346472</v>
      </c>
      <c r="J348">
        <v>8200309.5454545459</v>
      </c>
      <c r="K348">
        <v>19352</v>
      </c>
      <c r="L348">
        <v>2</v>
      </c>
      <c r="M348">
        <v>90</v>
      </c>
      <c r="N348">
        <v>0.91544818817546092</v>
      </c>
      <c r="O348">
        <v>8322038.7272727275</v>
      </c>
      <c r="P348">
        <v>19749</v>
      </c>
      <c r="Q348">
        <v>2</v>
      </c>
      <c r="R348">
        <v>91</v>
      </c>
      <c r="S348">
        <v>11.719137717121589</v>
      </c>
      <c r="T348">
        <v>0.9686046421527863</v>
      </c>
      <c r="W348">
        <f>Tabela6[[#This Row],[mlp_params]]</f>
        <v>19352</v>
      </c>
      <c r="X348">
        <f>Tabela6[[#This Row],[mlp_test_acc]]</f>
        <v>0.9198982835346472</v>
      </c>
      <c r="Y348">
        <f>Tabela6[[#This Row],[kan_val_acc_1]]</f>
        <v>0.9686046421527863</v>
      </c>
      <c r="Z348">
        <f>Tabela6[[#This Row],[no_steps]]</f>
        <v>11.719137717121589</v>
      </c>
    </row>
    <row r="349" spans="1:26" hidden="1" x14ac:dyDescent="0.25">
      <c r="A349" t="s">
        <v>18</v>
      </c>
      <c r="B349">
        <v>5</v>
      </c>
      <c r="C349">
        <v>3</v>
      </c>
      <c r="D349">
        <v>0</v>
      </c>
      <c r="E349" t="s">
        <v>66</v>
      </c>
      <c r="F349">
        <v>12710</v>
      </c>
      <c r="G349">
        <v>15923005.363636363</v>
      </c>
      <c r="H349">
        <v>0.9459631226279519</v>
      </c>
      <c r="I349">
        <v>0.92371265098537825</v>
      </c>
      <c r="J349">
        <v>8441395.8181818184</v>
      </c>
      <c r="K349">
        <v>20555</v>
      </c>
      <c r="L349">
        <v>2</v>
      </c>
      <c r="M349">
        <v>93</v>
      </c>
      <c r="N349">
        <v>0.91799109980928162</v>
      </c>
      <c r="O349">
        <v>9074162.5454545449</v>
      </c>
      <c r="P349">
        <v>20964</v>
      </c>
      <c r="Q349">
        <v>2</v>
      </c>
      <c r="R349">
        <v>94</v>
      </c>
      <c r="S349">
        <v>11.7177581668989</v>
      </c>
      <c r="T349">
        <v>0.9686046421527863</v>
      </c>
      <c r="W349">
        <f>Tabela6[[#This Row],[mlp_params]]</f>
        <v>20555</v>
      </c>
      <c r="X349">
        <f>Tabela6[[#This Row],[mlp_test_acc]]</f>
        <v>0.92371265098537825</v>
      </c>
      <c r="Y349">
        <f>Tabela6[[#This Row],[kan_val_acc_1]]</f>
        <v>0.9686046421527863</v>
      </c>
      <c r="Z349">
        <f>Tabela6[[#This Row],[no_steps]]</f>
        <v>11.7177581668989</v>
      </c>
    </row>
    <row r="350" spans="1:26" hidden="1" x14ac:dyDescent="0.25">
      <c r="A350" t="s">
        <v>18</v>
      </c>
      <c r="B350">
        <v>5</v>
      </c>
      <c r="C350">
        <v>3</v>
      </c>
      <c r="D350">
        <v>0</v>
      </c>
      <c r="E350" t="s">
        <v>76</v>
      </c>
      <c r="F350">
        <v>13416</v>
      </c>
      <c r="G350">
        <v>15050421.363636363</v>
      </c>
      <c r="H350">
        <v>0.95295612378553907</v>
      </c>
      <c r="I350">
        <v>0.92371265098537825</v>
      </c>
      <c r="J350">
        <v>7781049.9090909092</v>
      </c>
      <c r="K350">
        <v>21794</v>
      </c>
      <c r="L350">
        <v>2</v>
      </c>
      <c r="M350">
        <v>96</v>
      </c>
      <c r="N350">
        <v>0.9173553719008265</v>
      </c>
      <c r="O350">
        <v>7087448.3636363633</v>
      </c>
      <c r="P350">
        <v>22215</v>
      </c>
      <c r="Q350">
        <v>2</v>
      </c>
      <c r="R350">
        <v>97</v>
      </c>
      <c r="S350">
        <v>11.714528593508501</v>
      </c>
      <c r="T350">
        <v>0.96279070973396297</v>
      </c>
      <c r="W350">
        <f>Tabela6[[#This Row],[mlp_params]]</f>
        <v>21794</v>
      </c>
      <c r="X350">
        <f>Tabela6[[#This Row],[mlp_test_acc]]</f>
        <v>0.92371265098537825</v>
      </c>
      <c r="Y350">
        <f>Tabela6[[#This Row],[kan_val_acc_1]]</f>
        <v>0.96279070973396297</v>
      </c>
      <c r="Z350">
        <f>Tabela6[[#This Row],[no_steps]]</f>
        <v>11.714528593508501</v>
      </c>
    </row>
    <row r="351" spans="1:26" hidden="1" x14ac:dyDescent="0.25">
      <c r="A351" t="s">
        <v>18</v>
      </c>
      <c r="B351">
        <v>5</v>
      </c>
      <c r="C351">
        <v>3</v>
      </c>
      <c r="D351">
        <v>0</v>
      </c>
      <c r="E351" t="s">
        <v>93</v>
      </c>
      <c r="F351">
        <v>14122</v>
      </c>
      <c r="G351">
        <v>14683573.363636363</v>
      </c>
      <c r="H351">
        <v>0.9567704905163158</v>
      </c>
      <c r="I351">
        <v>0.92371265098537825</v>
      </c>
      <c r="J351">
        <v>6802803.6363636367</v>
      </c>
      <c r="K351">
        <v>23069</v>
      </c>
      <c r="L351">
        <v>2</v>
      </c>
      <c r="M351">
        <v>99</v>
      </c>
      <c r="N351">
        <v>0.91608391608391615</v>
      </c>
      <c r="O351">
        <v>8151379.8181818184</v>
      </c>
      <c r="P351">
        <v>23502</v>
      </c>
      <c r="Q351">
        <v>2</v>
      </c>
      <c r="R351">
        <v>100</v>
      </c>
      <c r="S351">
        <v>11.710229902792779</v>
      </c>
      <c r="T351">
        <v>0.96860464811325075</v>
      </c>
      <c r="W351">
        <f>Tabela6[[#This Row],[mlp_params]]</f>
        <v>23069</v>
      </c>
      <c r="X351">
        <f>Tabela6[[#This Row],[mlp_test_acc]]</f>
        <v>0.92371265098537825</v>
      </c>
      <c r="Y351">
        <f>Tabela6[[#This Row],[kan_val_acc_1]]</f>
        <v>0.96860464811325075</v>
      </c>
      <c r="Z351">
        <f>Tabela6[[#This Row],[no_steps]]</f>
        <v>11.710229902792779</v>
      </c>
    </row>
    <row r="352" spans="1:26" hidden="1" x14ac:dyDescent="0.25">
      <c r="A352" t="s">
        <v>18</v>
      </c>
      <c r="B352">
        <v>5</v>
      </c>
      <c r="C352">
        <v>4</v>
      </c>
      <c r="D352">
        <v>0</v>
      </c>
      <c r="E352" t="s">
        <v>105</v>
      </c>
      <c r="F352">
        <v>8472</v>
      </c>
      <c r="G352">
        <v>46182531.272727273</v>
      </c>
      <c r="H352">
        <v>0.93388429013165564</v>
      </c>
      <c r="I352">
        <v>0.93833439287984743</v>
      </c>
      <c r="J352">
        <v>6846570.8181818184</v>
      </c>
      <c r="K352">
        <v>14555</v>
      </c>
      <c r="L352">
        <v>2</v>
      </c>
      <c r="M352">
        <v>77</v>
      </c>
      <c r="N352">
        <v>0.94087730451366813</v>
      </c>
      <c r="O352">
        <v>9730861.8181818184</v>
      </c>
      <c r="P352">
        <v>14900</v>
      </c>
      <c r="Q352">
        <v>2</v>
      </c>
      <c r="R352">
        <v>78</v>
      </c>
      <c r="S352">
        <v>11.561888831703552</v>
      </c>
      <c r="T352">
        <v>0.9441860437393188</v>
      </c>
      <c r="W352">
        <f>Tabela6[[#This Row],[mlp_params]]</f>
        <v>14555</v>
      </c>
      <c r="X352">
        <f>Tabela6[[#This Row],[mlp_test_acc]]</f>
        <v>0.93833439287984743</v>
      </c>
      <c r="Y352">
        <f>Tabela6[[#This Row],[kan_val_acc_1]]</f>
        <v>0.9441860437393188</v>
      </c>
      <c r="Z352">
        <f>Tabela6[[#This Row],[no_steps]]</f>
        <v>11.561888831703552</v>
      </c>
    </row>
    <row r="353" spans="1:26" hidden="1" x14ac:dyDescent="0.25">
      <c r="A353" t="s">
        <v>18</v>
      </c>
      <c r="B353">
        <v>5</v>
      </c>
      <c r="C353">
        <v>4</v>
      </c>
      <c r="D353">
        <v>0</v>
      </c>
      <c r="E353" t="s">
        <v>19</v>
      </c>
      <c r="F353">
        <v>9242</v>
      </c>
      <c r="G353">
        <v>14072705.5625</v>
      </c>
      <c r="H353">
        <v>0.96328671276569366</v>
      </c>
      <c r="I353">
        <v>0.93356643356643354</v>
      </c>
      <c r="J353">
        <v>2143439.3125</v>
      </c>
      <c r="K353">
        <v>15959</v>
      </c>
      <c r="L353">
        <v>2</v>
      </c>
      <c r="M353">
        <v>81</v>
      </c>
      <c r="N353">
        <v>0.92963286713286708</v>
      </c>
      <c r="O353">
        <v>1897093.3125</v>
      </c>
      <c r="P353">
        <v>16320</v>
      </c>
      <c r="Q353">
        <v>2</v>
      </c>
      <c r="R353">
        <v>82</v>
      </c>
      <c r="S353">
        <v>11.556240369799692</v>
      </c>
      <c r="T353">
        <v>0.95271317958831792</v>
      </c>
      <c r="W353">
        <f>Tabela6[[#This Row],[mlp_params]]</f>
        <v>15959</v>
      </c>
      <c r="X353">
        <f>Tabela6[[#This Row],[mlp_test_acc]]</f>
        <v>0.93356643356643354</v>
      </c>
      <c r="Y353">
        <f>Tabela6[[#This Row],[kan_val_acc_1]]</f>
        <v>0.95271317958831792</v>
      </c>
      <c r="Z353">
        <f>Tabela6[[#This Row],[no_steps]]</f>
        <v>11.556240369799692</v>
      </c>
    </row>
    <row r="354" spans="1:26" hidden="1" x14ac:dyDescent="0.25">
      <c r="A354" t="s">
        <v>18</v>
      </c>
      <c r="B354">
        <v>5</v>
      </c>
      <c r="C354">
        <v>4</v>
      </c>
      <c r="D354">
        <v>0</v>
      </c>
      <c r="E354" t="s">
        <v>20</v>
      </c>
      <c r="F354">
        <v>10012</v>
      </c>
      <c r="G354">
        <v>16685102</v>
      </c>
      <c r="H354">
        <v>0.94930069893598557</v>
      </c>
      <c r="I354">
        <v>0.93225524475524479</v>
      </c>
      <c r="J354">
        <v>3097071.875</v>
      </c>
      <c r="K354">
        <v>17427</v>
      </c>
      <c r="L354">
        <v>2</v>
      </c>
      <c r="M354">
        <v>85</v>
      </c>
      <c r="N354">
        <v>0.93706293706293708</v>
      </c>
      <c r="O354">
        <v>2642647.125</v>
      </c>
      <c r="P354">
        <v>17804</v>
      </c>
      <c r="Q354">
        <v>2</v>
      </c>
      <c r="R354">
        <v>86</v>
      </c>
      <c r="S354">
        <v>11.55407483341876</v>
      </c>
      <c r="T354">
        <v>0.95581394831339517</v>
      </c>
      <c r="W354">
        <f>Tabela6[[#This Row],[mlp_params]]</f>
        <v>17427</v>
      </c>
      <c r="X354">
        <f>Tabela6[[#This Row],[mlp_test_acc]]</f>
        <v>0.93225524475524479</v>
      </c>
      <c r="Y354">
        <f>Tabela6[[#This Row],[kan_val_acc_1]]</f>
        <v>0.95581394831339517</v>
      </c>
      <c r="Z354">
        <f>Tabela6[[#This Row],[no_steps]]</f>
        <v>11.55407483341876</v>
      </c>
    </row>
    <row r="355" spans="1:26" hidden="1" x14ac:dyDescent="0.25">
      <c r="A355" t="s">
        <v>18</v>
      </c>
      <c r="B355">
        <v>5</v>
      </c>
      <c r="C355">
        <v>4</v>
      </c>
      <c r="D355">
        <v>0</v>
      </c>
      <c r="E355" t="s">
        <v>21</v>
      </c>
      <c r="F355">
        <v>10782</v>
      </c>
      <c r="G355">
        <v>17690345.125</v>
      </c>
      <c r="H355">
        <v>0.94667832180857658</v>
      </c>
      <c r="I355">
        <v>0.92788461538461542</v>
      </c>
      <c r="J355">
        <v>8798457.125</v>
      </c>
      <c r="K355">
        <v>18570</v>
      </c>
      <c r="L355">
        <v>2</v>
      </c>
      <c r="M355">
        <v>88</v>
      </c>
      <c r="N355">
        <v>0.92395104895104896</v>
      </c>
      <c r="O355">
        <v>8231456.25</v>
      </c>
      <c r="P355">
        <v>18959</v>
      </c>
      <c r="Q355">
        <v>2</v>
      </c>
      <c r="R355">
        <v>89</v>
      </c>
      <c r="S355">
        <v>11.551662404092072</v>
      </c>
      <c r="T355">
        <v>0.95658913453420003</v>
      </c>
      <c r="W355">
        <f>Tabela6[[#This Row],[mlp_params]]</f>
        <v>18570</v>
      </c>
      <c r="X355">
        <f>Tabela6[[#This Row],[mlp_test_acc]]</f>
        <v>0.92788461538461542</v>
      </c>
      <c r="Y355">
        <f>Tabela6[[#This Row],[kan_val_acc_1]]</f>
        <v>0.95658913453420003</v>
      </c>
      <c r="Z355">
        <f>Tabela6[[#This Row],[no_steps]]</f>
        <v>11.551662404092072</v>
      </c>
    </row>
    <row r="356" spans="1:26" hidden="1" x14ac:dyDescent="0.25">
      <c r="A356" t="s">
        <v>18</v>
      </c>
      <c r="B356">
        <v>5</v>
      </c>
      <c r="C356">
        <v>4</v>
      </c>
      <c r="D356">
        <v>0</v>
      </c>
      <c r="E356" t="s">
        <v>22</v>
      </c>
      <c r="F356">
        <v>11552</v>
      </c>
      <c r="G356">
        <v>15644684.75</v>
      </c>
      <c r="H356">
        <v>0.96634615957736969</v>
      </c>
      <c r="I356">
        <v>0.9274475524475525</v>
      </c>
      <c r="J356">
        <v>9113865.0625</v>
      </c>
      <c r="K356">
        <v>20150</v>
      </c>
      <c r="L356">
        <v>2</v>
      </c>
      <c r="M356">
        <v>92</v>
      </c>
      <c r="N356">
        <v>0.92176573426573427</v>
      </c>
      <c r="O356">
        <v>8955596.25</v>
      </c>
      <c r="P356">
        <v>20555</v>
      </c>
      <c r="Q356">
        <v>2</v>
      </c>
      <c r="R356">
        <v>93</v>
      </c>
      <c r="S356">
        <v>11.546324655436447</v>
      </c>
      <c r="T356">
        <v>0.95968990325927739</v>
      </c>
      <c r="W356">
        <f>Tabela6[[#This Row],[mlp_params]]</f>
        <v>20150</v>
      </c>
      <c r="X356">
        <f>Tabela6[[#This Row],[mlp_test_acc]]</f>
        <v>0.9274475524475525</v>
      </c>
      <c r="Y356">
        <f>Tabela6[[#This Row],[kan_val_acc_1]]</f>
        <v>0.95968990325927739</v>
      </c>
      <c r="Z356">
        <f>Tabela6[[#This Row],[no_steps]]</f>
        <v>11.546324655436447</v>
      </c>
    </row>
    <row r="357" spans="1:26" hidden="1" x14ac:dyDescent="0.25">
      <c r="A357" t="s">
        <v>18</v>
      </c>
      <c r="B357">
        <v>5</v>
      </c>
      <c r="C357">
        <v>4</v>
      </c>
      <c r="D357">
        <v>0</v>
      </c>
      <c r="E357" t="s">
        <v>39</v>
      </c>
      <c r="F357">
        <v>12322</v>
      </c>
      <c r="G357">
        <v>17301515.25</v>
      </c>
      <c r="H357">
        <v>0.96066433936357498</v>
      </c>
      <c r="I357">
        <v>0.92832167832167833</v>
      </c>
      <c r="J357">
        <v>8416599.625</v>
      </c>
      <c r="K357">
        <v>21377</v>
      </c>
      <c r="L357">
        <v>2</v>
      </c>
      <c r="M357">
        <v>95</v>
      </c>
      <c r="N357">
        <v>0.92875874125874125</v>
      </c>
      <c r="O357">
        <v>8870267.6875</v>
      </c>
      <c r="P357">
        <v>21794</v>
      </c>
      <c r="Q357">
        <v>2</v>
      </c>
      <c r="R357">
        <v>96</v>
      </c>
      <c r="S357">
        <v>11.542664289353031</v>
      </c>
      <c r="T357">
        <v>0.9519379734992981</v>
      </c>
      <c r="W357">
        <f>Tabela6[[#This Row],[mlp_params]]</f>
        <v>21377</v>
      </c>
      <c r="X357">
        <f>Tabela6[[#This Row],[mlp_test_acc]]</f>
        <v>0.92832167832167833</v>
      </c>
      <c r="Y357">
        <f>Tabela6[[#This Row],[kan_val_acc_1]]</f>
        <v>0.9519379734992981</v>
      </c>
      <c r="Z357">
        <f>Tabela6[[#This Row],[no_steps]]</f>
        <v>11.542664289353031</v>
      </c>
    </row>
    <row r="358" spans="1:26" hidden="1" x14ac:dyDescent="0.25">
      <c r="A358" t="s">
        <v>18</v>
      </c>
      <c r="B358">
        <v>5</v>
      </c>
      <c r="C358">
        <v>4</v>
      </c>
      <c r="D358">
        <v>0</v>
      </c>
      <c r="E358" t="s">
        <v>55</v>
      </c>
      <c r="F358">
        <v>13092</v>
      </c>
      <c r="G358">
        <v>15982514.375</v>
      </c>
      <c r="H358">
        <v>0.95979021117091179</v>
      </c>
      <c r="I358">
        <v>0.93531468531468531</v>
      </c>
      <c r="J358">
        <v>8683819.1875</v>
      </c>
      <c r="K358">
        <v>22640</v>
      </c>
      <c r="L358">
        <v>2</v>
      </c>
      <c r="M358">
        <v>98</v>
      </c>
      <c r="N358">
        <v>0.92701048951048948</v>
      </c>
      <c r="O358">
        <v>5441142.9375</v>
      </c>
      <c r="P358">
        <v>23069</v>
      </c>
      <c r="Q358">
        <v>2</v>
      </c>
      <c r="R358">
        <v>99</v>
      </c>
      <c r="S358">
        <v>11.535968479918658</v>
      </c>
      <c r="T358">
        <v>0.95736433267593379</v>
      </c>
      <c r="W358">
        <f>Tabela6[[#This Row],[mlp_params]]</f>
        <v>22640</v>
      </c>
      <c r="X358">
        <f>Tabela6[[#This Row],[mlp_test_acc]]</f>
        <v>0.93531468531468531</v>
      </c>
      <c r="Y358">
        <f>Tabela6[[#This Row],[kan_val_acc_1]]</f>
        <v>0.95736433267593379</v>
      </c>
      <c r="Z358">
        <f>Tabela6[[#This Row],[no_steps]]</f>
        <v>11.535968479918658</v>
      </c>
    </row>
    <row r="359" spans="1:26" hidden="1" x14ac:dyDescent="0.25">
      <c r="A359" t="s">
        <v>18</v>
      </c>
      <c r="B359">
        <v>5</v>
      </c>
      <c r="C359">
        <v>4</v>
      </c>
      <c r="D359">
        <v>0</v>
      </c>
      <c r="E359" t="s">
        <v>66</v>
      </c>
      <c r="F359">
        <v>13862</v>
      </c>
      <c r="G359">
        <v>14473615.181818182</v>
      </c>
      <c r="H359">
        <v>0.95232041315598925</v>
      </c>
      <c r="I359">
        <v>0.91926255562619197</v>
      </c>
      <c r="J359">
        <v>7906375.7272727275</v>
      </c>
      <c r="K359">
        <v>23939</v>
      </c>
      <c r="L359">
        <v>2</v>
      </c>
      <c r="M359">
        <v>101</v>
      </c>
      <c r="N359">
        <v>0.92561983471074383</v>
      </c>
      <c r="O359">
        <v>8260502.3636363633</v>
      </c>
      <c r="P359">
        <v>24380</v>
      </c>
      <c r="Q359">
        <v>2</v>
      </c>
      <c r="R359">
        <v>102</v>
      </c>
      <c r="S359">
        <v>11.705021565003081</v>
      </c>
      <c r="T359">
        <v>0.97209301590919495</v>
      </c>
      <c r="W359">
        <f>Tabela6[[#This Row],[mlp_params]]</f>
        <v>23939</v>
      </c>
      <c r="X359">
        <f>Tabela6[[#This Row],[mlp_test_acc]]</f>
        <v>0.91926255562619197</v>
      </c>
      <c r="Y359">
        <f>Tabela6[[#This Row],[kan_val_acc_1]]</f>
        <v>0.97209301590919495</v>
      </c>
      <c r="Z359">
        <f>Tabela6[[#This Row],[no_steps]]</f>
        <v>11.705021565003081</v>
      </c>
    </row>
    <row r="360" spans="1:26" hidden="1" x14ac:dyDescent="0.25">
      <c r="A360" t="s">
        <v>18</v>
      </c>
      <c r="B360">
        <v>5</v>
      </c>
      <c r="C360">
        <v>4</v>
      </c>
      <c r="D360">
        <v>0</v>
      </c>
      <c r="E360" t="s">
        <v>76</v>
      </c>
      <c r="F360">
        <v>14632</v>
      </c>
      <c r="G360">
        <v>16652506</v>
      </c>
      <c r="H360">
        <v>0.96241258457303047</v>
      </c>
      <c r="I360">
        <v>0.92482517482517479</v>
      </c>
      <c r="J360">
        <v>8392203.3125</v>
      </c>
      <c r="K360">
        <v>25274</v>
      </c>
      <c r="L360">
        <v>2</v>
      </c>
      <c r="M360">
        <v>104</v>
      </c>
      <c r="N360">
        <v>0.92569930069930073</v>
      </c>
      <c r="O360">
        <v>8833398.0625</v>
      </c>
      <c r="P360">
        <v>25727</v>
      </c>
      <c r="Q360">
        <v>2</v>
      </c>
      <c r="R360">
        <v>105</v>
      </c>
      <c r="S360">
        <v>11.697141979102643</v>
      </c>
      <c r="T360">
        <v>0.96589146057764685</v>
      </c>
      <c r="W360">
        <f>Tabela6[[#This Row],[mlp_params]]</f>
        <v>25274</v>
      </c>
      <c r="X360">
        <f>Tabela6[[#This Row],[mlp_test_acc]]</f>
        <v>0.92482517482517479</v>
      </c>
      <c r="Y360">
        <f>Tabela6[[#This Row],[kan_val_acc_1]]</f>
        <v>0.96589146057764685</v>
      </c>
      <c r="Z360">
        <f>Tabela6[[#This Row],[no_steps]]</f>
        <v>11.697141979102643</v>
      </c>
    </row>
    <row r="361" spans="1:26" hidden="1" x14ac:dyDescent="0.25">
      <c r="A361" t="s">
        <v>18</v>
      </c>
      <c r="B361">
        <v>5</v>
      </c>
      <c r="C361">
        <v>4</v>
      </c>
      <c r="D361">
        <v>0</v>
      </c>
      <c r="E361" t="s">
        <v>93</v>
      </c>
      <c r="F361">
        <v>15402</v>
      </c>
      <c r="G361">
        <v>15673308.375</v>
      </c>
      <c r="H361">
        <v>0.96153846383094788</v>
      </c>
      <c r="I361">
        <v>0.92832167832167833</v>
      </c>
      <c r="J361">
        <v>8237794.4375</v>
      </c>
      <c r="K361">
        <v>26645</v>
      </c>
      <c r="L361">
        <v>2</v>
      </c>
      <c r="M361">
        <v>107</v>
      </c>
      <c r="N361">
        <v>0.94099650349650354</v>
      </c>
      <c r="O361">
        <v>9054276.9375</v>
      </c>
      <c r="P361">
        <v>27110</v>
      </c>
      <c r="Q361">
        <v>2</v>
      </c>
      <c r="R361">
        <v>108</v>
      </c>
      <c r="S361">
        <v>11.68853464132434</v>
      </c>
      <c r="T361">
        <v>0.96744184494018559</v>
      </c>
      <c r="W361">
        <f>Tabela6[[#This Row],[mlp_params]]</f>
        <v>26645</v>
      </c>
      <c r="X361">
        <f>Tabela6[[#This Row],[mlp_test_acc]]</f>
        <v>0.92832167832167833</v>
      </c>
      <c r="Y361">
        <f>Tabela6[[#This Row],[kan_val_acc_1]]</f>
        <v>0.96744184494018559</v>
      </c>
      <c r="Z361">
        <f>Tabela6[[#This Row],[no_steps]]</f>
        <v>11.68853464132434</v>
      </c>
    </row>
    <row r="362" spans="1:26" hidden="1" x14ac:dyDescent="0.25">
      <c r="A362" t="s">
        <v>18</v>
      </c>
      <c r="B362">
        <v>5</v>
      </c>
      <c r="C362">
        <v>4</v>
      </c>
      <c r="D362">
        <v>0</v>
      </c>
      <c r="E362" t="s">
        <v>94</v>
      </c>
      <c r="F362">
        <v>16172</v>
      </c>
      <c r="G362">
        <v>17992574.3125</v>
      </c>
      <c r="H362">
        <v>0.96284964680671692</v>
      </c>
      <c r="I362">
        <v>0.9200174825174825</v>
      </c>
      <c r="J362">
        <v>9592363.4375</v>
      </c>
      <c r="K362">
        <v>28052</v>
      </c>
      <c r="L362">
        <v>2</v>
      </c>
      <c r="M362">
        <v>110</v>
      </c>
      <c r="N362">
        <v>0.92132867132867136</v>
      </c>
      <c r="O362">
        <v>8733543.625</v>
      </c>
      <c r="P362">
        <v>28529</v>
      </c>
      <c r="Q362">
        <v>2</v>
      </c>
      <c r="R362">
        <v>111</v>
      </c>
      <c r="S362">
        <v>11.681804281345565</v>
      </c>
      <c r="T362">
        <v>0.96821703910827639</v>
      </c>
      <c r="W362">
        <f>Tabela6[[#This Row],[mlp_params]]</f>
        <v>28052</v>
      </c>
      <c r="X362">
        <f>Tabela6[[#This Row],[mlp_test_acc]]</f>
        <v>0.9200174825174825</v>
      </c>
      <c r="Y362">
        <f>Tabela6[[#This Row],[kan_val_acc_1]]</f>
        <v>0.96821703910827639</v>
      </c>
      <c r="Z362">
        <f>Tabela6[[#This Row],[no_steps]]</f>
        <v>11.681804281345565</v>
      </c>
    </row>
    <row r="363" spans="1:26" hidden="1" x14ac:dyDescent="0.25">
      <c r="A363" t="s">
        <v>18</v>
      </c>
      <c r="B363">
        <v>5</v>
      </c>
      <c r="C363">
        <v>4</v>
      </c>
      <c r="D363">
        <v>0</v>
      </c>
      <c r="E363" t="s">
        <v>95</v>
      </c>
      <c r="F363">
        <v>16942</v>
      </c>
      <c r="G363">
        <v>19620346.375</v>
      </c>
      <c r="H363">
        <v>0.96722027659416199</v>
      </c>
      <c r="I363">
        <v>0.93181818181818188</v>
      </c>
      <c r="J363">
        <v>9514472.5</v>
      </c>
      <c r="K363">
        <v>29495</v>
      </c>
      <c r="L363">
        <v>2</v>
      </c>
      <c r="M363">
        <v>113</v>
      </c>
      <c r="N363">
        <v>0.92482517482517479</v>
      </c>
      <c r="O363">
        <v>9187501.0625</v>
      </c>
      <c r="P363">
        <v>29984</v>
      </c>
      <c r="Q363">
        <v>2</v>
      </c>
      <c r="R363">
        <v>114</v>
      </c>
      <c r="S363">
        <v>11.677242220866383</v>
      </c>
      <c r="T363">
        <v>0.96821703910827639</v>
      </c>
      <c r="W363">
        <f>Tabela6[[#This Row],[mlp_params]]</f>
        <v>29495</v>
      </c>
      <c r="X363">
        <f>Tabela6[[#This Row],[mlp_test_acc]]</f>
        <v>0.93181818181818188</v>
      </c>
      <c r="Y363">
        <f>Tabela6[[#This Row],[kan_val_acc_1]]</f>
        <v>0.96821703910827639</v>
      </c>
      <c r="Z363">
        <f>Tabela6[[#This Row],[no_steps]]</f>
        <v>11.677242220866383</v>
      </c>
    </row>
    <row r="364" spans="1:26" hidden="1" x14ac:dyDescent="0.25">
      <c r="A364" t="s">
        <v>18</v>
      </c>
      <c r="B364">
        <v>5</v>
      </c>
      <c r="C364">
        <v>4</v>
      </c>
      <c r="D364">
        <v>0</v>
      </c>
      <c r="E364" t="s">
        <v>96</v>
      </c>
      <c r="F364">
        <v>17712</v>
      </c>
      <c r="G364">
        <v>19856197.125</v>
      </c>
      <c r="H364">
        <v>0.9589160829782486</v>
      </c>
      <c r="I364">
        <v>0.92220279720279719</v>
      </c>
      <c r="J364">
        <v>8702260.375</v>
      </c>
      <c r="K364">
        <v>30477</v>
      </c>
      <c r="L364">
        <v>2</v>
      </c>
      <c r="M364">
        <v>115</v>
      </c>
      <c r="N364">
        <v>0.92569930069930073</v>
      </c>
      <c r="O364">
        <v>10053063.375</v>
      </c>
      <c r="P364">
        <v>30974</v>
      </c>
      <c r="Q364">
        <v>2</v>
      </c>
      <c r="R364">
        <v>116</v>
      </c>
      <c r="S364">
        <v>11.671028606208155</v>
      </c>
      <c r="T364">
        <v>0.96356587807337446</v>
      </c>
      <c r="W364">
        <f>Tabela6[[#This Row],[mlp_params]]</f>
        <v>30477</v>
      </c>
      <c r="X364">
        <f>Tabela6[[#This Row],[mlp_test_acc]]</f>
        <v>0.92220279720279719</v>
      </c>
      <c r="Y364">
        <f>Tabela6[[#This Row],[kan_val_acc_1]]</f>
        <v>0.96356587807337446</v>
      </c>
      <c r="Z364">
        <f>Tabela6[[#This Row],[no_steps]]</f>
        <v>11.671028606208155</v>
      </c>
    </row>
    <row r="365" spans="1:26" hidden="1" x14ac:dyDescent="0.25">
      <c r="A365" t="s">
        <v>18</v>
      </c>
      <c r="B365">
        <v>5</v>
      </c>
      <c r="C365">
        <v>4</v>
      </c>
      <c r="D365">
        <v>0</v>
      </c>
      <c r="E365" t="s">
        <v>97</v>
      </c>
      <c r="F365">
        <v>18482</v>
      </c>
      <c r="G365">
        <v>24501186.9375</v>
      </c>
      <c r="H365">
        <v>0.9654720351099968</v>
      </c>
      <c r="I365">
        <v>0.92482517482517479</v>
      </c>
      <c r="J365">
        <v>9310589.5625</v>
      </c>
      <c r="K365">
        <v>31980</v>
      </c>
      <c r="L365">
        <v>2</v>
      </c>
      <c r="M365">
        <v>118</v>
      </c>
      <c r="N365">
        <v>0.92526223776223782</v>
      </c>
      <c r="O365">
        <v>8483455.8125</v>
      </c>
      <c r="P365">
        <v>32489</v>
      </c>
      <c r="Q365">
        <v>2</v>
      </c>
      <c r="R365">
        <v>119</v>
      </c>
      <c r="S365">
        <v>11.669247115968428</v>
      </c>
      <c r="T365">
        <v>0.96899223327636719</v>
      </c>
      <c r="W365">
        <f>Tabela6[[#This Row],[mlp_params]]</f>
        <v>31980</v>
      </c>
      <c r="X365">
        <f>Tabela6[[#This Row],[mlp_test_acc]]</f>
        <v>0.92482517482517479</v>
      </c>
      <c r="Y365">
        <f>Tabela6[[#This Row],[kan_val_acc_1]]</f>
        <v>0.96899223327636719</v>
      </c>
      <c r="Z365">
        <f>Tabela6[[#This Row],[no_steps]]</f>
        <v>11.669247115968428</v>
      </c>
    </row>
    <row r="366" spans="1:26" hidden="1" x14ac:dyDescent="0.25">
      <c r="A366" t="s">
        <v>18</v>
      </c>
      <c r="B366">
        <v>5</v>
      </c>
      <c r="C366">
        <v>4</v>
      </c>
      <c r="D366">
        <v>0</v>
      </c>
      <c r="E366" t="s">
        <v>98</v>
      </c>
      <c r="F366">
        <v>19252</v>
      </c>
      <c r="G366">
        <v>20803806.5</v>
      </c>
      <c r="H366">
        <v>0.9654720202088356</v>
      </c>
      <c r="I366">
        <v>0.93094405594405594</v>
      </c>
      <c r="J366">
        <v>9762765.1875</v>
      </c>
      <c r="K366">
        <v>33519</v>
      </c>
      <c r="L366">
        <v>2</v>
      </c>
      <c r="M366">
        <v>121</v>
      </c>
      <c r="N366">
        <v>0.92788461538461542</v>
      </c>
      <c r="O366">
        <v>9049063.25</v>
      </c>
      <c r="P366">
        <v>34040</v>
      </c>
      <c r="Q366">
        <v>2</v>
      </c>
      <c r="R366">
        <v>122</v>
      </c>
      <c r="S366">
        <v>11.662628709872804</v>
      </c>
      <c r="T366">
        <v>0.96589145660400388</v>
      </c>
      <c r="W366">
        <f>Tabela6[[#This Row],[mlp_params]]</f>
        <v>33519</v>
      </c>
      <c r="X366">
        <f>Tabela6[[#This Row],[mlp_test_acc]]</f>
        <v>0.93094405594405594</v>
      </c>
      <c r="Y366">
        <f>Tabela6[[#This Row],[kan_val_acc_1]]</f>
        <v>0.96589145660400388</v>
      </c>
      <c r="Z366">
        <f>Tabela6[[#This Row],[no_steps]]</f>
        <v>11.662628709872804</v>
      </c>
    </row>
    <row r="367" spans="1:26" hidden="1" x14ac:dyDescent="0.25">
      <c r="A367" t="s">
        <v>18</v>
      </c>
      <c r="B367">
        <v>5</v>
      </c>
      <c r="C367">
        <v>4</v>
      </c>
      <c r="D367">
        <v>0</v>
      </c>
      <c r="E367" t="s">
        <v>99</v>
      </c>
      <c r="F367">
        <v>20022</v>
      </c>
      <c r="G367">
        <v>20929868.9375</v>
      </c>
      <c r="H367">
        <v>0.94973776489496231</v>
      </c>
      <c r="I367">
        <v>0.93138111888111885</v>
      </c>
      <c r="J367">
        <v>8269405.3125</v>
      </c>
      <c r="K367">
        <v>34565</v>
      </c>
      <c r="L367">
        <v>2</v>
      </c>
      <c r="M367">
        <v>123</v>
      </c>
      <c r="N367">
        <v>0.92482517482517479</v>
      </c>
      <c r="O367">
        <v>7274534.25</v>
      </c>
      <c r="P367">
        <v>35094</v>
      </c>
      <c r="Q367">
        <v>2</v>
      </c>
      <c r="R367">
        <v>124</v>
      </c>
      <c r="S367">
        <v>11.655438066465257</v>
      </c>
      <c r="T367">
        <v>0.95736433267593379</v>
      </c>
      <c r="W367">
        <f>Tabela6[[#This Row],[mlp_params]]</f>
        <v>34565</v>
      </c>
      <c r="X367">
        <f>Tabela6[[#This Row],[mlp_test_acc]]</f>
        <v>0.93138111888111885</v>
      </c>
      <c r="Y367">
        <f>Tabela6[[#This Row],[kan_val_acc_1]]</f>
        <v>0.95736433267593379</v>
      </c>
      <c r="Z367">
        <f>Tabela6[[#This Row],[no_steps]]</f>
        <v>11.655438066465257</v>
      </c>
    </row>
    <row r="368" spans="1:26" hidden="1" x14ac:dyDescent="0.25">
      <c r="A368" t="s">
        <v>18</v>
      </c>
      <c r="B368">
        <v>5</v>
      </c>
      <c r="C368">
        <v>4</v>
      </c>
      <c r="D368">
        <v>0</v>
      </c>
      <c r="E368" t="s">
        <v>100</v>
      </c>
      <c r="F368">
        <v>20792</v>
      </c>
      <c r="G368">
        <v>23183316.3125</v>
      </c>
      <c r="H368">
        <v>0.94580419361591339</v>
      </c>
      <c r="I368">
        <v>0.92744755244755239</v>
      </c>
      <c r="J368">
        <v>8007832.25</v>
      </c>
      <c r="K368">
        <v>36164</v>
      </c>
      <c r="L368">
        <v>2</v>
      </c>
      <c r="M368">
        <v>126</v>
      </c>
      <c r="N368">
        <v>0.9200174825174825</v>
      </c>
      <c r="O368">
        <v>6843274.75</v>
      </c>
      <c r="P368">
        <v>36705</v>
      </c>
      <c r="Q368">
        <v>2</v>
      </c>
      <c r="R368">
        <v>127</v>
      </c>
      <c r="S368">
        <v>11.649789029535865</v>
      </c>
      <c r="T368">
        <v>0.96046509742736819</v>
      </c>
      <c r="W368">
        <f>Tabela6[[#This Row],[mlp_params]]</f>
        <v>36164</v>
      </c>
      <c r="X368">
        <f>Tabela6[[#This Row],[mlp_test_acc]]</f>
        <v>0.92744755244755239</v>
      </c>
      <c r="Y368">
        <f>Tabela6[[#This Row],[kan_val_acc_1]]</f>
        <v>0.96046509742736819</v>
      </c>
      <c r="Z368">
        <f>Tabela6[[#This Row],[no_steps]]</f>
        <v>11.649789029535865</v>
      </c>
    </row>
    <row r="369" spans="1:26" hidden="1" x14ac:dyDescent="0.25">
      <c r="A369" t="s">
        <v>18</v>
      </c>
      <c r="B369">
        <v>5</v>
      </c>
      <c r="C369">
        <v>4</v>
      </c>
      <c r="D369">
        <v>0</v>
      </c>
      <c r="E369" t="s">
        <v>101</v>
      </c>
      <c r="F369">
        <v>21562</v>
      </c>
      <c r="G369">
        <v>23219261.375</v>
      </c>
      <c r="H369">
        <v>0.96110140159726143</v>
      </c>
      <c r="I369">
        <v>0.93181818181818177</v>
      </c>
      <c r="J369">
        <v>9280220.375</v>
      </c>
      <c r="K369">
        <v>37250</v>
      </c>
      <c r="L369">
        <v>2</v>
      </c>
      <c r="M369">
        <v>128</v>
      </c>
      <c r="N369">
        <v>0.92438811188811187</v>
      </c>
      <c r="O369">
        <v>9467538.375</v>
      </c>
      <c r="P369">
        <v>37799</v>
      </c>
      <c r="Q369">
        <v>2</v>
      </c>
      <c r="R369">
        <v>129</v>
      </c>
      <c r="S369">
        <v>11.644167167769092</v>
      </c>
      <c r="T369">
        <v>0.96744184494018559</v>
      </c>
      <c r="W369">
        <f>Tabela6[[#This Row],[mlp_params]]</f>
        <v>37250</v>
      </c>
      <c r="X369">
        <f>Tabela6[[#This Row],[mlp_test_acc]]</f>
        <v>0.93181818181818177</v>
      </c>
      <c r="Y369">
        <f>Tabela6[[#This Row],[kan_val_acc_1]]</f>
        <v>0.96744184494018559</v>
      </c>
      <c r="Z369">
        <f>Tabela6[[#This Row],[no_steps]]</f>
        <v>11.644167167769092</v>
      </c>
    </row>
    <row r="370" spans="1:26" hidden="1" x14ac:dyDescent="0.25">
      <c r="A370" t="s">
        <v>18</v>
      </c>
      <c r="B370">
        <v>5</v>
      </c>
      <c r="C370">
        <v>4</v>
      </c>
      <c r="D370">
        <v>0</v>
      </c>
      <c r="E370" t="s">
        <v>102</v>
      </c>
      <c r="F370">
        <v>22332</v>
      </c>
      <c r="G370">
        <v>24576184</v>
      </c>
      <c r="H370">
        <v>0.96809440478682518</v>
      </c>
      <c r="I370">
        <v>0.93400349650349646</v>
      </c>
      <c r="J370">
        <v>8835256.9375</v>
      </c>
      <c r="K370">
        <v>38909</v>
      </c>
      <c r="L370">
        <v>2</v>
      </c>
      <c r="M370">
        <v>131</v>
      </c>
      <c r="N370">
        <v>0.92875874125874125</v>
      </c>
      <c r="O370">
        <v>9591874.25</v>
      </c>
      <c r="P370">
        <v>39470</v>
      </c>
      <c r="Q370">
        <v>2</v>
      </c>
      <c r="R370">
        <v>132</v>
      </c>
      <c r="S370">
        <v>11.639022195560887</v>
      </c>
      <c r="T370">
        <v>0.96356587409973149</v>
      </c>
      <c r="W370">
        <f>Tabela6[[#This Row],[mlp_params]]</f>
        <v>38909</v>
      </c>
      <c r="X370">
        <f>Tabela6[[#This Row],[mlp_test_acc]]</f>
        <v>0.93400349650349646</v>
      </c>
      <c r="Y370">
        <f>Tabela6[[#This Row],[kan_val_acc_1]]</f>
        <v>0.96356587409973149</v>
      </c>
      <c r="Z370">
        <f>Tabela6[[#This Row],[no_steps]]</f>
        <v>11.639022195560887</v>
      </c>
    </row>
    <row r="371" spans="1:26" hidden="1" x14ac:dyDescent="0.25">
      <c r="A371" t="s">
        <v>18</v>
      </c>
      <c r="B371">
        <v>5</v>
      </c>
      <c r="C371">
        <v>4</v>
      </c>
      <c r="D371">
        <v>0</v>
      </c>
      <c r="E371" t="s">
        <v>103</v>
      </c>
      <c r="F371">
        <v>23102</v>
      </c>
      <c r="G371">
        <v>28490780.35483871</v>
      </c>
      <c r="H371">
        <v>0.9465373389182552</v>
      </c>
      <c r="I371">
        <v>0.92646063613805552</v>
      </c>
      <c r="J371">
        <v>9063627.3870967738</v>
      </c>
      <c r="K371">
        <v>40035</v>
      </c>
      <c r="L371">
        <v>2</v>
      </c>
      <c r="M371">
        <v>133</v>
      </c>
      <c r="N371">
        <v>0.9291676065869614</v>
      </c>
      <c r="O371">
        <v>8158166.7419354841</v>
      </c>
      <c r="P371">
        <v>40604</v>
      </c>
      <c r="Q371">
        <v>2</v>
      </c>
      <c r="R371">
        <v>134</v>
      </c>
      <c r="S371">
        <v>11.632333184057321</v>
      </c>
      <c r="T371">
        <v>0.95542634328206377</v>
      </c>
      <c r="W371">
        <f>Tabela6[[#This Row],[mlp_params]]</f>
        <v>40035</v>
      </c>
      <c r="X371">
        <f>Tabela6[[#This Row],[mlp_test_acc]]</f>
        <v>0.92646063613805552</v>
      </c>
      <c r="Y371">
        <f>Tabela6[[#This Row],[kan_val_acc_1]]</f>
        <v>0.95542634328206377</v>
      </c>
      <c r="Z371">
        <f>Tabela6[[#This Row],[no_steps]]</f>
        <v>11.632333184057321</v>
      </c>
    </row>
    <row r="372" spans="1:26" hidden="1" x14ac:dyDescent="0.25">
      <c r="A372" t="s">
        <v>18</v>
      </c>
      <c r="B372">
        <v>5</v>
      </c>
      <c r="C372">
        <v>4</v>
      </c>
      <c r="D372">
        <v>0</v>
      </c>
      <c r="E372" t="s">
        <v>104</v>
      </c>
      <c r="F372">
        <v>23872</v>
      </c>
      <c r="G372">
        <v>29558166.451612905</v>
      </c>
      <c r="H372">
        <v>0.95601172601023032</v>
      </c>
      <c r="I372">
        <v>0.92668621700879761</v>
      </c>
      <c r="J372">
        <v>8848473.6774193551</v>
      </c>
      <c r="K372">
        <v>41177</v>
      </c>
      <c r="L372">
        <v>2</v>
      </c>
      <c r="M372">
        <v>135</v>
      </c>
      <c r="N372">
        <v>0.92488157004286042</v>
      </c>
      <c r="O372">
        <v>8778636.1612903234</v>
      </c>
      <c r="P372">
        <v>41754</v>
      </c>
      <c r="Q372">
        <v>2</v>
      </c>
      <c r="R372">
        <v>136</v>
      </c>
      <c r="S372">
        <v>11.626002971768202</v>
      </c>
      <c r="T372">
        <v>0.95968991120656333</v>
      </c>
      <c r="W372">
        <f>Tabela6[[#This Row],[mlp_params]]</f>
        <v>41177</v>
      </c>
      <c r="X372">
        <f>Tabela6[[#This Row],[mlp_test_acc]]</f>
        <v>0.92668621700879761</v>
      </c>
      <c r="Y372">
        <f>Tabela6[[#This Row],[kan_val_acc_1]]</f>
        <v>0.95968991120656333</v>
      </c>
      <c r="Z372">
        <f>Tabela6[[#This Row],[no_steps]]</f>
        <v>11.626002971768202</v>
      </c>
    </row>
    <row r="373" spans="1:26" hidden="1" x14ac:dyDescent="0.25">
      <c r="A373" t="s">
        <v>18</v>
      </c>
      <c r="B373">
        <v>5</v>
      </c>
      <c r="C373">
        <v>4</v>
      </c>
      <c r="D373">
        <v>0</v>
      </c>
      <c r="E373" t="s">
        <v>25</v>
      </c>
      <c r="F373">
        <v>23922</v>
      </c>
      <c r="G373">
        <v>31597157.387096774</v>
      </c>
      <c r="H373">
        <v>0.96120009499211467</v>
      </c>
      <c r="I373">
        <v>0.93142341529438299</v>
      </c>
      <c r="J373">
        <v>9301526.0967741944</v>
      </c>
      <c r="K373">
        <v>41754</v>
      </c>
      <c r="L373">
        <v>2</v>
      </c>
      <c r="M373">
        <v>136</v>
      </c>
      <c r="N373">
        <v>0.93683735619219488</v>
      </c>
      <c r="O373">
        <v>9306718.1290322579</v>
      </c>
      <c r="P373">
        <v>42335</v>
      </c>
      <c r="Q373">
        <v>2</v>
      </c>
      <c r="R373">
        <v>137</v>
      </c>
      <c r="S373">
        <v>11.622836858452892</v>
      </c>
      <c r="T373">
        <v>0.95348835984865821</v>
      </c>
      <c r="W373">
        <f>Tabela6[[#This Row],[mlp_params]]</f>
        <v>41754</v>
      </c>
      <c r="X373">
        <f>Tabela6[[#This Row],[mlp_test_acc]]</f>
        <v>0.93142341529438299</v>
      </c>
      <c r="Y373">
        <f>Tabela6[[#This Row],[kan_val_acc_1]]</f>
        <v>0.95348835984865821</v>
      </c>
      <c r="Z373">
        <f>Tabela6[[#This Row],[no_steps]]</f>
        <v>11.622836858452892</v>
      </c>
    </row>
    <row r="374" spans="1:26" hidden="1" x14ac:dyDescent="0.25">
      <c r="A374" t="s">
        <v>18</v>
      </c>
      <c r="B374">
        <v>5</v>
      </c>
      <c r="C374">
        <v>4</v>
      </c>
      <c r="D374">
        <v>0</v>
      </c>
      <c r="E374" t="s">
        <v>26</v>
      </c>
      <c r="F374">
        <v>24692</v>
      </c>
      <c r="G374">
        <v>36746668.5</v>
      </c>
      <c r="H374">
        <v>0.94798950850963593</v>
      </c>
      <c r="I374">
        <v>0.93050699300699302</v>
      </c>
      <c r="J374">
        <v>8481391.625</v>
      </c>
      <c r="K374">
        <v>42920</v>
      </c>
      <c r="L374">
        <v>2</v>
      </c>
      <c r="M374">
        <v>138</v>
      </c>
      <c r="N374">
        <v>0.92220279720279719</v>
      </c>
      <c r="O374">
        <v>9615704.125</v>
      </c>
      <c r="P374">
        <v>43509</v>
      </c>
      <c r="Q374">
        <v>2</v>
      </c>
      <c r="R374">
        <v>139</v>
      </c>
      <c r="S374">
        <v>11.623432197137376</v>
      </c>
      <c r="T374">
        <v>0.95658913056055705</v>
      </c>
      <c r="W374">
        <f>Tabela6[[#This Row],[mlp_params]]</f>
        <v>42920</v>
      </c>
      <c r="X374">
        <f>Tabela6[[#This Row],[mlp_test_acc]]</f>
        <v>0.93050699300699302</v>
      </c>
      <c r="Y374">
        <f>Tabela6[[#This Row],[kan_val_acc_1]]</f>
        <v>0.95658913056055705</v>
      </c>
      <c r="Z374">
        <f>Tabela6[[#This Row],[no_steps]]</f>
        <v>11.623432197137376</v>
      </c>
    </row>
    <row r="375" spans="1:26" hidden="1" x14ac:dyDescent="0.25">
      <c r="A375" t="s">
        <v>18</v>
      </c>
      <c r="B375">
        <v>5</v>
      </c>
      <c r="C375">
        <v>4</v>
      </c>
      <c r="D375">
        <v>0</v>
      </c>
      <c r="E375" t="s">
        <v>27</v>
      </c>
      <c r="F375">
        <v>25462</v>
      </c>
      <c r="G375">
        <v>32241937.64516129</v>
      </c>
      <c r="H375">
        <v>0.90096999176086923</v>
      </c>
      <c r="I375">
        <v>0.93728851793367918</v>
      </c>
      <c r="J375">
        <v>9348986.5483870972</v>
      </c>
      <c r="K375">
        <v>44102</v>
      </c>
      <c r="L375">
        <v>2</v>
      </c>
      <c r="M375">
        <v>140</v>
      </c>
      <c r="N375">
        <v>0.93796526054590568</v>
      </c>
      <c r="O375">
        <v>9485323.064516129</v>
      </c>
      <c r="P375">
        <v>44699</v>
      </c>
      <c r="Q375">
        <v>2</v>
      </c>
      <c r="R375">
        <v>141</v>
      </c>
      <c r="S375">
        <v>11.615746180963573</v>
      </c>
      <c r="T375">
        <v>0.93449612657229109</v>
      </c>
      <c r="W375">
        <f>Tabela6[[#This Row],[mlp_params]]</f>
        <v>44102</v>
      </c>
      <c r="X375">
        <f>Tabela6[[#This Row],[mlp_test_acc]]</f>
        <v>0.93728851793367918</v>
      </c>
      <c r="Y375">
        <f>Tabela6[[#This Row],[kan_val_acc_1]]</f>
        <v>0.93449612657229109</v>
      </c>
      <c r="Z375">
        <f>Tabela6[[#This Row],[no_steps]]</f>
        <v>11.615746180963573</v>
      </c>
    </row>
    <row r="376" spans="1:26" hidden="1" x14ac:dyDescent="0.25">
      <c r="A376" t="s">
        <v>18</v>
      </c>
      <c r="B376">
        <v>5</v>
      </c>
      <c r="C376">
        <v>4</v>
      </c>
      <c r="D376">
        <v>0</v>
      </c>
      <c r="E376" t="s">
        <v>28</v>
      </c>
      <c r="F376">
        <v>26232</v>
      </c>
      <c r="G376">
        <v>34959127.282608695</v>
      </c>
      <c r="H376">
        <v>0.95530556207117823</v>
      </c>
      <c r="I376">
        <v>0.9428397689267255</v>
      </c>
      <c r="J376">
        <v>9007880.4347826093</v>
      </c>
      <c r="K376">
        <v>45300</v>
      </c>
      <c r="L376">
        <v>2</v>
      </c>
      <c r="M376">
        <v>142</v>
      </c>
      <c r="N376">
        <v>0.93584676193371852</v>
      </c>
      <c r="O376">
        <v>10078928.456521738</v>
      </c>
      <c r="P376">
        <v>45905</v>
      </c>
      <c r="Q376">
        <v>2</v>
      </c>
      <c r="R376">
        <v>143</v>
      </c>
      <c r="S376">
        <v>11.613948059527283</v>
      </c>
      <c r="T376">
        <v>0.95012918975618155</v>
      </c>
      <c r="W376">
        <f>Tabela6[[#This Row],[mlp_params]]</f>
        <v>45300</v>
      </c>
      <c r="X376">
        <f>Tabela6[[#This Row],[mlp_test_acc]]</f>
        <v>0.9428397689267255</v>
      </c>
      <c r="Y376">
        <f>Tabela6[[#This Row],[kan_val_acc_1]]</f>
        <v>0.95012918975618155</v>
      </c>
      <c r="Z376">
        <f>Tabela6[[#This Row],[no_steps]]</f>
        <v>11.613948059527283</v>
      </c>
    </row>
    <row r="377" spans="1:26" hidden="1" x14ac:dyDescent="0.25">
      <c r="A377" t="s">
        <v>18</v>
      </c>
      <c r="B377">
        <v>5</v>
      </c>
      <c r="C377">
        <v>4</v>
      </c>
      <c r="D377">
        <v>0</v>
      </c>
      <c r="E377" t="s">
        <v>42</v>
      </c>
      <c r="F377">
        <v>26278</v>
      </c>
      <c r="G377">
        <v>32594656.419354837</v>
      </c>
      <c r="H377">
        <v>0.95510940205666328</v>
      </c>
      <c r="I377">
        <v>0.93593503270922629</v>
      </c>
      <c r="J377">
        <v>9178123.3548387103</v>
      </c>
      <c r="K377">
        <v>45905</v>
      </c>
      <c r="L377">
        <v>2</v>
      </c>
      <c r="M377">
        <v>143</v>
      </c>
      <c r="N377">
        <v>0.93435596661403109</v>
      </c>
      <c r="O377">
        <v>9738030.2258064523</v>
      </c>
      <c r="P377">
        <v>46514</v>
      </c>
      <c r="Q377">
        <v>2</v>
      </c>
      <c r="R377">
        <v>144</v>
      </c>
      <c r="S377">
        <v>11.607843137254902</v>
      </c>
      <c r="T377">
        <v>0.95193798144658404</v>
      </c>
      <c r="W377">
        <f>Tabela6[[#This Row],[mlp_params]]</f>
        <v>45905</v>
      </c>
      <c r="X377">
        <f>Tabela6[[#This Row],[mlp_test_acc]]</f>
        <v>0.93593503270922629</v>
      </c>
      <c r="Y377">
        <f>Tabela6[[#This Row],[kan_val_acc_1]]</f>
        <v>0.95193798144658404</v>
      </c>
      <c r="Z377">
        <f>Tabela6[[#This Row],[no_steps]]</f>
        <v>11.607843137254902</v>
      </c>
    </row>
    <row r="378" spans="1:26" hidden="1" x14ac:dyDescent="0.25">
      <c r="A378" t="s">
        <v>18</v>
      </c>
      <c r="B378">
        <v>5</v>
      </c>
      <c r="C378">
        <v>4</v>
      </c>
      <c r="D378">
        <v>0</v>
      </c>
      <c r="E378" t="s">
        <v>67</v>
      </c>
      <c r="F378">
        <v>26708</v>
      </c>
      <c r="G378">
        <v>32507630.5625</v>
      </c>
      <c r="H378">
        <v>0.94055944308638573</v>
      </c>
      <c r="I378">
        <v>0.94187062937062938</v>
      </c>
      <c r="J378">
        <v>10170846.4375</v>
      </c>
      <c r="K378">
        <v>46514</v>
      </c>
      <c r="L378">
        <v>2</v>
      </c>
      <c r="M378">
        <v>144</v>
      </c>
      <c r="N378">
        <v>0.94405594405594406</v>
      </c>
      <c r="O378">
        <v>8753409.8125</v>
      </c>
      <c r="P378">
        <v>47127</v>
      </c>
      <c r="Q378">
        <v>2</v>
      </c>
      <c r="R378">
        <v>145</v>
      </c>
      <c r="S378">
        <v>11.605274597884364</v>
      </c>
      <c r="T378">
        <v>0.93720930020014448</v>
      </c>
      <c r="W378">
        <f>Tabela6[[#This Row],[mlp_params]]</f>
        <v>46514</v>
      </c>
      <c r="X378">
        <f>Tabela6[[#This Row],[mlp_test_acc]]</f>
        <v>0.94187062937062938</v>
      </c>
      <c r="Y378">
        <f>Tabela6[[#This Row],[kan_val_acc_1]]</f>
        <v>0.93720930020014448</v>
      </c>
      <c r="Z378">
        <f>Tabela6[[#This Row],[no_steps]]</f>
        <v>11.605274597884364</v>
      </c>
    </row>
    <row r="379" spans="1:26" hidden="1" x14ac:dyDescent="0.25">
      <c r="A379" t="s">
        <v>18</v>
      </c>
      <c r="B379">
        <v>5</v>
      </c>
      <c r="C379">
        <v>4</v>
      </c>
      <c r="D379">
        <v>0</v>
      </c>
      <c r="E379" t="s">
        <v>29</v>
      </c>
      <c r="F379">
        <v>27002</v>
      </c>
      <c r="G379">
        <v>30956863.545454547</v>
      </c>
      <c r="H379">
        <v>0.9307056611234491</v>
      </c>
      <c r="I379">
        <v>0.94596312778130964</v>
      </c>
      <c r="J379">
        <v>8386272.7272727275</v>
      </c>
      <c r="K379">
        <v>47127</v>
      </c>
      <c r="L379">
        <v>2</v>
      </c>
      <c r="M379">
        <v>145</v>
      </c>
      <c r="N379">
        <v>0.93960584869675778</v>
      </c>
      <c r="O379">
        <v>9521387.4545454551</v>
      </c>
      <c r="P379">
        <v>47744</v>
      </c>
      <c r="Q379">
        <v>2</v>
      </c>
      <c r="R379">
        <v>146</v>
      </c>
      <c r="S379">
        <v>11.603298611111111</v>
      </c>
      <c r="T379">
        <v>0.9325581312179565</v>
      </c>
      <c r="W379">
        <f>Tabela6[[#This Row],[mlp_params]]</f>
        <v>47127</v>
      </c>
      <c r="X379">
        <f>Tabela6[[#This Row],[mlp_test_acc]]</f>
        <v>0.94596312778130964</v>
      </c>
      <c r="Y379">
        <f>Tabela6[[#This Row],[kan_val_acc_1]]</f>
        <v>0.9325581312179565</v>
      </c>
      <c r="Z379">
        <f>Tabela6[[#This Row],[no_steps]]</f>
        <v>11.603298611111111</v>
      </c>
    </row>
    <row r="380" spans="1:26" hidden="1" x14ac:dyDescent="0.25">
      <c r="A380" t="s">
        <v>18</v>
      </c>
      <c r="B380">
        <v>5</v>
      </c>
      <c r="C380">
        <v>4</v>
      </c>
      <c r="D380">
        <v>0</v>
      </c>
      <c r="E380" t="s">
        <v>68</v>
      </c>
      <c r="F380">
        <v>27622</v>
      </c>
      <c r="G380">
        <v>36535821.847826086</v>
      </c>
      <c r="H380">
        <v>0.94892064384792163</v>
      </c>
      <c r="I380">
        <v>0.94040741866828825</v>
      </c>
      <c r="J380">
        <v>9452975.6521739122</v>
      </c>
      <c r="K380">
        <v>47744</v>
      </c>
      <c r="L380">
        <v>2</v>
      </c>
      <c r="M380">
        <v>146</v>
      </c>
      <c r="N380">
        <v>0.94071146245059289</v>
      </c>
      <c r="O380">
        <v>9450939.5434782617</v>
      </c>
      <c r="P380">
        <v>48365</v>
      </c>
      <c r="Q380">
        <v>2</v>
      </c>
      <c r="R380">
        <v>147</v>
      </c>
      <c r="S380">
        <v>11.601897096866916</v>
      </c>
      <c r="T380">
        <v>0.94702840911017527</v>
      </c>
      <c r="W380">
        <f>Tabela6[[#This Row],[mlp_params]]</f>
        <v>47744</v>
      </c>
      <c r="X380">
        <f>Tabela6[[#This Row],[mlp_test_acc]]</f>
        <v>0.94040741866828825</v>
      </c>
      <c r="Y380">
        <f>Tabela6[[#This Row],[kan_val_acc_1]]</f>
        <v>0.94702840911017527</v>
      </c>
      <c r="Z380">
        <f>Tabela6[[#This Row],[no_steps]]</f>
        <v>11.601897096866916</v>
      </c>
    </row>
    <row r="381" spans="1:26" hidden="1" x14ac:dyDescent="0.25">
      <c r="A381" t="s">
        <v>18</v>
      </c>
      <c r="B381">
        <v>5</v>
      </c>
      <c r="C381">
        <v>4</v>
      </c>
      <c r="D381">
        <v>0</v>
      </c>
      <c r="E381" t="s">
        <v>30</v>
      </c>
      <c r="F381">
        <v>27772</v>
      </c>
      <c r="G381">
        <v>35122184.363636367</v>
      </c>
      <c r="H381">
        <v>0.93897011605176062</v>
      </c>
      <c r="I381">
        <v>0.94405594405594406</v>
      </c>
      <c r="J381">
        <v>10363997.363636363</v>
      </c>
      <c r="K381">
        <v>48365</v>
      </c>
      <c r="L381">
        <v>2</v>
      </c>
      <c r="M381">
        <v>147</v>
      </c>
      <c r="N381">
        <v>0.94342021614748883</v>
      </c>
      <c r="O381">
        <v>7034799.1818181816</v>
      </c>
      <c r="P381">
        <v>48990</v>
      </c>
      <c r="Q381">
        <v>2</v>
      </c>
      <c r="R381">
        <v>148</v>
      </c>
      <c r="S381">
        <v>11.601951499497776</v>
      </c>
      <c r="T381">
        <v>0.9465116143226624</v>
      </c>
      <c r="W381">
        <f>Tabela6[[#This Row],[mlp_params]]</f>
        <v>48365</v>
      </c>
      <c r="X381">
        <f>Tabela6[[#This Row],[mlp_test_acc]]</f>
        <v>0.94405594405594406</v>
      </c>
      <c r="Y381">
        <f>Tabela6[[#This Row],[kan_val_acc_1]]</f>
        <v>0.9465116143226624</v>
      </c>
      <c r="Z381">
        <f>Tabela6[[#This Row],[no_steps]]</f>
        <v>11.601951499497776</v>
      </c>
    </row>
    <row r="382" spans="1:26" hidden="1" x14ac:dyDescent="0.25">
      <c r="A382" t="s">
        <v>18</v>
      </c>
      <c r="B382">
        <v>5</v>
      </c>
      <c r="C382">
        <v>4</v>
      </c>
      <c r="D382">
        <v>0</v>
      </c>
      <c r="E382" t="s">
        <v>77</v>
      </c>
      <c r="F382">
        <v>28150</v>
      </c>
      <c r="G382">
        <v>38801635.108695649</v>
      </c>
      <c r="H382">
        <v>0.94223168233166565</v>
      </c>
      <c r="I382">
        <v>0.93523867436910912</v>
      </c>
      <c r="J382">
        <v>9332564.1521739122</v>
      </c>
      <c r="K382">
        <v>48990</v>
      </c>
      <c r="L382">
        <v>2</v>
      </c>
      <c r="M382">
        <v>148</v>
      </c>
      <c r="N382">
        <v>0.93721495895408935</v>
      </c>
      <c r="O382">
        <v>9117837.5434782617</v>
      </c>
      <c r="P382">
        <v>49619</v>
      </c>
      <c r="Q382">
        <v>2</v>
      </c>
      <c r="R382">
        <v>149</v>
      </c>
      <c r="S382">
        <v>11.602280826799715</v>
      </c>
      <c r="T382">
        <v>0.95012918710708616</v>
      </c>
      <c r="W382">
        <f>Tabela6[[#This Row],[mlp_params]]</f>
        <v>48990</v>
      </c>
      <c r="X382">
        <f>Tabela6[[#This Row],[mlp_test_acc]]</f>
        <v>0.93523867436910912</v>
      </c>
      <c r="Y382">
        <f>Tabela6[[#This Row],[kan_val_acc_1]]</f>
        <v>0.95012918710708616</v>
      </c>
      <c r="Z382">
        <f>Tabela6[[#This Row],[no_steps]]</f>
        <v>11.602280826799715</v>
      </c>
    </row>
    <row r="383" spans="1:26" hidden="1" x14ac:dyDescent="0.25">
      <c r="A383" t="s">
        <v>18</v>
      </c>
      <c r="B383">
        <v>5</v>
      </c>
      <c r="C383">
        <v>4</v>
      </c>
      <c r="D383">
        <v>0</v>
      </c>
      <c r="E383" t="s">
        <v>31</v>
      </c>
      <c r="F383">
        <v>28542</v>
      </c>
      <c r="G383">
        <v>35023273.363636367</v>
      </c>
      <c r="H383">
        <v>0.96884933384982019</v>
      </c>
      <c r="I383">
        <v>0.94278448823903371</v>
      </c>
      <c r="J383">
        <v>9743686.8181818184</v>
      </c>
      <c r="K383">
        <v>49619</v>
      </c>
      <c r="L383">
        <v>2</v>
      </c>
      <c r="M383">
        <v>149</v>
      </c>
      <c r="N383">
        <v>0.93642720915448185</v>
      </c>
      <c r="O383">
        <v>8305177.5454545459</v>
      </c>
      <c r="P383">
        <v>50252</v>
      </c>
      <c r="Q383">
        <v>2</v>
      </c>
      <c r="R383">
        <v>150</v>
      </c>
      <c r="S383">
        <v>11.60204953031597</v>
      </c>
      <c r="T383">
        <v>0.96046509742736819</v>
      </c>
      <c r="W383">
        <f>Tabela6[[#This Row],[mlp_params]]</f>
        <v>49619</v>
      </c>
      <c r="X383">
        <f>Tabela6[[#This Row],[mlp_test_acc]]</f>
        <v>0.94278448823903371</v>
      </c>
      <c r="Y383">
        <f>Tabela6[[#This Row],[kan_val_acc_1]]</f>
        <v>0.96046509742736819</v>
      </c>
      <c r="Z383">
        <f>Tabela6[[#This Row],[no_steps]]</f>
        <v>11.60204953031597</v>
      </c>
    </row>
    <row r="384" spans="1:26" hidden="1" x14ac:dyDescent="0.25">
      <c r="A384" t="s">
        <v>18</v>
      </c>
      <c r="B384">
        <v>5</v>
      </c>
      <c r="C384">
        <v>4</v>
      </c>
      <c r="D384">
        <v>0</v>
      </c>
      <c r="E384" t="s">
        <v>32</v>
      </c>
      <c r="F384">
        <v>29312</v>
      </c>
      <c r="G384">
        <v>39192219.625</v>
      </c>
      <c r="H384">
        <v>0.95129870091165813</v>
      </c>
      <c r="I384">
        <v>0.93706293706293708</v>
      </c>
      <c r="J384">
        <v>9185652.125</v>
      </c>
      <c r="K384">
        <v>50889</v>
      </c>
      <c r="L384">
        <v>2</v>
      </c>
      <c r="M384">
        <v>151</v>
      </c>
      <c r="N384">
        <v>0.93768731268731265</v>
      </c>
      <c r="O384">
        <v>9792719.9642857146</v>
      </c>
      <c r="P384">
        <v>51530</v>
      </c>
      <c r="Q384">
        <v>2</v>
      </c>
      <c r="R384">
        <v>152</v>
      </c>
      <c r="S384">
        <v>11.602795820389721</v>
      </c>
      <c r="T384">
        <v>0.95010569854216143</v>
      </c>
      <c r="W384">
        <f>Tabela6[[#This Row],[mlp_params]]</f>
        <v>50889</v>
      </c>
      <c r="X384">
        <f>Tabela6[[#This Row],[mlp_test_acc]]</f>
        <v>0.93706293706293708</v>
      </c>
      <c r="Y384">
        <f>Tabela6[[#This Row],[kan_val_acc_1]]</f>
        <v>0.95010569854216143</v>
      </c>
      <c r="Z384">
        <f>Tabela6[[#This Row],[no_steps]]</f>
        <v>11.602795820389721</v>
      </c>
    </row>
    <row r="385" spans="1:26" hidden="1" x14ac:dyDescent="0.25">
      <c r="A385" t="s">
        <v>18</v>
      </c>
      <c r="B385">
        <v>5</v>
      </c>
      <c r="C385">
        <v>4</v>
      </c>
      <c r="D385">
        <v>0</v>
      </c>
      <c r="E385" t="s">
        <v>46</v>
      </c>
      <c r="F385">
        <v>29550</v>
      </c>
      <c r="G385">
        <v>37408846.583333336</v>
      </c>
      <c r="H385">
        <v>0.93764568865299225</v>
      </c>
      <c r="I385">
        <v>0.93531468531468531</v>
      </c>
      <c r="J385">
        <v>8667965.6111111119</v>
      </c>
      <c r="K385">
        <v>51530</v>
      </c>
      <c r="L385">
        <v>2</v>
      </c>
      <c r="M385">
        <v>152</v>
      </c>
      <c r="N385">
        <v>0.93473193473193472</v>
      </c>
      <c r="O385">
        <v>9489186.25</v>
      </c>
      <c r="P385">
        <v>52175</v>
      </c>
      <c r="Q385">
        <v>2</v>
      </c>
      <c r="R385">
        <v>153</v>
      </c>
      <c r="S385">
        <v>11.60073054228716</v>
      </c>
      <c r="T385">
        <v>0.94916942119598391</v>
      </c>
      <c r="W385">
        <f>Tabela6[[#This Row],[mlp_params]]</f>
        <v>51530</v>
      </c>
      <c r="X385">
        <f>Tabela6[[#This Row],[mlp_test_acc]]</f>
        <v>0.93531468531468531</v>
      </c>
      <c r="Y385">
        <f>Tabela6[[#This Row],[kan_val_acc_1]]</f>
        <v>0.94916942119598391</v>
      </c>
      <c r="Z385">
        <f>Tabela6[[#This Row],[no_steps]]</f>
        <v>11.60073054228716</v>
      </c>
    </row>
    <row r="386" spans="1:26" hidden="1" x14ac:dyDescent="0.25">
      <c r="A386" t="s">
        <v>18</v>
      </c>
      <c r="B386">
        <v>5</v>
      </c>
      <c r="C386">
        <v>4</v>
      </c>
      <c r="D386">
        <v>0</v>
      </c>
      <c r="E386" t="s">
        <v>33</v>
      </c>
      <c r="F386">
        <v>30082</v>
      </c>
      <c r="G386">
        <v>37374016.387096778</v>
      </c>
      <c r="H386">
        <v>0.95375592285586941</v>
      </c>
      <c r="I386">
        <v>0.94383036318520186</v>
      </c>
      <c r="J386">
        <v>10105961.161290323</v>
      </c>
      <c r="K386">
        <v>52175</v>
      </c>
      <c r="L386">
        <v>2</v>
      </c>
      <c r="M386">
        <v>153</v>
      </c>
      <c r="N386">
        <v>0.94292803970223327</v>
      </c>
      <c r="O386">
        <v>9877319.4838709682</v>
      </c>
      <c r="P386">
        <v>52824</v>
      </c>
      <c r="Q386">
        <v>2</v>
      </c>
      <c r="R386">
        <v>154</v>
      </c>
      <c r="S386">
        <v>11.597146454049517</v>
      </c>
      <c r="T386">
        <v>0.94534882704416912</v>
      </c>
      <c r="W386">
        <f>Tabela6[[#This Row],[mlp_params]]</f>
        <v>52175</v>
      </c>
      <c r="X386">
        <f>Tabela6[[#This Row],[mlp_test_acc]]</f>
        <v>0.94383036318520186</v>
      </c>
      <c r="Y386">
        <f>Tabela6[[#This Row],[kan_val_acc_1]]</f>
        <v>0.94534882704416912</v>
      </c>
      <c r="Z386">
        <f>Tabela6[[#This Row],[no_steps]]</f>
        <v>11.597146454049517</v>
      </c>
    </row>
    <row r="387" spans="1:26" hidden="1" x14ac:dyDescent="0.25">
      <c r="A387" t="s">
        <v>18</v>
      </c>
      <c r="B387">
        <v>5</v>
      </c>
      <c r="C387">
        <v>4</v>
      </c>
      <c r="D387">
        <v>0</v>
      </c>
      <c r="E387" t="s">
        <v>47</v>
      </c>
      <c r="F387">
        <v>30368</v>
      </c>
      <c r="G387">
        <v>43019280.07692308</v>
      </c>
      <c r="H387">
        <v>0.95346960425376892</v>
      </c>
      <c r="I387">
        <v>0.93544916621839702</v>
      </c>
      <c r="J387">
        <v>10070523.807692308</v>
      </c>
      <c r="K387">
        <v>52824</v>
      </c>
      <c r="L387">
        <v>2</v>
      </c>
      <c r="M387">
        <v>154</v>
      </c>
      <c r="N387">
        <v>0.93679397525551367</v>
      </c>
      <c r="O387">
        <v>9942859.9230769239</v>
      </c>
      <c r="P387">
        <v>53477</v>
      </c>
      <c r="Q387">
        <v>2</v>
      </c>
      <c r="R387">
        <v>155</v>
      </c>
      <c r="S387">
        <v>11.598885017421603</v>
      </c>
      <c r="T387">
        <v>0.95023255109786986</v>
      </c>
      <c r="W387">
        <f>Tabela6[[#This Row],[mlp_params]]</f>
        <v>52824</v>
      </c>
      <c r="X387">
        <f>Tabela6[[#This Row],[mlp_test_acc]]</f>
        <v>0.93544916621839702</v>
      </c>
      <c r="Y387">
        <f>Tabela6[[#This Row],[kan_val_acc_1]]</f>
        <v>0.95023255109786986</v>
      </c>
      <c r="Z387">
        <f>Tabela6[[#This Row],[no_steps]]</f>
        <v>11.598885017421603</v>
      </c>
    </row>
    <row r="388" spans="1:26" hidden="1" x14ac:dyDescent="0.25">
      <c r="A388" t="s">
        <v>18</v>
      </c>
      <c r="B388">
        <v>5</v>
      </c>
      <c r="C388">
        <v>4</v>
      </c>
      <c r="D388">
        <v>0</v>
      </c>
      <c r="E388" t="s">
        <v>34</v>
      </c>
      <c r="F388">
        <v>30852</v>
      </c>
      <c r="G388">
        <v>39055755.36585366</v>
      </c>
      <c r="H388">
        <v>0.93433395391557272</v>
      </c>
      <c r="I388">
        <v>0.94286201603274777</v>
      </c>
      <c r="J388">
        <v>9799451.8292682935</v>
      </c>
      <c r="K388">
        <v>53477</v>
      </c>
      <c r="L388">
        <v>2</v>
      </c>
      <c r="M388">
        <v>155</v>
      </c>
      <c r="N388">
        <v>0.94320313832508951</v>
      </c>
      <c r="O388">
        <v>9571913.2926829271</v>
      </c>
      <c r="P388">
        <v>54134</v>
      </c>
      <c r="Q388">
        <v>2</v>
      </c>
      <c r="R388">
        <v>156</v>
      </c>
      <c r="S388">
        <v>11.59478935698448</v>
      </c>
      <c r="T388">
        <v>0.93691860139369965</v>
      </c>
      <c r="W388">
        <f>Tabela6[[#This Row],[mlp_params]]</f>
        <v>53477</v>
      </c>
      <c r="X388">
        <f>Tabela6[[#This Row],[mlp_test_acc]]</f>
        <v>0.94286201603274777</v>
      </c>
      <c r="Y388">
        <f>Tabela6[[#This Row],[kan_val_acc_1]]</f>
        <v>0.93691860139369965</v>
      </c>
      <c r="Z388">
        <f>Tabela6[[#This Row],[no_steps]]</f>
        <v>11.59478935698448</v>
      </c>
    </row>
    <row r="389" spans="1:26" hidden="1" x14ac:dyDescent="0.25">
      <c r="A389" t="s">
        <v>18</v>
      </c>
      <c r="B389">
        <v>5</v>
      </c>
      <c r="C389">
        <v>4</v>
      </c>
      <c r="D389">
        <v>0</v>
      </c>
      <c r="E389" t="s">
        <v>48</v>
      </c>
      <c r="F389">
        <v>31186</v>
      </c>
      <c r="G389">
        <v>38885087.4375</v>
      </c>
      <c r="H389">
        <v>0.95760489627718925</v>
      </c>
      <c r="I389">
        <v>0.95104895104895104</v>
      </c>
      <c r="J389">
        <v>9276682.5</v>
      </c>
      <c r="K389">
        <v>54134</v>
      </c>
      <c r="L389">
        <v>2</v>
      </c>
      <c r="M389">
        <v>156</v>
      </c>
      <c r="N389">
        <v>0.94449300699300698</v>
      </c>
      <c r="O389">
        <v>10197562.1875</v>
      </c>
      <c r="P389">
        <v>54795</v>
      </c>
      <c r="Q389">
        <v>2</v>
      </c>
      <c r="R389">
        <v>157</v>
      </c>
      <c r="S389">
        <v>11.592643805309734</v>
      </c>
      <c r="T389">
        <v>0.95038757721583045</v>
      </c>
      <c r="W389">
        <f>Tabela6[[#This Row],[mlp_params]]</f>
        <v>54134</v>
      </c>
      <c r="X389">
        <f>Tabela6[[#This Row],[mlp_test_acc]]</f>
        <v>0.95104895104895104</v>
      </c>
      <c r="Y389">
        <f>Tabela6[[#This Row],[kan_val_acc_1]]</f>
        <v>0.95038757721583045</v>
      </c>
      <c r="Z389">
        <f>Tabela6[[#This Row],[no_steps]]</f>
        <v>11.592643805309734</v>
      </c>
    </row>
    <row r="390" spans="1:26" hidden="1" x14ac:dyDescent="0.25">
      <c r="A390" t="s">
        <v>18</v>
      </c>
      <c r="B390">
        <v>5</v>
      </c>
      <c r="C390">
        <v>4</v>
      </c>
      <c r="D390">
        <v>0</v>
      </c>
      <c r="E390" t="s">
        <v>35</v>
      </c>
      <c r="F390">
        <v>31622</v>
      </c>
      <c r="G390">
        <v>37333342.156862743</v>
      </c>
      <c r="H390">
        <v>0.94830659324047617</v>
      </c>
      <c r="I390">
        <v>0.94487865076100375</v>
      </c>
      <c r="J390">
        <v>9138199.2745098043</v>
      </c>
      <c r="K390">
        <v>54795</v>
      </c>
      <c r="L390">
        <v>2</v>
      </c>
      <c r="M390">
        <v>157</v>
      </c>
      <c r="N390">
        <v>0.9417249417249417</v>
      </c>
      <c r="O390">
        <v>10022828.94117647</v>
      </c>
      <c r="P390">
        <v>55460</v>
      </c>
      <c r="Q390">
        <v>2</v>
      </c>
      <c r="R390">
        <v>158</v>
      </c>
      <c r="S390">
        <v>11.586434161746533</v>
      </c>
      <c r="T390">
        <v>0.94906975507736202</v>
      </c>
      <c r="W390">
        <f>Tabela6[[#This Row],[mlp_params]]</f>
        <v>54795</v>
      </c>
      <c r="X390">
        <f>Tabela6[[#This Row],[mlp_test_acc]]</f>
        <v>0.94487865076100375</v>
      </c>
      <c r="Y390">
        <f>Tabela6[[#This Row],[kan_val_acc_1]]</f>
        <v>0.94906975507736202</v>
      </c>
      <c r="Z390">
        <f>Tabela6[[#This Row],[no_steps]]</f>
        <v>11.586434161746533</v>
      </c>
    </row>
    <row r="391" spans="1:26" hidden="1" x14ac:dyDescent="0.25">
      <c r="A391" t="s">
        <v>18</v>
      </c>
      <c r="B391">
        <v>5</v>
      </c>
      <c r="C391">
        <v>4</v>
      </c>
      <c r="D391">
        <v>0</v>
      </c>
      <c r="E391" t="s">
        <v>49</v>
      </c>
      <c r="F391">
        <v>32004</v>
      </c>
      <c r="G391">
        <v>42912978.5</v>
      </c>
      <c r="H391">
        <v>0.92832167446613312</v>
      </c>
      <c r="I391">
        <v>0.94667832167832167</v>
      </c>
      <c r="J391">
        <v>11130484</v>
      </c>
      <c r="K391">
        <v>55460</v>
      </c>
      <c r="L391">
        <v>2</v>
      </c>
      <c r="M391">
        <v>158</v>
      </c>
      <c r="N391">
        <v>0.95104895104895104</v>
      </c>
      <c r="O391">
        <v>10708035.9375</v>
      </c>
      <c r="P391">
        <v>56129</v>
      </c>
      <c r="Q391">
        <v>2</v>
      </c>
      <c r="R391">
        <v>159</v>
      </c>
      <c r="S391">
        <v>11.585148650500068</v>
      </c>
      <c r="T391">
        <v>0.93953487475713093</v>
      </c>
      <c r="W391">
        <f>Tabela6[[#This Row],[mlp_params]]</f>
        <v>55460</v>
      </c>
      <c r="X391">
        <f>Tabela6[[#This Row],[mlp_test_acc]]</f>
        <v>0.94667832167832167</v>
      </c>
      <c r="Y391">
        <f>Tabela6[[#This Row],[kan_val_acc_1]]</f>
        <v>0.93953487475713093</v>
      </c>
      <c r="Z391">
        <f>Tabela6[[#This Row],[no_steps]]</f>
        <v>11.585148650500068</v>
      </c>
    </row>
    <row r="392" spans="1:26" hidden="1" x14ac:dyDescent="0.25">
      <c r="A392" t="s">
        <v>18</v>
      </c>
      <c r="B392">
        <v>5</v>
      </c>
      <c r="C392">
        <v>4</v>
      </c>
      <c r="D392">
        <v>0</v>
      </c>
      <c r="E392" t="s">
        <v>36</v>
      </c>
      <c r="F392">
        <v>32392</v>
      </c>
      <c r="G392">
        <v>40435660.92307692</v>
      </c>
      <c r="H392">
        <v>0.93571812372941232</v>
      </c>
      <c r="I392">
        <v>0.94029047875201721</v>
      </c>
      <c r="J392">
        <v>10448613.461538462</v>
      </c>
      <c r="K392">
        <v>56129</v>
      </c>
      <c r="L392">
        <v>2</v>
      </c>
      <c r="M392">
        <v>159</v>
      </c>
      <c r="N392">
        <v>0.94217321140398069</v>
      </c>
      <c r="O392">
        <v>10459255.346153846</v>
      </c>
      <c r="P392">
        <v>56802</v>
      </c>
      <c r="Q392">
        <v>2</v>
      </c>
      <c r="R392">
        <v>160</v>
      </c>
      <c r="S392">
        <v>11.582252559726962</v>
      </c>
      <c r="T392">
        <v>0.94837207794189449</v>
      </c>
      <c r="W392">
        <f>Tabela6[[#This Row],[mlp_params]]</f>
        <v>56129</v>
      </c>
      <c r="X392">
        <f>Tabela6[[#This Row],[mlp_test_acc]]</f>
        <v>0.94029047875201721</v>
      </c>
      <c r="Y392">
        <f>Tabela6[[#This Row],[kan_val_acc_1]]</f>
        <v>0.94837207794189449</v>
      </c>
      <c r="Z392">
        <f>Tabela6[[#This Row],[no_steps]]</f>
        <v>11.582252559726962</v>
      </c>
    </row>
    <row r="393" spans="1:26" hidden="1" x14ac:dyDescent="0.25">
      <c r="A393" t="s">
        <v>18</v>
      </c>
      <c r="B393">
        <v>5</v>
      </c>
      <c r="C393">
        <v>4</v>
      </c>
      <c r="D393">
        <v>0</v>
      </c>
      <c r="E393" t="s">
        <v>50</v>
      </c>
      <c r="F393">
        <v>32822</v>
      </c>
      <c r="G393">
        <v>39143205.512195125</v>
      </c>
      <c r="H393">
        <v>0.94661435848329123</v>
      </c>
      <c r="I393">
        <v>0.9392802319631588</v>
      </c>
      <c r="J393">
        <v>9647073.0975609757</v>
      </c>
      <c r="K393">
        <v>56802</v>
      </c>
      <c r="L393">
        <v>2</v>
      </c>
      <c r="M393">
        <v>160</v>
      </c>
      <c r="N393">
        <v>0.9438853829097732</v>
      </c>
      <c r="O393">
        <v>10046064.756097561</v>
      </c>
      <c r="P393">
        <v>57479</v>
      </c>
      <c r="Q393">
        <v>2</v>
      </c>
      <c r="R393">
        <v>161</v>
      </c>
      <c r="S393">
        <v>11.577925604127071</v>
      </c>
      <c r="T393">
        <v>0.94360464215278628</v>
      </c>
      <c r="W393">
        <f>Tabela6[[#This Row],[mlp_params]]</f>
        <v>56802</v>
      </c>
      <c r="X393">
        <f>Tabela6[[#This Row],[mlp_test_acc]]</f>
        <v>0.9392802319631588</v>
      </c>
      <c r="Y393">
        <f>Tabela6[[#This Row],[kan_val_acc_1]]</f>
        <v>0.94360464215278628</v>
      </c>
      <c r="Z393">
        <f>Tabela6[[#This Row],[no_steps]]</f>
        <v>11.577925604127071</v>
      </c>
    </row>
    <row r="394" spans="1:26" hidden="1" x14ac:dyDescent="0.25">
      <c r="A394" t="s">
        <v>18</v>
      </c>
      <c r="B394">
        <v>5</v>
      </c>
      <c r="C394">
        <v>4</v>
      </c>
      <c r="D394">
        <v>0</v>
      </c>
      <c r="E394" t="s">
        <v>37</v>
      </c>
      <c r="F394">
        <v>33162</v>
      </c>
      <c r="G394">
        <v>43349366.3125</v>
      </c>
      <c r="H394">
        <v>0.94624125212430954</v>
      </c>
      <c r="I394">
        <v>0.94187062937062938</v>
      </c>
      <c r="J394">
        <v>9264933.375</v>
      </c>
      <c r="K394">
        <v>57479</v>
      </c>
      <c r="L394">
        <v>2</v>
      </c>
      <c r="M394">
        <v>161</v>
      </c>
      <c r="N394">
        <v>0.9475524475524475</v>
      </c>
      <c r="O394">
        <v>10613223.375</v>
      </c>
      <c r="P394">
        <v>58160</v>
      </c>
      <c r="Q394">
        <v>2</v>
      </c>
      <c r="R394">
        <v>162</v>
      </c>
      <c r="S394">
        <v>11.576808452993768</v>
      </c>
      <c r="T394">
        <v>0.94651161829630537</v>
      </c>
      <c r="W394">
        <f>Tabela6[[#This Row],[mlp_params]]</f>
        <v>57479</v>
      </c>
      <c r="X394">
        <f>Tabela6[[#This Row],[mlp_test_acc]]</f>
        <v>0.94187062937062938</v>
      </c>
      <c r="Y394">
        <f>Tabela6[[#This Row],[kan_val_acc_1]]</f>
        <v>0.94651161829630537</v>
      </c>
      <c r="Z394">
        <f>Tabela6[[#This Row],[no_steps]]</f>
        <v>11.576808452993768</v>
      </c>
    </row>
    <row r="395" spans="1:26" hidden="1" x14ac:dyDescent="0.25">
      <c r="A395" t="s">
        <v>18</v>
      </c>
      <c r="B395">
        <v>5</v>
      </c>
      <c r="C395">
        <v>4</v>
      </c>
      <c r="D395">
        <v>0</v>
      </c>
      <c r="E395" t="s">
        <v>51</v>
      </c>
      <c r="F395">
        <v>33640</v>
      </c>
      <c r="G395">
        <v>42235523.647058822</v>
      </c>
      <c r="H395">
        <v>0.94350747267405188</v>
      </c>
      <c r="I395">
        <v>0.94158782394076512</v>
      </c>
      <c r="J395">
        <v>9739825.5490196086</v>
      </c>
      <c r="K395">
        <v>58160</v>
      </c>
      <c r="L395">
        <v>2</v>
      </c>
      <c r="M395">
        <v>162</v>
      </c>
      <c r="N395">
        <v>0.94419306184012064</v>
      </c>
      <c r="O395">
        <v>9699845.3725490198</v>
      </c>
      <c r="P395">
        <v>58845</v>
      </c>
      <c r="Q395">
        <v>2</v>
      </c>
      <c r="R395">
        <v>163</v>
      </c>
      <c r="S395">
        <v>11.57755953181757</v>
      </c>
      <c r="T395">
        <v>0.94697673320770259</v>
      </c>
      <c r="W395">
        <f>Tabela6[[#This Row],[mlp_params]]</f>
        <v>58160</v>
      </c>
      <c r="X395">
        <f>Tabela6[[#This Row],[mlp_test_acc]]</f>
        <v>0.94158782394076512</v>
      </c>
      <c r="Y395">
        <f>Tabela6[[#This Row],[kan_val_acc_1]]</f>
        <v>0.94697673320770259</v>
      </c>
      <c r="Z395">
        <f>Tabela6[[#This Row],[no_steps]]</f>
        <v>11.57755953181757</v>
      </c>
    </row>
    <row r="396" spans="1:26" hidden="1" x14ac:dyDescent="0.25">
      <c r="A396" t="s">
        <v>18</v>
      </c>
      <c r="B396">
        <v>5</v>
      </c>
      <c r="C396">
        <v>4</v>
      </c>
      <c r="D396">
        <v>0</v>
      </c>
      <c r="E396" t="s">
        <v>38</v>
      </c>
      <c r="F396">
        <v>33932</v>
      </c>
      <c r="G396">
        <v>51397834.875</v>
      </c>
      <c r="H396">
        <v>0.95673076808452606</v>
      </c>
      <c r="I396">
        <v>0.93968531468531469</v>
      </c>
      <c r="J396">
        <v>9928005.8125</v>
      </c>
      <c r="K396">
        <v>58845</v>
      </c>
      <c r="L396">
        <v>2</v>
      </c>
      <c r="M396">
        <v>163</v>
      </c>
      <c r="N396">
        <v>0.94711538461538458</v>
      </c>
      <c r="O396">
        <v>9833203.625</v>
      </c>
      <c r="P396">
        <v>59534</v>
      </c>
      <c r="Q396">
        <v>2</v>
      </c>
      <c r="R396">
        <v>164</v>
      </c>
      <c r="S396">
        <v>11.580614847630555</v>
      </c>
      <c r="T396">
        <v>0.94573642412821457</v>
      </c>
      <c r="W396">
        <f>Tabela6[[#This Row],[mlp_params]]</f>
        <v>58845</v>
      </c>
      <c r="X396">
        <f>Tabela6[[#This Row],[mlp_test_acc]]</f>
        <v>0.93968531468531469</v>
      </c>
      <c r="Y396">
        <f>Tabela6[[#This Row],[kan_val_acc_1]]</f>
        <v>0.94573642412821457</v>
      </c>
      <c r="Z396">
        <f>Tabela6[[#This Row],[no_steps]]</f>
        <v>11.580614847630555</v>
      </c>
    </row>
    <row r="397" spans="1:26" hidden="1" x14ac:dyDescent="0.25">
      <c r="A397" t="s">
        <v>18</v>
      </c>
      <c r="B397">
        <v>5</v>
      </c>
      <c r="C397">
        <v>4</v>
      </c>
      <c r="D397">
        <v>0</v>
      </c>
      <c r="E397" t="s">
        <v>52</v>
      </c>
      <c r="F397">
        <v>34458</v>
      </c>
      <c r="G397">
        <v>39837405.490196079</v>
      </c>
      <c r="H397">
        <v>0.94871794709972301</v>
      </c>
      <c r="I397">
        <v>0.93884546825723303</v>
      </c>
      <c r="J397">
        <v>9988192.7254901957</v>
      </c>
      <c r="K397">
        <v>60227</v>
      </c>
      <c r="L397">
        <v>2</v>
      </c>
      <c r="M397">
        <v>165</v>
      </c>
      <c r="N397">
        <v>0.94323323735088438</v>
      </c>
      <c r="O397">
        <v>10132941</v>
      </c>
      <c r="P397">
        <v>60924</v>
      </c>
      <c r="Q397">
        <v>2</v>
      </c>
      <c r="R397">
        <v>166</v>
      </c>
      <c r="S397">
        <v>11.5732</v>
      </c>
      <c r="T397">
        <v>0.94465114831924435</v>
      </c>
      <c r="W397">
        <f>Tabela6[[#This Row],[mlp_params]]</f>
        <v>60227</v>
      </c>
      <c r="X397">
        <f>Tabela6[[#This Row],[mlp_test_acc]]</f>
        <v>0.93884546825723303</v>
      </c>
      <c r="Y397">
        <f>Tabela6[[#This Row],[kan_val_acc_1]]</f>
        <v>0.94465114831924435</v>
      </c>
      <c r="Z397">
        <f>Tabela6[[#This Row],[no_steps]]</f>
        <v>11.5732</v>
      </c>
    </row>
    <row r="398" spans="1:26" hidden="1" x14ac:dyDescent="0.25">
      <c r="A398" t="s">
        <v>18</v>
      </c>
      <c r="B398">
        <v>5</v>
      </c>
      <c r="C398">
        <v>4</v>
      </c>
      <c r="D398">
        <v>0</v>
      </c>
      <c r="E398" t="s">
        <v>70</v>
      </c>
      <c r="F398">
        <v>34934</v>
      </c>
      <c r="G398">
        <v>41795159.137931034</v>
      </c>
      <c r="H398">
        <v>0.9570774024930494</v>
      </c>
      <c r="I398">
        <v>0.9430913913672534</v>
      </c>
      <c r="J398">
        <v>10041386.379310345</v>
      </c>
      <c r="K398">
        <v>60924</v>
      </c>
      <c r="L398">
        <v>2</v>
      </c>
      <c r="M398">
        <v>166</v>
      </c>
      <c r="N398">
        <v>0.94285025319508076</v>
      </c>
      <c r="O398">
        <v>11149340.068965517</v>
      </c>
      <c r="P398">
        <v>61625</v>
      </c>
      <c r="Q398">
        <v>2</v>
      </c>
      <c r="R398">
        <v>167</v>
      </c>
      <c r="S398">
        <v>11.570195245052464</v>
      </c>
      <c r="T398">
        <v>0.95141194760799408</v>
      </c>
      <c r="W398">
        <f>Tabela6[[#This Row],[mlp_params]]</f>
        <v>60924</v>
      </c>
      <c r="X398">
        <f>Tabela6[[#This Row],[mlp_test_acc]]</f>
        <v>0.9430913913672534</v>
      </c>
      <c r="Y398">
        <f>Tabela6[[#This Row],[kan_val_acc_1]]</f>
        <v>0.95141194760799408</v>
      </c>
      <c r="Z398">
        <f>Tabela6[[#This Row],[no_steps]]</f>
        <v>11.570195245052464</v>
      </c>
    </row>
    <row r="399" spans="1:26" hidden="1" x14ac:dyDescent="0.25">
      <c r="A399" t="s">
        <v>18</v>
      </c>
      <c r="B399">
        <v>5</v>
      </c>
      <c r="C399">
        <v>4</v>
      </c>
      <c r="D399">
        <v>0</v>
      </c>
      <c r="E399" t="s">
        <v>53</v>
      </c>
      <c r="F399">
        <v>35276</v>
      </c>
      <c r="G399">
        <v>39585550.190476194</v>
      </c>
      <c r="H399">
        <v>0.93639693657557166</v>
      </c>
      <c r="I399">
        <v>0.94005994005994009</v>
      </c>
      <c r="J399">
        <v>10196524.714285715</v>
      </c>
      <c r="K399">
        <v>61625</v>
      </c>
      <c r="L399">
        <v>2</v>
      </c>
      <c r="M399">
        <v>167</v>
      </c>
      <c r="N399">
        <v>0.94005994005994009</v>
      </c>
      <c r="O399">
        <v>9426498.8571428563</v>
      </c>
      <c r="P399">
        <v>62330</v>
      </c>
      <c r="Q399">
        <v>2</v>
      </c>
      <c r="R399">
        <v>168</v>
      </c>
      <c r="S399">
        <v>11.568476821192053</v>
      </c>
      <c r="T399">
        <v>0.9401162713766098</v>
      </c>
      <c r="W399">
        <f>Tabela6[[#This Row],[mlp_params]]</f>
        <v>61625</v>
      </c>
      <c r="X399">
        <f>Tabela6[[#This Row],[mlp_test_acc]]</f>
        <v>0.94005994005994009</v>
      </c>
      <c r="Y399">
        <f>Tabela6[[#This Row],[kan_val_acc_1]]</f>
        <v>0.9401162713766098</v>
      </c>
      <c r="Z399">
        <f>Tabela6[[#This Row],[no_steps]]</f>
        <v>11.568476821192053</v>
      </c>
    </row>
    <row r="400" spans="1:26" hidden="1" x14ac:dyDescent="0.25">
      <c r="A400" t="s">
        <v>18</v>
      </c>
      <c r="B400">
        <v>5</v>
      </c>
      <c r="C400">
        <v>4</v>
      </c>
      <c r="D400">
        <v>0</v>
      </c>
      <c r="E400" t="s">
        <v>62</v>
      </c>
      <c r="F400">
        <v>35658</v>
      </c>
      <c r="G400">
        <v>46762790.5625</v>
      </c>
      <c r="H400">
        <v>0.92744754999876022</v>
      </c>
      <c r="I400">
        <v>0.94361888111888115</v>
      </c>
      <c r="J400">
        <v>10421810.375</v>
      </c>
      <c r="K400">
        <v>62330</v>
      </c>
      <c r="L400">
        <v>2</v>
      </c>
      <c r="M400">
        <v>168</v>
      </c>
      <c r="N400">
        <v>0.94187062937062938</v>
      </c>
      <c r="O400">
        <v>9975619.8125</v>
      </c>
      <c r="P400">
        <v>63039</v>
      </c>
      <c r="Q400">
        <v>2</v>
      </c>
      <c r="R400">
        <v>169</v>
      </c>
      <c r="S400">
        <v>11.568199841395717</v>
      </c>
      <c r="T400">
        <v>0.94341084162394206</v>
      </c>
      <c r="W400">
        <f>Tabela6[[#This Row],[mlp_params]]</f>
        <v>62330</v>
      </c>
      <c r="X400">
        <f>Tabela6[[#This Row],[mlp_test_acc]]</f>
        <v>0.94361888111888115</v>
      </c>
      <c r="Y400">
        <f>Tabela6[[#This Row],[kan_val_acc_1]]</f>
        <v>0.94341084162394206</v>
      </c>
      <c r="Z400">
        <f>Tabela6[[#This Row],[no_steps]]</f>
        <v>11.568199841395717</v>
      </c>
    </row>
    <row r="401" spans="1:26" hidden="1" x14ac:dyDescent="0.25">
      <c r="A401" t="s">
        <v>18</v>
      </c>
      <c r="B401">
        <v>5</v>
      </c>
      <c r="C401">
        <v>4</v>
      </c>
      <c r="D401">
        <v>0</v>
      </c>
      <c r="E401" t="s">
        <v>54</v>
      </c>
      <c r="F401">
        <v>36094</v>
      </c>
      <c r="G401">
        <v>38802108.870967738</v>
      </c>
      <c r="H401">
        <v>0.949469885518474</v>
      </c>
      <c r="I401">
        <v>0.94270245883149106</v>
      </c>
      <c r="J401">
        <v>9256610.9677419346</v>
      </c>
      <c r="K401">
        <v>63039</v>
      </c>
      <c r="L401">
        <v>2</v>
      </c>
      <c r="M401">
        <v>169</v>
      </c>
      <c r="N401">
        <v>0.93999548838258518</v>
      </c>
      <c r="O401">
        <v>9726601.6451612897</v>
      </c>
      <c r="P401">
        <v>63752</v>
      </c>
      <c r="Q401">
        <v>2</v>
      </c>
      <c r="R401">
        <v>170</v>
      </c>
      <c r="S401">
        <v>11.563906805317888</v>
      </c>
      <c r="T401">
        <v>0.94612401723861694</v>
      </c>
      <c r="W401">
        <f>Tabela6[[#This Row],[mlp_params]]</f>
        <v>63039</v>
      </c>
      <c r="X401">
        <f>Tabela6[[#This Row],[mlp_test_acc]]</f>
        <v>0.94270245883149106</v>
      </c>
      <c r="Y401">
        <f>Tabela6[[#This Row],[kan_val_acc_1]]</f>
        <v>0.94612401723861694</v>
      </c>
      <c r="Z401">
        <f>Tabela6[[#This Row],[no_steps]]</f>
        <v>11.563906805317888</v>
      </c>
    </row>
    <row r="402" spans="1:26" hidden="1" x14ac:dyDescent="0.25">
      <c r="A402" t="s">
        <v>18</v>
      </c>
      <c r="B402">
        <v>5</v>
      </c>
      <c r="C402">
        <v>4</v>
      </c>
      <c r="D402">
        <v>0</v>
      </c>
      <c r="E402" t="s">
        <v>63</v>
      </c>
      <c r="F402">
        <v>36524</v>
      </c>
      <c r="G402">
        <v>46079259.25</v>
      </c>
      <c r="H402">
        <v>0.95935313776135445</v>
      </c>
      <c r="I402">
        <v>0.94624125874125875</v>
      </c>
      <c r="J402">
        <v>11282704.625</v>
      </c>
      <c r="K402">
        <v>63752</v>
      </c>
      <c r="L402">
        <v>2</v>
      </c>
      <c r="M402">
        <v>170</v>
      </c>
      <c r="N402">
        <v>0.94624125874125875</v>
      </c>
      <c r="O402">
        <v>10195517.8125</v>
      </c>
      <c r="P402">
        <v>64469</v>
      </c>
      <c r="Q402">
        <v>2</v>
      </c>
      <c r="R402">
        <v>171</v>
      </c>
      <c r="S402">
        <v>11.563378431630106</v>
      </c>
      <c r="T402">
        <v>0.94961238702138262</v>
      </c>
      <c r="W402">
        <f>Tabela6[[#This Row],[mlp_params]]</f>
        <v>63752</v>
      </c>
      <c r="X402">
        <f>Tabela6[[#This Row],[mlp_test_acc]]</f>
        <v>0.94624125874125875</v>
      </c>
      <c r="Y402">
        <f>Tabela6[[#This Row],[kan_val_acc_1]]</f>
        <v>0.94961238702138262</v>
      </c>
      <c r="Z402">
        <f>Tabela6[[#This Row],[no_steps]]</f>
        <v>11.563378431630106</v>
      </c>
    </row>
    <row r="403" spans="1:26" hidden="1" x14ac:dyDescent="0.25">
      <c r="A403" t="s">
        <v>18</v>
      </c>
      <c r="B403">
        <v>5</v>
      </c>
      <c r="C403">
        <v>4</v>
      </c>
      <c r="D403">
        <v>0</v>
      </c>
      <c r="E403" t="s">
        <v>64</v>
      </c>
      <c r="F403">
        <v>37390</v>
      </c>
      <c r="G403">
        <v>44456937.838709675</v>
      </c>
      <c r="H403">
        <v>0.93435596458373527</v>
      </c>
      <c r="I403">
        <v>0.94225129709000677</v>
      </c>
      <c r="J403">
        <v>9184377</v>
      </c>
      <c r="K403">
        <v>65190</v>
      </c>
      <c r="L403">
        <v>2</v>
      </c>
      <c r="M403">
        <v>172</v>
      </c>
      <c r="N403">
        <v>0.93909316489961647</v>
      </c>
      <c r="O403">
        <v>9467610.2580645159</v>
      </c>
      <c r="P403">
        <v>65915</v>
      </c>
      <c r="Q403">
        <v>2</v>
      </c>
      <c r="R403">
        <v>173</v>
      </c>
      <c r="S403">
        <v>11.564233385661957</v>
      </c>
      <c r="T403">
        <v>0.94922478596369431</v>
      </c>
      <c r="W403">
        <f>Tabela6[[#This Row],[mlp_params]]</f>
        <v>65190</v>
      </c>
      <c r="X403">
        <f>Tabela6[[#This Row],[mlp_test_acc]]</f>
        <v>0.94225129709000677</v>
      </c>
      <c r="Y403">
        <f>Tabela6[[#This Row],[kan_val_acc_1]]</f>
        <v>0.94922478596369431</v>
      </c>
      <c r="Z403">
        <f>Tabela6[[#This Row],[no_steps]]</f>
        <v>11.564233385661957</v>
      </c>
    </row>
    <row r="404" spans="1:26" hidden="1" x14ac:dyDescent="0.25">
      <c r="A404" t="s">
        <v>18</v>
      </c>
      <c r="B404">
        <v>5</v>
      </c>
      <c r="C404">
        <v>4</v>
      </c>
      <c r="D404">
        <v>0</v>
      </c>
      <c r="E404" t="s">
        <v>87</v>
      </c>
      <c r="F404">
        <v>37770</v>
      </c>
      <c r="G404">
        <v>44074478.904761903</v>
      </c>
      <c r="H404">
        <v>0.94905094589505878</v>
      </c>
      <c r="I404">
        <v>0.94005994005994009</v>
      </c>
      <c r="J404">
        <v>9416506.2857142854</v>
      </c>
      <c r="K404">
        <v>65915</v>
      </c>
      <c r="L404">
        <v>2</v>
      </c>
      <c r="M404">
        <v>173</v>
      </c>
      <c r="N404">
        <v>0.94005994005994009</v>
      </c>
      <c r="O404">
        <v>8958391.8571428563</v>
      </c>
      <c r="P404">
        <v>66644</v>
      </c>
      <c r="Q404">
        <v>2</v>
      </c>
      <c r="R404">
        <v>174</v>
      </c>
      <c r="S404">
        <v>11.564774951076322</v>
      </c>
      <c r="T404">
        <v>0.95232556760311127</v>
      </c>
      <c r="W404">
        <f>Tabela6[[#This Row],[mlp_params]]</f>
        <v>65915</v>
      </c>
      <c r="X404">
        <f>Tabela6[[#This Row],[mlp_test_acc]]</f>
        <v>0.94005994005994009</v>
      </c>
      <c r="Y404">
        <f>Tabela6[[#This Row],[kan_val_acc_1]]</f>
        <v>0.95232556760311127</v>
      </c>
      <c r="Z404">
        <f>Tabela6[[#This Row],[no_steps]]</f>
        <v>11.564774951076322</v>
      </c>
    </row>
    <row r="405" spans="1:26" hidden="1" x14ac:dyDescent="0.25">
      <c r="A405" t="s">
        <v>18</v>
      </c>
      <c r="B405">
        <v>5</v>
      </c>
      <c r="C405">
        <v>4</v>
      </c>
      <c r="D405">
        <v>0</v>
      </c>
      <c r="E405" t="s">
        <v>65</v>
      </c>
      <c r="F405">
        <v>38256</v>
      </c>
      <c r="G405">
        <v>44663860.363636367</v>
      </c>
      <c r="H405">
        <v>0.92434837601401587</v>
      </c>
      <c r="I405">
        <v>0.94087730451366813</v>
      </c>
      <c r="J405">
        <v>9196198.5454545449</v>
      </c>
      <c r="K405">
        <v>66644</v>
      </c>
      <c r="L405">
        <v>2</v>
      </c>
      <c r="M405">
        <v>174</v>
      </c>
      <c r="N405">
        <v>0.94087730451366813</v>
      </c>
      <c r="O405">
        <v>8361456.3636363633</v>
      </c>
      <c r="P405">
        <v>67377</v>
      </c>
      <c r="Q405">
        <v>2</v>
      </c>
      <c r="R405">
        <v>175</v>
      </c>
      <c r="S405">
        <v>11.56539864512767</v>
      </c>
      <c r="T405">
        <v>0.9406976640224457</v>
      </c>
      <c r="W405">
        <f>Tabela6[[#This Row],[mlp_params]]</f>
        <v>66644</v>
      </c>
      <c r="X405">
        <f>Tabela6[[#This Row],[mlp_test_acc]]</f>
        <v>0.94087730451366813</v>
      </c>
      <c r="Y405">
        <f>Tabela6[[#This Row],[kan_val_acc_1]]</f>
        <v>0.9406976640224457</v>
      </c>
      <c r="Z405">
        <f>Tabela6[[#This Row],[no_steps]]</f>
        <v>11.56539864512767</v>
      </c>
    </row>
    <row r="406" spans="1:26" hidden="1" x14ac:dyDescent="0.25">
      <c r="A406" t="s">
        <v>18</v>
      </c>
      <c r="B406">
        <v>5</v>
      </c>
      <c r="C406">
        <v>4</v>
      </c>
      <c r="D406">
        <v>0</v>
      </c>
      <c r="E406" t="s">
        <v>73</v>
      </c>
      <c r="F406">
        <v>38590</v>
      </c>
      <c r="G406">
        <v>47312222.545454547</v>
      </c>
      <c r="H406">
        <v>0.96376350792971521</v>
      </c>
      <c r="I406">
        <v>0.94087730451366813</v>
      </c>
      <c r="J406">
        <v>9821581.7272727266</v>
      </c>
      <c r="K406">
        <v>67377</v>
      </c>
      <c r="L406">
        <v>2</v>
      </c>
      <c r="M406">
        <v>175</v>
      </c>
      <c r="N406">
        <v>0.93897012078830266</v>
      </c>
      <c r="O406">
        <v>8452554.2727272734</v>
      </c>
      <c r="P406">
        <v>68114</v>
      </c>
      <c r="Q406">
        <v>2</v>
      </c>
      <c r="R406">
        <v>176</v>
      </c>
      <c r="S406">
        <v>11.566931182515937</v>
      </c>
      <c r="T406">
        <v>0.95930230617523193</v>
      </c>
      <c r="W406">
        <f>Tabela6[[#This Row],[mlp_params]]</f>
        <v>67377</v>
      </c>
      <c r="X406">
        <f>Tabela6[[#This Row],[mlp_test_acc]]</f>
        <v>0.94087730451366813</v>
      </c>
      <c r="Y406">
        <f>Tabela6[[#This Row],[kan_val_acc_1]]</f>
        <v>0.95930230617523193</v>
      </c>
      <c r="Z406">
        <f>Tabela6[[#This Row],[no_steps]]</f>
        <v>11.566931182515937</v>
      </c>
    </row>
    <row r="407" spans="1:26" hidden="1" x14ac:dyDescent="0.25">
      <c r="A407" t="s">
        <v>18</v>
      </c>
      <c r="B407">
        <v>5</v>
      </c>
      <c r="C407">
        <v>4</v>
      </c>
      <c r="D407">
        <v>0</v>
      </c>
      <c r="E407" t="s">
        <v>74</v>
      </c>
      <c r="F407">
        <v>39504</v>
      </c>
      <c r="G407">
        <v>41658753.380952381</v>
      </c>
      <c r="H407">
        <v>0.95104894751594182</v>
      </c>
      <c r="I407">
        <v>0.93406593406593408</v>
      </c>
      <c r="J407">
        <v>9046331.9523809515</v>
      </c>
      <c r="K407">
        <v>68855</v>
      </c>
      <c r="L407">
        <v>2</v>
      </c>
      <c r="M407">
        <v>177</v>
      </c>
      <c r="N407">
        <v>0.93972693972693977</v>
      </c>
      <c r="O407">
        <v>10044716.095238095</v>
      </c>
      <c r="P407">
        <v>69600</v>
      </c>
      <c r="Q407">
        <v>2</v>
      </c>
      <c r="R407">
        <v>178</v>
      </c>
      <c r="S407">
        <v>11.56434872859367</v>
      </c>
      <c r="T407">
        <v>0.94534882605075832</v>
      </c>
      <c r="W407">
        <f>Tabela6[[#This Row],[mlp_params]]</f>
        <v>68855</v>
      </c>
      <c r="X407">
        <f>Tabela6[[#This Row],[mlp_test_acc]]</f>
        <v>0.93406593406593408</v>
      </c>
      <c r="Y407">
        <f>Tabela6[[#This Row],[kan_val_acc_1]]</f>
        <v>0.94534882605075832</v>
      </c>
      <c r="Z407">
        <f>Tabela6[[#This Row],[no_steps]]</f>
        <v>11.56434872859367</v>
      </c>
    </row>
    <row r="408" spans="1:26" hidden="1" x14ac:dyDescent="0.25">
      <c r="A408" t="s">
        <v>18</v>
      </c>
      <c r="B408">
        <v>5</v>
      </c>
      <c r="C408">
        <v>4</v>
      </c>
      <c r="D408">
        <v>0</v>
      </c>
      <c r="E408" t="s">
        <v>75</v>
      </c>
      <c r="F408">
        <v>40418</v>
      </c>
      <c r="G408">
        <v>41351928.190476194</v>
      </c>
      <c r="H408">
        <v>0.96003995622907368</v>
      </c>
      <c r="I408">
        <v>0.93373293373293376</v>
      </c>
      <c r="J408">
        <v>8973053.3809523806</v>
      </c>
      <c r="K408">
        <v>70349</v>
      </c>
      <c r="L408">
        <v>2</v>
      </c>
      <c r="M408">
        <v>179</v>
      </c>
      <c r="N408">
        <v>0.94039294039294041</v>
      </c>
      <c r="O408">
        <v>9901095.5714285709</v>
      </c>
      <c r="P408">
        <v>71102</v>
      </c>
      <c r="Q408">
        <v>2</v>
      </c>
      <c r="R408">
        <v>180</v>
      </c>
      <c r="S408">
        <v>11.560615862336654</v>
      </c>
      <c r="T408">
        <v>0.95058137774467466</v>
      </c>
      <c r="W408">
        <f>Tabela6[[#This Row],[mlp_params]]</f>
        <v>70349</v>
      </c>
      <c r="X408">
        <f>Tabela6[[#This Row],[mlp_test_acc]]</f>
        <v>0.93373293373293376</v>
      </c>
      <c r="Y408">
        <f>Tabela6[[#This Row],[kan_val_acc_1]]</f>
        <v>0.95058137774467466</v>
      </c>
      <c r="Z408">
        <f>Tabela6[[#This Row],[no_steps]]</f>
        <v>11.560615862336654</v>
      </c>
    </row>
    <row r="409" spans="1:26" hidden="1" x14ac:dyDescent="0.25">
      <c r="A409" t="s">
        <v>18</v>
      </c>
      <c r="B409">
        <v>5</v>
      </c>
      <c r="C409">
        <v>4</v>
      </c>
      <c r="D409">
        <v>0</v>
      </c>
      <c r="E409" t="s">
        <v>91</v>
      </c>
      <c r="F409">
        <v>41618</v>
      </c>
      <c r="G409">
        <v>48309523.809523806</v>
      </c>
      <c r="H409">
        <v>0.94971694265093121</v>
      </c>
      <c r="I409">
        <v>0.93473193473193472</v>
      </c>
      <c r="J409">
        <v>8970439.4285714291</v>
      </c>
      <c r="K409">
        <v>72620</v>
      </c>
      <c r="L409">
        <v>2</v>
      </c>
      <c r="M409">
        <v>182</v>
      </c>
      <c r="N409">
        <v>0.93672993672993676</v>
      </c>
      <c r="O409">
        <v>10203884.571428571</v>
      </c>
      <c r="P409">
        <v>73385</v>
      </c>
      <c r="Q409">
        <v>2</v>
      </c>
      <c r="R409">
        <v>183</v>
      </c>
      <c r="S409">
        <v>11.562709677419354</v>
      </c>
      <c r="T409">
        <v>0.94999998509883876</v>
      </c>
      <c r="W409">
        <f>Tabela6[[#This Row],[mlp_params]]</f>
        <v>72620</v>
      </c>
      <c r="X409">
        <f>Tabela6[[#This Row],[mlp_test_acc]]</f>
        <v>0.93473193473193472</v>
      </c>
      <c r="Y409">
        <f>Tabela6[[#This Row],[kan_val_acc_1]]</f>
        <v>0.94999998509883876</v>
      </c>
      <c r="Z409">
        <f>Tabela6[[#This Row],[no_steps]]</f>
        <v>11.562709677419354</v>
      </c>
    </row>
    <row r="410" spans="1:26" hidden="1" x14ac:dyDescent="0.25">
      <c r="A410" t="s">
        <v>18</v>
      </c>
      <c r="B410">
        <v>5</v>
      </c>
      <c r="C410">
        <v>4</v>
      </c>
      <c r="D410">
        <v>0</v>
      </c>
      <c r="E410" t="s">
        <v>92</v>
      </c>
      <c r="F410">
        <v>42580</v>
      </c>
      <c r="G410">
        <v>47610966.454545453</v>
      </c>
      <c r="H410">
        <v>0.95867767659100622</v>
      </c>
      <c r="I410">
        <v>0.93769866497139231</v>
      </c>
      <c r="J410">
        <v>10001769.727272727</v>
      </c>
      <c r="K410">
        <v>74154</v>
      </c>
      <c r="L410">
        <v>2</v>
      </c>
      <c r="M410">
        <v>184</v>
      </c>
      <c r="N410">
        <v>0.93642720915448185</v>
      </c>
      <c r="O410">
        <v>10362676.727272727</v>
      </c>
      <c r="P410">
        <v>74927</v>
      </c>
      <c r="Q410">
        <v>2</v>
      </c>
      <c r="R410">
        <v>185</v>
      </c>
      <c r="S410">
        <v>11.562685220976679</v>
      </c>
      <c r="T410">
        <v>0.94999997615814213</v>
      </c>
      <c r="W410">
        <f>Tabela6[[#This Row],[mlp_params]]</f>
        <v>74154</v>
      </c>
      <c r="X410">
        <f>Tabela6[[#This Row],[mlp_test_acc]]</f>
        <v>0.93769866497139231</v>
      </c>
      <c r="Y410">
        <f>Tabela6[[#This Row],[kan_val_acc_1]]</f>
        <v>0.94999997615814213</v>
      </c>
      <c r="Z410">
        <f>Tabela6[[#This Row],[no_steps]]</f>
        <v>11.562685220976679</v>
      </c>
    </row>
    <row r="411" spans="1:26" hidden="1" x14ac:dyDescent="0.25">
      <c r="A411" t="s">
        <v>18</v>
      </c>
      <c r="B411">
        <v>5</v>
      </c>
      <c r="C411">
        <v>5</v>
      </c>
      <c r="D411">
        <v>0</v>
      </c>
      <c r="E411" t="s">
        <v>105</v>
      </c>
      <c r="F411">
        <v>9176</v>
      </c>
      <c r="G411">
        <v>53292717</v>
      </c>
      <c r="H411">
        <v>0.91671964255246252</v>
      </c>
      <c r="I411">
        <v>0.91735537190082639</v>
      </c>
      <c r="J411">
        <v>13657735.272727273</v>
      </c>
      <c r="K411">
        <v>16685</v>
      </c>
      <c r="L411">
        <v>2</v>
      </c>
      <c r="M411">
        <v>83</v>
      </c>
      <c r="N411">
        <v>0.91099809281627464</v>
      </c>
      <c r="O411">
        <v>14237728.454545455</v>
      </c>
      <c r="P411">
        <v>17054</v>
      </c>
      <c r="Q411">
        <v>2</v>
      </c>
      <c r="R411">
        <v>84</v>
      </c>
      <c r="S411">
        <v>11.487700775019656</v>
      </c>
      <c r="T411">
        <v>0.94302324056625364</v>
      </c>
      <c r="W411">
        <f>Tabela6[[#This Row],[mlp_params]]</f>
        <v>16685</v>
      </c>
      <c r="X411">
        <f>Tabela6[[#This Row],[mlp_test_acc]]</f>
        <v>0.91735537190082639</v>
      </c>
      <c r="Y411">
        <f>Tabela6[[#This Row],[kan_val_acc_1]]</f>
        <v>0.94302324056625364</v>
      </c>
      <c r="Z411">
        <f>Tabela6[[#This Row],[no_steps]]</f>
        <v>11.487700775019656</v>
      </c>
    </row>
    <row r="412" spans="1:26" hidden="1" x14ac:dyDescent="0.25">
      <c r="A412" t="s">
        <v>18</v>
      </c>
      <c r="B412">
        <v>5</v>
      </c>
      <c r="C412">
        <v>5</v>
      </c>
      <c r="D412">
        <v>0</v>
      </c>
      <c r="E412" t="s">
        <v>19</v>
      </c>
      <c r="F412">
        <v>10010</v>
      </c>
      <c r="G412">
        <v>13030805.272727273</v>
      </c>
      <c r="H412">
        <v>0.95422758297486743</v>
      </c>
      <c r="I412">
        <v>0.94596312778130964</v>
      </c>
      <c r="J412">
        <v>4633100.4545454541</v>
      </c>
      <c r="K412">
        <v>18185</v>
      </c>
      <c r="L412">
        <v>2</v>
      </c>
      <c r="M412">
        <v>87</v>
      </c>
      <c r="N412">
        <v>0.93070565797838523</v>
      </c>
      <c r="O412">
        <v>4513993.4545454541</v>
      </c>
      <c r="P412">
        <v>18570</v>
      </c>
      <c r="Q412">
        <v>2</v>
      </c>
      <c r="R412">
        <v>88</v>
      </c>
      <c r="S412">
        <v>11.484406551492034</v>
      </c>
      <c r="T412">
        <v>0.96395347118377683</v>
      </c>
      <c r="W412">
        <f>Tabela6[[#This Row],[mlp_params]]</f>
        <v>18185</v>
      </c>
      <c r="X412">
        <f>Tabela6[[#This Row],[mlp_test_acc]]</f>
        <v>0.94596312778130964</v>
      </c>
      <c r="Y412">
        <f>Tabela6[[#This Row],[kan_val_acc_1]]</f>
        <v>0.96395347118377683</v>
      </c>
      <c r="Z412">
        <f>Tabela6[[#This Row],[no_steps]]</f>
        <v>11.484406551492034</v>
      </c>
    </row>
    <row r="413" spans="1:26" hidden="1" x14ac:dyDescent="0.25">
      <c r="A413" t="s">
        <v>18</v>
      </c>
      <c r="B413">
        <v>5</v>
      </c>
      <c r="C413">
        <v>5</v>
      </c>
      <c r="D413">
        <v>0</v>
      </c>
      <c r="E413" t="s">
        <v>20</v>
      </c>
      <c r="F413">
        <v>10844</v>
      </c>
      <c r="G413">
        <v>13866328</v>
      </c>
      <c r="H413">
        <v>0.96058486266569654</v>
      </c>
      <c r="I413">
        <v>0.9351557533375715</v>
      </c>
      <c r="J413">
        <v>8541102.4545454551</v>
      </c>
      <c r="K413">
        <v>19749</v>
      </c>
      <c r="L413">
        <v>2</v>
      </c>
      <c r="M413">
        <v>91</v>
      </c>
      <c r="N413">
        <v>0.93960584869675778</v>
      </c>
      <c r="O413">
        <v>7593572.5454545459</v>
      </c>
      <c r="P413">
        <v>20150</v>
      </c>
      <c r="Q413">
        <v>2</v>
      </c>
      <c r="R413">
        <v>92</v>
      </c>
      <c r="S413">
        <v>11.481456582633053</v>
      </c>
      <c r="T413">
        <v>0.95813951492309568</v>
      </c>
      <c r="W413">
        <f>Tabela6[[#This Row],[mlp_params]]</f>
        <v>19749</v>
      </c>
      <c r="X413">
        <f>Tabela6[[#This Row],[mlp_test_acc]]</f>
        <v>0.9351557533375715</v>
      </c>
      <c r="Y413">
        <f>Tabela6[[#This Row],[kan_val_acc_1]]</f>
        <v>0.95813951492309568</v>
      </c>
      <c r="Z413">
        <f>Tabela6[[#This Row],[no_steps]]</f>
        <v>11.481456582633053</v>
      </c>
    </row>
    <row r="414" spans="1:26" hidden="1" x14ac:dyDescent="0.25">
      <c r="A414" t="s">
        <v>18</v>
      </c>
      <c r="B414">
        <v>5</v>
      </c>
      <c r="C414">
        <v>5</v>
      </c>
      <c r="D414">
        <v>0</v>
      </c>
      <c r="E414" t="s">
        <v>21</v>
      </c>
      <c r="F414">
        <v>11678</v>
      </c>
      <c r="G414">
        <v>18094422.272727273</v>
      </c>
      <c r="H414">
        <v>0.94532739032398572</v>
      </c>
      <c r="I414">
        <v>0.94214876033057848</v>
      </c>
      <c r="J414">
        <v>8719050.7272727266</v>
      </c>
      <c r="K414">
        <v>21377</v>
      </c>
      <c r="L414">
        <v>2</v>
      </c>
      <c r="M414">
        <v>95</v>
      </c>
      <c r="N414">
        <v>0.93070565797838523</v>
      </c>
      <c r="O414">
        <v>7670629.5454545459</v>
      </c>
      <c r="P414">
        <v>21794</v>
      </c>
      <c r="Q414">
        <v>2</v>
      </c>
      <c r="R414">
        <v>96</v>
      </c>
      <c r="S414">
        <v>11.480752014324082</v>
      </c>
      <c r="T414">
        <v>0.96279067993164058</v>
      </c>
      <c r="W414">
        <f>Tabela6[[#This Row],[mlp_params]]</f>
        <v>21377</v>
      </c>
      <c r="X414">
        <f>Tabela6[[#This Row],[mlp_test_acc]]</f>
        <v>0.94214876033057848</v>
      </c>
      <c r="Y414">
        <f>Tabela6[[#This Row],[kan_val_acc_1]]</f>
        <v>0.96279067993164058</v>
      </c>
      <c r="Z414">
        <f>Tabela6[[#This Row],[no_steps]]</f>
        <v>11.480752014324082</v>
      </c>
    </row>
    <row r="415" spans="1:26" hidden="1" x14ac:dyDescent="0.25">
      <c r="A415" t="s">
        <v>18</v>
      </c>
      <c r="B415">
        <v>5</v>
      </c>
      <c r="C415">
        <v>5</v>
      </c>
      <c r="D415">
        <v>0</v>
      </c>
      <c r="E415" t="s">
        <v>22</v>
      </c>
      <c r="F415">
        <v>12512</v>
      </c>
      <c r="G415">
        <v>16471511.454545455</v>
      </c>
      <c r="H415">
        <v>0.95677050135352393</v>
      </c>
      <c r="I415">
        <v>0.93324856961220604</v>
      </c>
      <c r="J415">
        <v>8190464.5454545459</v>
      </c>
      <c r="K415">
        <v>23069</v>
      </c>
      <c r="L415">
        <v>2</v>
      </c>
      <c r="M415">
        <v>99</v>
      </c>
      <c r="N415">
        <v>0.93769866497139231</v>
      </c>
      <c r="O415">
        <v>7805752.5454545459</v>
      </c>
      <c r="P415">
        <v>23502</v>
      </c>
      <c r="Q415">
        <v>2</v>
      </c>
      <c r="R415">
        <v>100</v>
      </c>
      <c r="S415">
        <v>11.47870794679781</v>
      </c>
      <c r="T415">
        <v>0.96279067993164058</v>
      </c>
      <c r="W415">
        <f>Tabela6[[#This Row],[mlp_params]]</f>
        <v>23069</v>
      </c>
      <c r="X415">
        <f>Tabela6[[#This Row],[mlp_test_acc]]</f>
        <v>0.93324856961220604</v>
      </c>
      <c r="Y415">
        <f>Tabela6[[#This Row],[kan_val_acc_1]]</f>
        <v>0.96279067993164058</v>
      </c>
      <c r="Z415">
        <f>Tabela6[[#This Row],[no_steps]]</f>
        <v>11.47870794679781</v>
      </c>
    </row>
    <row r="416" spans="1:26" hidden="1" x14ac:dyDescent="0.25">
      <c r="A416" t="s">
        <v>18</v>
      </c>
      <c r="B416">
        <v>5</v>
      </c>
      <c r="C416">
        <v>5</v>
      </c>
      <c r="D416">
        <v>0</v>
      </c>
      <c r="E416" t="s">
        <v>39</v>
      </c>
      <c r="F416">
        <v>13346</v>
      </c>
      <c r="G416">
        <v>18602242.625</v>
      </c>
      <c r="H416">
        <v>0.93487761914730072</v>
      </c>
      <c r="I416">
        <v>0.93531468531468531</v>
      </c>
      <c r="J416">
        <v>8704558.625</v>
      </c>
      <c r="K416">
        <v>24380</v>
      </c>
      <c r="L416">
        <v>2</v>
      </c>
      <c r="M416">
        <v>102</v>
      </c>
      <c r="N416">
        <v>0.92526223776223782</v>
      </c>
      <c r="O416">
        <v>9473248.5625</v>
      </c>
      <c r="P416">
        <v>24825</v>
      </c>
      <c r="Q416">
        <v>2</v>
      </c>
      <c r="R416">
        <v>103</v>
      </c>
      <c r="S416">
        <v>11.53209030948757</v>
      </c>
      <c r="T416">
        <v>0.95736433267593379</v>
      </c>
      <c r="W416">
        <f>Tabela6[[#This Row],[mlp_params]]</f>
        <v>24380</v>
      </c>
      <c r="X416">
        <f>Tabela6[[#This Row],[mlp_test_acc]]</f>
        <v>0.93531468531468531</v>
      </c>
      <c r="Y416">
        <f>Tabela6[[#This Row],[kan_val_acc_1]]</f>
        <v>0.95736433267593379</v>
      </c>
      <c r="Z416">
        <f>Tabela6[[#This Row],[no_steps]]</f>
        <v>11.53209030948757</v>
      </c>
    </row>
    <row r="417" spans="1:26" hidden="1" x14ac:dyDescent="0.25">
      <c r="A417" t="s">
        <v>18</v>
      </c>
      <c r="B417">
        <v>5</v>
      </c>
      <c r="C417">
        <v>5</v>
      </c>
      <c r="D417">
        <v>0</v>
      </c>
      <c r="E417" t="s">
        <v>55</v>
      </c>
      <c r="F417">
        <v>14180</v>
      </c>
      <c r="G417">
        <v>18257661.545454547</v>
      </c>
      <c r="H417">
        <v>0.94278448278253724</v>
      </c>
      <c r="I417">
        <v>0.93706293706293708</v>
      </c>
      <c r="J417">
        <v>8275610.8181818184</v>
      </c>
      <c r="K417">
        <v>25727</v>
      </c>
      <c r="L417">
        <v>2</v>
      </c>
      <c r="M417">
        <v>105</v>
      </c>
      <c r="N417">
        <v>0.94659885568976476</v>
      </c>
      <c r="O417">
        <v>9064542.6363636367</v>
      </c>
      <c r="P417">
        <v>26184</v>
      </c>
      <c r="Q417">
        <v>2</v>
      </c>
      <c r="R417">
        <v>106</v>
      </c>
      <c r="S417">
        <v>11.529449018366055</v>
      </c>
      <c r="T417">
        <v>0.95581393241882329</v>
      </c>
      <c r="W417">
        <f>Tabela6[[#This Row],[mlp_params]]</f>
        <v>25727</v>
      </c>
      <c r="X417">
        <f>Tabela6[[#This Row],[mlp_test_acc]]</f>
        <v>0.93706293706293708</v>
      </c>
      <c r="Y417">
        <f>Tabela6[[#This Row],[kan_val_acc_1]]</f>
        <v>0.95581393241882329</v>
      </c>
      <c r="Z417">
        <f>Tabela6[[#This Row],[no_steps]]</f>
        <v>11.529449018366055</v>
      </c>
    </row>
    <row r="418" spans="1:26" hidden="1" x14ac:dyDescent="0.25">
      <c r="A418" t="s">
        <v>18</v>
      </c>
      <c r="B418">
        <v>5</v>
      </c>
      <c r="C418">
        <v>5</v>
      </c>
      <c r="D418">
        <v>0</v>
      </c>
      <c r="E418" t="s">
        <v>66</v>
      </c>
      <c r="F418">
        <v>15014</v>
      </c>
      <c r="G418">
        <v>17896383.181818184</v>
      </c>
      <c r="H418">
        <v>0.9701207767833363</v>
      </c>
      <c r="I418">
        <v>0.93452002542911639</v>
      </c>
      <c r="J418">
        <v>8317120.0909090908</v>
      </c>
      <c r="K418">
        <v>27579</v>
      </c>
      <c r="L418">
        <v>2</v>
      </c>
      <c r="M418">
        <v>109</v>
      </c>
      <c r="N418">
        <v>0.93642720915448185</v>
      </c>
      <c r="O418">
        <v>7822315</v>
      </c>
      <c r="P418">
        <v>28052</v>
      </c>
      <c r="Q418">
        <v>2</v>
      </c>
      <c r="R418">
        <v>110</v>
      </c>
      <c r="S418">
        <v>11.525929673665571</v>
      </c>
      <c r="T418">
        <v>0.96860463619232173</v>
      </c>
      <c r="W418">
        <f>Tabela6[[#This Row],[mlp_params]]</f>
        <v>27579</v>
      </c>
      <c r="X418">
        <f>Tabela6[[#This Row],[mlp_test_acc]]</f>
        <v>0.93452002542911639</v>
      </c>
      <c r="Y418">
        <f>Tabela6[[#This Row],[kan_val_acc_1]]</f>
        <v>0.96860463619232173</v>
      </c>
      <c r="Z418">
        <f>Tabela6[[#This Row],[no_steps]]</f>
        <v>11.525929673665571</v>
      </c>
    </row>
    <row r="419" spans="1:26" hidden="1" x14ac:dyDescent="0.25">
      <c r="A419" t="s">
        <v>18</v>
      </c>
      <c r="B419">
        <v>5</v>
      </c>
      <c r="C419">
        <v>5</v>
      </c>
      <c r="D419">
        <v>0</v>
      </c>
      <c r="E419" t="s">
        <v>76</v>
      </c>
      <c r="F419">
        <v>15848</v>
      </c>
      <c r="G419">
        <v>19074478.636363637</v>
      </c>
      <c r="H419">
        <v>0.97457088123668323</v>
      </c>
      <c r="I419">
        <v>0.93642720915448185</v>
      </c>
      <c r="J419">
        <v>8671306.6363636367</v>
      </c>
      <c r="K419">
        <v>29010</v>
      </c>
      <c r="L419">
        <v>2</v>
      </c>
      <c r="M419">
        <v>112</v>
      </c>
      <c r="N419">
        <v>0.93452002542911639</v>
      </c>
      <c r="O419">
        <v>8717715.1818181816</v>
      </c>
      <c r="P419">
        <v>29495</v>
      </c>
      <c r="Q419">
        <v>2</v>
      </c>
      <c r="R419">
        <v>113</v>
      </c>
      <c r="S419">
        <v>11.52343059239611</v>
      </c>
      <c r="T419">
        <v>0.96976742744445799</v>
      </c>
      <c r="W419">
        <f>Tabela6[[#This Row],[mlp_params]]</f>
        <v>29010</v>
      </c>
      <c r="X419">
        <f>Tabela6[[#This Row],[mlp_test_acc]]</f>
        <v>0.93642720915448185</v>
      </c>
      <c r="Y419">
        <f>Tabela6[[#This Row],[kan_val_acc_1]]</f>
        <v>0.96976742744445799</v>
      </c>
      <c r="Z419">
        <f>Tabela6[[#This Row],[no_steps]]</f>
        <v>11.52343059239611</v>
      </c>
    </row>
    <row r="420" spans="1:26" hidden="1" x14ac:dyDescent="0.25">
      <c r="A420" t="s">
        <v>18</v>
      </c>
      <c r="B420">
        <v>5</v>
      </c>
      <c r="C420">
        <v>5</v>
      </c>
      <c r="D420">
        <v>0</v>
      </c>
      <c r="E420" t="s">
        <v>93</v>
      </c>
      <c r="F420">
        <v>16682</v>
      </c>
      <c r="G420">
        <v>21229308.818181816</v>
      </c>
      <c r="H420">
        <v>0.97329943288456311</v>
      </c>
      <c r="I420">
        <v>0.93833439287984743</v>
      </c>
      <c r="J420">
        <v>6840737.3636363633</v>
      </c>
      <c r="K420">
        <v>30477</v>
      </c>
      <c r="L420">
        <v>2</v>
      </c>
      <c r="M420">
        <v>115</v>
      </c>
      <c r="N420">
        <v>0.93897012078830266</v>
      </c>
      <c r="O420">
        <v>8485820.6363636367</v>
      </c>
      <c r="P420">
        <v>30974</v>
      </c>
      <c r="Q420">
        <v>2</v>
      </c>
      <c r="R420">
        <v>116</v>
      </c>
      <c r="S420">
        <v>11.520686175580222</v>
      </c>
      <c r="T420">
        <v>0.97209301590919495</v>
      </c>
      <c r="W420">
        <f>Tabela6[[#This Row],[mlp_params]]</f>
        <v>30477</v>
      </c>
      <c r="X420">
        <f>Tabela6[[#This Row],[mlp_test_acc]]</f>
        <v>0.93833439287984743</v>
      </c>
      <c r="Y420">
        <f>Tabela6[[#This Row],[kan_val_acc_1]]</f>
        <v>0.97209301590919495</v>
      </c>
      <c r="Z420">
        <f>Tabela6[[#This Row],[no_steps]]</f>
        <v>11.520686175580222</v>
      </c>
    </row>
    <row r="421" spans="1:26" hidden="1" x14ac:dyDescent="0.25">
      <c r="A421" t="s">
        <v>18</v>
      </c>
      <c r="B421">
        <v>5</v>
      </c>
      <c r="C421">
        <v>5</v>
      </c>
      <c r="D421">
        <v>0</v>
      </c>
      <c r="E421" t="s">
        <v>94</v>
      </c>
      <c r="F421">
        <v>17516</v>
      </c>
      <c r="G421">
        <v>18125015</v>
      </c>
      <c r="H421">
        <v>0.95422758839347144</v>
      </c>
      <c r="I421">
        <v>0.93960584869675778</v>
      </c>
      <c r="J421">
        <v>7841614.6363636367</v>
      </c>
      <c r="K421">
        <v>31980</v>
      </c>
      <c r="L421">
        <v>2</v>
      </c>
      <c r="M421">
        <v>118</v>
      </c>
      <c r="N421">
        <v>0.93706293706293708</v>
      </c>
      <c r="O421">
        <v>8739751.6363636367</v>
      </c>
      <c r="P421">
        <v>32489</v>
      </c>
      <c r="Q421">
        <v>2</v>
      </c>
      <c r="R421">
        <v>119</v>
      </c>
      <c r="S421">
        <v>11.51568207582819</v>
      </c>
      <c r="T421">
        <v>0.95930230617523193</v>
      </c>
      <c r="W421">
        <f>Tabela6[[#This Row],[mlp_params]]</f>
        <v>31980</v>
      </c>
      <c r="X421">
        <f>Tabela6[[#This Row],[mlp_test_acc]]</f>
        <v>0.93960584869675778</v>
      </c>
      <c r="Y421">
        <f>Tabela6[[#This Row],[kan_val_acc_1]]</f>
        <v>0.95930230617523193</v>
      </c>
      <c r="Z421">
        <f>Tabela6[[#This Row],[no_steps]]</f>
        <v>11.51568207582819</v>
      </c>
    </row>
    <row r="422" spans="1:26" hidden="1" x14ac:dyDescent="0.25">
      <c r="A422" t="s">
        <v>18</v>
      </c>
      <c r="B422">
        <v>5</v>
      </c>
      <c r="C422">
        <v>5</v>
      </c>
      <c r="D422">
        <v>0</v>
      </c>
      <c r="E422" t="s">
        <v>95</v>
      </c>
      <c r="F422">
        <v>18350</v>
      </c>
      <c r="G422">
        <v>23664199.727272727</v>
      </c>
      <c r="H422">
        <v>0.95104894854805688</v>
      </c>
      <c r="I422">
        <v>0.93960584869675778</v>
      </c>
      <c r="J422">
        <v>8600216.8181818184</v>
      </c>
      <c r="K422">
        <v>33519</v>
      </c>
      <c r="L422">
        <v>2</v>
      </c>
      <c r="M422">
        <v>121</v>
      </c>
      <c r="N422">
        <v>0.93070565797838534</v>
      </c>
      <c r="O422">
        <v>7244452.7272727275</v>
      </c>
      <c r="P422">
        <v>34040</v>
      </c>
      <c r="Q422">
        <v>2</v>
      </c>
      <c r="R422">
        <v>122</v>
      </c>
      <c r="S422">
        <v>11.513962264150944</v>
      </c>
      <c r="T422">
        <v>0.96279068589210515</v>
      </c>
      <c r="W422">
        <f>Tabela6[[#This Row],[mlp_params]]</f>
        <v>33519</v>
      </c>
      <c r="X422">
        <f>Tabela6[[#This Row],[mlp_test_acc]]</f>
        <v>0.93960584869675778</v>
      </c>
      <c r="Y422">
        <f>Tabela6[[#This Row],[kan_val_acc_1]]</f>
        <v>0.96279068589210515</v>
      </c>
      <c r="Z422">
        <f>Tabela6[[#This Row],[no_steps]]</f>
        <v>11.513962264150944</v>
      </c>
    </row>
    <row r="423" spans="1:26" hidden="1" x14ac:dyDescent="0.25">
      <c r="A423" t="s">
        <v>18</v>
      </c>
      <c r="B423">
        <v>5</v>
      </c>
      <c r="C423">
        <v>5</v>
      </c>
      <c r="D423">
        <v>0</v>
      </c>
      <c r="E423" t="s">
        <v>96</v>
      </c>
      <c r="F423">
        <v>19184</v>
      </c>
      <c r="G423">
        <v>25638788.363636363</v>
      </c>
      <c r="H423">
        <v>0.97393514893271704</v>
      </c>
      <c r="I423">
        <v>0.93706293706293708</v>
      </c>
      <c r="J423">
        <v>8182300.5454545459</v>
      </c>
      <c r="K423">
        <v>35094</v>
      </c>
      <c r="L423">
        <v>2</v>
      </c>
      <c r="M423">
        <v>124</v>
      </c>
      <c r="N423">
        <v>0.94087730451366813</v>
      </c>
      <c r="O423">
        <v>8833711.7272727266</v>
      </c>
      <c r="P423">
        <v>35627</v>
      </c>
      <c r="Q423">
        <v>2</v>
      </c>
      <c r="R423">
        <v>125</v>
      </c>
      <c r="S423">
        <v>11.512875266926265</v>
      </c>
      <c r="T423">
        <v>0.96976743340492244</v>
      </c>
      <c r="W423">
        <f>Tabela6[[#This Row],[mlp_params]]</f>
        <v>35094</v>
      </c>
      <c r="X423">
        <f>Tabela6[[#This Row],[mlp_test_acc]]</f>
        <v>0.93706293706293708</v>
      </c>
      <c r="Y423">
        <f>Tabela6[[#This Row],[kan_val_acc_1]]</f>
        <v>0.96976743340492244</v>
      </c>
      <c r="Z423">
        <f>Tabela6[[#This Row],[no_steps]]</f>
        <v>11.512875266926265</v>
      </c>
    </row>
    <row r="424" spans="1:26" hidden="1" x14ac:dyDescent="0.25">
      <c r="A424" t="s">
        <v>18</v>
      </c>
      <c r="B424">
        <v>5</v>
      </c>
      <c r="C424">
        <v>5</v>
      </c>
      <c r="D424">
        <v>0</v>
      </c>
      <c r="E424" t="s">
        <v>97</v>
      </c>
      <c r="F424">
        <v>20018</v>
      </c>
      <c r="G424">
        <v>29303477.545454547</v>
      </c>
      <c r="H424">
        <v>0.95677049593491992</v>
      </c>
      <c r="I424">
        <v>0.94214876033057848</v>
      </c>
      <c r="J424">
        <v>8772635.6363636367</v>
      </c>
      <c r="K424">
        <v>36705</v>
      </c>
      <c r="L424">
        <v>2</v>
      </c>
      <c r="M424">
        <v>127</v>
      </c>
      <c r="N424">
        <v>0.93769866497139231</v>
      </c>
      <c r="O424">
        <v>8745678.6363636367</v>
      </c>
      <c r="P424">
        <v>37250</v>
      </c>
      <c r="Q424">
        <v>2</v>
      </c>
      <c r="R424">
        <v>128</v>
      </c>
      <c r="S424">
        <v>11.51254390366282</v>
      </c>
      <c r="T424">
        <v>0.96395347118377683</v>
      </c>
      <c r="W424">
        <f>Tabela6[[#This Row],[mlp_params]]</f>
        <v>36705</v>
      </c>
      <c r="X424">
        <f>Tabela6[[#This Row],[mlp_test_acc]]</f>
        <v>0.94214876033057848</v>
      </c>
      <c r="Y424">
        <f>Tabela6[[#This Row],[kan_val_acc_1]]</f>
        <v>0.96395347118377683</v>
      </c>
      <c r="Z424">
        <f>Tabela6[[#This Row],[no_steps]]</f>
        <v>11.51254390366282</v>
      </c>
    </row>
    <row r="425" spans="1:26" hidden="1" x14ac:dyDescent="0.25">
      <c r="A425" t="s">
        <v>18</v>
      </c>
      <c r="B425">
        <v>5</v>
      </c>
      <c r="C425">
        <v>5</v>
      </c>
      <c r="D425">
        <v>0</v>
      </c>
      <c r="E425" t="s">
        <v>98</v>
      </c>
      <c r="F425">
        <v>20852</v>
      </c>
      <c r="G425">
        <v>24838518</v>
      </c>
      <c r="H425">
        <v>0.95931341431357642</v>
      </c>
      <c r="I425">
        <v>0.94659885568976476</v>
      </c>
      <c r="J425">
        <v>9079769.4545454551</v>
      </c>
      <c r="K425">
        <v>38352</v>
      </c>
      <c r="L425">
        <v>2</v>
      </c>
      <c r="M425">
        <v>130</v>
      </c>
      <c r="N425">
        <v>0.94087730451366813</v>
      </c>
      <c r="O425">
        <v>8340828.3636363633</v>
      </c>
      <c r="P425">
        <v>38909</v>
      </c>
      <c r="Q425">
        <v>2</v>
      </c>
      <c r="R425">
        <v>131</v>
      </c>
      <c r="S425">
        <v>11.510710259301014</v>
      </c>
      <c r="T425">
        <v>0.96976742744445799</v>
      </c>
      <c r="W425">
        <f>Tabela6[[#This Row],[mlp_params]]</f>
        <v>38352</v>
      </c>
      <c r="X425">
        <f>Tabela6[[#This Row],[mlp_test_acc]]</f>
        <v>0.94659885568976476</v>
      </c>
      <c r="Y425">
        <f>Tabela6[[#This Row],[kan_val_acc_1]]</f>
        <v>0.96976742744445799</v>
      </c>
      <c r="Z425">
        <f>Tabela6[[#This Row],[no_steps]]</f>
        <v>11.510710259301014</v>
      </c>
    </row>
    <row r="426" spans="1:26" hidden="1" x14ac:dyDescent="0.25">
      <c r="A426" t="s">
        <v>18</v>
      </c>
      <c r="B426">
        <v>5</v>
      </c>
      <c r="C426">
        <v>5</v>
      </c>
      <c r="D426">
        <v>0</v>
      </c>
      <c r="E426" t="s">
        <v>99</v>
      </c>
      <c r="F426">
        <v>21686</v>
      </c>
      <c r="G426">
        <v>23369197.272727273</v>
      </c>
      <c r="H426">
        <v>0.95677050677212805</v>
      </c>
      <c r="I426">
        <v>0.94278448823903371</v>
      </c>
      <c r="J426">
        <v>8068678.6363636367</v>
      </c>
      <c r="K426">
        <v>39470</v>
      </c>
      <c r="L426">
        <v>2</v>
      </c>
      <c r="M426">
        <v>132</v>
      </c>
      <c r="N426">
        <v>0.94977749523204069</v>
      </c>
      <c r="O426">
        <v>9010307.1818181816</v>
      </c>
      <c r="P426">
        <v>40035</v>
      </c>
      <c r="Q426">
        <v>2</v>
      </c>
      <c r="R426">
        <v>133</v>
      </c>
      <c r="S426">
        <v>11.506755066299725</v>
      </c>
      <c r="T426">
        <v>0.96511626243591309</v>
      </c>
      <c r="W426">
        <f>Tabela6[[#This Row],[mlp_params]]</f>
        <v>39470</v>
      </c>
      <c r="X426">
        <f>Tabela6[[#This Row],[mlp_test_acc]]</f>
        <v>0.94278448823903371</v>
      </c>
      <c r="Y426">
        <f>Tabela6[[#This Row],[kan_val_acc_1]]</f>
        <v>0.96511626243591309</v>
      </c>
      <c r="Z426">
        <f>Tabela6[[#This Row],[no_steps]]</f>
        <v>11.506755066299725</v>
      </c>
    </row>
    <row r="427" spans="1:26" hidden="1" x14ac:dyDescent="0.25">
      <c r="A427" t="s">
        <v>18</v>
      </c>
      <c r="B427">
        <v>5</v>
      </c>
      <c r="C427">
        <v>5</v>
      </c>
      <c r="D427">
        <v>0</v>
      </c>
      <c r="E427" t="s">
        <v>100</v>
      </c>
      <c r="F427">
        <v>22520</v>
      </c>
      <c r="G427">
        <v>28885139.545454547</v>
      </c>
      <c r="H427">
        <v>0.96884932843121618</v>
      </c>
      <c r="I427">
        <v>0.93897012078830266</v>
      </c>
      <c r="J427">
        <v>9283616.6363636367</v>
      </c>
      <c r="K427">
        <v>41177</v>
      </c>
      <c r="L427">
        <v>2</v>
      </c>
      <c r="M427">
        <v>135</v>
      </c>
      <c r="N427">
        <v>0.93833439287984743</v>
      </c>
      <c r="O427">
        <v>8804226</v>
      </c>
      <c r="P427">
        <v>41754</v>
      </c>
      <c r="Q427">
        <v>2</v>
      </c>
      <c r="R427">
        <v>136</v>
      </c>
      <c r="S427">
        <v>11.505683947532791</v>
      </c>
      <c r="T427">
        <v>0.97558138370513914</v>
      </c>
      <c r="W427">
        <f>Tabela6[[#This Row],[mlp_params]]</f>
        <v>41177</v>
      </c>
      <c r="X427">
        <f>Tabela6[[#This Row],[mlp_test_acc]]</f>
        <v>0.93897012078830266</v>
      </c>
      <c r="Y427">
        <f>Tabela6[[#This Row],[kan_val_acc_1]]</f>
        <v>0.97558138370513914</v>
      </c>
      <c r="Z427">
        <f>Tabela6[[#This Row],[no_steps]]</f>
        <v>11.505683947532791</v>
      </c>
    </row>
    <row r="428" spans="1:26" hidden="1" x14ac:dyDescent="0.25">
      <c r="A428" t="s">
        <v>18</v>
      </c>
      <c r="B428">
        <v>5</v>
      </c>
      <c r="C428">
        <v>5</v>
      </c>
      <c r="D428">
        <v>0</v>
      </c>
      <c r="E428" t="s">
        <v>101</v>
      </c>
      <c r="F428">
        <v>23354</v>
      </c>
      <c r="G428">
        <v>28808221.363636363</v>
      </c>
      <c r="H428">
        <v>0.9701207767833363</v>
      </c>
      <c r="I428">
        <v>0.93833439287984743</v>
      </c>
      <c r="J428">
        <v>9277361.3636363633</v>
      </c>
      <c r="K428">
        <v>42920</v>
      </c>
      <c r="L428">
        <v>2</v>
      </c>
      <c r="M428">
        <v>138</v>
      </c>
      <c r="N428">
        <v>0.94596312778130964</v>
      </c>
      <c r="O428">
        <v>9271158.2727272734</v>
      </c>
      <c r="P428">
        <v>43509</v>
      </c>
      <c r="Q428">
        <v>2</v>
      </c>
      <c r="R428">
        <v>139</v>
      </c>
      <c r="S428">
        <v>11.504116766467066</v>
      </c>
      <c r="T428">
        <v>0.95697672367095943</v>
      </c>
      <c r="W428">
        <f>Tabela6[[#This Row],[mlp_params]]</f>
        <v>42920</v>
      </c>
      <c r="X428">
        <f>Tabela6[[#This Row],[mlp_test_acc]]</f>
        <v>0.93833439287984743</v>
      </c>
      <c r="Y428">
        <f>Tabela6[[#This Row],[kan_val_acc_1]]</f>
        <v>0.95697672367095943</v>
      </c>
      <c r="Z428">
        <f>Tabela6[[#This Row],[no_steps]]</f>
        <v>11.504116766467066</v>
      </c>
    </row>
    <row r="429" spans="1:26" hidden="1" x14ac:dyDescent="0.25">
      <c r="A429" t="s">
        <v>18</v>
      </c>
      <c r="B429">
        <v>5</v>
      </c>
      <c r="C429">
        <v>5</v>
      </c>
      <c r="D429">
        <v>0</v>
      </c>
      <c r="E429" t="s">
        <v>102</v>
      </c>
      <c r="F429">
        <v>24188</v>
      </c>
      <c r="G429">
        <v>30935668</v>
      </c>
      <c r="H429">
        <v>0.96439922397786926</v>
      </c>
      <c r="I429">
        <v>0.94214876033057848</v>
      </c>
      <c r="J429">
        <v>8837170.3636363633</v>
      </c>
      <c r="K429">
        <v>44102</v>
      </c>
      <c r="L429">
        <v>2</v>
      </c>
      <c r="M429">
        <v>140</v>
      </c>
      <c r="N429">
        <v>0.94151303242212336</v>
      </c>
      <c r="O429">
        <v>10022465.090909092</v>
      </c>
      <c r="P429">
        <v>44699</v>
      </c>
      <c r="Q429">
        <v>2</v>
      </c>
      <c r="R429">
        <v>141</v>
      </c>
      <c r="S429">
        <v>11.503052198828952</v>
      </c>
      <c r="T429">
        <v>0.96279067993164058</v>
      </c>
      <c r="W429">
        <f>Tabela6[[#This Row],[mlp_params]]</f>
        <v>44102</v>
      </c>
      <c r="X429">
        <f>Tabela6[[#This Row],[mlp_test_acc]]</f>
        <v>0.94214876033057848</v>
      </c>
      <c r="Y429">
        <f>Tabela6[[#This Row],[kan_val_acc_1]]</f>
        <v>0.96279067993164058</v>
      </c>
      <c r="Z429">
        <f>Tabela6[[#This Row],[no_steps]]</f>
        <v>11.503052198828952</v>
      </c>
    </row>
    <row r="430" spans="1:26" hidden="1" x14ac:dyDescent="0.25">
      <c r="A430" t="s">
        <v>18</v>
      </c>
      <c r="B430">
        <v>5</v>
      </c>
      <c r="C430">
        <v>5</v>
      </c>
      <c r="D430">
        <v>0</v>
      </c>
      <c r="E430" t="s">
        <v>23</v>
      </c>
      <c r="F430">
        <v>24242</v>
      </c>
      <c r="G430">
        <v>31570204.545454547</v>
      </c>
      <c r="H430">
        <v>0.9567704905163158</v>
      </c>
      <c r="I430">
        <v>0.94342021614748883</v>
      </c>
      <c r="J430">
        <v>8571605.1818181816</v>
      </c>
      <c r="K430">
        <v>44699</v>
      </c>
      <c r="L430">
        <v>2</v>
      </c>
      <c r="M430">
        <v>141</v>
      </c>
      <c r="N430">
        <v>0.94024157660521301</v>
      </c>
      <c r="O430">
        <v>9411290.7272727266</v>
      </c>
      <c r="P430">
        <v>45300</v>
      </c>
      <c r="Q430">
        <v>2</v>
      </c>
      <c r="R430">
        <v>142</v>
      </c>
      <c r="S430">
        <v>11.50012440905698</v>
      </c>
      <c r="T430">
        <v>0.97209300994873049</v>
      </c>
      <c r="W430">
        <f>Tabela6[[#This Row],[mlp_params]]</f>
        <v>44699</v>
      </c>
      <c r="X430">
        <f>Tabela6[[#This Row],[mlp_test_acc]]</f>
        <v>0.94342021614748883</v>
      </c>
      <c r="Y430">
        <f>Tabela6[[#This Row],[kan_val_acc_1]]</f>
        <v>0.97209300994873049</v>
      </c>
      <c r="Z430">
        <f>Tabela6[[#This Row],[no_steps]]</f>
        <v>11.50012440905698</v>
      </c>
    </row>
    <row r="431" spans="1:26" hidden="1" x14ac:dyDescent="0.25">
      <c r="A431" t="s">
        <v>18</v>
      </c>
      <c r="B431">
        <v>5</v>
      </c>
      <c r="C431">
        <v>5</v>
      </c>
      <c r="D431">
        <v>0</v>
      </c>
      <c r="E431" t="s">
        <v>103</v>
      </c>
      <c r="F431">
        <v>25022</v>
      </c>
      <c r="G431">
        <v>35901977.090909094</v>
      </c>
      <c r="H431">
        <v>0.93642719767310401</v>
      </c>
      <c r="I431">
        <v>0.94214876033057848</v>
      </c>
      <c r="J431">
        <v>8444742.3636363633</v>
      </c>
      <c r="K431">
        <v>45905</v>
      </c>
      <c r="L431">
        <v>2</v>
      </c>
      <c r="M431">
        <v>143</v>
      </c>
      <c r="N431">
        <v>0.93642720915448185</v>
      </c>
      <c r="O431">
        <v>9491356.3636363633</v>
      </c>
      <c r="P431">
        <v>46514</v>
      </c>
      <c r="Q431">
        <v>2</v>
      </c>
      <c r="R431">
        <v>144</v>
      </c>
      <c r="S431">
        <v>11.500186358553858</v>
      </c>
      <c r="T431">
        <v>0.9558139443397522</v>
      </c>
      <c r="W431">
        <f>Tabela6[[#This Row],[mlp_params]]</f>
        <v>45905</v>
      </c>
      <c r="X431">
        <f>Tabela6[[#This Row],[mlp_test_acc]]</f>
        <v>0.94214876033057848</v>
      </c>
      <c r="Y431">
        <f>Tabela6[[#This Row],[kan_val_acc_1]]</f>
        <v>0.9558139443397522</v>
      </c>
      <c r="Z431">
        <f>Tabela6[[#This Row],[no_steps]]</f>
        <v>11.500186358553858</v>
      </c>
    </row>
    <row r="432" spans="1:26" hidden="1" x14ac:dyDescent="0.25">
      <c r="A432" t="s">
        <v>18</v>
      </c>
      <c r="B432">
        <v>5</v>
      </c>
      <c r="C432">
        <v>5</v>
      </c>
      <c r="D432">
        <v>0</v>
      </c>
      <c r="E432" t="s">
        <v>104</v>
      </c>
      <c r="F432">
        <v>25856</v>
      </c>
      <c r="G432">
        <v>31566158.047619049</v>
      </c>
      <c r="H432">
        <v>0.93306693292799447</v>
      </c>
      <c r="I432">
        <v>0.93772893772893773</v>
      </c>
      <c r="J432">
        <v>8999673.333333334</v>
      </c>
      <c r="K432">
        <v>47127</v>
      </c>
      <c r="L432">
        <v>2</v>
      </c>
      <c r="M432">
        <v>145</v>
      </c>
      <c r="N432">
        <v>0.93972693972693977</v>
      </c>
      <c r="O432">
        <v>9394553.6190476194</v>
      </c>
      <c r="P432">
        <v>47744</v>
      </c>
      <c r="Q432">
        <v>2</v>
      </c>
      <c r="R432">
        <v>146</v>
      </c>
      <c r="S432">
        <v>11.496034696406443</v>
      </c>
      <c r="T432">
        <v>0.95232557952404018</v>
      </c>
      <c r="W432">
        <f>Tabela6[[#This Row],[mlp_params]]</f>
        <v>47127</v>
      </c>
      <c r="X432">
        <f>Tabela6[[#This Row],[mlp_test_acc]]</f>
        <v>0.93772893772893773</v>
      </c>
      <c r="Y432">
        <f>Tabela6[[#This Row],[kan_val_acc_1]]</f>
        <v>0.95232557952404018</v>
      </c>
      <c r="Z432">
        <f>Tabela6[[#This Row],[no_steps]]</f>
        <v>11.496034696406443</v>
      </c>
    </row>
    <row r="433" spans="1:26" hidden="1" x14ac:dyDescent="0.25">
      <c r="A433" t="s">
        <v>18</v>
      </c>
      <c r="B433">
        <v>5</v>
      </c>
      <c r="C433">
        <v>5</v>
      </c>
      <c r="D433">
        <v>0</v>
      </c>
      <c r="E433" t="s">
        <v>25</v>
      </c>
      <c r="F433">
        <v>25910</v>
      </c>
      <c r="G433">
        <v>36296663.571428575</v>
      </c>
      <c r="H433">
        <v>0.9167499059722537</v>
      </c>
      <c r="I433">
        <v>0.94072594072594073</v>
      </c>
      <c r="J433">
        <v>9141610.6190476194</v>
      </c>
      <c r="K433">
        <v>47744</v>
      </c>
      <c r="L433">
        <v>2</v>
      </c>
      <c r="M433">
        <v>146</v>
      </c>
      <c r="N433">
        <v>0.94272394272394278</v>
      </c>
      <c r="O433">
        <v>10113897.523809524</v>
      </c>
      <c r="P433">
        <v>48365</v>
      </c>
      <c r="Q433">
        <v>2</v>
      </c>
      <c r="R433">
        <v>147</v>
      </c>
      <c r="S433">
        <v>11.494376467680139</v>
      </c>
      <c r="T433">
        <v>0.93720929622650151</v>
      </c>
      <c r="W433">
        <f>Tabela6[[#This Row],[mlp_params]]</f>
        <v>47744</v>
      </c>
      <c r="X433">
        <f>Tabela6[[#This Row],[mlp_test_acc]]</f>
        <v>0.94072594072594073</v>
      </c>
      <c r="Y433">
        <f>Tabela6[[#This Row],[kan_val_acc_1]]</f>
        <v>0.93720929622650151</v>
      </c>
      <c r="Z433">
        <f>Tabela6[[#This Row],[no_steps]]</f>
        <v>11.494376467680139</v>
      </c>
    </row>
    <row r="434" spans="1:26" hidden="1" x14ac:dyDescent="0.25">
      <c r="A434" t="s">
        <v>18</v>
      </c>
      <c r="B434">
        <v>5</v>
      </c>
      <c r="C434">
        <v>5</v>
      </c>
      <c r="D434">
        <v>0</v>
      </c>
      <c r="E434" t="s">
        <v>26</v>
      </c>
      <c r="F434">
        <v>26744</v>
      </c>
      <c r="G434">
        <v>38795240.727272727</v>
      </c>
      <c r="H434">
        <v>0.9198982878164812</v>
      </c>
      <c r="I434">
        <v>0.9351557533375715</v>
      </c>
      <c r="J434">
        <v>10632861.272727273</v>
      </c>
      <c r="K434">
        <v>48990</v>
      </c>
      <c r="L434">
        <v>2</v>
      </c>
      <c r="M434">
        <v>148</v>
      </c>
      <c r="N434">
        <v>0.93833439287984743</v>
      </c>
      <c r="O434">
        <v>9316499.3636363633</v>
      </c>
      <c r="P434">
        <v>49619</v>
      </c>
      <c r="Q434">
        <v>2</v>
      </c>
      <c r="R434">
        <v>149</v>
      </c>
      <c r="S434">
        <v>11.495433226363861</v>
      </c>
      <c r="T434">
        <v>0.94651162028312685</v>
      </c>
      <c r="W434">
        <f>Tabela6[[#This Row],[mlp_params]]</f>
        <v>48990</v>
      </c>
      <c r="X434">
        <f>Tabela6[[#This Row],[mlp_test_acc]]</f>
        <v>0.9351557533375715</v>
      </c>
      <c r="Y434">
        <f>Tabela6[[#This Row],[kan_val_acc_1]]</f>
        <v>0.94651162028312685</v>
      </c>
      <c r="Z434">
        <f>Tabela6[[#This Row],[no_steps]]</f>
        <v>11.495433226363861</v>
      </c>
    </row>
    <row r="435" spans="1:26" hidden="1" x14ac:dyDescent="0.25">
      <c r="A435" t="s">
        <v>18</v>
      </c>
      <c r="B435">
        <v>5</v>
      </c>
      <c r="C435">
        <v>5</v>
      </c>
      <c r="D435">
        <v>0</v>
      </c>
      <c r="E435" t="s">
        <v>27</v>
      </c>
      <c r="F435">
        <v>27578</v>
      </c>
      <c r="G435">
        <v>40642667.904761903</v>
      </c>
      <c r="H435">
        <v>0.91375290779840379</v>
      </c>
      <c r="I435">
        <v>0.93772893772893773</v>
      </c>
      <c r="J435">
        <v>8431688.4761904757</v>
      </c>
      <c r="K435">
        <v>50252</v>
      </c>
      <c r="L435">
        <v>2</v>
      </c>
      <c r="M435">
        <v>150</v>
      </c>
      <c r="N435">
        <v>0.9357309357309358</v>
      </c>
      <c r="O435">
        <v>9124420.6190476194</v>
      </c>
      <c r="P435">
        <v>50889</v>
      </c>
      <c r="Q435">
        <v>2</v>
      </c>
      <c r="R435">
        <v>151</v>
      </c>
      <c r="S435">
        <v>11.496491444047766</v>
      </c>
      <c r="T435">
        <v>0.94941859543323515</v>
      </c>
      <c r="W435">
        <f>Tabela6[[#This Row],[mlp_params]]</f>
        <v>50252</v>
      </c>
      <c r="X435">
        <f>Tabela6[[#This Row],[mlp_test_acc]]</f>
        <v>0.93772893772893773</v>
      </c>
      <c r="Y435">
        <f>Tabela6[[#This Row],[kan_val_acc_1]]</f>
        <v>0.94941859543323515</v>
      </c>
      <c r="Z435">
        <f>Tabela6[[#This Row],[no_steps]]</f>
        <v>11.496491444047766</v>
      </c>
    </row>
    <row r="436" spans="1:26" hidden="1" x14ac:dyDescent="0.25">
      <c r="A436" t="s">
        <v>18</v>
      </c>
      <c r="B436">
        <v>5</v>
      </c>
      <c r="C436">
        <v>5</v>
      </c>
      <c r="D436">
        <v>0</v>
      </c>
      <c r="E436" t="s">
        <v>28</v>
      </c>
      <c r="F436">
        <v>28412</v>
      </c>
      <c r="G436">
        <v>42489315.935483873</v>
      </c>
      <c r="H436">
        <v>0.9296187623854606</v>
      </c>
      <c r="I436">
        <v>0.94089781186555377</v>
      </c>
      <c r="J436">
        <v>8643124.3870967738</v>
      </c>
      <c r="K436">
        <v>52175</v>
      </c>
      <c r="L436">
        <v>2</v>
      </c>
      <c r="M436">
        <v>153</v>
      </c>
      <c r="N436">
        <v>0.94270245883149106</v>
      </c>
      <c r="O436">
        <v>9233847.3225806449</v>
      </c>
      <c r="P436">
        <v>52824</v>
      </c>
      <c r="Q436">
        <v>2</v>
      </c>
      <c r="R436">
        <v>154</v>
      </c>
      <c r="S436">
        <v>11.498528329654157</v>
      </c>
      <c r="T436">
        <v>0.94999998609224956</v>
      </c>
      <c r="W436">
        <f>Tabela6[[#This Row],[mlp_params]]</f>
        <v>52175</v>
      </c>
      <c r="X436">
        <f>Tabela6[[#This Row],[mlp_test_acc]]</f>
        <v>0.94089781186555377</v>
      </c>
      <c r="Y436">
        <f>Tabela6[[#This Row],[kan_val_acc_1]]</f>
        <v>0.94999998609224956</v>
      </c>
      <c r="Z436">
        <f>Tabela6[[#This Row],[no_steps]]</f>
        <v>11.498528329654157</v>
      </c>
    </row>
    <row r="437" spans="1:26" hidden="1" x14ac:dyDescent="0.25">
      <c r="A437" t="s">
        <v>18</v>
      </c>
      <c r="B437">
        <v>5</v>
      </c>
      <c r="C437">
        <v>5</v>
      </c>
      <c r="D437">
        <v>0</v>
      </c>
      <c r="E437" t="s">
        <v>67</v>
      </c>
      <c r="F437">
        <v>28928</v>
      </c>
      <c r="G437">
        <v>39354186.645161293</v>
      </c>
      <c r="H437">
        <v>0.909316485927951</v>
      </c>
      <c r="I437">
        <v>0.94180013534852247</v>
      </c>
      <c r="J437">
        <v>9064973.7419354841</v>
      </c>
      <c r="K437">
        <v>52824</v>
      </c>
      <c r="L437">
        <v>2</v>
      </c>
      <c r="M437">
        <v>154</v>
      </c>
      <c r="N437">
        <v>0.93570945183848409</v>
      </c>
      <c r="O437">
        <v>9026411.3548387103</v>
      </c>
      <c r="P437">
        <v>53477</v>
      </c>
      <c r="Q437">
        <v>2</v>
      </c>
      <c r="R437">
        <v>155</v>
      </c>
      <c r="S437">
        <v>11.496518020769701</v>
      </c>
      <c r="T437">
        <v>0.93255813320477798</v>
      </c>
      <c r="W437">
        <f>Tabela6[[#This Row],[mlp_params]]</f>
        <v>52824</v>
      </c>
      <c r="X437">
        <f>Tabela6[[#This Row],[mlp_test_acc]]</f>
        <v>0.94180013534852247</v>
      </c>
      <c r="Y437">
        <f>Tabela6[[#This Row],[kan_val_acc_1]]</f>
        <v>0.93255813320477798</v>
      </c>
      <c r="Z437">
        <f>Tabela6[[#This Row],[no_steps]]</f>
        <v>11.496518020769701</v>
      </c>
    </row>
    <row r="438" spans="1:26" hidden="1" x14ac:dyDescent="0.25">
      <c r="A438" t="s">
        <v>18</v>
      </c>
      <c r="B438">
        <v>5</v>
      </c>
      <c r="C438">
        <v>5</v>
      </c>
      <c r="D438">
        <v>0</v>
      </c>
      <c r="E438" t="s">
        <v>29</v>
      </c>
      <c r="F438">
        <v>29246</v>
      </c>
      <c r="G438">
        <v>39028462.272727273</v>
      </c>
      <c r="H438">
        <v>0.92498410289937805</v>
      </c>
      <c r="I438">
        <v>0.93324856961220592</v>
      </c>
      <c r="J438">
        <v>9488516.6363636367</v>
      </c>
      <c r="K438">
        <v>53477</v>
      </c>
      <c r="L438">
        <v>2</v>
      </c>
      <c r="M438">
        <v>155</v>
      </c>
      <c r="N438">
        <v>0.93579148124602674</v>
      </c>
      <c r="O438">
        <v>9078260.3636363633</v>
      </c>
      <c r="P438">
        <v>54134</v>
      </c>
      <c r="Q438">
        <v>2</v>
      </c>
      <c r="R438">
        <v>156</v>
      </c>
      <c r="S438">
        <v>11.496095656417765</v>
      </c>
      <c r="T438">
        <v>0.95232557058334355</v>
      </c>
      <c r="W438">
        <f>Tabela6[[#This Row],[mlp_params]]</f>
        <v>53477</v>
      </c>
      <c r="X438">
        <f>Tabela6[[#This Row],[mlp_test_acc]]</f>
        <v>0.93324856961220592</v>
      </c>
      <c r="Y438">
        <f>Tabela6[[#This Row],[kan_val_acc_1]]</f>
        <v>0.95232557058334355</v>
      </c>
      <c r="Z438">
        <f>Tabela6[[#This Row],[no_steps]]</f>
        <v>11.496095656417765</v>
      </c>
    </row>
    <row r="439" spans="1:26" hidden="1" x14ac:dyDescent="0.25">
      <c r="A439" t="s">
        <v>18</v>
      </c>
      <c r="B439">
        <v>5</v>
      </c>
      <c r="C439">
        <v>5</v>
      </c>
      <c r="D439">
        <v>0</v>
      </c>
      <c r="E439" t="s">
        <v>68</v>
      </c>
      <c r="F439">
        <v>29918</v>
      </c>
      <c r="G439">
        <v>43048829.580645159</v>
      </c>
      <c r="H439">
        <v>0.90345138503659161</v>
      </c>
      <c r="I439">
        <v>0.94337920144371756</v>
      </c>
      <c r="J439">
        <v>9259388.6774193551</v>
      </c>
      <c r="K439">
        <v>54795</v>
      </c>
      <c r="L439">
        <v>2</v>
      </c>
      <c r="M439">
        <v>157</v>
      </c>
      <c r="N439">
        <v>0.94134897360703818</v>
      </c>
      <c r="O439">
        <v>10018244.258064516</v>
      </c>
      <c r="P439">
        <v>55460</v>
      </c>
      <c r="Q439">
        <v>2</v>
      </c>
      <c r="R439">
        <v>158</v>
      </c>
      <c r="S439">
        <v>11.496414245776103</v>
      </c>
      <c r="T439">
        <v>0.92596899072329208</v>
      </c>
      <c r="W439">
        <f>Tabela6[[#This Row],[mlp_params]]</f>
        <v>54795</v>
      </c>
      <c r="X439">
        <f>Tabela6[[#This Row],[mlp_test_acc]]</f>
        <v>0.94337920144371756</v>
      </c>
      <c r="Y439">
        <f>Tabela6[[#This Row],[kan_val_acc_1]]</f>
        <v>0.92596899072329208</v>
      </c>
      <c r="Z439">
        <f>Tabela6[[#This Row],[no_steps]]</f>
        <v>11.496414245776103</v>
      </c>
    </row>
    <row r="440" spans="1:26" hidden="1" x14ac:dyDescent="0.25">
      <c r="A440" t="s">
        <v>18</v>
      </c>
      <c r="B440">
        <v>5</v>
      </c>
      <c r="C440">
        <v>5</v>
      </c>
      <c r="D440">
        <v>0</v>
      </c>
      <c r="E440" t="s">
        <v>30</v>
      </c>
      <c r="F440">
        <v>30080</v>
      </c>
      <c r="G440">
        <v>35031494.090909094</v>
      </c>
      <c r="H440">
        <v>0.91036236828023742</v>
      </c>
      <c r="I440">
        <v>0.93197711379529558</v>
      </c>
      <c r="J440">
        <v>9335977.9090909082</v>
      </c>
      <c r="K440">
        <v>55460</v>
      </c>
      <c r="L440">
        <v>2</v>
      </c>
      <c r="M440">
        <v>158</v>
      </c>
      <c r="N440">
        <v>0.93197711379529558</v>
      </c>
      <c r="O440">
        <v>10004427</v>
      </c>
      <c r="P440">
        <v>56129</v>
      </c>
      <c r="Q440">
        <v>2</v>
      </c>
      <c r="R440">
        <v>159</v>
      </c>
      <c r="S440">
        <v>11.493445010924981</v>
      </c>
      <c r="T440">
        <v>0.92906976342201231</v>
      </c>
      <c r="W440">
        <f>Tabela6[[#This Row],[mlp_params]]</f>
        <v>55460</v>
      </c>
      <c r="X440">
        <f>Tabela6[[#This Row],[mlp_test_acc]]</f>
        <v>0.93197711379529558</v>
      </c>
      <c r="Y440">
        <f>Tabela6[[#This Row],[kan_val_acc_1]]</f>
        <v>0.92906976342201231</v>
      </c>
      <c r="Z440">
        <f>Tabela6[[#This Row],[no_steps]]</f>
        <v>11.493445010924981</v>
      </c>
    </row>
    <row r="441" spans="1:26" hidden="1" x14ac:dyDescent="0.25">
      <c r="A441" t="s">
        <v>18</v>
      </c>
      <c r="B441">
        <v>5</v>
      </c>
      <c r="C441">
        <v>5</v>
      </c>
      <c r="D441">
        <v>0</v>
      </c>
      <c r="E441" t="s">
        <v>77</v>
      </c>
      <c r="F441">
        <v>30490</v>
      </c>
      <c r="G441">
        <v>47240209.612903222</v>
      </c>
      <c r="H441">
        <v>0.90345138695932203</v>
      </c>
      <c r="I441">
        <v>0.93458154748477329</v>
      </c>
      <c r="J441">
        <v>9334314.3870967738</v>
      </c>
      <c r="K441">
        <v>56129</v>
      </c>
      <c r="L441">
        <v>2</v>
      </c>
      <c r="M441">
        <v>159</v>
      </c>
      <c r="N441">
        <v>0.93819084141664788</v>
      </c>
      <c r="O441">
        <v>9961368.5483870972</v>
      </c>
      <c r="P441">
        <v>56802</v>
      </c>
      <c r="Q441">
        <v>2</v>
      </c>
      <c r="R441">
        <v>160</v>
      </c>
      <c r="S441">
        <v>11.494376587253598</v>
      </c>
      <c r="T441">
        <v>0.93449612259864812</v>
      </c>
      <c r="W441">
        <f>Tabela6[[#This Row],[mlp_params]]</f>
        <v>56129</v>
      </c>
      <c r="X441">
        <f>Tabela6[[#This Row],[mlp_test_acc]]</f>
        <v>0.93458154748477329</v>
      </c>
      <c r="Y441">
        <f>Tabela6[[#This Row],[kan_val_acc_1]]</f>
        <v>0.93449612259864812</v>
      </c>
      <c r="Z441">
        <f>Tabela6[[#This Row],[no_steps]]</f>
        <v>11.494376587253598</v>
      </c>
    </row>
    <row r="442" spans="1:26" hidden="1" x14ac:dyDescent="0.25">
      <c r="A442" t="s">
        <v>18</v>
      </c>
      <c r="B442">
        <v>5</v>
      </c>
      <c r="C442">
        <v>5</v>
      </c>
      <c r="D442">
        <v>0</v>
      </c>
      <c r="E442" t="s">
        <v>31</v>
      </c>
      <c r="F442">
        <v>30914</v>
      </c>
      <c r="G442">
        <v>45505997</v>
      </c>
      <c r="H442">
        <v>0.88874761624769727</v>
      </c>
      <c r="I442">
        <v>0.91417673235855046</v>
      </c>
      <c r="J442">
        <v>8596839.6363636367</v>
      </c>
      <c r="K442">
        <v>56802</v>
      </c>
      <c r="L442">
        <v>2</v>
      </c>
      <c r="M442">
        <v>160</v>
      </c>
      <c r="N442">
        <v>0.91290527654164011</v>
      </c>
      <c r="O442">
        <v>9565309.1818181816</v>
      </c>
      <c r="P442">
        <v>57479</v>
      </c>
      <c r="Q442">
        <v>2</v>
      </c>
      <c r="R442">
        <v>161</v>
      </c>
      <c r="S442">
        <v>11.494565217391305</v>
      </c>
      <c r="T442">
        <v>0.92441860437393186</v>
      </c>
      <c r="W442">
        <f>Tabela6[[#This Row],[mlp_params]]</f>
        <v>56802</v>
      </c>
      <c r="X442">
        <f>Tabela6[[#This Row],[mlp_test_acc]]</f>
        <v>0.91417673235855046</v>
      </c>
      <c r="Y442">
        <f>Tabela6[[#This Row],[kan_val_acc_1]]</f>
        <v>0.92441860437393186</v>
      </c>
      <c r="Z442">
        <f>Tabela6[[#This Row],[no_steps]]</f>
        <v>11.494565217391305</v>
      </c>
    </row>
    <row r="443" spans="1:26" hidden="1" x14ac:dyDescent="0.25">
      <c r="A443" t="s">
        <v>18</v>
      </c>
      <c r="B443">
        <v>5</v>
      </c>
      <c r="C443">
        <v>5</v>
      </c>
      <c r="D443">
        <v>0</v>
      </c>
      <c r="E443" t="s">
        <v>78</v>
      </c>
      <c r="F443">
        <v>31532</v>
      </c>
      <c r="G443">
        <v>39714914.024390243</v>
      </c>
      <c r="H443">
        <v>0.92341804213640166</v>
      </c>
      <c r="I443">
        <v>0.9358690090397408</v>
      </c>
      <c r="J443">
        <v>9181187.0731707308</v>
      </c>
      <c r="K443">
        <v>57479</v>
      </c>
      <c r="L443">
        <v>2</v>
      </c>
      <c r="M443">
        <v>161</v>
      </c>
      <c r="N443">
        <v>0.93450451987037353</v>
      </c>
      <c r="O443">
        <v>9171610.5121951215</v>
      </c>
      <c r="P443">
        <v>58160</v>
      </c>
      <c r="Q443">
        <v>2</v>
      </c>
      <c r="R443">
        <v>162</v>
      </c>
      <c r="S443">
        <v>11.488643191924048</v>
      </c>
      <c r="T443">
        <v>0.94273255169391634</v>
      </c>
      <c r="W443">
        <f>Tabela6[[#This Row],[mlp_params]]</f>
        <v>57479</v>
      </c>
      <c r="X443">
        <f>Tabela6[[#This Row],[mlp_test_acc]]</f>
        <v>0.9358690090397408</v>
      </c>
      <c r="Y443">
        <f>Tabela6[[#This Row],[kan_val_acc_1]]</f>
        <v>0.94273255169391634</v>
      </c>
      <c r="Z443">
        <f>Tabela6[[#This Row],[no_steps]]</f>
        <v>11.488643191924048</v>
      </c>
    </row>
    <row r="444" spans="1:26" hidden="1" x14ac:dyDescent="0.25">
      <c r="A444" t="s">
        <v>18</v>
      </c>
      <c r="B444">
        <v>5</v>
      </c>
      <c r="C444">
        <v>5</v>
      </c>
      <c r="D444">
        <v>0</v>
      </c>
      <c r="E444" t="s">
        <v>32</v>
      </c>
      <c r="F444">
        <v>31748</v>
      </c>
      <c r="G444">
        <v>40252805.363636367</v>
      </c>
      <c r="H444">
        <v>0.89574062824249268</v>
      </c>
      <c r="I444">
        <v>0.91290527654164011</v>
      </c>
      <c r="J444">
        <v>9962836.6363636367</v>
      </c>
      <c r="K444">
        <v>58160</v>
      </c>
      <c r="L444">
        <v>2</v>
      </c>
      <c r="M444">
        <v>162</v>
      </c>
      <c r="N444">
        <v>0.90972663699936429</v>
      </c>
      <c r="O444">
        <v>10458262.545454545</v>
      </c>
      <c r="P444">
        <v>58845</v>
      </c>
      <c r="Q444">
        <v>2</v>
      </c>
      <c r="R444">
        <v>163</v>
      </c>
      <c r="S444">
        <v>11.486437830052809</v>
      </c>
      <c r="T444">
        <v>0.9441860437393188</v>
      </c>
      <c r="W444">
        <f>Tabela6[[#This Row],[mlp_params]]</f>
        <v>58160</v>
      </c>
      <c r="X444">
        <f>Tabela6[[#This Row],[mlp_test_acc]]</f>
        <v>0.91290527654164011</v>
      </c>
      <c r="Y444">
        <f>Tabela6[[#This Row],[kan_val_acc_1]]</f>
        <v>0.9441860437393188</v>
      </c>
      <c r="Z444">
        <f>Tabela6[[#This Row],[no_steps]]</f>
        <v>11.486437830052809</v>
      </c>
    </row>
    <row r="445" spans="1:26" hidden="1" x14ac:dyDescent="0.25">
      <c r="A445" t="s">
        <v>18</v>
      </c>
      <c r="B445">
        <v>5</v>
      </c>
      <c r="C445">
        <v>5</v>
      </c>
      <c r="D445">
        <v>0</v>
      </c>
      <c r="E445" t="s">
        <v>46</v>
      </c>
      <c r="F445">
        <v>32006</v>
      </c>
      <c r="G445">
        <v>47237084.047619045</v>
      </c>
      <c r="H445">
        <v>0.92207791975566322</v>
      </c>
      <c r="I445">
        <v>0.93073593073593075</v>
      </c>
      <c r="J445">
        <v>10060684.80952381</v>
      </c>
      <c r="K445">
        <v>58845</v>
      </c>
      <c r="L445">
        <v>2</v>
      </c>
      <c r="M445">
        <v>163</v>
      </c>
      <c r="N445">
        <v>0.93173493173493172</v>
      </c>
      <c r="O445">
        <v>8937033.9047619049</v>
      </c>
      <c r="P445">
        <v>59534</v>
      </c>
      <c r="Q445">
        <v>2</v>
      </c>
      <c r="R445">
        <v>164</v>
      </c>
      <c r="S445">
        <v>11.487369807254879</v>
      </c>
      <c r="T445">
        <v>0.94999999105930333</v>
      </c>
      <c r="W445">
        <f>Tabela6[[#This Row],[mlp_params]]</f>
        <v>58845</v>
      </c>
      <c r="X445">
        <f>Tabela6[[#This Row],[mlp_test_acc]]</f>
        <v>0.93073593073593075</v>
      </c>
      <c r="Y445">
        <f>Tabela6[[#This Row],[kan_val_acc_1]]</f>
        <v>0.94999999105930333</v>
      </c>
      <c r="Z445">
        <f>Tabela6[[#This Row],[no_steps]]</f>
        <v>11.487369807254879</v>
      </c>
    </row>
    <row r="446" spans="1:26" hidden="1" x14ac:dyDescent="0.25">
      <c r="A446" t="s">
        <v>18</v>
      </c>
      <c r="B446">
        <v>5</v>
      </c>
      <c r="C446">
        <v>5</v>
      </c>
      <c r="D446">
        <v>0</v>
      </c>
      <c r="E446" t="s">
        <v>33</v>
      </c>
      <c r="F446">
        <v>32582</v>
      </c>
      <c r="G446">
        <v>47925710.523809522</v>
      </c>
      <c r="H446">
        <v>0.92174491428193595</v>
      </c>
      <c r="I446">
        <v>0.93539793539793537</v>
      </c>
      <c r="J446">
        <v>10012742.571428571</v>
      </c>
      <c r="K446">
        <v>59534</v>
      </c>
      <c r="L446">
        <v>2</v>
      </c>
      <c r="M446">
        <v>164</v>
      </c>
      <c r="N446">
        <v>0.93906093906093913</v>
      </c>
      <c r="O446">
        <v>9233538.0476190485</v>
      </c>
      <c r="P446">
        <v>60227</v>
      </c>
      <c r="Q446">
        <v>2</v>
      </c>
      <c r="R446">
        <v>165</v>
      </c>
      <c r="S446">
        <v>11.487700023883448</v>
      </c>
      <c r="T446">
        <v>0.9331395238637924</v>
      </c>
      <c r="W446">
        <f>Tabela6[[#This Row],[mlp_params]]</f>
        <v>59534</v>
      </c>
      <c r="X446">
        <f>Tabela6[[#This Row],[mlp_test_acc]]</f>
        <v>0.93539793539793537</v>
      </c>
      <c r="Y446">
        <f>Tabela6[[#This Row],[kan_val_acc_1]]</f>
        <v>0.9331395238637924</v>
      </c>
      <c r="Z446">
        <f>Tabela6[[#This Row],[no_steps]]</f>
        <v>11.487700023883448</v>
      </c>
    </row>
    <row r="447" spans="1:26" hidden="1" x14ac:dyDescent="0.25">
      <c r="A447" t="s">
        <v>18</v>
      </c>
      <c r="B447">
        <v>5</v>
      </c>
      <c r="C447">
        <v>5</v>
      </c>
      <c r="D447">
        <v>0</v>
      </c>
      <c r="E447" t="s">
        <v>47</v>
      </c>
      <c r="F447">
        <v>32892</v>
      </c>
      <c r="G447">
        <v>48959671.428571425</v>
      </c>
      <c r="H447">
        <v>0.8887778889565241</v>
      </c>
      <c r="I447">
        <v>0.92640692640692635</v>
      </c>
      <c r="J447">
        <v>9611443</v>
      </c>
      <c r="K447">
        <v>60227</v>
      </c>
      <c r="L447">
        <v>2</v>
      </c>
      <c r="M447">
        <v>165</v>
      </c>
      <c r="N447">
        <v>0.9257409257409257</v>
      </c>
      <c r="O447">
        <v>9039880.0476190485</v>
      </c>
      <c r="P447">
        <v>60924</v>
      </c>
      <c r="Q447">
        <v>2</v>
      </c>
      <c r="R447">
        <v>166</v>
      </c>
      <c r="S447">
        <v>11.488624181060155</v>
      </c>
      <c r="T447">
        <v>0.93372092843055721</v>
      </c>
      <c r="W447">
        <f>Tabela6[[#This Row],[mlp_params]]</f>
        <v>60227</v>
      </c>
      <c r="X447">
        <f>Tabela6[[#This Row],[mlp_test_acc]]</f>
        <v>0.92640692640692635</v>
      </c>
      <c r="Y447">
        <f>Tabela6[[#This Row],[kan_val_acc_1]]</f>
        <v>0.93372092843055721</v>
      </c>
      <c r="Z447">
        <f>Tabela6[[#This Row],[no_steps]]</f>
        <v>11.488624181060155</v>
      </c>
    </row>
    <row r="448" spans="1:26" hidden="1" x14ac:dyDescent="0.25">
      <c r="A448" t="s">
        <v>18</v>
      </c>
      <c r="B448">
        <v>5</v>
      </c>
      <c r="C448">
        <v>5</v>
      </c>
      <c r="D448">
        <v>0</v>
      </c>
      <c r="E448" t="s">
        <v>34</v>
      </c>
      <c r="F448">
        <v>33416</v>
      </c>
      <c r="G448">
        <v>52726972.193548389</v>
      </c>
      <c r="H448">
        <v>0.87299796842759658</v>
      </c>
      <c r="I448">
        <v>0.92939318745770361</v>
      </c>
      <c r="J448">
        <v>9588195.5806451607</v>
      </c>
      <c r="K448">
        <v>60924</v>
      </c>
      <c r="L448">
        <v>2</v>
      </c>
      <c r="M448">
        <v>166</v>
      </c>
      <c r="N448">
        <v>0.93074667268215661</v>
      </c>
      <c r="O448">
        <v>9611159.6451612897</v>
      </c>
      <c r="P448">
        <v>61625</v>
      </c>
      <c r="Q448">
        <v>2</v>
      </c>
      <c r="R448">
        <v>167</v>
      </c>
      <c r="S448">
        <v>11.490980299074295</v>
      </c>
      <c r="T448">
        <v>0.93643410603205368</v>
      </c>
      <c r="W448">
        <f>Tabela6[[#This Row],[mlp_params]]</f>
        <v>60924</v>
      </c>
      <c r="X448">
        <f>Tabela6[[#This Row],[mlp_test_acc]]</f>
        <v>0.92939318745770361</v>
      </c>
      <c r="Y448">
        <f>Tabela6[[#This Row],[kan_val_acc_1]]</f>
        <v>0.93643410603205368</v>
      </c>
      <c r="Z448">
        <f>Tabela6[[#This Row],[no_steps]]</f>
        <v>11.490980299074295</v>
      </c>
    </row>
    <row r="449" spans="1:26" hidden="1" x14ac:dyDescent="0.25">
      <c r="A449" t="s">
        <v>18</v>
      </c>
      <c r="B449">
        <v>5</v>
      </c>
      <c r="C449">
        <v>5</v>
      </c>
      <c r="D449">
        <v>0</v>
      </c>
      <c r="E449" t="s">
        <v>48</v>
      </c>
      <c r="F449">
        <v>33778</v>
      </c>
      <c r="G449">
        <v>42824577.81818182</v>
      </c>
      <c r="H449">
        <v>0.9218054684725675</v>
      </c>
      <c r="I449">
        <v>0.93642720915448185</v>
      </c>
      <c r="J449">
        <v>9264249.2727272734</v>
      </c>
      <c r="K449">
        <v>61625</v>
      </c>
      <c r="L449">
        <v>2</v>
      </c>
      <c r="M449">
        <v>167</v>
      </c>
      <c r="N449">
        <v>0.93897012078830255</v>
      </c>
      <c r="O449">
        <v>10682254.909090908</v>
      </c>
      <c r="P449">
        <v>62330</v>
      </c>
      <c r="Q449">
        <v>2</v>
      </c>
      <c r="R449">
        <v>168</v>
      </c>
      <c r="S449">
        <v>11.489036387341471</v>
      </c>
      <c r="T449">
        <v>0.93953487277030945</v>
      </c>
      <c r="W449">
        <f>Tabela6[[#This Row],[mlp_params]]</f>
        <v>61625</v>
      </c>
      <c r="X449">
        <f>Tabela6[[#This Row],[mlp_test_acc]]</f>
        <v>0.93642720915448185</v>
      </c>
      <c r="Y449">
        <f>Tabela6[[#This Row],[kan_val_acc_1]]</f>
        <v>0.93953487277030945</v>
      </c>
      <c r="Z449">
        <f>Tabela6[[#This Row],[no_steps]]</f>
        <v>11.489036387341471</v>
      </c>
    </row>
    <row r="450" spans="1:26" hidden="1" x14ac:dyDescent="0.25">
      <c r="A450" t="s">
        <v>18</v>
      </c>
      <c r="B450">
        <v>5</v>
      </c>
      <c r="C450">
        <v>5</v>
      </c>
      <c r="D450">
        <v>0</v>
      </c>
      <c r="E450" t="s">
        <v>59</v>
      </c>
      <c r="F450">
        <v>33932</v>
      </c>
      <c r="G450">
        <v>50435969.285714284</v>
      </c>
      <c r="H450">
        <v>0.90442890212649396</v>
      </c>
      <c r="I450">
        <v>0.92673992673992678</v>
      </c>
      <c r="J450">
        <v>10076430.952380951</v>
      </c>
      <c r="K450">
        <v>62330</v>
      </c>
      <c r="L450">
        <v>2</v>
      </c>
      <c r="M450">
        <v>168</v>
      </c>
      <c r="N450">
        <v>0.92840492840492839</v>
      </c>
      <c r="O450">
        <v>9617536.5238095243</v>
      </c>
      <c r="P450">
        <v>63039</v>
      </c>
      <c r="Q450">
        <v>2</v>
      </c>
      <c r="R450">
        <v>169</v>
      </c>
      <c r="S450">
        <v>11.489713880349964</v>
      </c>
      <c r="T450">
        <v>0.93313953578472142</v>
      </c>
      <c r="W450">
        <f>Tabela6[[#This Row],[mlp_params]]</f>
        <v>62330</v>
      </c>
      <c r="X450">
        <f>Tabela6[[#This Row],[mlp_test_acc]]</f>
        <v>0.92673992673992678</v>
      </c>
      <c r="Y450">
        <f>Tabela6[[#This Row],[kan_val_acc_1]]</f>
        <v>0.93313953578472142</v>
      </c>
      <c r="Z450">
        <f>Tabela6[[#This Row],[no_steps]]</f>
        <v>11.489713880349964</v>
      </c>
    </row>
    <row r="451" spans="1:26" hidden="1" x14ac:dyDescent="0.25">
      <c r="A451" t="s">
        <v>18</v>
      </c>
      <c r="B451">
        <v>5</v>
      </c>
      <c r="C451">
        <v>5</v>
      </c>
      <c r="D451">
        <v>0</v>
      </c>
      <c r="E451" t="s">
        <v>35</v>
      </c>
      <c r="F451">
        <v>34250</v>
      </c>
      <c r="G451">
        <v>46186894.714285716</v>
      </c>
      <c r="H451">
        <v>0.88011988287880305</v>
      </c>
      <c r="I451">
        <v>0.92440892440892442</v>
      </c>
      <c r="J451">
        <v>9403716.0476190485</v>
      </c>
      <c r="K451">
        <v>63039</v>
      </c>
      <c r="L451">
        <v>2</v>
      </c>
      <c r="M451">
        <v>169</v>
      </c>
      <c r="N451">
        <v>0.92141192141192141</v>
      </c>
      <c r="O451">
        <v>11052553.476190476</v>
      </c>
      <c r="P451">
        <v>63752</v>
      </c>
      <c r="Q451">
        <v>2</v>
      </c>
      <c r="R451">
        <v>170</v>
      </c>
      <c r="S451">
        <v>11.487793371859889</v>
      </c>
      <c r="T451">
        <v>0.94767441153526311</v>
      </c>
      <c r="W451">
        <f>Tabela6[[#This Row],[mlp_params]]</f>
        <v>63039</v>
      </c>
      <c r="X451">
        <f>Tabela6[[#This Row],[mlp_test_acc]]</f>
        <v>0.92440892440892442</v>
      </c>
      <c r="Y451">
        <f>Tabela6[[#This Row],[kan_val_acc_1]]</f>
        <v>0.94767441153526311</v>
      </c>
      <c r="Z451">
        <f>Tabela6[[#This Row],[no_steps]]</f>
        <v>11.487793371859889</v>
      </c>
    </row>
    <row r="452" spans="1:26" hidden="1" x14ac:dyDescent="0.25">
      <c r="A452" t="s">
        <v>18</v>
      </c>
      <c r="B452">
        <v>5</v>
      </c>
      <c r="C452">
        <v>5</v>
      </c>
      <c r="D452">
        <v>0</v>
      </c>
      <c r="E452" t="s">
        <v>49</v>
      </c>
      <c r="F452">
        <v>34664</v>
      </c>
      <c r="G452">
        <v>59484405.454545453</v>
      </c>
      <c r="H452">
        <v>0.93642720309170813</v>
      </c>
      <c r="I452">
        <v>0.93833439287984743</v>
      </c>
      <c r="J452">
        <v>9514468.5454545449</v>
      </c>
      <c r="K452">
        <v>63752</v>
      </c>
      <c r="L452">
        <v>2</v>
      </c>
      <c r="M452">
        <v>170</v>
      </c>
      <c r="N452">
        <v>0.93769866497139231</v>
      </c>
      <c r="O452">
        <v>9812959.4545454551</v>
      </c>
      <c r="P452">
        <v>64469</v>
      </c>
      <c r="Q452">
        <v>2</v>
      </c>
      <c r="R452">
        <v>171</v>
      </c>
      <c r="S452">
        <v>11.490223792697291</v>
      </c>
      <c r="T452">
        <v>0.94302325248718266</v>
      </c>
      <c r="W452">
        <f>Tabela6[[#This Row],[mlp_params]]</f>
        <v>63752</v>
      </c>
      <c r="X452">
        <f>Tabela6[[#This Row],[mlp_test_acc]]</f>
        <v>0.93833439287984743</v>
      </c>
      <c r="Y452">
        <f>Tabela6[[#This Row],[kan_val_acc_1]]</f>
        <v>0.94302325248718266</v>
      </c>
      <c r="Z452">
        <f>Tabela6[[#This Row],[no_steps]]</f>
        <v>11.490223792697291</v>
      </c>
    </row>
    <row r="453" spans="1:26" hidden="1" x14ac:dyDescent="0.25">
      <c r="A453" t="s">
        <v>18</v>
      </c>
      <c r="B453">
        <v>5</v>
      </c>
      <c r="C453">
        <v>5</v>
      </c>
      <c r="D453">
        <v>0</v>
      </c>
      <c r="E453" t="s">
        <v>36</v>
      </c>
      <c r="F453">
        <v>35084</v>
      </c>
      <c r="G453">
        <v>49860540.292682923</v>
      </c>
      <c r="H453">
        <v>0.88725907773506352</v>
      </c>
      <c r="I453">
        <v>0.92802319631587926</v>
      </c>
      <c r="J453">
        <v>9602047.9512195121</v>
      </c>
      <c r="K453">
        <v>64469</v>
      </c>
      <c r="L453">
        <v>2</v>
      </c>
      <c r="M453">
        <v>171</v>
      </c>
      <c r="N453">
        <v>0.926658707146512</v>
      </c>
      <c r="O453">
        <v>9809380.0731707308</v>
      </c>
      <c r="P453">
        <v>65190</v>
      </c>
      <c r="Q453">
        <v>2</v>
      </c>
      <c r="R453">
        <v>172</v>
      </c>
      <c r="S453">
        <v>11.490798265150627</v>
      </c>
      <c r="T453">
        <v>0.93924417644739155</v>
      </c>
      <c r="W453">
        <f>Tabela6[[#This Row],[mlp_params]]</f>
        <v>64469</v>
      </c>
      <c r="X453">
        <f>Tabela6[[#This Row],[mlp_test_acc]]</f>
        <v>0.92802319631587926</v>
      </c>
      <c r="Y453">
        <f>Tabela6[[#This Row],[kan_val_acc_1]]</f>
        <v>0.93924417644739155</v>
      </c>
      <c r="Z453">
        <f>Tabela6[[#This Row],[no_steps]]</f>
        <v>11.490798265150627</v>
      </c>
    </row>
    <row r="454" spans="1:26" hidden="1" x14ac:dyDescent="0.25">
      <c r="A454" t="s">
        <v>18</v>
      </c>
      <c r="B454">
        <v>5</v>
      </c>
      <c r="C454">
        <v>5</v>
      </c>
      <c r="D454">
        <v>0</v>
      </c>
      <c r="E454" t="s">
        <v>50</v>
      </c>
      <c r="F454">
        <v>35550</v>
      </c>
      <c r="G454">
        <v>46952473.363636367</v>
      </c>
      <c r="H454">
        <v>0.90654800154946069</v>
      </c>
      <c r="I454">
        <v>0.93706293706293708</v>
      </c>
      <c r="J454">
        <v>10110256.909090908</v>
      </c>
      <c r="K454">
        <v>65190</v>
      </c>
      <c r="L454">
        <v>2</v>
      </c>
      <c r="M454">
        <v>172</v>
      </c>
      <c r="N454">
        <v>0.94469167196439929</v>
      </c>
      <c r="O454">
        <v>10158532.909090908</v>
      </c>
      <c r="P454">
        <v>65915</v>
      </c>
      <c r="Q454">
        <v>2</v>
      </c>
      <c r="R454">
        <v>173</v>
      </c>
      <c r="S454">
        <v>11.490283306017327</v>
      </c>
      <c r="T454">
        <v>0.94302324056625364</v>
      </c>
      <c r="W454">
        <f>Tabela6[[#This Row],[mlp_params]]</f>
        <v>65190</v>
      </c>
      <c r="X454">
        <f>Tabela6[[#This Row],[mlp_test_acc]]</f>
        <v>0.93706293706293708</v>
      </c>
      <c r="Y454">
        <f>Tabela6[[#This Row],[kan_val_acc_1]]</f>
        <v>0.94302324056625364</v>
      </c>
      <c r="Z454">
        <f>Tabela6[[#This Row],[no_steps]]</f>
        <v>11.490283306017327</v>
      </c>
    </row>
    <row r="455" spans="1:26" hidden="1" x14ac:dyDescent="0.25">
      <c r="A455" t="s">
        <v>18</v>
      </c>
      <c r="B455">
        <v>5</v>
      </c>
      <c r="C455">
        <v>5</v>
      </c>
      <c r="D455">
        <v>0</v>
      </c>
      <c r="E455" t="s">
        <v>37</v>
      </c>
      <c r="F455">
        <v>35918</v>
      </c>
      <c r="G455">
        <v>47779477.761904761</v>
      </c>
      <c r="H455">
        <v>0.91275391124543692</v>
      </c>
      <c r="I455">
        <v>0.92407592407592409</v>
      </c>
      <c r="J455">
        <v>8976808.666666666</v>
      </c>
      <c r="K455">
        <v>65915</v>
      </c>
      <c r="L455">
        <v>2</v>
      </c>
      <c r="M455">
        <v>173</v>
      </c>
      <c r="N455">
        <v>0.92507492507492506</v>
      </c>
      <c r="O455">
        <v>9747401.0476190485</v>
      </c>
      <c r="P455">
        <v>66644</v>
      </c>
      <c r="Q455">
        <v>2</v>
      </c>
      <c r="R455">
        <v>174</v>
      </c>
      <c r="S455">
        <v>11.489548055587996</v>
      </c>
      <c r="T455">
        <v>0.94941859245300297</v>
      </c>
      <c r="W455">
        <f>Tabela6[[#This Row],[mlp_params]]</f>
        <v>65915</v>
      </c>
      <c r="X455">
        <f>Tabela6[[#This Row],[mlp_test_acc]]</f>
        <v>0.92407592407592409</v>
      </c>
      <c r="Y455">
        <f>Tabela6[[#This Row],[kan_val_acc_1]]</f>
        <v>0.94941859245300297</v>
      </c>
      <c r="Z455">
        <f>Tabela6[[#This Row],[no_steps]]</f>
        <v>11.489548055587996</v>
      </c>
    </row>
    <row r="456" spans="1:26" hidden="1" x14ac:dyDescent="0.25">
      <c r="A456" t="s">
        <v>18</v>
      </c>
      <c r="B456">
        <v>5</v>
      </c>
      <c r="C456">
        <v>5</v>
      </c>
      <c r="D456">
        <v>0</v>
      </c>
      <c r="E456" t="s">
        <v>51</v>
      </c>
      <c r="F456">
        <v>36436</v>
      </c>
      <c r="G456">
        <v>49520686.129032262</v>
      </c>
      <c r="H456">
        <v>0.92262576280101649</v>
      </c>
      <c r="I456">
        <v>0.92939318745770361</v>
      </c>
      <c r="J456">
        <v>9709116.6451612897</v>
      </c>
      <c r="K456">
        <v>66644</v>
      </c>
      <c r="L456">
        <v>2</v>
      </c>
      <c r="M456">
        <v>174</v>
      </c>
      <c r="N456">
        <v>0.9298443491991879</v>
      </c>
      <c r="O456">
        <v>9944344.4193548393</v>
      </c>
      <c r="P456">
        <v>67377</v>
      </c>
      <c r="Q456">
        <v>2</v>
      </c>
      <c r="R456">
        <v>175</v>
      </c>
      <c r="S456">
        <v>11.490225738887595</v>
      </c>
      <c r="T456">
        <v>0.95155037442843116</v>
      </c>
      <c r="W456">
        <f>Tabela6[[#This Row],[mlp_params]]</f>
        <v>66644</v>
      </c>
      <c r="X456">
        <f>Tabela6[[#This Row],[mlp_test_acc]]</f>
        <v>0.92939318745770361</v>
      </c>
      <c r="Y456">
        <f>Tabela6[[#This Row],[kan_val_acc_1]]</f>
        <v>0.95155037442843116</v>
      </c>
      <c r="Z456">
        <f>Tabela6[[#This Row],[no_steps]]</f>
        <v>11.490225738887595</v>
      </c>
    </row>
    <row r="457" spans="1:26" hidden="1" x14ac:dyDescent="0.25">
      <c r="A457" t="s">
        <v>18</v>
      </c>
      <c r="B457">
        <v>5</v>
      </c>
      <c r="C457">
        <v>5</v>
      </c>
      <c r="D457">
        <v>0</v>
      </c>
      <c r="E457" t="s">
        <v>38</v>
      </c>
      <c r="F457">
        <v>36752</v>
      </c>
      <c r="G457">
        <v>51506321</v>
      </c>
      <c r="H457">
        <v>0.91544818878173828</v>
      </c>
      <c r="I457">
        <v>0.93642720915448185</v>
      </c>
      <c r="J457">
        <v>8899593.2727272734</v>
      </c>
      <c r="K457">
        <v>67377</v>
      </c>
      <c r="L457">
        <v>2</v>
      </c>
      <c r="M457">
        <v>175</v>
      </c>
      <c r="N457">
        <v>0.93579148124602674</v>
      </c>
      <c r="O457">
        <v>10751651.454545455</v>
      </c>
      <c r="P457">
        <v>68114</v>
      </c>
      <c r="Q457">
        <v>2</v>
      </c>
      <c r="R457">
        <v>176</v>
      </c>
      <c r="S457">
        <v>11.491109819872168</v>
      </c>
      <c r="T457">
        <v>0.94418603777885435</v>
      </c>
      <c r="W457">
        <f>Tabela6[[#This Row],[mlp_params]]</f>
        <v>67377</v>
      </c>
      <c r="X457">
        <f>Tabela6[[#This Row],[mlp_test_acc]]</f>
        <v>0.93642720915448185</v>
      </c>
      <c r="Y457">
        <f>Tabela6[[#This Row],[kan_val_acc_1]]</f>
        <v>0.94418603777885435</v>
      </c>
      <c r="Z457">
        <f>Tabela6[[#This Row],[no_steps]]</f>
        <v>11.491109819872168</v>
      </c>
    </row>
    <row r="458" spans="1:26" hidden="1" x14ac:dyDescent="0.25">
      <c r="A458" t="s">
        <v>18</v>
      </c>
      <c r="B458">
        <v>5</v>
      </c>
      <c r="C458">
        <v>5</v>
      </c>
      <c r="D458">
        <v>0</v>
      </c>
      <c r="E458" t="s">
        <v>52</v>
      </c>
      <c r="F458">
        <v>37322</v>
      </c>
      <c r="G458">
        <v>54175225.560975611</v>
      </c>
      <c r="H458">
        <v>0.9017567779959702</v>
      </c>
      <c r="I458">
        <v>0.92546477912331571</v>
      </c>
      <c r="J458">
        <v>9990690.975609757</v>
      </c>
      <c r="K458">
        <v>68114</v>
      </c>
      <c r="L458">
        <v>2</v>
      </c>
      <c r="M458">
        <v>176</v>
      </c>
      <c r="N458">
        <v>0.92290636193075215</v>
      </c>
      <c r="O458">
        <v>9574623.2926829271</v>
      </c>
      <c r="P458">
        <v>68855</v>
      </c>
      <c r="Q458">
        <v>2</v>
      </c>
      <c r="R458">
        <v>177</v>
      </c>
      <c r="S458">
        <v>11.493291695581773</v>
      </c>
      <c r="T458">
        <v>0.93691859394311905</v>
      </c>
      <c r="W458">
        <f>Tabela6[[#This Row],[mlp_params]]</f>
        <v>68114</v>
      </c>
      <c r="X458">
        <f>Tabela6[[#This Row],[mlp_test_acc]]</f>
        <v>0.92546477912331571</v>
      </c>
      <c r="Y458">
        <f>Tabela6[[#This Row],[kan_val_acc_1]]</f>
        <v>0.93691859394311905</v>
      </c>
      <c r="Z458">
        <f>Tabela6[[#This Row],[no_steps]]</f>
        <v>11.493291695581773</v>
      </c>
    </row>
    <row r="459" spans="1:26" hidden="1" x14ac:dyDescent="0.25">
      <c r="A459" t="s">
        <v>18</v>
      </c>
      <c r="B459">
        <v>5</v>
      </c>
      <c r="C459">
        <v>5</v>
      </c>
      <c r="D459">
        <v>0</v>
      </c>
      <c r="E459" t="s">
        <v>61</v>
      </c>
      <c r="F459">
        <v>37684</v>
      </c>
      <c r="G459">
        <v>44472156.090909094</v>
      </c>
      <c r="H459">
        <v>0.93261284177953552</v>
      </c>
      <c r="I459">
        <v>0.93769866497139231</v>
      </c>
      <c r="J459">
        <v>9874226.7272727266</v>
      </c>
      <c r="K459">
        <v>68855</v>
      </c>
      <c r="L459">
        <v>2</v>
      </c>
      <c r="M459">
        <v>177</v>
      </c>
      <c r="N459">
        <v>0.94469167196439918</v>
      </c>
      <c r="O459">
        <v>9463268.6363636367</v>
      </c>
      <c r="P459">
        <v>69600</v>
      </c>
      <c r="Q459">
        <v>2</v>
      </c>
      <c r="R459">
        <v>178</v>
      </c>
      <c r="S459">
        <v>11.491509760887144</v>
      </c>
      <c r="T459">
        <v>0.9546511590480804</v>
      </c>
      <c r="W459">
        <f>Tabela6[[#This Row],[mlp_params]]</f>
        <v>68855</v>
      </c>
      <c r="X459">
        <f>Tabela6[[#This Row],[mlp_test_acc]]</f>
        <v>0.93769866497139231</v>
      </c>
      <c r="Y459">
        <f>Tabela6[[#This Row],[kan_val_acc_1]]</f>
        <v>0.9546511590480804</v>
      </c>
      <c r="Z459">
        <f>Tabela6[[#This Row],[no_steps]]</f>
        <v>11.491509760887144</v>
      </c>
    </row>
    <row r="460" spans="1:26" hidden="1" x14ac:dyDescent="0.25">
      <c r="A460" t="s">
        <v>18</v>
      </c>
      <c r="B460">
        <v>5</v>
      </c>
      <c r="C460">
        <v>5</v>
      </c>
      <c r="D460">
        <v>0</v>
      </c>
      <c r="E460" t="s">
        <v>70</v>
      </c>
      <c r="F460">
        <v>37838</v>
      </c>
      <c r="G460">
        <v>48642933.909090906</v>
      </c>
      <c r="H460">
        <v>0.92561982978474011</v>
      </c>
      <c r="I460">
        <v>0.93261284170375081</v>
      </c>
      <c r="J460">
        <v>9676543.4545454551</v>
      </c>
      <c r="K460">
        <v>69600</v>
      </c>
      <c r="L460">
        <v>2</v>
      </c>
      <c r="M460">
        <v>178</v>
      </c>
      <c r="N460">
        <v>0.93197711379529558</v>
      </c>
      <c r="O460">
        <v>10010288.090909092</v>
      </c>
      <c r="P460">
        <v>70349</v>
      </c>
      <c r="Q460">
        <v>2</v>
      </c>
      <c r="R460">
        <v>179</v>
      </c>
      <c r="S460">
        <v>11.490655283802491</v>
      </c>
      <c r="T460">
        <v>0.93255814313888552</v>
      </c>
      <c r="W460">
        <f>Tabela6[[#This Row],[mlp_params]]</f>
        <v>69600</v>
      </c>
      <c r="X460">
        <f>Tabela6[[#This Row],[mlp_test_acc]]</f>
        <v>0.93261284170375081</v>
      </c>
      <c r="Y460">
        <f>Tabela6[[#This Row],[kan_val_acc_1]]</f>
        <v>0.93255814313888552</v>
      </c>
      <c r="Z460">
        <f>Tabela6[[#This Row],[no_steps]]</f>
        <v>11.490655283802491</v>
      </c>
    </row>
    <row r="461" spans="1:26" hidden="1" x14ac:dyDescent="0.25">
      <c r="A461" t="s">
        <v>18</v>
      </c>
      <c r="B461">
        <v>5</v>
      </c>
      <c r="C461">
        <v>5</v>
      </c>
      <c r="D461">
        <v>0</v>
      </c>
      <c r="E461" t="s">
        <v>53</v>
      </c>
      <c r="F461">
        <v>38208</v>
      </c>
      <c r="G461">
        <v>52124484.904761903</v>
      </c>
      <c r="H461">
        <v>0.88711289280936834</v>
      </c>
      <c r="I461">
        <v>0.91175491175491175</v>
      </c>
      <c r="J461">
        <v>9636649.1428571437</v>
      </c>
      <c r="K461">
        <v>70349</v>
      </c>
      <c r="L461">
        <v>2</v>
      </c>
      <c r="M461">
        <v>179</v>
      </c>
      <c r="N461">
        <v>0.91408591408591411</v>
      </c>
      <c r="O461">
        <v>9831417.4761904757</v>
      </c>
      <c r="P461">
        <v>71102</v>
      </c>
      <c r="Q461">
        <v>2</v>
      </c>
      <c r="R461">
        <v>180</v>
      </c>
      <c r="S461">
        <v>11.491541028887099</v>
      </c>
      <c r="T461">
        <v>0.94302325546741483</v>
      </c>
      <c r="W461">
        <f>Tabela6[[#This Row],[mlp_params]]</f>
        <v>70349</v>
      </c>
      <c r="X461">
        <f>Tabela6[[#This Row],[mlp_test_acc]]</f>
        <v>0.91175491175491175</v>
      </c>
      <c r="Y461">
        <f>Tabela6[[#This Row],[kan_val_acc_1]]</f>
        <v>0.94302325546741483</v>
      </c>
      <c r="Z461">
        <f>Tabela6[[#This Row],[no_steps]]</f>
        <v>11.491541028887099</v>
      </c>
    </row>
    <row r="462" spans="1:26" hidden="1" x14ac:dyDescent="0.25">
      <c r="A462" t="s">
        <v>18</v>
      </c>
      <c r="B462">
        <v>5</v>
      </c>
      <c r="C462">
        <v>5</v>
      </c>
      <c r="D462">
        <v>0</v>
      </c>
      <c r="E462" t="s">
        <v>62</v>
      </c>
      <c r="F462">
        <v>38622</v>
      </c>
      <c r="G462">
        <v>54169778.727272727</v>
      </c>
      <c r="H462">
        <v>0.83026065609671851</v>
      </c>
      <c r="I462">
        <v>0.9351557533375715</v>
      </c>
      <c r="J462">
        <v>9732512.7272727266</v>
      </c>
      <c r="K462">
        <v>71102</v>
      </c>
      <c r="L462">
        <v>2</v>
      </c>
      <c r="M462">
        <v>180</v>
      </c>
      <c r="N462">
        <v>0.93706293706293708</v>
      </c>
      <c r="O462">
        <v>9719884.0909090918</v>
      </c>
      <c r="P462">
        <v>71859</v>
      </c>
      <c r="Q462">
        <v>2</v>
      </c>
      <c r="R462">
        <v>181</v>
      </c>
      <c r="S462">
        <v>11.490919540229886</v>
      </c>
      <c r="T462">
        <v>0.93023255467414856</v>
      </c>
      <c r="W462">
        <f>Tabela6[[#This Row],[mlp_params]]</f>
        <v>71102</v>
      </c>
      <c r="X462">
        <f>Tabela6[[#This Row],[mlp_test_acc]]</f>
        <v>0.9351557533375715</v>
      </c>
      <c r="Y462">
        <f>Tabela6[[#This Row],[kan_val_acc_1]]</f>
        <v>0.93023255467414856</v>
      </c>
      <c r="Z462">
        <f>Tabela6[[#This Row],[no_steps]]</f>
        <v>11.490919540229886</v>
      </c>
    </row>
    <row r="463" spans="1:26" hidden="1" x14ac:dyDescent="0.25">
      <c r="A463" t="s">
        <v>18</v>
      </c>
      <c r="B463">
        <v>5</v>
      </c>
      <c r="C463">
        <v>5</v>
      </c>
      <c r="D463">
        <v>0</v>
      </c>
      <c r="E463" t="s">
        <v>54</v>
      </c>
      <c r="F463">
        <v>39094</v>
      </c>
      <c r="G463">
        <v>52047630.064516127</v>
      </c>
      <c r="H463">
        <v>0.8775095901181621</v>
      </c>
      <c r="I463">
        <v>0.91833972479133774</v>
      </c>
      <c r="J463">
        <v>10676079.612903226</v>
      </c>
      <c r="K463">
        <v>71859</v>
      </c>
      <c r="L463">
        <v>2</v>
      </c>
      <c r="M463">
        <v>181</v>
      </c>
      <c r="N463">
        <v>0.91991879088653283</v>
      </c>
      <c r="O463">
        <v>9628942.5483870972</v>
      </c>
      <c r="P463">
        <v>72620</v>
      </c>
      <c r="Q463">
        <v>2</v>
      </c>
      <c r="R463">
        <v>182</v>
      </c>
      <c r="S463">
        <v>11.489978238460658</v>
      </c>
      <c r="T463">
        <v>0.93565891186396277</v>
      </c>
      <c r="W463">
        <f>Tabela6[[#This Row],[mlp_params]]</f>
        <v>71859</v>
      </c>
      <c r="X463">
        <f>Tabela6[[#This Row],[mlp_test_acc]]</f>
        <v>0.91833972479133774</v>
      </c>
      <c r="Y463">
        <f>Tabela6[[#This Row],[kan_val_acc_1]]</f>
        <v>0.93565891186396277</v>
      </c>
      <c r="Z463">
        <f>Tabela6[[#This Row],[no_steps]]</f>
        <v>11.489978238460658</v>
      </c>
    </row>
    <row r="464" spans="1:26" hidden="1" x14ac:dyDescent="0.25">
      <c r="A464" t="s">
        <v>18</v>
      </c>
      <c r="B464">
        <v>5</v>
      </c>
      <c r="C464">
        <v>5</v>
      </c>
      <c r="D464">
        <v>0</v>
      </c>
      <c r="E464" t="s">
        <v>63</v>
      </c>
      <c r="F464">
        <v>39560</v>
      </c>
      <c r="G464">
        <v>54969626.18181818</v>
      </c>
      <c r="H464">
        <v>0.9376986676996405</v>
      </c>
      <c r="I464">
        <v>0.93452002542911639</v>
      </c>
      <c r="J464">
        <v>9725186.2727272734</v>
      </c>
      <c r="K464">
        <v>72620</v>
      </c>
      <c r="L464">
        <v>2</v>
      </c>
      <c r="M464">
        <v>182</v>
      </c>
      <c r="N464">
        <v>0.93197711379529569</v>
      </c>
      <c r="O464">
        <v>11412121.090909092</v>
      </c>
      <c r="P464">
        <v>73385</v>
      </c>
      <c r="Q464">
        <v>2</v>
      </c>
      <c r="R464">
        <v>183</v>
      </c>
      <c r="S464">
        <v>11.489476092427362</v>
      </c>
      <c r="T464">
        <v>0.93720929026603694</v>
      </c>
      <c r="W464">
        <f>Tabela6[[#This Row],[mlp_params]]</f>
        <v>72620</v>
      </c>
      <c r="X464">
        <f>Tabela6[[#This Row],[mlp_test_acc]]</f>
        <v>0.93452002542911639</v>
      </c>
      <c r="Y464">
        <f>Tabela6[[#This Row],[kan_val_acc_1]]</f>
        <v>0.93720929026603694</v>
      </c>
      <c r="Z464">
        <f>Tabela6[[#This Row],[no_steps]]</f>
        <v>11.489476092427362</v>
      </c>
    </row>
    <row r="465" spans="1:26" hidden="1" x14ac:dyDescent="0.25">
      <c r="A465" t="s">
        <v>18</v>
      </c>
      <c r="B465">
        <v>5</v>
      </c>
      <c r="C465">
        <v>5</v>
      </c>
      <c r="D465">
        <v>0</v>
      </c>
      <c r="E465" t="s">
        <v>71</v>
      </c>
      <c r="F465">
        <v>39818</v>
      </c>
      <c r="G465">
        <v>46384522.909090906</v>
      </c>
      <c r="H465">
        <v>0.85123967582529236</v>
      </c>
      <c r="I465">
        <v>0.9351557533375715</v>
      </c>
      <c r="J465">
        <v>10471802.818181818</v>
      </c>
      <c r="K465">
        <v>73385</v>
      </c>
      <c r="L465">
        <v>2</v>
      </c>
      <c r="M465">
        <v>183</v>
      </c>
      <c r="N465">
        <v>0.9351557533375715</v>
      </c>
      <c r="O465">
        <v>11442843.181818182</v>
      </c>
      <c r="P465">
        <v>74154</v>
      </c>
      <c r="Q465">
        <v>2</v>
      </c>
      <c r="R465">
        <v>184</v>
      </c>
      <c r="S465">
        <v>11.486804524163144</v>
      </c>
      <c r="T465">
        <v>0.9406976640224457</v>
      </c>
      <c r="W465">
        <f>Tabela6[[#This Row],[mlp_params]]</f>
        <v>73385</v>
      </c>
      <c r="X465">
        <f>Tabela6[[#This Row],[mlp_test_acc]]</f>
        <v>0.9351557533375715</v>
      </c>
      <c r="Y465">
        <f>Tabela6[[#This Row],[kan_val_acc_1]]</f>
        <v>0.9406976640224457</v>
      </c>
      <c r="Z465">
        <f>Tabela6[[#This Row],[no_steps]]</f>
        <v>11.486804524163144</v>
      </c>
    </row>
    <row r="466" spans="1:26" hidden="1" x14ac:dyDescent="0.25">
      <c r="A466" t="s">
        <v>18</v>
      </c>
      <c r="B466">
        <v>5</v>
      </c>
      <c r="C466">
        <v>5</v>
      </c>
      <c r="D466">
        <v>0</v>
      </c>
      <c r="E466" t="s">
        <v>64</v>
      </c>
      <c r="F466">
        <v>40498</v>
      </c>
      <c r="G466">
        <v>51716095.619047619</v>
      </c>
      <c r="H466">
        <v>0.87745588450204759</v>
      </c>
      <c r="I466">
        <v>0.91242091242091239</v>
      </c>
      <c r="J466">
        <v>10209359.285714285</v>
      </c>
      <c r="K466">
        <v>74154</v>
      </c>
      <c r="L466">
        <v>2</v>
      </c>
      <c r="M466">
        <v>184</v>
      </c>
      <c r="N466">
        <v>0.91042291042291035</v>
      </c>
      <c r="O466">
        <v>11239929.095238095</v>
      </c>
      <c r="P466">
        <v>74927</v>
      </c>
      <c r="Q466">
        <v>2</v>
      </c>
      <c r="R466">
        <v>185</v>
      </c>
      <c r="S466">
        <v>11.48415773877365</v>
      </c>
      <c r="T466">
        <v>0.93604650795459743</v>
      </c>
      <c r="W466">
        <f>Tabela6[[#This Row],[mlp_params]]</f>
        <v>74154</v>
      </c>
      <c r="X466">
        <f>Tabela6[[#This Row],[mlp_test_acc]]</f>
        <v>0.91242091242091239</v>
      </c>
      <c r="Y466">
        <f>Tabela6[[#This Row],[kan_val_acc_1]]</f>
        <v>0.93604650795459743</v>
      </c>
      <c r="Z466">
        <f>Tabela6[[#This Row],[no_steps]]</f>
        <v>11.48415773877365</v>
      </c>
    </row>
    <row r="467" spans="1:26" hidden="1" x14ac:dyDescent="0.25">
      <c r="A467" t="s">
        <v>18</v>
      </c>
      <c r="B467">
        <v>5</v>
      </c>
      <c r="C467">
        <v>5</v>
      </c>
      <c r="D467">
        <v>0</v>
      </c>
      <c r="E467" t="s">
        <v>72</v>
      </c>
      <c r="F467">
        <v>40808</v>
      </c>
      <c r="G467">
        <v>58071067.909090906</v>
      </c>
      <c r="H467">
        <v>0.88175462050871412</v>
      </c>
      <c r="I467">
        <v>0.93070565797838523</v>
      </c>
      <c r="J467">
        <v>8841434.8181818184</v>
      </c>
      <c r="K467">
        <v>74927</v>
      </c>
      <c r="L467">
        <v>2</v>
      </c>
      <c r="M467">
        <v>185</v>
      </c>
      <c r="N467">
        <v>0.93134138588684046</v>
      </c>
      <c r="O467">
        <v>11163964.181818182</v>
      </c>
      <c r="P467">
        <v>75704</v>
      </c>
      <c r="Q467">
        <v>2</v>
      </c>
      <c r="R467">
        <v>186</v>
      </c>
      <c r="S467">
        <v>11.484689812179852</v>
      </c>
      <c r="T467">
        <v>0.92674419283866882</v>
      </c>
      <c r="W467">
        <f>Tabela6[[#This Row],[mlp_params]]</f>
        <v>74927</v>
      </c>
      <c r="X467">
        <f>Tabela6[[#This Row],[mlp_test_acc]]</f>
        <v>0.93070565797838523</v>
      </c>
      <c r="Y467">
        <f>Tabela6[[#This Row],[kan_val_acc_1]]</f>
        <v>0.92674419283866882</v>
      </c>
      <c r="Z467">
        <f>Tabela6[[#This Row],[no_steps]]</f>
        <v>11.484689812179852</v>
      </c>
    </row>
    <row r="468" spans="1:26" hidden="1" x14ac:dyDescent="0.25">
      <c r="A468" t="s">
        <v>18</v>
      </c>
      <c r="B468">
        <v>5</v>
      </c>
      <c r="C468">
        <v>5</v>
      </c>
      <c r="D468">
        <v>0</v>
      </c>
      <c r="E468" t="s">
        <v>65</v>
      </c>
      <c r="F468">
        <v>41436</v>
      </c>
      <c r="G468">
        <v>54572605.380952381</v>
      </c>
      <c r="H468">
        <v>0.89643688996632898</v>
      </c>
      <c r="I468">
        <v>0.91075591075591067</v>
      </c>
      <c r="J468">
        <v>11257258.761904761</v>
      </c>
      <c r="K468">
        <v>75704</v>
      </c>
      <c r="L468">
        <v>2</v>
      </c>
      <c r="M468">
        <v>186</v>
      </c>
      <c r="N468">
        <v>0.91075591075591078</v>
      </c>
      <c r="O468">
        <v>11246264.571428571</v>
      </c>
      <c r="P468">
        <v>76485</v>
      </c>
      <c r="Q468">
        <v>2</v>
      </c>
      <c r="R468">
        <v>187</v>
      </c>
      <c r="S468">
        <v>11.483306836248012</v>
      </c>
      <c r="T468">
        <v>0.94709301888942721</v>
      </c>
      <c r="W468">
        <f>Tabela6[[#This Row],[mlp_params]]</f>
        <v>75704</v>
      </c>
      <c r="X468">
        <f>Tabela6[[#This Row],[mlp_test_acc]]</f>
        <v>0.91075591075591067</v>
      </c>
      <c r="Y468">
        <f>Tabela6[[#This Row],[kan_val_acc_1]]</f>
        <v>0.94709301888942721</v>
      </c>
      <c r="Z468">
        <f>Tabela6[[#This Row],[no_steps]]</f>
        <v>11.483306836248012</v>
      </c>
    </row>
    <row r="469" spans="1:26" hidden="1" x14ac:dyDescent="0.25">
      <c r="A469" t="s">
        <v>18</v>
      </c>
      <c r="B469">
        <v>5</v>
      </c>
      <c r="C469">
        <v>5</v>
      </c>
      <c r="D469">
        <v>0</v>
      </c>
      <c r="E469" t="s">
        <v>73</v>
      </c>
      <c r="F469">
        <v>41798</v>
      </c>
      <c r="G469">
        <v>61357984.272727273</v>
      </c>
      <c r="H469">
        <v>0.90336935086683789</v>
      </c>
      <c r="I469">
        <v>0.93134138588684046</v>
      </c>
      <c r="J469">
        <v>10020263.727272727</v>
      </c>
      <c r="K469">
        <v>76485</v>
      </c>
      <c r="L469">
        <v>2</v>
      </c>
      <c r="M469">
        <v>187</v>
      </c>
      <c r="N469">
        <v>0.93452002542911639</v>
      </c>
      <c r="O469">
        <v>11413999.090909092</v>
      </c>
      <c r="P469">
        <v>77270</v>
      </c>
      <c r="Q469">
        <v>2</v>
      </c>
      <c r="R469">
        <v>188</v>
      </c>
      <c r="S469">
        <v>11.483384371101282</v>
      </c>
      <c r="T469">
        <v>0.92674419283866882</v>
      </c>
      <c r="W469">
        <f>Tabela6[[#This Row],[mlp_params]]</f>
        <v>76485</v>
      </c>
      <c r="X469">
        <f>Tabela6[[#This Row],[mlp_test_acc]]</f>
        <v>0.93134138588684046</v>
      </c>
      <c r="Y469">
        <f>Tabela6[[#This Row],[kan_val_acc_1]]</f>
        <v>0.92674419283866882</v>
      </c>
      <c r="Z469">
        <f>Tabela6[[#This Row],[no_steps]]</f>
        <v>11.483384371101282</v>
      </c>
    </row>
    <row r="470" spans="1:26" hidden="1" x14ac:dyDescent="0.25">
      <c r="A470" t="s">
        <v>18</v>
      </c>
      <c r="B470">
        <v>5</v>
      </c>
      <c r="C470">
        <v>5</v>
      </c>
      <c r="D470">
        <v>0</v>
      </c>
      <c r="E470" t="s">
        <v>88</v>
      </c>
      <c r="F470">
        <v>41952</v>
      </c>
      <c r="G470">
        <v>60771097.272727273</v>
      </c>
      <c r="H470">
        <v>0.91989827156066895</v>
      </c>
      <c r="I470">
        <v>0.91290527654164011</v>
      </c>
      <c r="J470">
        <v>12571799.363636363</v>
      </c>
      <c r="K470">
        <v>77270</v>
      </c>
      <c r="L470">
        <v>2</v>
      </c>
      <c r="M470">
        <v>188</v>
      </c>
      <c r="N470">
        <v>0.91354100445009534</v>
      </c>
      <c r="O470">
        <v>12045458.272727273</v>
      </c>
      <c r="P470">
        <v>78059</v>
      </c>
      <c r="Q470">
        <v>2</v>
      </c>
      <c r="R470">
        <v>189</v>
      </c>
      <c r="S470">
        <v>11.483688264612596</v>
      </c>
      <c r="T470">
        <v>0.95348836183547969</v>
      </c>
      <c r="W470">
        <f>Tabela6[[#This Row],[mlp_params]]</f>
        <v>77270</v>
      </c>
      <c r="X470">
        <f>Tabela6[[#This Row],[mlp_test_acc]]</f>
        <v>0.91290527654164011</v>
      </c>
      <c r="Y470">
        <f>Tabela6[[#This Row],[kan_val_acc_1]]</f>
        <v>0.95348836183547969</v>
      </c>
      <c r="Z470">
        <f>Tabela6[[#This Row],[no_steps]]</f>
        <v>11.483688264612596</v>
      </c>
    </row>
    <row r="471" spans="1:26" hidden="1" x14ac:dyDescent="0.25">
      <c r="A471" t="s">
        <v>18</v>
      </c>
      <c r="B471">
        <v>5</v>
      </c>
      <c r="C471">
        <v>5</v>
      </c>
      <c r="D471">
        <v>0</v>
      </c>
      <c r="E471" t="s">
        <v>74</v>
      </c>
      <c r="F471">
        <v>42788</v>
      </c>
      <c r="G471">
        <v>63174417.18181818</v>
      </c>
      <c r="H471">
        <v>0.90464082089337439</v>
      </c>
      <c r="I471">
        <v>0.91163382072472976</v>
      </c>
      <c r="J471">
        <v>12227922.636363637</v>
      </c>
      <c r="K471">
        <v>78852</v>
      </c>
      <c r="L471">
        <v>2</v>
      </c>
      <c r="M471">
        <v>190</v>
      </c>
      <c r="N471">
        <v>0.91226954863318499</v>
      </c>
      <c r="O471">
        <v>12956708.818181818</v>
      </c>
      <c r="P471">
        <v>79649</v>
      </c>
      <c r="Q471">
        <v>2</v>
      </c>
      <c r="R471">
        <v>191</v>
      </c>
      <c r="S471">
        <v>11.484896481502432</v>
      </c>
      <c r="T471">
        <v>0.9441860437393188</v>
      </c>
      <c r="W471">
        <f>Tabela6[[#This Row],[mlp_params]]</f>
        <v>78852</v>
      </c>
      <c r="X471">
        <f>Tabela6[[#This Row],[mlp_test_acc]]</f>
        <v>0.91163382072472976</v>
      </c>
      <c r="Y471">
        <f>Tabela6[[#This Row],[kan_val_acc_1]]</f>
        <v>0.9441860437393188</v>
      </c>
      <c r="Z471">
        <f>Tabela6[[#This Row],[no_steps]]</f>
        <v>11.484896481502432</v>
      </c>
    </row>
    <row r="472" spans="1:26" hidden="1" x14ac:dyDescent="0.25">
      <c r="A472" t="s">
        <v>18</v>
      </c>
      <c r="B472">
        <v>5</v>
      </c>
      <c r="C472">
        <v>5</v>
      </c>
      <c r="D472">
        <v>0</v>
      </c>
      <c r="E472" t="s">
        <v>75</v>
      </c>
      <c r="F472">
        <v>43778</v>
      </c>
      <c r="G472">
        <v>57066713.761904761</v>
      </c>
      <c r="H472">
        <v>0.88278388125555851</v>
      </c>
      <c r="I472">
        <v>0.91008991008991003</v>
      </c>
      <c r="J472">
        <v>13043275.904761905</v>
      </c>
      <c r="K472">
        <v>80450</v>
      </c>
      <c r="L472">
        <v>2</v>
      </c>
      <c r="M472">
        <v>192</v>
      </c>
      <c r="N472">
        <v>0.914085914085914</v>
      </c>
      <c r="O472">
        <v>12663919.380952381</v>
      </c>
      <c r="P472">
        <v>81255</v>
      </c>
      <c r="Q472">
        <v>2</v>
      </c>
      <c r="R472">
        <v>193</v>
      </c>
      <c r="S472">
        <v>11.483069977426636</v>
      </c>
      <c r="T472">
        <v>0.95465115010738377</v>
      </c>
      <c r="W472">
        <f>Tabela6[[#This Row],[mlp_params]]</f>
        <v>80450</v>
      </c>
      <c r="X472">
        <f>Tabela6[[#This Row],[mlp_test_acc]]</f>
        <v>0.91008991008991003</v>
      </c>
      <c r="Y472">
        <f>Tabela6[[#This Row],[kan_val_acc_1]]</f>
        <v>0.95465115010738377</v>
      </c>
      <c r="Z472">
        <f>Tabela6[[#This Row],[no_steps]]</f>
        <v>11.483069977426636</v>
      </c>
    </row>
    <row r="473" spans="1:26" hidden="1" x14ac:dyDescent="0.25">
      <c r="A473" t="s">
        <v>18</v>
      </c>
      <c r="B473">
        <v>5</v>
      </c>
      <c r="C473">
        <v>5</v>
      </c>
      <c r="D473">
        <v>0</v>
      </c>
      <c r="E473" t="s">
        <v>91</v>
      </c>
      <c r="F473">
        <v>45078</v>
      </c>
      <c r="G473">
        <v>70601748.571428567</v>
      </c>
      <c r="H473">
        <v>0.89810190030506676</v>
      </c>
      <c r="I473">
        <v>0.91375291375291379</v>
      </c>
      <c r="J473">
        <v>12934483.333333334</v>
      </c>
      <c r="K473">
        <v>82877</v>
      </c>
      <c r="L473">
        <v>2</v>
      </c>
      <c r="M473">
        <v>195</v>
      </c>
      <c r="N473">
        <v>0.91208791208791207</v>
      </c>
      <c r="O473">
        <v>12772931.904761905</v>
      </c>
      <c r="P473">
        <v>83694</v>
      </c>
      <c r="Q473">
        <v>2</v>
      </c>
      <c r="R473">
        <v>196</v>
      </c>
      <c r="S473">
        <v>11.486882107870736</v>
      </c>
      <c r="T473">
        <v>0.94127906262874605</v>
      </c>
      <c r="W473">
        <f>Tabela6[[#This Row],[mlp_params]]</f>
        <v>82877</v>
      </c>
      <c r="X473">
        <f>Tabela6[[#This Row],[mlp_test_acc]]</f>
        <v>0.91375291375291379</v>
      </c>
      <c r="Y473">
        <f>Tabela6[[#This Row],[kan_val_acc_1]]</f>
        <v>0.94127906262874605</v>
      </c>
      <c r="Z473">
        <f>Tabela6[[#This Row],[no_steps]]</f>
        <v>11.486882107870736</v>
      </c>
    </row>
    <row r="474" spans="1:26" hidden="1" x14ac:dyDescent="0.25">
      <c r="A474" t="s">
        <v>18</v>
      </c>
      <c r="B474">
        <v>5</v>
      </c>
      <c r="C474">
        <v>5</v>
      </c>
      <c r="D474">
        <v>0</v>
      </c>
      <c r="E474" t="s">
        <v>92</v>
      </c>
      <c r="F474">
        <v>46120</v>
      </c>
      <c r="G474">
        <v>75336356</v>
      </c>
      <c r="H474">
        <v>0.86141131140969018</v>
      </c>
      <c r="I474">
        <v>0.91417673235855057</v>
      </c>
      <c r="J474">
        <v>13700872.545454545</v>
      </c>
      <c r="K474">
        <v>84515</v>
      </c>
      <c r="L474">
        <v>2</v>
      </c>
      <c r="M474">
        <v>197</v>
      </c>
      <c r="N474">
        <v>0.91290527654164011</v>
      </c>
      <c r="O474">
        <v>14448774.727272727</v>
      </c>
      <c r="P474">
        <v>85340</v>
      </c>
      <c r="Q474">
        <v>2</v>
      </c>
      <c r="R474">
        <v>198</v>
      </c>
      <c r="S474">
        <v>11.488753936122357</v>
      </c>
      <c r="T474">
        <v>0.94767441153526311</v>
      </c>
      <c r="W474">
        <f>Tabela6[[#This Row],[mlp_params]]</f>
        <v>84515</v>
      </c>
      <c r="X474">
        <f>Tabela6[[#This Row],[mlp_test_acc]]</f>
        <v>0.91417673235855057</v>
      </c>
      <c r="Y474">
        <f>Tabela6[[#This Row],[kan_val_acc_1]]</f>
        <v>0.94767441153526311</v>
      </c>
      <c r="Z474">
        <f>Tabela6[[#This Row],[no_steps]]</f>
        <v>11.488753936122357</v>
      </c>
    </row>
    <row r="475" spans="1:26" hidden="1" x14ac:dyDescent="0.25">
      <c r="A475" t="s">
        <v>18</v>
      </c>
      <c r="B475">
        <v>9</v>
      </c>
      <c r="C475">
        <v>2</v>
      </c>
      <c r="D475">
        <v>0</v>
      </c>
      <c r="E475" t="s">
        <v>93</v>
      </c>
      <c r="F475">
        <v>17962</v>
      </c>
      <c r="G475">
        <v>17206239.454545453</v>
      </c>
      <c r="H475">
        <v>0.94914176247336646</v>
      </c>
      <c r="I475">
        <v>0.94151303242212336</v>
      </c>
      <c r="J475">
        <v>8495323.7272727266</v>
      </c>
      <c r="K475">
        <v>23939</v>
      </c>
      <c r="L475">
        <v>2</v>
      </c>
      <c r="M475">
        <v>101</v>
      </c>
      <c r="N475">
        <v>0.94087730451366813</v>
      </c>
      <c r="O475">
        <v>8580176.0909090918</v>
      </c>
      <c r="P475">
        <v>24380</v>
      </c>
      <c r="Q475">
        <v>2</v>
      </c>
      <c r="R475">
        <v>102</v>
      </c>
      <c r="S475">
        <v>11.476557267247154</v>
      </c>
      <c r="T475">
        <v>0.95581393837928774</v>
      </c>
      <c r="W475">
        <f>Tabela6[[#This Row],[mlp_params]]</f>
        <v>23939</v>
      </c>
      <c r="X475">
        <f>Tabela6[[#This Row],[mlp_test_acc]]</f>
        <v>0.94151303242212336</v>
      </c>
      <c r="Y475">
        <f>Tabela6[[#This Row],[kan_val_acc_1]]</f>
        <v>0.95581393837928774</v>
      </c>
      <c r="Z475">
        <f>Tabela6[[#This Row],[no_steps]]</f>
        <v>11.476557267247154</v>
      </c>
    </row>
    <row r="476" spans="1:26" hidden="1" x14ac:dyDescent="0.25">
      <c r="A476" t="s">
        <v>18</v>
      </c>
      <c r="B476">
        <v>9</v>
      </c>
      <c r="C476">
        <v>2</v>
      </c>
      <c r="D476">
        <v>0</v>
      </c>
      <c r="E476" t="s">
        <v>94</v>
      </c>
      <c r="F476">
        <v>18860</v>
      </c>
      <c r="G476">
        <v>16525804.454545455</v>
      </c>
      <c r="H476">
        <v>0.9281627427447926</v>
      </c>
      <c r="I476">
        <v>0.90781945327399871</v>
      </c>
      <c r="J476">
        <v>8335114.6363636367</v>
      </c>
      <c r="K476">
        <v>25274</v>
      </c>
      <c r="L476">
        <v>2</v>
      </c>
      <c r="M476">
        <v>104</v>
      </c>
      <c r="N476">
        <v>0.90654799745708836</v>
      </c>
      <c r="O476">
        <v>7843667</v>
      </c>
      <c r="P476">
        <v>25727</v>
      </c>
      <c r="Q476">
        <v>2</v>
      </c>
      <c r="R476">
        <v>105</v>
      </c>
      <c r="S476">
        <v>11.475526814583565</v>
      </c>
      <c r="T476">
        <v>0.97093021869659424</v>
      </c>
      <c r="W476">
        <f>Tabela6[[#This Row],[mlp_params]]</f>
        <v>25274</v>
      </c>
      <c r="X476">
        <f>Tabela6[[#This Row],[mlp_test_acc]]</f>
        <v>0.90781945327399871</v>
      </c>
      <c r="Y476">
        <f>Tabela6[[#This Row],[kan_val_acc_1]]</f>
        <v>0.97093021869659424</v>
      </c>
      <c r="Z476">
        <f>Tabela6[[#This Row],[no_steps]]</f>
        <v>11.475526814583565</v>
      </c>
    </row>
    <row r="477" spans="1:26" hidden="1" x14ac:dyDescent="0.25">
      <c r="A477" t="s">
        <v>18</v>
      </c>
      <c r="B477">
        <v>9</v>
      </c>
      <c r="C477">
        <v>2</v>
      </c>
      <c r="D477">
        <v>0</v>
      </c>
      <c r="E477" t="s">
        <v>95</v>
      </c>
      <c r="F477">
        <v>19758</v>
      </c>
      <c r="G477">
        <v>15519803.545454545</v>
      </c>
      <c r="H477">
        <v>0.93134137717160315</v>
      </c>
      <c r="I477">
        <v>0.90591226954863313</v>
      </c>
      <c r="J477">
        <v>6126893.6363636367</v>
      </c>
      <c r="K477">
        <v>26645</v>
      </c>
      <c r="L477">
        <v>2</v>
      </c>
      <c r="M477">
        <v>107</v>
      </c>
      <c r="N477">
        <v>0.90909090909090906</v>
      </c>
      <c r="O477">
        <v>9930507.6363636367</v>
      </c>
      <c r="P477">
        <v>27110</v>
      </c>
      <c r="Q477">
        <v>2</v>
      </c>
      <c r="R477">
        <v>108</v>
      </c>
      <c r="S477">
        <v>11.472605790645879</v>
      </c>
      <c r="T477">
        <v>0.96511626243591309</v>
      </c>
      <c r="W477">
        <f>Tabela6[[#This Row],[mlp_params]]</f>
        <v>26645</v>
      </c>
      <c r="X477">
        <f>Tabela6[[#This Row],[mlp_test_acc]]</f>
        <v>0.90591226954863313</v>
      </c>
      <c r="Y477">
        <f>Tabela6[[#This Row],[kan_val_acc_1]]</f>
        <v>0.96511626243591309</v>
      </c>
      <c r="Z477">
        <f>Tabela6[[#This Row],[no_steps]]</f>
        <v>11.472605790645879</v>
      </c>
    </row>
    <row r="478" spans="1:26" hidden="1" x14ac:dyDescent="0.25">
      <c r="A478" t="s">
        <v>18</v>
      </c>
      <c r="B478">
        <v>9</v>
      </c>
      <c r="C478">
        <v>2</v>
      </c>
      <c r="D478">
        <v>0</v>
      </c>
      <c r="E478" t="s">
        <v>96</v>
      </c>
      <c r="F478">
        <v>20656</v>
      </c>
      <c r="G478">
        <v>19873136.454545453</v>
      </c>
      <c r="H478">
        <v>0.93579147620634595</v>
      </c>
      <c r="I478">
        <v>0.91226954863318499</v>
      </c>
      <c r="J478">
        <v>8301893.2727272725</v>
      </c>
      <c r="K478">
        <v>27579</v>
      </c>
      <c r="L478">
        <v>2</v>
      </c>
      <c r="M478">
        <v>109</v>
      </c>
      <c r="N478">
        <v>0.91481246026700569</v>
      </c>
      <c r="O478">
        <v>9235031.0909090918</v>
      </c>
      <c r="P478">
        <v>28052</v>
      </c>
      <c r="Q478">
        <v>2</v>
      </c>
      <c r="R478">
        <v>110</v>
      </c>
      <c r="S478">
        <v>11.473251028806585</v>
      </c>
      <c r="T478">
        <v>0.97209300994873049</v>
      </c>
      <c r="W478">
        <f>Tabela6[[#This Row],[mlp_params]]</f>
        <v>27579</v>
      </c>
      <c r="X478">
        <f>Tabela6[[#This Row],[mlp_test_acc]]</f>
        <v>0.91226954863318499</v>
      </c>
      <c r="Y478">
        <f>Tabela6[[#This Row],[kan_val_acc_1]]</f>
        <v>0.97209300994873049</v>
      </c>
      <c r="Z478">
        <f>Tabela6[[#This Row],[no_steps]]</f>
        <v>11.473251028806585</v>
      </c>
    </row>
    <row r="479" spans="1:26" hidden="1" x14ac:dyDescent="0.25">
      <c r="A479" t="s">
        <v>18</v>
      </c>
      <c r="B479">
        <v>9</v>
      </c>
      <c r="C479">
        <v>2</v>
      </c>
      <c r="D479">
        <v>0</v>
      </c>
      <c r="E479" t="s">
        <v>97</v>
      </c>
      <c r="F479">
        <v>21554</v>
      </c>
      <c r="G479">
        <v>23036506.545454547</v>
      </c>
      <c r="H479">
        <v>0.92943419651551684</v>
      </c>
      <c r="I479">
        <v>0.90909090909090906</v>
      </c>
      <c r="J479">
        <v>8961654.3636363633</v>
      </c>
      <c r="K479">
        <v>29010</v>
      </c>
      <c r="L479">
        <v>2</v>
      </c>
      <c r="M479">
        <v>112</v>
      </c>
      <c r="N479">
        <v>0.91417673235855057</v>
      </c>
      <c r="O479">
        <v>9213883</v>
      </c>
      <c r="P479">
        <v>29495</v>
      </c>
      <c r="Q479">
        <v>2</v>
      </c>
      <c r="R479">
        <v>113</v>
      </c>
      <c r="S479">
        <v>11.474561208620306</v>
      </c>
      <c r="T479">
        <v>0.94883719682693479</v>
      </c>
      <c r="W479">
        <f>Tabela6[[#This Row],[mlp_params]]</f>
        <v>29010</v>
      </c>
      <c r="X479">
        <f>Tabela6[[#This Row],[mlp_test_acc]]</f>
        <v>0.90909090909090906</v>
      </c>
      <c r="Y479">
        <f>Tabela6[[#This Row],[kan_val_acc_1]]</f>
        <v>0.94883719682693479</v>
      </c>
      <c r="Z479">
        <f>Tabela6[[#This Row],[no_steps]]</f>
        <v>11.474561208620306</v>
      </c>
    </row>
    <row r="480" spans="1:26" hidden="1" x14ac:dyDescent="0.25">
      <c r="A480" t="s">
        <v>18</v>
      </c>
      <c r="B480">
        <v>9</v>
      </c>
      <c r="C480">
        <v>2</v>
      </c>
      <c r="D480">
        <v>0</v>
      </c>
      <c r="E480" t="s">
        <v>98</v>
      </c>
      <c r="F480">
        <v>22452</v>
      </c>
      <c r="G480">
        <v>18601311.363636363</v>
      </c>
      <c r="H480">
        <v>0.93006992340087891</v>
      </c>
      <c r="I480">
        <v>0.90718372536554348</v>
      </c>
      <c r="J480">
        <v>8704267.1818181816</v>
      </c>
      <c r="K480">
        <v>29984</v>
      </c>
      <c r="L480">
        <v>2</v>
      </c>
      <c r="M480">
        <v>114</v>
      </c>
      <c r="N480">
        <v>0.91417673235855057</v>
      </c>
      <c r="O480">
        <v>8771752.0909090918</v>
      </c>
      <c r="P480">
        <v>30477</v>
      </c>
      <c r="Q480">
        <v>2</v>
      </c>
      <c r="R480">
        <v>115</v>
      </c>
      <c r="S480">
        <v>11.473649173416177</v>
      </c>
      <c r="T480">
        <v>0.95465114116668703</v>
      </c>
      <c r="W480">
        <f>Tabela6[[#This Row],[mlp_params]]</f>
        <v>29984</v>
      </c>
      <c r="X480">
        <f>Tabela6[[#This Row],[mlp_test_acc]]</f>
        <v>0.90718372536554348</v>
      </c>
      <c r="Y480">
        <f>Tabela6[[#This Row],[kan_val_acc_1]]</f>
        <v>0.95465114116668703</v>
      </c>
      <c r="Z480">
        <f>Tabela6[[#This Row],[no_steps]]</f>
        <v>11.473649173416177</v>
      </c>
    </row>
    <row r="481" spans="1:26" hidden="1" x14ac:dyDescent="0.25">
      <c r="A481" t="s">
        <v>18</v>
      </c>
      <c r="B481">
        <v>9</v>
      </c>
      <c r="C481">
        <v>2</v>
      </c>
      <c r="D481">
        <v>0</v>
      </c>
      <c r="E481" t="s">
        <v>99</v>
      </c>
      <c r="F481">
        <v>23350</v>
      </c>
      <c r="G481">
        <v>24412231</v>
      </c>
      <c r="H481">
        <v>0.93134137717160315</v>
      </c>
      <c r="I481">
        <v>0.91417673235855057</v>
      </c>
      <c r="J481">
        <v>8906296.6363636367</v>
      </c>
      <c r="K481">
        <v>31475</v>
      </c>
      <c r="L481">
        <v>2</v>
      </c>
      <c r="M481">
        <v>117</v>
      </c>
      <c r="N481">
        <v>0.91481246026700569</v>
      </c>
      <c r="O481">
        <v>9596940.9090909082</v>
      </c>
      <c r="P481">
        <v>31980</v>
      </c>
      <c r="Q481">
        <v>2</v>
      </c>
      <c r="R481">
        <v>118</v>
      </c>
      <c r="S481">
        <v>11.475620567375886</v>
      </c>
      <c r="T481">
        <v>0.95348834991455078</v>
      </c>
      <c r="W481">
        <f>Tabela6[[#This Row],[mlp_params]]</f>
        <v>31475</v>
      </c>
      <c r="X481">
        <f>Tabela6[[#This Row],[mlp_test_acc]]</f>
        <v>0.91417673235855057</v>
      </c>
      <c r="Y481">
        <f>Tabela6[[#This Row],[kan_val_acc_1]]</f>
        <v>0.95348834991455078</v>
      </c>
      <c r="Z481">
        <f>Tabela6[[#This Row],[no_steps]]</f>
        <v>11.475620567375886</v>
      </c>
    </row>
    <row r="482" spans="1:26" hidden="1" x14ac:dyDescent="0.25">
      <c r="A482" t="s">
        <v>18</v>
      </c>
      <c r="B482">
        <v>9</v>
      </c>
      <c r="C482">
        <v>2</v>
      </c>
      <c r="D482">
        <v>0</v>
      </c>
      <c r="E482" t="s">
        <v>100</v>
      </c>
      <c r="F482">
        <v>24248</v>
      </c>
      <c r="G482">
        <v>15762770.454545455</v>
      </c>
      <c r="H482">
        <v>0.9262555620887063</v>
      </c>
      <c r="I482">
        <v>0.90845518118245383</v>
      </c>
      <c r="J482">
        <v>8877931.8181818184</v>
      </c>
      <c r="K482">
        <v>32489</v>
      </c>
      <c r="L482">
        <v>2</v>
      </c>
      <c r="M482">
        <v>119</v>
      </c>
      <c r="N482">
        <v>0.91671964399237127</v>
      </c>
      <c r="O482">
        <v>9108402.5454545449</v>
      </c>
      <c r="P482">
        <v>33002</v>
      </c>
      <c r="Q482">
        <v>2</v>
      </c>
      <c r="R482">
        <v>120</v>
      </c>
      <c r="S482">
        <v>11.471499723298285</v>
      </c>
      <c r="T482">
        <v>0.96511626243591309</v>
      </c>
      <c r="W482">
        <f>Tabela6[[#This Row],[mlp_params]]</f>
        <v>32489</v>
      </c>
      <c r="X482">
        <f>Tabela6[[#This Row],[mlp_test_acc]]</f>
        <v>0.90845518118245383</v>
      </c>
      <c r="Y482">
        <f>Tabela6[[#This Row],[kan_val_acc_1]]</f>
        <v>0.96511626243591309</v>
      </c>
      <c r="Z482">
        <f>Tabela6[[#This Row],[no_steps]]</f>
        <v>11.471499723298285</v>
      </c>
    </row>
    <row r="483" spans="1:26" hidden="1" x14ac:dyDescent="0.25">
      <c r="A483" t="s">
        <v>18</v>
      </c>
      <c r="B483">
        <v>9</v>
      </c>
      <c r="C483">
        <v>2</v>
      </c>
      <c r="D483">
        <v>0</v>
      </c>
      <c r="E483" t="s">
        <v>101</v>
      </c>
      <c r="F483">
        <v>25146</v>
      </c>
      <c r="G483">
        <v>19263077.181818184</v>
      </c>
      <c r="H483">
        <v>0.93134137717160315</v>
      </c>
      <c r="I483">
        <v>0.91608391608391604</v>
      </c>
      <c r="J483">
        <v>8386600.6363636367</v>
      </c>
      <c r="K483">
        <v>34040</v>
      </c>
      <c r="L483">
        <v>2</v>
      </c>
      <c r="M483">
        <v>122</v>
      </c>
      <c r="N483">
        <v>0.91163382072472976</v>
      </c>
      <c r="O483">
        <v>8818819.6363636367</v>
      </c>
      <c r="P483">
        <v>34565</v>
      </c>
      <c r="Q483">
        <v>2</v>
      </c>
      <c r="R483">
        <v>123</v>
      </c>
      <c r="S483">
        <v>11.469157638735352</v>
      </c>
      <c r="T483">
        <v>0.97674417495727539</v>
      </c>
      <c r="W483">
        <f>Tabela6[[#This Row],[mlp_params]]</f>
        <v>34040</v>
      </c>
      <c r="X483">
        <f>Tabela6[[#This Row],[mlp_test_acc]]</f>
        <v>0.91608391608391604</v>
      </c>
      <c r="Y483">
        <f>Tabela6[[#This Row],[kan_val_acc_1]]</f>
        <v>0.97674417495727539</v>
      </c>
      <c r="Z483">
        <f>Tabela6[[#This Row],[no_steps]]</f>
        <v>11.469157638735352</v>
      </c>
    </row>
    <row r="484" spans="1:26" hidden="1" x14ac:dyDescent="0.25">
      <c r="A484" t="s">
        <v>18</v>
      </c>
      <c r="B484">
        <v>9</v>
      </c>
      <c r="C484">
        <v>2</v>
      </c>
      <c r="D484">
        <v>0</v>
      </c>
      <c r="E484" t="s">
        <v>102</v>
      </c>
      <c r="F484">
        <v>26044</v>
      </c>
      <c r="G484">
        <v>25115492.727272727</v>
      </c>
      <c r="H484">
        <v>0.92371265454725782</v>
      </c>
      <c r="I484">
        <v>0.91735537190082639</v>
      </c>
      <c r="J484">
        <v>9985199.4545454551</v>
      </c>
      <c r="K484">
        <v>35094</v>
      </c>
      <c r="L484">
        <v>2</v>
      </c>
      <c r="M484">
        <v>124</v>
      </c>
      <c r="N484">
        <v>0.90527654164017801</v>
      </c>
      <c r="O484">
        <v>7022496.5454545459</v>
      </c>
      <c r="P484">
        <v>35627</v>
      </c>
      <c r="Q484">
        <v>2</v>
      </c>
      <c r="R484">
        <v>125</v>
      </c>
      <c r="S484">
        <v>11.470133598321739</v>
      </c>
      <c r="T484">
        <v>0.93139534592628481</v>
      </c>
      <c r="W484">
        <f>Tabela6[[#This Row],[mlp_params]]</f>
        <v>35094</v>
      </c>
      <c r="X484">
        <f>Tabela6[[#This Row],[mlp_test_acc]]</f>
        <v>0.91735537190082639</v>
      </c>
      <c r="Y484">
        <f>Tabela6[[#This Row],[kan_val_acc_1]]</f>
        <v>0.93139534592628481</v>
      </c>
      <c r="Z484">
        <f>Tabela6[[#This Row],[no_steps]]</f>
        <v>11.470133598321739</v>
      </c>
    </row>
    <row r="485" spans="1:26" hidden="1" x14ac:dyDescent="0.25">
      <c r="A485" t="s">
        <v>18</v>
      </c>
      <c r="B485">
        <v>9</v>
      </c>
      <c r="C485">
        <v>2</v>
      </c>
      <c r="D485">
        <v>0</v>
      </c>
      <c r="E485" t="s">
        <v>103</v>
      </c>
      <c r="F485">
        <v>26942</v>
      </c>
      <c r="G485">
        <v>27645950.476190478</v>
      </c>
      <c r="H485">
        <v>0.91641692036674138</v>
      </c>
      <c r="I485">
        <v>0.91341991341991335</v>
      </c>
      <c r="J485">
        <v>9010586.0952380951</v>
      </c>
      <c r="K485">
        <v>36164</v>
      </c>
      <c r="L485">
        <v>2</v>
      </c>
      <c r="M485">
        <v>126</v>
      </c>
      <c r="N485">
        <v>0.91475191475191475</v>
      </c>
      <c r="O485">
        <v>8223925.5238095243</v>
      </c>
      <c r="P485">
        <v>36705</v>
      </c>
      <c r="Q485">
        <v>2</v>
      </c>
      <c r="R485">
        <v>127</v>
      </c>
      <c r="S485">
        <v>11.472571050892267</v>
      </c>
      <c r="T485">
        <v>0.93197674155235288</v>
      </c>
      <c r="W485">
        <f>Tabela6[[#This Row],[mlp_params]]</f>
        <v>36164</v>
      </c>
      <c r="X485">
        <f>Tabela6[[#This Row],[mlp_test_acc]]</f>
        <v>0.91341991341991335</v>
      </c>
      <c r="Y485">
        <f>Tabela6[[#This Row],[kan_val_acc_1]]</f>
        <v>0.93197674155235288</v>
      </c>
      <c r="Z485">
        <f>Tabela6[[#This Row],[no_steps]]</f>
        <v>11.472571050892267</v>
      </c>
    </row>
    <row r="486" spans="1:26" hidden="1" x14ac:dyDescent="0.25">
      <c r="A486" t="s">
        <v>18</v>
      </c>
      <c r="B486">
        <v>9</v>
      </c>
      <c r="C486">
        <v>2</v>
      </c>
      <c r="D486">
        <v>0</v>
      </c>
      <c r="E486" t="s">
        <v>104</v>
      </c>
      <c r="F486">
        <v>27840</v>
      </c>
      <c r="G486">
        <v>26314049.095238097</v>
      </c>
      <c r="H486">
        <v>0.92607391448248</v>
      </c>
      <c r="I486">
        <v>0.91308691308691303</v>
      </c>
      <c r="J486">
        <v>8634714.7619047612</v>
      </c>
      <c r="K486">
        <v>37250</v>
      </c>
      <c r="L486">
        <v>2</v>
      </c>
      <c r="M486">
        <v>128</v>
      </c>
      <c r="N486">
        <v>0.91208791208791207</v>
      </c>
      <c r="O486">
        <v>8729114.8095238097</v>
      </c>
      <c r="P486">
        <v>37799</v>
      </c>
      <c r="Q486">
        <v>2</v>
      </c>
      <c r="R486">
        <v>129</v>
      </c>
      <c r="S486">
        <v>11.47301901307836</v>
      </c>
      <c r="T486">
        <v>0.93779069781303404</v>
      </c>
      <c r="W486">
        <f>Tabela6[[#This Row],[mlp_params]]</f>
        <v>37250</v>
      </c>
      <c r="X486">
        <f>Tabela6[[#This Row],[mlp_test_acc]]</f>
        <v>0.91308691308691303</v>
      </c>
      <c r="Y486">
        <f>Tabela6[[#This Row],[kan_val_acc_1]]</f>
        <v>0.93779069781303404</v>
      </c>
      <c r="Z486">
        <f>Tabela6[[#This Row],[no_steps]]</f>
        <v>11.47301901307836</v>
      </c>
    </row>
    <row r="487" spans="1:26" hidden="1" x14ac:dyDescent="0.25">
      <c r="A487" t="s">
        <v>18</v>
      </c>
      <c r="B487">
        <v>9</v>
      </c>
      <c r="C487">
        <v>2</v>
      </c>
      <c r="D487">
        <v>0</v>
      </c>
      <c r="E487" t="s">
        <v>25</v>
      </c>
      <c r="F487">
        <v>27898</v>
      </c>
      <c r="G487">
        <v>23635586.666666668</v>
      </c>
      <c r="H487">
        <v>0.92907092117127921</v>
      </c>
      <c r="I487">
        <v>0.91042291042291035</v>
      </c>
      <c r="J487">
        <v>9041732.0952380951</v>
      </c>
      <c r="K487">
        <v>37799</v>
      </c>
      <c r="L487">
        <v>2</v>
      </c>
      <c r="M487">
        <v>129</v>
      </c>
      <c r="N487">
        <v>0.91475191475191475</v>
      </c>
      <c r="O487">
        <v>9278124.5238095243</v>
      </c>
      <c r="P487">
        <v>38352</v>
      </c>
      <c r="Q487">
        <v>2</v>
      </c>
      <c r="R487">
        <v>130</v>
      </c>
      <c r="S487">
        <v>11.469627192982456</v>
      </c>
      <c r="T487">
        <v>0.94418604075908663</v>
      </c>
      <c r="W487">
        <f>Tabela6[[#This Row],[mlp_params]]</f>
        <v>37799</v>
      </c>
      <c r="X487">
        <f>Tabela6[[#This Row],[mlp_test_acc]]</f>
        <v>0.91042291042291035</v>
      </c>
      <c r="Y487">
        <f>Tabela6[[#This Row],[kan_val_acc_1]]</f>
        <v>0.94418604075908663</v>
      </c>
      <c r="Z487">
        <f>Tabela6[[#This Row],[no_steps]]</f>
        <v>11.469627192982456</v>
      </c>
    </row>
    <row r="488" spans="1:26" hidden="1" x14ac:dyDescent="0.25">
      <c r="A488" t="s">
        <v>18</v>
      </c>
      <c r="B488">
        <v>9</v>
      </c>
      <c r="C488">
        <v>2</v>
      </c>
      <c r="D488">
        <v>0</v>
      </c>
      <c r="E488" t="s">
        <v>26</v>
      </c>
      <c r="F488">
        <v>28796</v>
      </c>
      <c r="G488">
        <v>22731502</v>
      </c>
      <c r="H488">
        <v>0.91354101354425599</v>
      </c>
      <c r="I488">
        <v>0.90909090909090906</v>
      </c>
      <c r="J488">
        <v>8340501.0909090908</v>
      </c>
      <c r="K488">
        <v>38909</v>
      </c>
      <c r="L488">
        <v>2</v>
      </c>
      <c r="M488">
        <v>131</v>
      </c>
      <c r="N488">
        <v>0.91226954863318499</v>
      </c>
      <c r="O488">
        <v>7964842.9090909092</v>
      </c>
      <c r="P488">
        <v>39470</v>
      </c>
      <c r="Q488">
        <v>2</v>
      </c>
      <c r="R488">
        <v>132</v>
      </c>
      <c r="S488">
        <v>11.466980615485708</v>
      </c>
      <c r="T488">
        <v>0.91395350098609929</v>
      </c>
      <c r="W488">
        <f>Tabela6[[#This Row],[mlp_params]]</f>
        <v>38909</v>
      </c>
      <c r="X488">
        <f>Tabela6[[#This Row],[mlp_test_acc]]</f>
        <v>0.90909090909090906</v>
      </c>
      <c r="Y488">
        <f>Tabela6[[#This Row],[kan_val_acc_1]]</f>
        <v>0.91395350098609929</v>
      </c>
      <c r="Z488">
        <f>Tabela6[[#This Row],[no_steps]]</f>
        <v>11.466980615485708</v>
      </c>
    </row>
    <row r="489" spans="1:26" hidden="1" x14ac:dyDescent="0.25">
      <c r="A489" t="s">
        <v>18</v>
      </c>
      <c r="B489">
        <v>9</v>
      </c>
      <c r="C489">
        <v>2</v>
      </c>
      <c r="D489">
        <v>0</v>
      </c>
      <c r="E489" t="s">
        <v>56</v>
      </c>
      <c r="F489">
        <v>29466</v>
      </c>
      <c r="G489">
        <v>24316935.666666668</v>
      </c>
      <c r="H489">
        <v>0.92007991529646371</v>
      </c>
      <c r="I489">
        <v>0.91475191475191475</v>
      </c>
      <c r="J489">
        <v>9067196.9047619049</v>
      </c>
      <c r="K489">
        <v>39470</v>
      </c>
      <c r="L489">
        <v>2</v>
      </c>
      <c r="M489">
        <v>132</v>
      </c>
      <c r="N489">
        <v>0.91441891441891443</v>
      </c>
      <c r="O489">
        <v>9008318.666666666</v>
      </c>
      <c r="P489">
        <v>40035</v>
      </c>
      <c r="Q489">
        <v>2</v>
      </c>
      <c r="R489">
        <v>133</v>
      </c>
      <c r="S489">
        <v>11.46284965034965</v>
      </c>
      <c r="T489">
        <v>0.94127906560897823</v>
      </c>
      <c r="W489">
        <f>Tabela6[[#This Row],[mlp_params]]</f>
        <v>39470</v>
      </c>
      <c r="X489">
        <f>Tabela6[[#This Row],[mlp_test_acc]]</f>
        <v>0.91475191475191475</v>
      </c>
      <c r="Y489">
        <f>Tabela6[[#This Row],[kan_val_acc_1]]</f>
        <v>0.94127906560897823</v>
      </c>
      <c r="Z489">
        <f>Tabela6[[#This Row],[no_steps]]</f>
        <v>11.46284965034965</v>
      </c>
    </row>
    <row r="490" spans="1:26" hidden="1" x14ac:dyDescent="0.25">
      <c r="A490" t="s">
        <v>18</v>
      </c>
      <c r="B490">
        <v>9</v>
      </c>
      <c r="C490">
        <v>2</v>
      </c>
      <c r="D490">
        <v>0</v>
      </c>
      <c r="E490" t="s">
        <v>27</v>
      </c>
      <c r="F490">
        <v>29694</v>
      </c>
      <c r="G490">
        <v>25863394.90909091</v>
      </c>
      <c r="H490">
        <v>0.92752701585943054</v>
      </c>
      <c r="I490">
        <v>0.91226954863318499</v>
      </c>
      <c r="J490">
        <v>9483565.7272727266</v>
      </c>
      <c r="K490">
        <v>40035</v>
      </c>
      <c r="L490">
        <v>2</v>
      </c>
      <c r="M490">
        <v>133</v>
      </c>
      <c r="N490">
        <v>0.91354100445009534</v>
      </c>
      <c r="O490">
        <v>9721706.6363636367</v>
      </c>
      <c r="P490">
        <v>40604</v>
      </c>
      <c r="Q490">
        <v>2</v>
      </c>
      <c r="R490">
        <v>134</v>
      </c>
      <c r="S490">
        <v>11.461202662883336</v>
      </c>
      <c r="T490">
        <v>0.9453488290309906</v>
      </c>
      <c r="W490">
        <f>Tabela6[[#This Row],[mlp_params]]</f>
        <v>40035</v>
      </c>
      <c r="X490">
        <f>Tabela6[[#This Row],[mlp_test_acc]]</f>
        <v>0.91226954863318499</v>
      </c>
      <c r="Y490">
        <f>Tabela6[[#This Row],[kan_val_acc_1]]</f>
        <v>0.9453488290309906</v>
      </c>
      <c r="Z490">
        <f>Tabela6[[#This Row],[no_steps]]</f>
        <v>11.461202662883336</v>
      </c>
    </row>
    <row r="491" spans="1:26" hidden="1" x14ac:dyDescent="0.25">
      <c r="A491" t="s">
        <v>18</v>
      </c>
      <c r="B491">
        <v>9</v>
      </c>
      <c r="C491">
        <v>2</v>
      </c>
      <c r="D491">
        <v>0</v>
      </c>
      <c r="E491" t="s">
        <v>28</v>
      </c>
      <c r="F491">
        <v>30592</v>
      </c>
      <c r="G491">
        <v>23286755.047619049</v>
      </c>
      <c r="H491">
        <v>0.92174492563520161</v>
      </c>
      <c r="I491">
        <v>0.9110889110889111</v>
      </c>
      <c r="J491">
        <v>8386570.5238095243</v>
      </c>
      <c r="K491">
        <v>41177</v>
      </c>
      <c r="L491">
        <v>2</v>
      </c>
      <c r="M491">
        <v>135</v>
      </c>
      <c r="N491">
        <v>0.91375291375291368</v>
      </c>
      <c r="O491">
        <v>8590357.4761904757</v>
      </c>
      <c r="P491">
        <v>41754</v>
      </c>
      <c r="Q491">
        <v>2</v>
      </c>
      <c r="R491">
        <v>136</v>
      </c>
      <c r="S491">
        <v>11.455574912891986</v>
      </c>
      <c r="T491">
        <v>0.93372093737125395</v>
      </c>
      <c r="W491">
        <f>Tabela6[[#This Row],[mlp_params]]</f>
        <v>41177</v>
      </c>
      <c r="X491">
        <f>Tabela6[[#This Row],[mlp_test_acc]]</f>
        <v>0.9110889110889111</v>
      </c>
      <c r="Y491">
        <f>Tabela6[[#This Row],[kan_val_acc_1]]</f>
        <v>0.93372093737125395</v>
      </c>
      <c r="Z491">
        <f>Tabela6[[#This Row],[no_steps]]</f>
        <v>11.455574912891986</v>
      </c>
    </row>
    <row r="492" spans="1:26" hidden="1" x14ac:dyDescent="0.25">
      <c r="A492" t="s">
        <v>18</v>
      </c>
      <c r="B492">
        <v>9</v>
      </c>
      <c r="C492">
        <v>2</v>
      </c>
      <c r="D492">
        <v>0</v>
      </c>
      <c r="E492" t="s">
        <v>67</v>
      </c>
      <c r="F492">
        <v>31148</v>
      </c>
      <c r="G492">
        <v>25534975.516129032</v>
      </c>
      <c r="H492">
        <v>0.91946762992489728</v>
      </c>
      <c r="I492">
        <v>0.90976765170313556</v>
      </c>
      <c r="J492">
        <v>8656579.3225806449</v>
      </c>
      <c r="K492">
        <v>41754</v>
      </c>
      <c r="L492">
        <v>2</v>
      </c>
      <c r="M492">
        <v>136</v>
      </c>
      <c r="N492">
        <v>0.90976765170313556</v>
      </c>
      <c r="O492">
        <v>9469666.064516129</v>
      </c>
      <c r="P492">
        <v>42335</v>
      </c>
      <c r="Q492">
        <v>2</v>
      </c>
      <c r="R492">
        <v>137</v>
      </c>
      <c r="S492">
        <v>11.449484536082474</v>
      </c>
      <c r="T492">
        <v>0.93372093439102177</v>
      </c>
      <c r="W492">
        <f>Tabela6[[#This Row],[mlp_params]]</f>
        <v>41754</v>
      </c>
      <c r="X492">
        <f>Tabela6[[#This Row],[mlp_test_acc]]</f>
        <v>0.90976765170313556</v>
      </c>
      <c r="Y492">
        <f>Tabela6[[#This Row],[kan_val_acc_1]]</f>
        <v>0.93372093439102177</v>
      </c>
      <c r="Z492">
        <f>Tabela6[[#This Row],[no_steps]]</f>
        <v>11.449484536082474</v>
      </c>
    </row>
    <row r="493" spans="1:26" hidden="1" x14ac:dyDescent="0.25">
      <c r="A493" t="s">
        <v>18</v>
      </c>
      <c r="B493">
        <v>9</v>
      </c>
      <c r="C493">
        <v>2</v>
      </c>
      <c r="D493">
        <v>0</v>
      </c>
      <c r="E493" t="s">
        <v>29</v>
      </c>
      <c r="F493">
        <v>31490</v>
      </c>
      <c r="G493">
        <v>27751360.545454547</v>
      </c>
      <c r="H493">
        <v>0.91926256634972314</v>
      </c>
      <c r="I493">
        <v>0.90527654164017801</v>
      </c>
      <c r="J493">
        <v>9494823</v>
      </c>
      <c r="K493">
        <v>42335</v>
      </c>
      <c r="L493">
        <v>2</v>
      </c>
      <c r="M493">
        <v>137</v>
      </c>
      <c r="N493">
        <v>0.90909090909090906</v>
      </c>
      <c r="O493">
        <v>9621472.4545454551</v>
      </c>
      <c r="P493">
        <v>42920</v>
      </c>
      <c r="Q493">
        <v>2</v>
      </c>
      <c r="R493">
        <v>138</v>
      </c>
      <c r="S493">
        <v>11.448081508779536</v>
      </c>
      <c r="T493">
        <v>0.93604651689529417</v>
      </c>
      <c r="W493">
        <f>Tabela6[[#This Row],[mlp_params]]</f>
        <v>42335</v>
      </c>
      <c r="X493">
        <f>Tabela6[[#This Row],[mlp_test_acc]]</f>
        <v>0.90527654164017801</v>
      </c>
      <c r="Y493">
        <f>Tabela6[[#This Row],[kan_val_acc_1]]</f>
        <v>0.93604651689529417</v>
      </c>
      <c r="Z493">
        <f>Tabela6[[#This Row],[no_steps]]</f>
        <v>11.448081508779536</v>
      </c>
    </row>
    <row r="494" spans="1:26" hidden="1" x14ac:dyDescent="0.25">
      <c r="A494" t="s">
        <v>18</v>
      </c>
      <c r="B494">
        <v>9</v>
      </c>
      <c r="C494">
        <v>2</v>
      </c>
      <c r="D494">
        <v>0</v>
      </c>
      <c r="E494" t="s">
        <v>30</v>
      </c>
      <c r="F494">
        <v>32388</v>
      </c>
      <c r="G494">
        <v>27295942.548387095</v>
      </c>
      <c r="H494">
        <v>0.9196932085098759</v>
      </c>
      <c r="I494">
        <v>0.90796300473719826</v>
      </c>
      <c r="J494">
        <v>8663578.8064516131</v>
      </c>
      <c r="K494">
        <v>43509</v>
      </c>
      <c r="L494">
        <v>2</v>
      </c>
      <c r="M494">
        <v>139</v>
      </c>
      <c r="N494">
        <v>0.90548161515903447</v>
      </c>
      <c r="O494">
        <v>9701398.3548387103</v>
      </c>
      <c r="P494">
        <v>44102</v>
      </c>
      <c r="Q494">
        <v>2</v>
      </c>
      <c r="R494">
        <v>140</v>
      </c>
      <c r="S494">
        <v>11.443448201361132</v>
      </c>
      <c r="T494">
        <v>0.92751938700675962</v>
      </c>
      <c r="W494">
        <f>Tabela6[[#This Row],[mlp_params]]</f>
        <v>43509</v>
      </c>
      <c r="X494">
        <f>Tabela6[[#This Row],[mlp_test_acc]]</f>
        <v>0.90796300473719826</v>
      </c>
      <c r="Y494">
        <f>Tabela6[[#This Row],[kan_val_acc_1]]</f>
        <v>0.92751938700675962</v>
      </c>
      <c r="Z494">
        <f>Tabela6[[#This Row],[no_steps]]</f>
        <v>11.443448201361132</v>
      </c>
    </row>
    <row r="495" spans="1:26" hidden="1" x14ac:dyDescent="0.25">
      <c r="A495" t="s">
        <v>18</v>
      </c>
      <c r="B495">
        <v>9</v>
      </c>
      <c r="C495">
        <v>2</v>
      </c>
      <c r="D495">
        <v>0</v>
      </c>
      <c r="E495" t="s">
        <v>44</v>
      </c>
      <c r="F495">
        <v>32554</v>
      </c>
      <c r="G495">
        <v>28399240.774193548</v>
      </c>
      <c r="H495">
        <v>0.92307692958462628</v>
      </c>
      <c r="I495">
        <v>0.91179787953981506</v>
      </c>
      <c r="J495">
        <v>8845292.0967741944</v>
      </c>
      <c r="K495">
        <v>44102</v>
      </c>
      <c r="L495">
        <v>2</v>
      </c>
      <c r="M495">
        <v>140</v>
      </c>
      <c r="N495">
        <v>0.91021881344461986</v>
      </c>
      <c r="O495">
        <v>9498770.0322580654</v>
      </c>
      <c r="P495">
        <v>44699</v>
      </c>
      <c r="Q495">
        <v>2</v>
      </c>
      <c r="R495">
        <v>141</v>
      </c>
      <c r="S495">
        <v>11.439707149009475</v>
      </c>
      <c r="T495">
        <v>0.91937986413637796</v>
      </c>
      <c r="W495">
        <f>Tabela6[[#This Row],[mlp_params]]</f>
        <v>44102</v>
      </c>
      <c r="X495">
        <f>Tabela6[[#This Row],[mlp_test_acc]]</f>
        <v>0.91179787953981506</v>
      </c>
      <c r="Y495">
        <f>Tabela6[[#This Row],[kan_val_acc_1]]</f>
        <v>0.91937986413637796</v>
      </c>
      <c r="Z495">
        <f>Tabela6[[#This Row],[no_steps]]</f>
        <v>11.439707149009475</v>
      </c>
    </row>
    <row r="496" spans="1:26" hidden="1" x14ac:dyDescent="0.25">
      <c r="A496" t="s">
        <v>18</v>
      </c>
      <c r="B496">
        <v>9</v>
      </c>
      <c r="C496">
        <v>2</v>
      </c>
      <c r="D496">
        <v>0</v>
      </c>
      <c r="E496" t="s">
        <v>31</v>
      </c>
      <c r="F496">
        <v>33286</v>
      </c>
      <c r="G496">
        <v>29919859.428571429</v>
      </c>
      <c r="H496">
        <v>0.90775890861238751</v>
      </c>
      <c r="I496">
        <v>0.91042291042291046</v>
      </c>
      <c r="J496">
        <v>9028291.333333334</v>
      </c>
      <c r="K496">
        <v>44699</v>
      </c>
      <c r="L496">
        <v>2</v>
      </c>
      <c r="M496">
        <v>141</v>
      </c>
      <c r="N496">
        <v>0.9097569097569097</v>
      </c>
      <c r="O496">
        <v>8653019.8571428563</v>
      </c>
      <c r="P496">
        <v>45300</v>
      </c>
      <c r="Q496">
        <v>2</v>
      </c>
      <c r="R496">
        <v>142</v>
      </c>
      <c r="S496">
        <v>11.437855838435922</v>
      </c>
      <c r="T496">
        <v>0.92267443239688873</v>
      </c>
      <c r="W496">
        <f>Tabela6[[#This Row],[mlp_params]]</f>
        <v>44699</v>
      </c>
      <c r="X496">
        <f>Tabela6[[#This Row],[mlp_test_acc]]</f>
        <v>0.91042291042291046</v>
      </c>
      <c r="Y496">
        <f>Tabela6[[#This Row],[kan_val_acc_1]]</f>
        <v>0.92267443239688873</v>
      </c>
      <c r="Z496">
        <f>Tabela6[[#This Row],[no_steps]]</f>
        <v>11.437855838435922</v>
      </c>
    </row>
    <row r="497" spans="1:26" hidden="1" x14ac:dyDescent="0.25">
      <c r="A497" t="s">
        <v>18</v>
      </c>
      <c r="B497">
        <v>9</v>
      </c>
      <c r="C497">
        <v>2</v>
      </c>
      <c r="D497">
        <v>0</v>
      </c>
      <c r="E497" t="s">
        <v>45</v>
      </c>
      <c r="F497">
        <v>33508</v>
      </c>
      <c r="G497">
        <v>27343411.857142858</v>
      </c>
      <c r="H497">
        <v>0.92307692482357928</v>
      </c>
      <c r="I497">
        <v>0.91075591075591078</v>
      </c>
      <c r="J497">
        <v>9213533.8095238097</v>
      </c>
      <c r="K497">
        <v>45300</v>
      </c>
      <c r="L497">
        <v>2</v>
      </c>
      <c r="M497">
        <v>142</v>
      </c>
      <c r="N497">
        <v>0.91208791208791207</v>
      </c>
      <c r="O497">
        <v>8923730.666666666</v>
      </c>
      <c r="P497">
        <v>45905</v>
      </c>
      <c r="Q497">
        <v>2</v>
      </c>
      <c r="R497">
        <v>143</v>
      </c>
      <c r="S497">
        <v>11.434083601286174</v>
      </c>
      <c r="T497">
        <v>0.9302325636148453</v>
      </c>
      <c r="W497">
        <f>Tabela6[[#This Row],[mlp_params]]</f>
        <v>45300</v>
      </c>
      <c r="X497">
        <f>Tabela6[[#This Row],[mlp_test_acc]]</f>
        <v>0.91075591075591078</v>
      </c>
      <c r="Y497">
        <f>Tabela6[[#This Row],[kan_val_acc_1]]</f>
        <v>0.9302325636148453</v>
      </c>
      <c r="Z497">
        <f>Tabela6[[#This Row],[no_steps]]</f>
        <v>11.434083601286174</v>
      </c>
    </row>
    <row r="498" spans="1:26" hidden="1" x14ac:dyDescent="0.25">
      <c r="A498" t="s">
        <v>18</v>
      </c>
      <c r="B498">
        <v>9</v>
      </c>
      <c r="C498">
        <v>2</v>
      </c>
      <c r="D498">
        <v>0</v>
      </c>
      <c r="E498" t="s">
        <v>32</v>
      </c>
      <c r="F498">
        <v>34184</v>
      </c>
      <c r="G498">
        <v>28573936.714285713</v>
      </c>
      <c r="H498">
        <v>0.92274392502648495</v>
      </c>
      <c r="I498">
        <v>0.90609390609390605</v>
      </c>
      <c r="J498">
        <v>9409557.7619047612</v>
      </c>
      <c r="K498">
        <v>45905</v>
      </c>
      <c r="L498">
        <v>2</v>
      </c>
      <c r="M498">
        <v>143</v>
      </c>
      <c r="N498">
        <v>0.91042291042291046</v>
      </c>
      <c r="O498">
        <v>9628040.0952380951</v>
      </c>
      <c r="P498">
        <v>46514</v>
      </c>
      <c r="Q498">
        <v>2</v>
      </c>
      <c r="R498">
        <v>144</v>
      </c>
      <c r="S498">
        <v>11.430649128435462</v>
      </c>
      <c r="T498">
        <v>0.94186045229434967</v>
      </c>
      <c r="W498">
        <f>Tabela6[[#This Row],[mlp_params]]</f>
        <v>45905</v>
      </c>
      <c r="X498">
        <f>Tabela6[[#This Row],[mlp_test_acc]]</f>
        <v>0.90609390609390605</v>
      </c>
      <c r="Y498">
        <f>Tabela6[[#This Row],[kan_val_acc_1]]</f>
        <v>0.94186045229434967</v>
      </c>
      <c r="Z498">
        <f>Tabela6[[#This Row],[no_steps]]</f>
        <v>11.430649128435462</v>
      </c>
    </row>
    <row r="499" spans="1:26" hidden="1" x14ac:dyDescent="0.25">
      <c r="A499" t="s">
        <v>18</v>
      </c>
      <c r="B499">
        <v>9</v>
      </c>
      <c r="C499">
        <v>2</v>
      </c>
      <c r="D499">
        <v>0</v>
      </c>
      <c r="E499" t="s">
        <v>46</v>
      </c>
      <c r="F499">
        <v>34462</v>
      </c>
      <c r="G499">
        <v>27179128.571428571</v>
      </c>
      <c r="H499">
        <v>0.92640692563284011</v>
      </c>
      <c r="I499">
        <v>0.9067599067599067</v>
      </c>
      <c r="J499">
        <v>8504317.333333334</v>
      </c>
      <c r="K499">
        <v>46514</v>
      </c>
      <c r="L499">
        <v>2</v>
      </c>
      <c r="M499">
        <v>144</v>
      </c>
      <c r="N499">
        <v>0.9080919080919081</v>
      </c>
      <c r="O499">
        <v>9113439.2380952388</v>
      </c>
      <c r="P499">
        <v>47127</v>
      </c>
      <c r="Q499">
        <v>2</v>
      </c>
      <c r="R499">
        <v>145</v>
      </c>
      <c r="S499">
        <v>11.426269739650021</v>
      </c>
      <c r="T499">
        <v>0.93081396222114565</v>
      </c>
      <c r="W499">
        <f>Tabela6[[#This Row],[mlp_params]]</f>
        <v>46514</v>
      </c>
      <c r="X499">
        <f>Tabela6[[#This Row],[mlp_test_acc]]</f>
        <v>0.9067599067599067</v>
      </c>
      <c r="Y499">
        <f>Tabela6[[#This Row],[kan_val_acc_1]]</f>
        <v>0.93081396222114565</v>
      </c>
      <c r="Z499">
        <f>Tabela6[[#This Row],[no_steps]]</f>
        <v>11.426269739650021</v>
      </c>
    </row>
    <row r="500" spans="1:26" hidden="1" x14ac:dyDescent="0.25">
      <c r="A500" t="s">
        <v>18</v>
      </c>
      <c r="B500">
        <v>9</v>
      </c>
      <c r="C500">
        <v>2</v>
      </c>
      <c r="D500">
        <v>0</v>
      </c>
      <c r="E500" t="s">
        <v>33</v>
      </c>
      <c r="F500">
        <v>35082</v>
      </c>
      <c r="G500">
        <v>27723515.580645163</v>
      </c>
      <c r="H500">
        <v>0.92555831709215719</v>
      </c>
      <c r="I500">
        <v>0.91427926911797874</v>
      </c>
      <c r="J500">
        <v>9045400.8064516131</v>
      </c>
      <c r="K500">
        <v>47127</v>
      </c>
      <c r="L500">
        <v>2</v>
      </c>
      <c r="M500">
        <v>145</v>
      </c>
      <c r="N500">
        <v>0.91179787953981495</v>
      </c>
      <c r="O500">
        <v>9143516.3870967738</v>
      </c>
      <c r="P500">
        <v>47744</v>
      </c>
      <c r="Q500">
        <v>2</v>
      </c>
      <c r="R500">
        <v>146</v>
      </c>
      <c r="S500">
        <v>11.419972349250239</v>
      </c>
      <c r="T500">
        <v>0.93837208946545914</v>
      </c>
      <c r="W500">
        <f>Tabela6[[#This Row],[mlp_params]]</f>
        <v>47127</v>
      </c>
      <c r="X500">
        <f>Tabela6[[#This Row],[mlp_test_acc]]</f>
        <v>0.91427926911797874</v>
      </c>
      <c r="Y500">
        <f>Tabela6[[#This Row],[kan_val_acc_1]]</f>
        <v>0.93837208946545914</v>
      </c>
      <c r="Z500">
        <f>Tabela6[[#This Row],[no_steps]]</f>
        <v>11.419972349250239</v>
      </c>
    </row>
    <row r="501" spans="1:26" hidden="1" x14ac:dyDescent="0.25">
      <c r="A501" t="s">
        <v>18</v>
      </c>
      <c r="B501">
        <v>9</v>
      </c>
      <c r="C501">
        <v>2</v>
      </c>
      <c r="D501">
        <v>0</v>
      </c>
      <c r="E501" t="s">
        <v>47</v>
      </c>
      <c r="F501">
        <v>35416</v>
      </c>
      <c r="G501">
        <v>28792280.761904761</v>
      </c>
      <c r="H501">
        <v>0.92840492441540667</v>
      </c>
      <c r="I501">
        <v>0.91408591408591411</v>
      </c>
      <c r="J501">
        <v>8835149.333333334</v>
      </c>
      <c r="K501">
        <v>47744</v>
      </c>
      <c r="L501">
        <v>2</v>
      </c>
      <c r="M501">
        <v>146</v>
      </c>
      <c r="N501">
        <v>0.91142191142191142</v>
      </c>
      <c r="O501">
        <v>9526167.9047619049</v>
      </c>
      <c r="P501">
        <v>48365</v>
      </c>
      <c r="Q501">
        <v>2</v>
      </c>
      <c r="R501">
        <v>147</v>
      </c>
      <c r="S501">
        <v>11.415959252971138</v>
      </c>
      <c r="T501">
        <v>0.92674418985843654</v>
      </c>
      <c r="W501">
        <f>Tabela6[[#This Row],[mlp_params]]</f>
        <v>47744</v>
      </c>
      <c r="X501">
        <f>Tabela6[[#This Row],[mlp_test_acc]]</f>
        <v>0.91408591408591411</v>
      </c>
      <c r="Y501">
        <f>Tabela6[[#This Row],[kan_val_acc_1]]</f>
        <v>0.92674418985843654</v>
      </c>
      <c r="Z501">
        <f>Tabela6[[#This Row],[no_steps]]</f>
        <v>11.415959252971138</v>
      </c>
    </row>
    <row r="502" spans="1:26" hidden="1" x14ac:dyDescent="0.25">
      <c r="A502" t="s">
        <v>18</v>
      </c>
      <c r="B502">
        <v>9</v>
      </c>
      <c r="C502">
        <v>2</v>
      </c>
      <c r="D502">
        <v>0</v>
      </c>
      <c r="E502" t="s">
        <v>34</v>
      </c>
      <c r="F502">
        <v>35980</v>
      </c>
      <c r="G502">
        <v>25528523.451612905</v>
      </c>
      <c r="H502">
        <v>0.92646063720026328</v>
      </c>
      <c r="I502">
        <v>0.91405368824723665</v>
      </c>
      <c r="J502">
        <v>9257765.0322580654</v>
      </c>
      <c r="K502">
        <v>48365</v>
      </c>
      <c r="L502">
        <v>2</v>
      </c>
      <c r="M502">
        <v>147</v>
      </c>
      <c r="N502">
        <v>0.91788856304985333</v>
      </c>
      <c r="O502">
        <v>9397091.2903225813</v>
      </c>
      <c r="P502">
        <v>48990</v>
      </c>
      <c r="Q502">
        <v>2</v>
      </c>
      <c r="R502">
        <v>148</v>
      </c>
      <c r="S502">
        <v>11.406663141195136</v>
      </c>
      <c r="T502">
        <v>0.93875969052314756</v>
      </c>
      <c r="W502">
        <f>Tabela6[[#This Row],[mlp_params]]</f>
        <v>48365</v>
      </c>
      <c r="X502">
        <f>Tabela6[[#This Row],[mlp_test_acc]]</f>
        <v>0.91405368824723665</v>
      </c>
      <c r="Y502">
        <f>Tabela6[[#This Row],[kan_val_acc_1]]</f>
        <v>0.93875969052314756</v>
      </c>
      <c r="Z502">
        <f>Tabela6[[#This Row],[no_steps]]</f>
        <v>11.406663141195136</v>
      </c>
    </row>
    <row r="503" spans="1:26" hidden="1" x14ac:dyDescent="0.25">
      <c r="A503" t="s">
        <v>18</v>
      </c>
      <c r="B503">
        <v>9</v>
      </c>
      <c r="C503">
        <v>2</v>
      </c>
      <c r="D503">
        <v>0</v>
      </c>
      <c r="E503" t="s">
        <v>48</v>
      </c>
      <c r="F503">
        <v>36370</v>
      </c>
      <c r="G503">
        <v>30595824.09090909</v>
      </c>
      <c r="H503">
        <v>0.91989828239787708</v>
      </c>
      <c r="I503">
        <v>0.90972663699936429</v>
      </c>
      <c r="J503">
        <v>10248741.909090908</v>
      </c>
      <c r="K503">
        <v>48990</v>
      </c>
      <c r="L503">
        <v>2</v>
      </c>
      <c r="M503">
        <v>148</v>
      </c>
      <c r="N503">
        <v>0.91544818817546092</v>
      </c>
      <c r="O503">
        <v>8978313.7272727266</v>
      </c>
      <c r="P503">
        <v>49619</v>
      </c>
      <c r="Q503">
        <v>2</v>
      </c>
      <c r="R503">
        <v>149</v>
      </c>
      <c r="S503">
        <v>11.404922881893091</v>
      </c>
      <c r="T503">
        <v>0.91744186282157902</v>
      </c>
      <c r="W503">
        <f>Tabela6[[#This Row],[mlp_params]]</f>
        <v>48990</v>
      </c>
      <c r="X503">
        <f>Tabela6[[#This Row],[mlp_test_acc]]</f>
        <v>0.90972663699936429</v>
      </c>
      <c r="Y503">
        <f>Tabela6[[#This Row],[kan_val_acc_1]]</f>
        <v>0.91744186282157902</v>
      </c>
      <c r="Z503">
        <f>Tabela6[[#This Row],[no_steps]]</f>
        <v>11.404922881893091</v>
      </c>
    </row>
    <row r="504" spans="1:26" hidden="1" x14ac:dyDescent="0.25">
      <c r="A504" t="s">
        <v>18</v>
      </c>
      <c r="B504">
        <v>9</v>
      </c>
      <c r="C504">
        <v>2</v>
      </c>
      <c r="D504">
        <v>0</v>
      </c>
      <c r="E504" t="s">
        <v>35</v>
      </c>
      <c r="F504">
        <v>36878</v>
      </c>
      <c r="G504">
        <v>27669745.536585364</v>
      </c>
      <c r="H504">
        <v>0.92034794935366004</v>
      </c>
      <c r="I504">
        <v>0.91335493774518162</v>
      </c>
      <c r="J504">
        <v>9075440.7317073178</v>
      </c>
      <c r="K504">
        <v>49619</v>
      </c>
      <c r="L504">
        <v>2</v>
      </c>
      <c r="M504">
        <v>149</v>
      </c>
      <c r="N504">
        <v>0.91284325430666891</v>
      </c>
      <c r="O504">
        <v>9738386.7560975607</v>
      </c>
      <c r="P504">
        <v>50252</v>
      </c>
      <c r="Q504">
        <v>2</v>
      </c>
      <c r="R504">
        <v>150</v>
      </c>
      <c r="S504">
        <v>11.39497212580204</v>
      </c>
      <c r="T504">
        <v>0.92558141052722931</v>
      </c>
      <c r="W504">
        <f>Tabela6[[#This Row],[mlp_params]]</f>
        <v>49619</v>
      </c>
      <c r="X504">
        <f>Tabela6[[#This Row],[mlp_test_acc]]</f>
        <v>0.91335493774518162</v>
      </c>
      <c r="Y504">
        <f>Tabela6[[#This Row],[kan_val_acc_1]]</f>
        <v>0.92558141052722931</v>
      </c>
      <c r="Z504">
        <f>Tabela6[[#This Row],[no_steps]]</f>
        <v>11.39497212580204</v>
      </c>
    </row>
    <row r="505" spans="1:26" hidden="1" x14ac:dyDescent="0.25">
      <c r="A505" t="s">
        <v>18</v>
      </c>
      <c r="B505">
        <v>9</v>
      </c>
      <c r="C505">
        <v>2</v>
      </c>
      <c r="D505">
        <v>0</v>
      </c>
      <c r="E505" t="s">
        <v>49</v>
      </c>
      <c r="F505">
        <v>37324</v>
      </c>
      <c r="G505">
        <v>26947191.181818184</v>
      </c>
      <c r="H505">
        <v>0.93261284719813953</v>
      </c>
      <c r="I505">
        <v>0.91481246026700569</v>
      </c>
      <c r="J505">
        <v>8644791.4545454551</v>
      </c>
      <c r="K505">
        <v>50252</v>
      </c>
      <c r="L505">
        <v>2</v>
      </c>
      <c r="M505">
        <v>150</v>
      </c>
      <c r="N505">
        <v>0.91354100445009534</v>
      </c>
      <c r="O505">
        <v>9334484.7272727266</v>
      </c>
      <c r="P505">
        <v>50889</v>
      </c>
      <c r="Q505">
        <v>2</v>
      </c>
      <c r="R505">
        <v>151</v>
      </c>
      <c r="S505">
        <v>11.391573860054633</v>
      </c>
      <c r="T505">
        <v>0.92093023657798767</v>
      </c>
      <c r="W505">
        <f>Tabela6[[#This Row],[mlp_params]]</f>
        <v>50252</v>
      </c>
      <c r="X505">
        <f>Tabela6[[#This Row],[mlp_test_acc]]</f>
        <v>0.91481246026700569</v>
      </c>
      <c r="Y505">
        <f>Tabela6[[#This Row],[kan_val_acc_1]]</f>
        <v>0.92093023657798767</v>
      </c>
      <c r="Z505">
        <f>Tabela6[[#This Row],[no_steps]]</f>
        <v>11.391573860054633</v>
      </c>
    </row>
    <row r="506" spans="1:26" hidden="1" x14ac:dyDescent="0.25">
      <c r="A506" t="s">
        <v>18</v>
      </c>
      <c r="B506">
        <v>9</v>
      </c>
      <c r="C506">
        <v>2</v>
      </c>
      <c r="D506">
        <v>0</v>
      </c>
      <c r="E506" t="s">
        <v>36</v>
      </c>
      <c r="F506">
        <v>37776</v>
      </c>
      <c r="G506">
        <v>28774945.523809522</v>
      </c>
      <c r="H506">
        <v>0.92640692563284011</v>
      </c>
      <c r="I506">
        <v>0.9097569097569097</v>
      </c>
      <c r="J506">
        <v>9137703.0476190485</v>
      </c>
      <c r="K506">
        <v>50889</v>
      </c>
      <c r="L506">
        <v>2</v>
      </c>
      <c r="M506">
        <v>151</v>
      </c>
      <c r="N506">
        <v>0.9110889110889111</v>
      </c>
      <c r="O506">
        <v>9811986.8571428563</v>
      </c>
      <c r="P506">
        <v>51530</v>
      </c>
      <c r="Q506">
        <v>2</v>
      </c>
      <c r="R506">
        <v>152</v>
      </c>
      <c r="S506">
        <v>11.386623335779431</v>
      </c>
      <c r="T506">
        <v>0.93837209343910222</v>
      </c>
      <c r="W506">
        <f>Tabela6[[#This Row],[mlp_params]]</f>
        <v>50889</v>
      </c>
      <c r="X506">
        <f>Tabela6[[#This Row],[mlp_test_acc]]</f>
        <v>0.9097569097569097</v>
      </c>
      <c r="Y506">
        <f>Tabela6[[#This Row],[kan_val_acc_1]]</f>
        <v>0.93837209343910222</v>
      </c>
      <c r="Z506">
        <f>Tabela6[[#This Row],[no_steps]]</f>
        <v>11.386623335779431</v>
      </c>
    </row>
    <row r="507" spans="1:26" hidden="1" x14ac:dyDescent="0.25">
      <c r="A507" t="s">
        <v>18</v>
      </c>
      <c r="B507">
        <v>9</v>
      </c>
      <c r="C507">
        <v>2</v>
      </c>
      <c r="D507">
        <v>0</v>
      </c>
      <c r="E507" t="s">
        <v>50</v>
      </c>
      <c r="F507">
        <v>38278</v>
      </c>
      <c r="G507">
        <v>28956785.290322579</v>
      </c>
      <c r="H507">
        <v>0.91721182100234488</v>
      </c>
      <c r="I507">
        <v>0.90796300473719826</v>
      </c>
      <c r="J507">
        <v>8430034.3870967738</v>
      </c>
      <c r="K507">
        <v>51530</v>
      </c>
      <c r="L507">
        <v>2</v>
      </c>
      <c r="M507">
        <v>152</v>
      </c>
      <c r="N507">
        <v>0.91021881344461986</v>
      </c>
      <c r="O507">
        <v>10073606.419354839</v>
      </c>
      <c r="P507">
        <v>52175</v>
      </c>
      <c r="Q507">
        <v>2</v>
      </c>
      <c r="R507">
        <v>153</v>
      </c>
      <c r="S507">
        <v>11.379310344827585</v>
      </c>
      <c r="T507">
        <v>0.92325581709543869</v>
      </c>
      <c r="W507">
        <f>Tabela6[[#This Row],[mlp_params]]</f>
        <v>51530</v>
      </c>
      <c r="X507">
        <f>Tabela6[[#This Row],[mlp_test_acc]]</f>
        <v>0.90796300473719826</v>
      </c>
      <c r="Y507">
        <f>Tabela6[[#This Row],[kan_val_acc_1]]</f>
        <v>0.92325581709543869</v>
      </c>
      <c r="Z507">
        <f>Tabela6[[#This Row],[no_steps]]</f>
        <v>11.379310344827585</v>
      </c>
    </row>
    <row r="508" spans="1:26" hidden="1" x14ac:dyDescent="0.25">
      <c r="A508" t="s">
        <v>18</v>
      </c>
      <c r="B508">
        <v>9</v>
      </c>
      <c r="C508">
        <v>2</v>
      </c>
      <c r="D508">
        <v>0</v>
      </c>
      <c r="E508" t="s">
        <v>37</v>
      </c>
      <c r="F508">
        <v>38674</v>
      </c>
      <c r="G508">
        <v>31346833.571428571</v>
      </c>
      <c r="H508">
        <v>0.92007991529646371</v>
      </c>
      <c r="I508">
        <v>0.90842490842490842</v>
      </c>
      <c r="J508">
        <v>8272504</v>
      </c>
      <c r="K508">
        <v>52175</v>
      </c>
      <c r="L508">
        <v>2</v>
      </c>
      <c r="M508">
        <v>153</v>
      </c>
      <c r="N508">
        <v>0.91508491508491507</v>
      </c>
      <c r="O508">
        <v>9905052.0952380951</v>
      </c>
      <c r="P508">
        <v>52824</v>
      </c>
      <c r="Q508">
        <v>2</v>
      </c>
      <c r="R508">
        <v>154</v>
      </c>
      <c r="S508">
        <v>11.375768950057346</v>
      </c>
      <c r="T508">
        <v>0.93313954770565033</v>
      </c>
      <c r="W508">
        <f>Tabela6[[#This Row],[mlp_params]]</f>
        <v>52175</v>
      </c>
      <c r="X508">
        <f>Tabela6[[#This Row],[mlp_test_acc]]</f>
        <v>0.90842490842490842</v>
      </c>
      <c r="Y508">
        <f>Tabela6[[#This Row],[kan_val_acc_1]]</f>
        <v>0.93313954770565033</v>
      </c>
      <c r="Z508">
        <f>Tabela6[[#This Row],[no_steps]]</f>
        <v>11.375768950057346</v>
      </c>
    </row>
    <row r="509" spans="1:26" hidden="1" x14ac:dyDescent="0.25">
      <c r="A509" t="s">
        <v>18</v>
      </c>
      <c r="B509">
        <v>9</v>
      </c>
      <c r="C509">
        <v>2</v>
      </c>
      <c r="D509">
        <v>0</v>
      </c>
      <c r="E509" t="s">
        <v>51</v>
      </c>
      <c r="F509">
        <v>39232</v>
      </c>
      <c r="G509">
        <v>32054334.193548389</v>
      </c>
      <c r="H509">
        <v>0.92059553438617336</v>
      </c>
      <c r="I509">
        <v>0.91202346041055715</v>
      </c>
      <c r="J509">
        <v>9555368.8387096766</v>
      </c>
      <c r="K509">
        <v>52824</v>
      </c>
      <c r="L509">
        <v>2</v>
      </c>
      <c r="M509">
        <v>154</v>
      </c>
      <c r="N509">
        <v>0.91495601173020524</v>
      </c>
      <c r="O509">
        <v>9363953.9677419346</v>
      </c>
      <c r="P509">
        <v>53477</v>
      </c>
      <c r="Q509">
        <v>2</v>
      </c>
      <c r="R509">
        <v>155</v>
      </c>
      <c r="S509">
        <v>11.371128663479526</v>
      </c>
      <c r="T509">
        <v>0.92635660568873091</v>
      </c>
      <c r="W509">
        <f>Tabela6[[#This Row],[mlp_params]]</f>
        <v>52824</v>
      </c>
      <c r="X509">
        <f>Tabela6[[#This Row],[mlp_test_acc]]</f>
        <v>0.91202346041055715</v>
      </c>
      <c r="Y509">
        <f>Tabela6[[#This Row],[kan_val_acc_1]]</f>
        <v>0.92635660568873091</v>
      </c>
      <c r="Z509">
        <f>Tabela6[[#This Row],[no_steps]]</f>
        <v>11.371128663479526</v>
      </c>
    </row>
    <row r="510" spans="1:26" hidden="1" x14ac:dyDescent="0.25">
      <c r="A510" t="s">
        <v>18</v>
      </c>
      <c r="B510">
        <v>9</v>
      </c>
      <c r="C510">
        <v>2</v>
      </c>
      <c r="D510">
        <v>0</v>
      </c>
      <c r="E510" t="s">
        <v>38</v>
      </c>
      <c r="F510">
        <v>39572</v>
      </c>
      <c r="G510">
        <v>25472570.727272727</v>
      </c>
      <c r="H510">
        <v>0.93006992340087891</v>
      </c>
      <c r="I510">
        <v>0.91354100445009534</v>
      </c>
      <c r="J510">
        <v>8826528.0909090918</v>
      </c>
      <c r="K510">
        <v>53477</v>
      </c>
      <c r="L510">
        <v>2</v>
      </c>
      <c r="M510">
        <v>155</v>
      </c>
      <c r="N510">
        <v>0.90654799745708836</v>
      </c>
      <c r="O510">
        <v>10491157.909090908</v>
      </c>
      <c r="P510">
        <v>54134</v>
      </c>
      <c r="Q510">
        <v>2</v>
      </c>
      <c r="R510">
        <v>156</v>
      </c>
      <c r="S510">
        <v>11.366760095505034</v>
      </c>
      <c r="T510">
        <v>0.93023256659507747</v>
      </c>
      <c r="W510">
        <f>Tabela6[[#This Row],[mlp_params]]</f>
        <v>53477</v>
      </c>
      <c r="X510">
        <f>Tabela6[[#This Row],[mlp_test_acc]]</f>
        <v>0.91354100445009534</v>
      </c>
      <c r="Y510">
        <f>Tabela6[[#This Row],[kan_val_acc_1]]</f>
        <v>0.93023256659507747</v>
      </c>
      <c r="Z510">
        <f>Tabela6[[#This Row],[no_steps]]</f>
        <v>11.366760095505034</v>
      </c>
    </row>
    <row r="511" spans="1:26" hidden="1" x14ac:dyDescent="0.25">
      <c r="A511" t="s">
        <v>18</v>
      </c>
      <c r="B511">
        <v>9</v>
      </c>
      <c r="C511">
        <v>2</v>
      </c>
      <c r="D511">
        <v>0</v>
      </c>
      <c r="E511" t="s">
        <v>52</v>
      </c>
      <c r="F511">
        <v>40186</v>
      </c>
      <c r="G511">
        <v>29770033.170731708</v>
      </c>
      <c r="H511">
        <v>0.92427084213349875</v>
      </c>
      <c r="I511">
        <v>0.91557223264540333</v>
      </c>
      <c r="J511">
        <v>9546898.0487804879</v>
      </c>
      <c r="K511">
        <v>54134</v>
      </c>
      <c r="L511">
        <v>2</v>
      </c>
      <c r="M511">
        <v>156</v>
      </c>
      <c r="N511">
        <v>0.91028483711410535</v>
      </c>
      <c r="O511">
        <v>9226653.9024390243</v>
      </c>
      <c r="P511">
        <v>54795</v>
      </c>
      <c r="Q511">
        <v>2</v>
      </c>
      <c r="R511">
        <v>157</v>
      </c>
      <c r="S511">
        <v>11.356936117428157</v>
      </c>
      <c r="T511">
        <v>0.93837208747863765</v>
      </c>
      <c r="W511">
        <f>Tabela6[[#This Row],[mlp_params]]</f>
        <v>54134</v>
      </c>
      <c r="X511">
        <f>Tabela6[[#This Row],[mlp_test_acc]]</f>
        <v>0.91557223264540333</v>
      </c>
      <c r="Y511">
        <f>Tabela6[[#This Row],[kan_val_acc_1]]</f>
        <v>0.93837208747863765</v>
      </c>
      <c r="Z511">
        <f>Tabela6[[#This Row],[no_steps]]</f>
        <v>11.356936117428157</v>
      </c>
    </row>
    <row r="512" spans="1:26" hidden="1" x14ac:dyDescent="0.25">
      <c r="A512" t="s">
        <v>18</v>
      </c>
      <c r="B512">
        <v>9</v>
      </c>
      <c r="C512">
        <v>2</v>
      </c>
      <c r="D512">
        <v>0</v>
      </c>
      <c r="E512" t="s">
        <v>61</v>
      </c>
      <c r="F512">
        <v>40576</v>
      </c>
      <c r="G512">
        <v>32815608.454545453</v>
      </c>
      <c r="H512">
        <v>0.91608390482989221</v>
      </c>
      <c r="I512">
        <v>0.91544818817546092</v>
      </c>
      <c r="J512">
        <v>8277025.4545454541</v>
      </c>
      <c r="K512">
        <v>54795</v>
      </c>
      <c r="L512">
        <v>2</v>
      </c>
      <c r="M512">
        <v>157</v>
      </c>
      <c r="N512">
        <v>0.91290527654164011</v>
      </c>
      <c r="O512">
        <v>9552433.2727272734</v>
      </c>
      <c r="P512">
        <v>55460</v>
      </c>
      <c r="Q512">
        <v>2</v>
      </c>
      <c r="R512">
        <v>158</v>
      </c>
      <c r="S512">
        <v>11.355188435725349</v>
      </c>
      <c r="T512">
        <v>0.92790699005126953</v>
      </c>
      <c r="W512">
        <f>Tabela6[[#This Row],[mlp_params]]</f>
        <v>54795</v>
      </c>
      <c r="X512">
        <f>Tabela6[[#This Row],[mlp_test_acc]]</f>
        <v>0.91544818817546092</v>
      </c>
      <c r="Y512">
        <f>Tabela6[[#This Row],[kan_val_acc_1]]</f>
        <v>0.92790699005126953</v>
      </c>
      <c r="Z512">
        <f>Tabela6[[#This Row],[no_steps]]</f>
        <v>11.355188435725349</v>
      </c>
    </row>
    <row r="513" spans="1:26" hidden="1" x14ac:dyDescent="0.25">
      <c r="A513" t="s">
        <v>18</v>
      </c>
      <c r="B513">
        <v>9</v>
      </c>
      <c r="C513">
        <v>2</v>
      </c>
      <c r="D513">
        <v>0</v>
      </c>
      <c r="E513" t="s">
        <v>53</v>
      </c>
      <c r="F513">
        <v>41140</v>
      </c>
      <c r="G513">
        <v>31053673.322580647</v>
      </c>
      <c r="H513">
        <v>0.91788857213912467</v>
      </c>
      <c r="I513">
        <v>0.91473043085946315</v>
      </c>
      <c r="J513">
        <v>9175730.6451612897</v>
      </c>
      <c r="K513">
        <v>55460</v>
      </c>
      <c r="L513">
        <v>2</v>
      </c>
      <c r="M513">
        <v>158</v>
      </c>
      <c r="N513">
        <v>0.91089555605684636</v>
      </c>
      <c r="O513">
        <v>10426322.322580645</v>
      </c>
      <c r="P513">
        <v>56129</v>
      </c>
      <c r="Q513">
        <v>2</v>
      </c>
      <c r="R513">
        <v>159</v>
      </c>
      <c r="S513">
        <v>11.348600247015233</v>
      </c>
      <c r="T513">
        <v>0.92248062888781235</v>
      </c>
      <c r="W513">
        <f>Tabela6[[#This Row],[mlp_params]]</f>
        <v>55460</v>
      </c>
      <c r="X513">
        <f>Tabela6[[#This Row],[mlp_test_acc]]</f>
        <v>0.91473043085946315</v>
      </c>
      <c r="Y513">
        <f>Tabela6[[#This Row],[kan_val_acc_1]]</f>
        <v>0.92248062888781235</v>
      </c>
      <c r="Z513">
        <f>Tabela6[[#This Row],[no_steps]]</f>
        <v>11.348600247015233</v>
      </c>
    </row>
    <row r="514" spans="1:26" hidden="1" x14ac:dyDescent="0.25">
      <c r="A514" t="s">
        <v>18</v>
      </c>
      <c r="B514">
        <v>9</v>
      </c>
      <c r="C514">
        <v>2</v>
      </c>
      <c r="D514">
        <v>0</v>
      </c>
      <c r="E514" t="s">
        <v>62</v>
      </c>
      <c r="F514">
        <v>41586</v>
      </c>
      <c r="G514">
        <v>30487164.90909091</v>
      </c>
      <c r="H514">
        <v>0.92244119535792957</v>
      </c>
      <c r="I514">
        <v>0.90972663699936429</v>
      </c>
      <c r="J514">
        <v>8849978.5454545449</v>
      </c>
      <c r="K514">
        <v>56129</v>
      </c>
      <c r="L514">
        <v>2</v>
      </c>
      <c r="M514">
        <v>159</v>
      </c>
      <c r="N514">
        <v>0.90909090909090906</v>
      </c>
      <c r="O514">
        <v>10046131.363636363</v>
      </c>
      <c r="P514">
        <v>56802</v>
      </c>
      <c r="Q514">
        <v>2</v>
      </c>
      <c r="R514">
        <v>160</v>
      </c>
      <c r="S514">
        <v>11.345635858949317</v>
      </c>
      <c r="T514">
        <v>0.94302325248718266</v>
      </c>
      <c r="W514">
        <f>Tabela6[[#This Row],[mlp_params]]</f>
        <v>56129</v>
      </c>
      <c r="X514">
        <f>Tabela6[[#This Row],[mlp_test_acc]]</f>
        <v>0.90972663699936429</v>
      </c>
      <c r="Y514">
        <f>Tabela6[[#This Row],[kan_val_acc_1]]</f>
        <v>0.94302325248718266</v>
      </c>
      <c r="Z514">
        <f>Tabela6[[#This Row],[no_steps]]</f>
        <v>11.345635858949317</v>
      </c>
    </row>
    <row r="515" spans="1:26" hidden="1" x14ac:dyDescent="0.25">
      <c r="A515" t="s">
        <v>18</v>
      </c>
      <c r="B515">
        <v>9</v>
      </c>
      <c r="C515">
        <v>2</v>
      </c>
      <c r="D515">
        <v>0</v>
      </c>
      <c r="E515" t="s">
        <v>54</v>
      </c>
      <c r="F515">
        <v>42094</v>
      </c>
      <c r="G515">
        <v>32235927.838709679</v>
      </c>
      <c r="H515">
        <v>0.92916760521550334</v>
      </c>
      <c r="I515">
        <v>0.91134671779833065</v>
      </c>
      <c r="J515">
        <v>8955083.4193548393</v>
      </c>
      <c r="K515">
        <v>56802</v>
      </c>
      <c r="L515">
        <v>2</v>
      </c>
      <c r="M515">
        <v>160</v>
      </c>
      <c r="N515">
        <v>0.91179787953981495</v>
      </c>
      <c r="O515">
        <v>10317015.903225806</v>
      </c>
      <c r="P515">
        <v>57479</v>
      </c>
      <c r="Q515">
        <v>2</v>
      </c>
      <c r="R515">
        <v>161</v>
      </c>
      <c r="S515">
        <v>11.339516294322607</v>
      </c>
      <c r="T515">
        <v>0.93837208946545914</v>
      </c>
      <c r="W515">
        <f>Tabela6[[#This Row],[mlp_params]]</f>
        <v>56802</v>
      </c>
      <c r="X515">
        <f>Tabela6[[#This Row],[mlp_test_acc]]</f>
        <v>0.91134671779833065</v>
      </c>
      <c r="Y515">
        <f>Tabela6[[#This Row],[kan_val_acc_1]]</f>
        <v>0.93837208946545914</v>
      </c>
      <c r="Z515">
        <f>Tabela6[[#This Row],[no_steps]]</f>
        <v>11.339516294322607</v>
      </c>
    </row>
    <row r="516" spans="1:26" hidden="1" x14ac:dyDescent="0.25">
      <c r="A516" t="s">
        <v>18</v>
      </c>
      <c r="B516">
        <v>9</v>
      </c>
      <c r="C516">
        <v>2</v>
      </c>
      <c r="D516">
        <v>0</v>
      </c>
      <c r="E516" t="s">
        <v>63</v>
      </c>
      <c r="F516">
        <v>42596</v>
      </c>
      <c r="G516">
        <v>28783332.545454547</v>
      </c>
      <c r="H516">
        <v>0.9230769114060835</v>
      </c>
      <c r="I516">
        <v>0.91354100445009534</v>
      </c>
      <c r="J516">
        <v>8309110.2727272725</v>
      </c>
      <c r="K516">
        <v>57479</v>
      </c>
      <c r="L516">
        <v>2</v>
      </c>
      <c r="M516">
        <v>161</v>
      </c>
      <c r="N516">
        <v>0.90972663699936429</v>
      </c>
      <c r="O516">
        <v>9534889.9090909082</v>
      </c>
      <c r="P516">
        <v>58160</v>
      </c>
      <c r="Q516">
        <v>2</v>
      </c>
      <c r="R516">
        <v>162</v>
      </c>
      <c r="S516">
        <v>11.336063056607637</v>
      </c>
      <c r="T516">
        <v>0.93720930814743042</v>
      </c>
      <c r="W516">
        <f>Tabela6[[#This Row],[mlp_params]]</f>
        <v>57479</v>
      </c>
      <c r="X516">
        <f>Tabela6[[#This Row],[mlp_test_acc]]</f>
        <v>0.91354100445009534</v>
      </c>
      <c r="Y516">
        <f>Tabela6[[#This Row],[kan_val_acc_1]]</f>
        <v>0.93720930814743042</v>
      </c>
      <c r="Z516">
        <f>Tabela6[[#This Row],[no_steps]]</f>
        <v>11.336063056607637</v>
      </c>
    </row>
    <row r="517" spans="1:26" hidden="1" x14ac:dyDescent="0.25">
      <c r="A517" t="s">
        <v>18</v>
      </c>
      <c r="B517">
        <v>9</v>
      </c>
      <c r="C517">
        <v>2</v>
      </c>
      <c r="D517">
        <v>0</v>
      </c>
      <c r="E517" t="s">
        <v>86</v>
      </c>
      <c r="F517">
        <v>42928</v>
      </c>
      <c r="G517">
        <v>36166165.238095239</v>
      </c>
      <c r="H517">
        <v>0.92873793556576678</v>
      </c>
      <c r="I517">
        <v>0.90842490842490842</v>
      </c>
      <c r="J517">
        <v>9741008.333333334</v>
      </c>
      <c r="K517">
        <v>58160</v>
      </c>
      <c r="L517">
        <v>2</v>
      </c>
      <c r="M517">
        <v>162</v>
      </c>
      <c r="N517">
        <v>0.91308691308691303</v>
      </c>
      <c r="O517">
        <v>9722687.7619047612</v>
      </c>
      <c r="P517">
        <v>58845</v>
      </c>
      <c r="Q517">
        <v>2</v>
      </c>
      <c r="R517">
        <v>163</v>
      </c>
      <c r="S517">
        <v>11.334218590398367</v>
      </c>
      <c r="T517">
        <v>0.93604650795459743</v>
      </c>
      <c r="W517">
        <f>Tabela6[[#This Row],[mlp_params]]</f>
        <v>58160</v>
      </c>
      <c r="X517">
        <f>Tabela6[[#This Row],[mlp_test_acc]]</f>
        <v>0.90842490842490842</v>
      </c>
      <c r="Y517">
        <f>Tabela6[[#This Row],[kan_val_acc_1]]</f>
        <v>0.93604650795459743</v>
      </c>
      <c r="Z517">
        <f>Tabela6[[#This Row],[no_steps]]</f>
        <v>11.334218590398367</v>
      </c>
    </row>
    <row r="518" spans="1:26" hidden="1" x14ac:dyDescent="0.25">
      <c r="A518" t="s">
        <v>18</v>
      </c>
      <c r="B518">
        <v>9</v>
      </c>
      <c r="C518">
        <v>2</v>
      </c>
      <c r="D518">
        <v>0</v>
      </c>
      <c r="E518" t="s">
        <v>64</v>
      </c>
      <c r="F518">
        <v>43606</v>
      </c>
      <c r="G518">
        <v>29525440.454545453</v>
      </c>
      <c r="H518">
        <v>0.9167196371338584</v>
      </c>
      <c r="I518">
        <v>0.91163382072472976</v>
      </c>
      <c r="J518">
        <v>10129340.545454545</v>
      </c>
      <c r="K518">
        <v>58845</v>
      </c>
      <c r="L518">
        <v>2</v>
      </c>
      <c r="M518">
        <v>163</v>
      </c>
      <c r="N518">
        <v>0.90845518118245394</v>
      </c>
      <c r="O518">
        <v>7603035.9090909092</v>
      </c>
      <c r="P518">
        <v>59534</v>
      </c>
      <c r="Q518">
        <v>2</v>
      </c>
      <c r="R518">
        <v>164</v>
      </c>
      <c r="S518">
        <v>11.330986634016938</v>
      </c>
      <c r="T518">
        <v>0.92441862225532534</v>
      </c>
      <c r="W518">
        <f>Tabela6[[#This Row],[mlp_params]]</f>
        <v>58845</v>
      </c>
      <c r="X518">
        <f>Tabela6[[#This Row],[mlp_test_acc]]</f>
        <v>0.91163382072472976</v>
      </c>
      <c r="Y518">
        <f>Tabela6[[#This Row],[kan_val_acc_1]]</f>
        <v>0.92441862225532534</v>
      </c>
      <c r="Z518">
        <f>Tabela6[[#This Row],[no_steps]]</f>
        <v>11.330986634016938</v>
      </c>
    </row>
    <row r="519" spans="1:26" hidden="1" x14ac:dyDescent="0.25">
      <c r="A519" t="s">
        <v>18</v>
      </c>
      <c r="B519">
        <v>9</v>
      </c>
      <c r="C519">
        <v>2</v>
      </c>
      <c r="D519">
        <v>0</v>
      </c>
      <c r="E519" t="s">
        <v>72</v>
      </c>
      <c r="F519">
        <v>43940</v>
      </c>
      <c r="G519">
        <v>34141048</v>
      </c>
      <c r="H519">
        <v>0.92053400928323914</v>
      </c>
      <c r="I519">
        <v>0.91163382072472976</v>
      </c>
      <c r="J519">
        <v>8963585.3636363633</v>
      </c>
      <c r="K519">
        <v>59534</v>
      </c>
      <c r="L519">
        <v>2</v>
      </c>
      <c r="M519">
        <v>164</v>
      </c>
      <c r="N519">
        <v>0.90909090909090906</v>
      </c>
      <c r="O519">
        <v>9776185.1818181816</v>
      </c>
      <c r="P519">
        <v>60227</v>
      </c>
      <c r="Q519">
        <v>2</v>
      </c>
      <c r="R519">
        <v>165</v>
      </c>
      <c r="S519">
        <v>11.328883000407664</v>
      </c>
      <c r="T519">
        <v>0.93255814909934998</v>
      </c>
      <c r="W519">
        <f>Tabela6[[#This Row],[mlp_params]]</f>
        <v>59534</v>
      </c>
      <c r="X519">
        <f>Tabela6[[#This Row],[mlp_test_acc]]</f>
        <v>0.91163382072472976</v>
      </c>
      <c r="Y519">
        <f>Tabela6[[#This Row],[kan_val_acc_1]]</f>
        <v>0.93255814909934998</v>
      </c>
      <c r="Z519">
        <f>Tabela6[[#This Row],[no_steps]]</f>
        <v>11.328883000407664</v>
      </c>
    </row>
    <row r="520" spans="1:26" hidden="1" x14ac:dyDescent="0.25">
      <c r="A520" t="s">
        <v>18</v>
      </c>
      <c r="B520">
        <v>9</v>
      </c>
      <c r="C520">
        <v>2</v>
      </c>
      <c r="D520">
        <v>0</v>
      </c>
      <c r="E520" t="s">
        <v>65</v>
      </c>
      <c r="F520">
        <v>44616</v>
      </c>
      <c r="G520">
        <v>36563678.523809522</v>
      </c>
      <c r="H520">
        <v>0.92141192299979069</v>
      </c>
      <c r="I520">
        <v>0.91042291042291035</v>
      </c>
      <c r="J520">
        <v>9158772.4761904757</v>
      </c>
      <c r="K520">
        <v>60227</v>
      </c>
      <c r="L520">
        <v>2</v>
      </c>
      <c r="M520">
        <v>165</v>
      </c>
      <c r="N520">
        <v>0.91242091242091239</v>
      </c>
      <c r="O520">
        <v>9762018.1904761903</v>
      </c>
      <c r="P520">
        <v>60924</v>
      </c>
      <c r="Q520">
        <v>2</v>
      </c>
      <c r="R520">
        <v>166</v>
      </c>
      <c r="S520">
        <v>11.326451744126919</v>
      </c>
      <c r="T520">
        <v>0.93546511232852936</v>
      </c>
      <c r="W520">
        <f>Tabela6[[#This Row],[mlp_params]]</f>
        <v>60227</v>
      </c>
      <c r="X520">
        <f>Tabela6[[#This Row],[mlp_test_acc]]</f>
        <v>0.91042291042291035</v>
      </c>
      <c r="Y520">
        <f>Tabela6[[#This Row],[kan_val_acc_1]]</f>
        <v>0.93546511232852936</v>
      </c>
      <c r="Z520">
        <f>Tabela6[[#This Row],[no_steps]]</f>
        <v>11.326451744126919</v>
      </c>
    </row>
    <row r="521" spans="1:26" hidden="1" x14ac:dyDescent="0.25">
      <c r="A521" t="s">
        <v>18</v>
      </c>
      <c r="B521">
        <v>9</v>
      </c>
      <c r="C521">
        <v>2</v>
      </c>
      <c r="D521">
        <v>0</v>
      </c>
      <c r="E521" t="s">
        <v>73</v>
      </c>
      <c r="F521">
        <v>45006</v>
      </c>
      <c r="G521">
        <v>32027647.181818184</v>
      </c>
      <c r="H521">
        <v>0.92561983520334412</v>
      </c>
      <c r="I521">
        <v>0.91036236490781941</v>
      </c>
      <c r="J521">
        <v>9392228.8181818184</v>
      </c>
      <c r="K521">
        <v>60924</v>
      </c>
      <c r="L521">
        <v>2</v>
      </c>
      <c r="M521">
        <v>166</v>
      </c>
      <c r="N521">
        <v>0.91290527654164011</v>
      </c>
      <c r="O521">
        <v>10326519.363636363</v>
      </c>
      <c r="P521">
        <v>61625</v>
      </c>
      <c r="Q521">
        <v>2</v>
      </c>
      <c r="R521">
        <v>167</v>
      </c>
      <c r="S521">
        <v>11.323547338480292</v>
      </c>
      <c r="T521">
        <v>0.94302323460578918</v>
      </c>
      <c r="W521">
        <f>Tabela6[[#This Row],[mlp_params]]</f>
        <v>60924</v>
      </c>
      <c r="X521">
        <f>Tabela6[[#This Row],[mlp_test_acc]]</f>
        <v>0.91036236490781941</v>
      </c>
      <c r="Y521">
        <f>Tabela6[[#This Row],[kan_val_acc_1]]</f>
        <v>0.94302323460578918</v>
      </c>
      <c r="Z521">
        <f>Tabela6[[#This Row],[no_steps]]</f>
        <v>11.323547338480292</v>
      </c>
    </row>
    <row r="522" spans="1:26" hidden="1" x14ac:dyDescent="0.25">
      <c r="A522" t="s">
        <v>18</v>
      </c>
      <c r="B522">
        <v>9</v>
      </c>
      <c r="C522">
        <v>2</v>
      </c>
      <c r="D522">
        <v>0</v>
      </c>
      <c r="E522" t="s">
        <v>74</v>
      </c>
      <c r="F522">
        <v>46072</v>
      </c>
      <c r="G522">
        <v>34401918.333333336</v>
      </c>
      <c r="H522">
        <v>0.9180819193522135</v>
      </c>
      <c r="I522">
        <v>0.91142191142191142</v>
      </c>
      <c r="J522">
        <v>9961031.1904761903</v>
      </c>
      <c r="K522">
        <v>62330</v>
      </c>
      <c r="L522">
        <v>2</v>
      </c>
      <c r="M522">
        <v>168</v>
      </c>
      <c r="N522">
        <v>0.91408591408591411</v>
      </c>
      <c r="O522">
        <v>10251448.904761905</v>
      </c>
      <c r="P522">
        <v>63039</v>
      </c>
      <c r="Q522">
        <v>2</v>
      </c>
      <c r="R522">
        <v>169</v>
      </c>
      <c r="S522">
        <v>11.319513431322859</v>
      </c>
      <c r="T522">
        <v>0.92441861927509306</v>
      </c>
      <c r="W522">
        <f>Tabela6[[#This Row],[mlp_params]]</f>
        <v>62330</v>
      </c>
      <c r="X522">
        <f>Tabela6[[#This Row],[mlp_test_acc]]</f>
        <v>0.91142191142191142</v>
      </c>
      <c r="Y522">
        <f>Tabela6[[#This Row],[kan_val_acc_1]]</f>
        <v>0.92441861927509306</v>
      </c>
      <c r="Z522">
        <f>Tabela6[[#This Row],[no_steps]]</f>
        <v>11.319513431322859</v>
      </c>
    </row>
    <row r="523" spans="1:26" hidden="1" x14ac:dyDescent="0.25">
      <c r="A523" t="s">
        <v>18</v>
      </c>
      <c r="B523">
        <v>9</v>
      </c>
      <c r="C523">
        <v>2</v>
      </c>
      <c r="D523">
        <v>0</v>
      </c>
      <c r="E523" t="s">
        <v>75</v>
      </c>
      <c r="F523">
        <v>47138</v>
      </c>
      <c r="G523">
        <v>29411963.952380951</v>
      </c>
      <c r="H523">
        <v>0.93772893292563297</v>
      </c>
      <c r="I523">
        <v>0.91275391275391271</v>
      </c>
      <c r="J523">
        <v>8889691.9523809515</v>
      </c>
      <c r="K523">
        <v>63752</v>
      </c>
      <c r="L523">
        <v>2</v>
      </c>
      <c r="M523">
        <v>170</v>
      </c>
      <c r="N523">
        <v>0.90409590409590412</v>
      </c>
      <c r="O523">
        <v>10723012.428571429</v>
      </c>
      <c r="P523">
        <v>64469</v>
      </c>
      <c r="Q523">
        <v>2</v>
      </c>
      <c r="R523">
        <v>171</v>
      </c>
      <c r="S523">
        <v>11.312057454986849</v>
      </c>
      <c r="T523">
        <v>0.94418604969978337</v>
      </c>
      <c r="W523">
        <f>Tabela6[[#This Row],[mlp_params]]</f>
        <v>63752</v>
      </c>
      <c r="X523">
        <f>Tabela6[[#This Row],[mlp_test_acc]]</f>
        <v>0.91275391275391271</v>
      </c>
      <c r="Y523">
        <f>Tabela6[[#This Row],[kan_val_acc_1]]</f>
        <v>0.94418604969978337</v>
      </c>
      <c r="Z523">
        <f>Tabela6[[#This Row],[no_steps]]</f>
        <v>11.312057454986849</v>
      </c>
    </row>
    <row r="524" spans="1:26" hidden="1" x14ac:dyDescent="0.25">
      <c r="A524" t="s">
        <v>18</v>
      </c>
      <c r="B524">
        <v>9</v>
      </c>
      <c r="C524">
        <v>2</v>
      </c>
      <c r="D524">
        <v>0</v>
      </c>
      <c r="E524" t="s">
        <v>91</v>
      </c>
      <c r="F524">
        <v>48538</v>
      </c>
      <c r="G524">
        <v>35447799.571428575</v>
      </c>
      <c r="H524">
        <v>0.92740593637738911</v>
      </c>
      <c r="I524">
        <v>0.91142191142191142</v>
      </c>
      <c r="J524">
        <v>9560288.9523809515</v>
      </c>
      <c r="K524">
        <v>65190</v>
      </c>
      <c r="L524">
        <v>2</v>
      </c>
      <c r="M524">
        <v>172</v>
      </c>
      <c r="N524">
        <v>0.91508491508491507</v>
      </c>
      <c r="O524">
        <v>10319472.952380951</v>
      </c>
      <c r="P524">
        <v>65915</v>
      </c>
      <c r="Q524">
        <v>2</v>
      </c>
      <c r="R524">
        <v>173</v>
      </c>
      <c r="S524">
        <v>11.308065004542243</v>
      </c>
      <c r="T524">
        <v>0.93139535188674927</v>
      </c>
      <c r="W524">
        <f>Tabela6[[#This Row],[mlp_params]]</f>
        <v>65190</v>
      </c>
      <c r="X524">
        <f>Tabela6[[#This Row],[mlp_test_acc]]</f>
        <v>0.91142191142191142</v>
      </c>
      <c r="Y524">
        <f>Tabela6[[#This Row],[kan_val_acc_1]]</f>
        <v>0.93139535188674927</v>
      </c>
      <c r="Z524">
        <f>Tabela6[[#This Row],[no_steps]]</f>
        <v>11.308065004542243</v>
      </c>
    </row>
    <row r="525" spans="1:26" hidden="1" x14ac:dyDescent="0.25">
      <c r="A525" t="s">
        <v>18</v>
      </c>
      <c r="B525">
        <v>9</v>
      </c>
      <c r="C525">
        <v>2</v>
      </c>
      <c r="D525">
        <v>0</v>
      </c>
      <c r="E525" t="s">
        <v>92</v>
      </c>
      <c r="F525">
        <v>49660</v>
      </c>
      <c r="G525">
        <v>50752060.272727273</v>
      </c>
      <c r="H525">
        <v>0.93706293539567431</v>
      </c>
      <c r="I525">
        <v>0.91099809281627464</v>
      </c>
      <c r="J525">
        <v>9461864.8181818184</v>
      </c>
      <c r="K525">
        <v>66644</v>
      </c>
      <c r="L525">
        <v>2</v>
      </c>
      <c r="M525">
        <v>174</v>
      </c>
      <c r="N525">
        <v>0.91036236490781941</v>
      </c>
      <c r="O525">
        <v>11506814.545454545</v>
      </c>
      <c r="P525">
        <v>67377</v>
      </c>
      <c r="Q525">
        <v>2</v>
      </c>
      <c r="R525">
        <v>175</v>
      </c>
      <c r="S525">
        <v>11.309941520467836</v>
      </c>
      <c r="T525">
        <v>0.95348835587501524</v>
      </c>
      <c r="W525">
        <f>Tabela6[[#This Row],[mlp_params]]</f>
        <v>66644</v>
      </c>
      <c r="X525">
        <f>Tabela6[[#This Row],[mlp_test_acc]]</f>
        <v>0.91099809281627464</v>
      </c>
      <c r="Y525">
        <f>Tabela6[[#This Row],[kan_val_acc_1]]</f>
        <v>0.95348835587501524</v>
      </c>
      <c r="Z525">
        <f>Tabela6[[#This Row],[no_steps]]</f>
        <v>11.309941520467836</v>
      </c>
    </row>
    <row r="526" spans="1:26" hidden="1" x14ac:dyDescent="0.25">
      <c r="A526" t="s">
        <v>18</v>
      </c>
      <c r="B526">
        <v>9</v>
      </c>
      <c r="C526">
        <v>2</v>
      </c>
      <c r="D526">
        <v>0</v>
      </c>
      <c r="E526" t="s">
        <v>105</v>
      </c>
      <c r="F526">
        <v>9880</v>
      </c>
      <c r="G526">
        <v>35515880.090909094</v>
      </c>
      <c r="H526">
        <v>0.93642720851031214</v>
      </c>
      <c r="I526">
        <v>0.90718372536554348</v>
      </c>
      <c r="J526">
        <v>8528485.1818181816</v>
      </c>
      <c r="K526">
        <v>13215</v>
      </c>
      <c r="L526">
        <v>2</v>
      </c>
      <c r="M526">
        <v>73</v>
      </c>
      <c r="N526">
        <v>0.91099809281627464</v>
      </c>
      <c r="O526">
        <v>10313381.727272727</v>
      </c>
      <c r="P526">
        <v>13544</v>
      </c>
      <c r="Q526">
        <v>2</v>
      </c>
      <c r="R526">
        <v>74</v>
      </c>
      <c r="S526">
        <v>11.307885990532784</v>
      </c>
      <c r="T526">
        <v>0.94651162028312685</v>
      </c>
      <c r="W526">
        <f>Tabela6[[#This Row],[mlp_params]]</f>
        <v>13215</v>
      </c>
      <c r="X526">
        <f>Tabela6[[#This Row],[mlp_test_acc]]</f>
        <v>0.90718372536554348</v>
      </c>
      <c r="Y526">
        <f>Tabela6[[#This Row],[kan_val_acc_1]]</f>
        <v>0.94651162028312685</v>
      </c>
      <c r="Z526">
        <f>Tabela6[[#This Row],[no_steps]]</f>
        <v>11.307885990532784</v>
      </c>
    </row>
    <row r="527" spans="1:26" hidden="1" x14ac:dyDescent="0.25">
      <c r="A527" t="s">
        <v>18</v>
      </c>
      <c r="B527">
        <v>9</v>
      </c>
      <c r="C527">
        <v>2</v>
      </c>
      <c r="D527">
        <v>0</v>
      </c>
      <c r="E527" t="s">
        <v>19</v>
      </c>
      <c r="F527">
        <v>10778</v>
      </c>
      <c r="G527">
        <v>10735984.272727273</v>
      </c>
      <c r="H527">
        <v>0.92307692766189575</v>
      </c>
      <c r="I527">
        <v>0.91099809281627464</v>
      </c>
      <c r="J527">
        <v>4313999.6363636367</v>
      </c>
      <c r="K527">
        <v>14555</v>
      </c>
      <c r="L527">
        <v>2</v>
      </c>
      <c r="M527">
        <v>77</v>
      </c>
      <c r="N527">
        <v>0.90781945327399871</v>
      </c>
      <c r="O527">
        <v>3807720.2727272729</v>
      </c>
      <c r="P527">
        <v>14900</v>
      </c>
      <c r="Q527">
        <v>2</v>
      </c>
      <c r="R527">
        <v>78</v>
      </c>
      <c r="S527">
        <v>11.306338028169014</v>
      </c>
      <c r="T527">
        <v>0.97093021869659424</v>
      </c>
      <c r="W527">
        <f>Tabela6[[#This Row],[mlp_params]]</f>
        <v>14555</v>
      </c>
      <c r="X527">
        <f>Tabela6[[#This Row],[mlp_test_acc]]</f>
        <v>0.91099809281627464</v>
      </c>
      <c r="Y527">
        <f>Tabela6[[#This Row],[kan_val_acc_1]]</f>
        <v>0.97093021869659424</v>
      </c>
      <c r="Z527">
        <f>Tabela6[[#This Row],[no_steps]]</f>
        <v>11.306338028169014</v>
      </c>
    </row>
    <row r="528" spans="1:26" hidden="1" x14ac:dyDescent="0.25">
      <c r="A528" t="s">
        <v>18</v>
      </c>
      <c r="B528">
        <v>9</v>
      </c>
      <c r="C528">
        <v>2</v>
      </c>
      <c r="D528">
        <v>0</v>
      </c>
      <c r="E528" t="s">
        <v>20</v>
      </c>
      <c r="F528">
        <v>11676</v>
      </c>
      <c r="G528">
        <v>9231679.1818181816</v>
      </c>
      <c r="H528">
        <v>0.93515573848377576</v>
      </c>
      <c r="I528">
        <v>0.91290527654164022</v>
      </c>
      <c r="J528">
        <v>3669613.3636363638</v>
      </c>
      <c r="K528">
        <v>15602</v>
      </c>
      <c r="L528">
        <v>2</v>
      </c>
      <c r="M528">
        <v>80</v>
      </c>
      <c r="N528">
        <v>0.91163382072472987</v>
      </c>
      <c r="O528">
        <v>3086415.1818181816</v>
      </c>
      <c r="P528">
        <v>15959</v>
      </c>
      <c r="Q528">
        <v>2</v>
      </c>
      <c r="R528">
        <v>81</v>
      </c>
      <c r="S528">
        <v>11.302683147422369</v>
      </c>
      <c r="T528">
        <v>0.97209300994873049</v>
      </c>
      <c r="W528">
        <f>Tabela6[[#This Row],[mlp_params]]</f>
        <v>15602</v>
      </c>
      <c r="X528">
        <f>Tabela6[[#This Row],[mlp_test_acc]]</f>
        <v>0.91290527654164022</v>
      </c>
      <c r="Y528">
        <f>Tabela6[[#This Row],[kan_val_acc_1]]</f>
        <v>0.97209300994873049</v>
      </c>
      <c r="Z528">
        <f>Tabela6[[#This Row],[no_steps]]</f>
        <v>11.302683147422369</v>
      </c>
    </row>
    <row r="529" spans="1:26" hidden="1" x14ac:dyDescent="0.25">
      <c r="A529" t="s">
        <v>18</v>
      </c>
      <c r="B529">
        <v>9</v>
      </c>
      <c r="C529">
        <v>2</v>
      </c>
      <c r="D529">
        <v>0</v>
      </c>
      <c r="E529" t="s">
        <v>21</v>
      </c>
      <c r="F529">
        <v>12574</v>
      </c>
      <c r="G529">
        <v>11874582.181818182</v>
      </c>
      <c r="H529">
        <v>0.92180546305396338</v>
      </c>
      <c r="I529">
        <v>0.91163382072472976</v>
      </c>
      <c r="J529">
        <v>3723482.8181818184</v>
      </c>
      <c r="K529">
        <v>16685</v>
      </c>
      <c r="L529">
        <v>2</v>
      </c>
      <c r="M529">
        <v>83</v>
      </c>
      <c r="N529">
        <v>0.90845518118245394</v>
      </c>
      <c r="O529">
        <v>3156320</v>
      </c>
      <c r="P529">
        <v>17054</v>
      </c>
      <c r="Q529">
        <v>2</v>
      </c>
      <c r="R529">
        <v>84</v>
      </c>
      <c r="S529">
        <v>11.301144348524392</v>
      </c>
      <c r="T529">
        <v>0.93720929622650151</v>
      </c>
      <c r="W529">
        <f>Tabela6[[#This Row],[mlp_params]]</f>
        <v>16685</v>
      </c>
      <c r="X529">
        <f>Tabela6[[#This Row],[mlp_test_acc]]</f>
        <v>0.91163382072472976</v>
      </c>
      <c r="Y529">
        <f>Tabela6[[#This Row],[kan_val_acc_1]]</f>
        <v>0.93720929622650151</v>
      </c>
      <c r="Z529">
        <f>Tabela6[[#This Row],[no_steps]]</f>
        <v>11.301144348524392</v>
      </c>
    </row>
    <row r="530" spans="1:26" hidden="1" x14ac:dyDescent="0.25">
      <c r="A530" t="s">
        <v>18</v>
      </c>
      <c r="B530">
        <v>9</v>
      </c>
      <c r="C530">
        <v>2</v>
      </c>
      <c r="D530">
        <v>0</v>
      </c>
      <c r="E530" t="s">
        <v>22</v>
      </c>
      <c r="F530">
        <v>13472</v>
      </c>
      <c r="G530">
        <v>11364514.272727273</v>
      </c>
      <c r="H530">
        <v>0.93579146536913782</v>
      </c>
      <c r="I530">
        <v>0.91290527654164011</v>
      </c>
      <c r="J530">
        <v>4494692.8181818184</v>
      </c>
      <c r="K530">
        <v>18185</v>
      </c>
      <c r="L530">
        <v>2</v>
      </c>
      <c r="M530">
        <v>87</v>
      </c>
      <c r="N530">
        <v>0.90845518118245394</v>
      </c>
      <c r="O530">
        <v>4625098.4545454541</v>
      </c>
      <c r="P530">
        <v>18570</v>
      </c>
      <c r="Q530">
        <v>2</v>
      </c>
      <c r="R530">
        <v>88</v>
      </c>
      <c r="S530">
        <v>11.29900731976336</v>
      </c>
      <c r="T530">
        <v>0.96976742744445799</v>
      </c>
      <c r="W530">
        <f>Tabela6[[#This Row],[mlp_params]]</f>
        <v>18185</v>
      </c>
      <c r="X530">
        <f>Tabela6[[#This Row],[mlp_test_acc]]</f>
        <v>0.91290527654164011</v>
      </c>
      <c r="Y530">
        <f>Tabela6[[#This Row],[kan_val_acc_1]]</f>
        <v>0.96976742744445799</v>
      </c>
      <c r="Z530">
        <f>Tabela6[[#This Row],[no_steps]]</f>
        <v>11.29900731976336</v>
      </c>
    </row>
    <row r="531" spans="1:26" hidden="1" x14ac:dyDescent="0.25">
      <c r="A531" t="s">
        <v>18</v>
      </c>
      <c r="B531">
        <v>9</v>
      </c>
      <c r="C531">
        <v>2</v>
      </c>
      <c r="D531">
        <v>0</v>
      </c>
      <c r="E531" t="s">
        <v>39</v>
      </c>
      <c r="F531">
        <v>14370</v>
      </c>
      <c r="G531">
        <v>11249976.181818182</v>
      </c>
      <c r="H531">
        <v>0.92752701044082642</v>
      </c>
      <c r="I531">
        <v>0.90781945327399871</v>
      </c>
      <c r="J531">
        <v>8938481.9090909082</v>
      </c>
      <c r="K531">
        <v>19352</v>
      </c>
      <c r="L531">
        <v>2</v>
      </c>
      <c r="M531">
        <v>90</v>
      </c>
      <c r="N531">
        <v>0.91099809281627464</v>
      </c>
      <c r="O531">
        <v>8104166.9090909092</v>
      </c>
      <c r="P531">
        <v>19749</v>
      </c>
      <c r="Q531">
        <v>2</v>
      </c>
      <c r="R531">
        <v>91</v>
      </c>
      <c r="S531">
        <v>11.296173878205128</v>
      </c>
      <c r="T531">
        <v>0.97558138370513914</v>
      </c>
      <c r="W531">
        <f>Tabela6[[#This Row],[mlp_params]]</f>
        <v>19352</v>
      </c>
      <c r="X531">
        <f>Tabela6[[#This Row],[mlp_test_acc]]</f>
        <v>0.90781945327399871</v>
      </c>
      <c r="Y531">
        <f>Tabela6[[#This Row],[kan_val_acc_1]]</f>
        <v>0.97558138370513914</v>
      </c>
      <c r="Z531">
        <f>Tabela6[[#This Row],[no_steps]]</f>
        <v>11.296173878205128</v>
      </c>
    </row>
    <row r="532" spans="1:26" hidden="1" x14ac:dyDescent="0.25">
      <c r="A532" t="s">
        <v>18</v>
      </c>
      <c r="B532">
        <v>9</v>
      </c>
      <c r="C532">
        <v>2</v>
      </c>
      <c r="D532">
        <v>0</v>
      </c>
      <c r="E532" t="s">
        <v>55</v>
      </c>
      <c r="F532">
        <v>15268</v>
      </c>
      <c r="G532">
        <v>18478237.272727273</v>
      </c>
      <c r="H532">
        <v>0.93579146536913782</v>
      </c>
      <c r="I532">
        <v>0.91481246026700569</v>
      </c>
      <c r="J532">
        <v>8825368.5454545449</v>
      </c>
      <c r="K532">
        <v>20555</v>
      </c>
      <c r="L532">
        <v>2</v>
      </c>
      <c r="M532">
        <v>93</v>
      </c>
      <c r="N532">
        <v>0.91481246026700569</v>
      </c>
      <c r="O532">
        <v>8102013.4545454541</v>
      </c>
      <c r="P532">
        <v>20964</v>
      </c>
      <c r="Q532">
        <v>2</v>
      </c>
      <c r="R532">
        <v>94</v>
      </c>
      <c r="S532">
        <v>11.299049524762381</v>
      </c>
      <c r="T532">
        <v>0.95348834991455078</v>
      </c>
      <c r="W532">
        <f>Tabela6[[#This Row],[mlp_params]]</f>
        <v>20555</v>
      </c>
      <c r="X532">
        <f>Tabela6[[#This Row],[mlp_test_acc]]</f>
        <v>0.91481246026700569</v>
      </c>
      <c r="Y532">
        <f>Tabela6[[#This Row],[kan_val_acc_1]]</f>
        <v>0.95348834991455078</v>
      </c>
      <c r="Z532">
        <f>Tabela6[[#This Row],[no_steps]]</f>
        <v>11.299049524762381</v>
      </c>
    </row>
    <row r="533" spans="1:26" hidden="1" x14ac:dyDescent="0.25">
      <c r="A533" t="s">
        <v>18</v>
      </c>
      <c r="B533">
        <v>9</v>
      </c>
      <c r="C533">
        <v>2</v>
      </c>
      <c r="D533">
        <v>0</v>
      </c>
      <c r="E533" t="s">
        <v>66</v>
      </c>
      <c r="F533">
        <v>16166</v>
      </c>
      <c r="G533">
        <v>13758508.818181818</v>
      </c>
      <c r="H533">
        <v>0.93261283094232728</v>
      </c>
      <c r="I533">
        <v>0.91290527654164022</v>
      </c>
      <c r="J533">
        <v>6864532</v>
      </c>
      <c r="K533">
        <v>21794</v>
      </c>
      <c r="L533">
        <v>2</v>
      </c>
      <c r="M533">
        <v>96</v>
      </c>
      <c r="N533">
        <v>0.91544818817546092</v>
      </c>
      <c r="O533">
        <v>9399323</v>
      </c>
      <c r="P533">
        <v>22215</v>
      </c>
      <c r="Q533">
        <v>2</v>
      </c>
      <c r="R533">
        <v>97</v>
      </c>
      <c r="S533">
        <v>11.297321607035778</v>
      </c>
      <c r="T533">
        <v>0.93953488469123836</v>
      </c>
      <c r="W533">
        <f>Tabela6[[#This Row],[mlp_params]]</f>
        <v>21794</v>
      </c>
      <c r="X533">
        <f>Tabela6[[#This Row],[mlp_test_acc]]</f>
        <v>0.91290527654164022</v>
      </c>
      <c r="Y533">
        <f>Tabela6[[#This Row],[kan_val_acc_1]]</f>
        <v>0.93953488469123836</v>
      </c>
      <c r="Z533">
        <f>Tabela6[[#This Row],[no_steps]]</f>
        <v>11.297321607035778</v>
      </c>
    </row>
    <row r="534" spans="1:26" hidden="1" x14ac:dyDescent="0.25">
      <c r="A534" t="s">
        <v>18</v>
      </c>
      <c r="B534">
        <v>9</v>
      </c>
      <c r="C534">
        <v>2</v>
      </c>
      <c r="D534">
        <v>0</v>
      </c>
      <c r="E534" t="s">
        <v>76</v>
      </c>
      <c r="F534">
        <v>17064</v>
      </c>
      <c r="G534">
        <v>23476588.181818184</v>
      </c>
      <c r="H534">
        <v>0.9262555620887063</v>
      </c>
      <c r="I534">
        <v>0.91354100445009534</v>
      </c>
      <c r="J534">
        <v>8933040.3636363633</v>
      </c>
      <c r="K534">
        <v>23069</v>
      </c>
      <c r="L534">
        <v>2</v>
      </c>
      <c r="M534">
        <v>99</v>
      </c>
      <c r="N534">
        <v>0.91290527654164022</v>
      </c>
      <c r="O534">
        <v>8485100.9090909082</v>
      </c>
      <c r="P534">
        <v>23502</v>
      </c>
      <c r="Q534">
        <v>2</v>
      </c>
      <c r="R534">
        <v>100</v>
      </c>
      <c r="S534">
        <v>11.302585604472396</v>
      </c>
      <c r="T534">
        <v>0.96976742744445799</v>
      </c>
      <c r="W534">
        <f>Tabela6[[#This Row],[mlp_params]]</f>
        <v>23069</v>
      </c>
      <c r="X534">
        <f>Tabela6[[#This Row],[mlp_test_acc]]</f>
        <v>0.91354100445009534</v>
      </c>
      <c r="Y534">
        <f>Tabela6[[#This Row],[kan_val_acc_1]]</f>
        <v>0.96976742744445799</v>
      </c>
      <c r="Z534">
        <f>Tabela6[[#This Row],[no_steps]]</f>
        <v>11.302585604472396</v>
      </c>
    </row>
    <row r="535" spans="1:26" hidden="1" x14ac:dyDescent="0.25">
      <c r="A535" t="s">
        <v>18</v>
      </c>
      <c r="B535">
        <v>9</v>
      </c>
      <c r="C535">
        <v>3</v>
      </c>
      <c r="D535">
        <v>0</v>
      </c>
      <c r="E535" t="s">
        <v>55</v>
      </c>
      <c r="F535">
        <v>16356</v>
      </c>
      <c r="G535">
        <v>17132039.636363637</v>
      </c>
      <c r="H535">
        <v>0.92498410289937805</v>
      </c>
      <c r="I535">
        <v>0.91099809281627464</v>
      </c>
      <c r="J535">
        <v>8245970.9090909092</v>
      </c>
      <c r="K535">
        <v>23939</v>
      </c>
      <c r="L535">
        <v>2</v>
      </c>
      <c r="M535">
        <v>101</v>
      </c>
      <c r="N535">
        <v>0.91544818817546092</v>
      </c>
      <c r="O535">
        <v>8704683.5454545449</v>
      </c>
      <c r="P535">
        <v>24380</v>
      </c>
      <c r="Q535">
        <v>2</v>
      </c>
      <c r="R535">
        <v>102</v>
      </c>
      <c r="S535">
        <v>11.302353410450738</v>
      </c>
      <c r="T535">
        <v>0.95348834991455078</v>
      </c>
      <c r="W535">
        <f>Tabela6[[#This Row],[mlp_params]]</f>
        <v>23939</v>
      </c>
      <c r="X535">
        <f>Tabela6[[#This Row],[mlp_test_acc]]</f>
        <v>0.91099809281627464</v>
      </c>
      <c r="Y535">
        <f>Tabela6[[#This Row],[kan_val_acc_1]]</f>
        <v>0.95348834991455078</v>
      </c>
      <c r="Z535">
        <f>Tabela6[[#This Row],[no_steps]]</f>
        <v>11.302353410450738</v>
      </c>
    </row>
    <row r="536" spans="1:26" hidden="1" x14ac:dyDescent="0.25">
      <c r="A536" t="s">
        <v>18</v>
      </c>
      <c r="B536">
        <v>9</v>
      </c>
      <c r="C536">
        <v>3</v>
      </c>
      <c r="D536">
        <v>0</v>
      </c>
      <c r="E536" t="s">
        <v>66</v>
      </c>
      <c r="F536">
        <v>17318</v>
      </c>
      <c r="G536">
        <v>25744701.818181816</v>
      </c>
      <c r="H536">
        <v>0.93070565028624097</v>
      </c>
      <c r="I536">
        <v>0.9198982835346472</v>
      </c>
      <c r="J536">
        <v>8554154.6363636367</v>
      </c>
      <c r="K536">
        <v>25274</v>
      </c>
      <c r="L536">
        <v>2</v>
      </c>
      <c r="M536">
        <v>104</v>
      </c>
      <c r="N536">
        <v>0.91036236490781941</v>
      </c>
      <c r="O536">
        <v>8636979.5454545449</v>
      </c>
      <c r="P536">
        <v>25727</v>
      </c>
      <c r="Q536">
        <v>2</v>
      </c>
      <c r="R536">
        <v>105</v>
      </c>
      <c r="S536">
        <v>11.306006574359996</v>
      </c>
      <c r="T536">
        <v>0.95930230617523193</v>
      </c>
      <c r="W536">
        <f>Tabela6[[#This Row],[mlp_params]]</f>
        <v>25274</v>
      </c>
      <c r="X536">
        <f>Tabela6[[#This Row],[mlp_test_acc]]</f>
        <v>0.9198982835346472</v>
      </c>
      <c r="Y536">
        <f>Tabela6[[#This Row],[kan_val_acc_1]]</f>
        <v>0.95930230617523193</v>
      </c>
      <c r="Z536">
        <f>Tabela6[[#This Row],[no_steps]]</f>
        <v>11.306006574359996</v>
      </c>
    </row>
    <row r="537" spans="1:26" hidden="1" x14ac:dyDescent="0.25">
      <c r="A537" t="s">
        <v>18</v>
      </c>
      <c r="B537">
        <v>9</v>
      </c>
      <c r="C537">
        <v>3</v>
      </c>
      <c r="D537">
        <v>0</v>
      </c>
      <c r="E537" t="s">
        <v>76</v>
      </c>
      <c r="F537">
        <v>18280</v>
      </c>
      <c r="G537">
        <v>23518182.181818184</v>
      </c>
      <c r="H537">
        <v>0.93324856324629346</v>
      </c>
      <c r="I537">
        <v>0.91226954863318499</v>
      </c>
      <c r="J537">
        <v>9005236.0909090918</v>
      </c>
      <c r="K537">
        <v>26645</v>
      </c>
      <c r="L537">
        <v>2</v>
      </c>
      <c r="M537">
        <v>107</v>
      </c>
      <c r="N537">
        <v>0.90400508582326766</v>
      </c>
      <c r="O537">
        <v>5308673.1818181816</v>
      </c>
      <c r="P537">
        <v>27110</v>
      </c>
      <c r="Q537">
        <v>2</v>
      </c>
      <c r="R537">
        <v>108</v>
      </c>
      <c r="S537">
        <v>11.307761194029851</v>
      </c>
      <c r="T537">
        <v>0.96627905368804934</v>
      </c>
      <c r="W537">
        <f>Tabela6[[#This Row],[mlp_params]]</f>
        <v>26645</v>
      </c>
      <c r="X537">
        <f>Tabela6[[#This Row],[mlp_test_acc]]</f>
        <v>0.91226954863318499</v>
      </c>
      <c r="Y537">
        <f>Tabela6[[#This Row],[kan_val_acc_1]]</f>
        <v>0.96627905368804934</v>
      </c>
      <c r="Z537">
        <f>Tabela6[[#This Row],[no_steps]]</f>
        <v>11.307761194029851</v>
      </c>
    </row>
    <row r="538" spans="1:26" hidden="1" x14ac:dyDescent="0.25">
      <c r="A538" t="s">
        <v>18</v>
      </c>
      <c r="B538">
        <v>9</v>
      </c>
      <c r="C538">
        <v>3</v>
      </c>
      <c r="D538">
        <v>0</v>
      </c>
      <c r="E538" t="s">
        <v>93</v>
      </c>
      <c r="F538">
        <v>19242</v>
      </c>
      <c r="G538">
        <v>26602198.636363637</v>
      </c>
      <c r="H538">
        <v>0.93070565570484509</v>
      </c>
      <c r="I538">
        <v>0.90781945327399871</v>
      </c>
      <c r="J538">
        <v>8005456.7272727275</v>
      </c>
      <c r="K538">
        <v>28052</v>
      </c>
      <c r="L538">
        <v>2</v>
      </c>
      <c r="M538">
        <v>110</v>
      </c>
      <c r="N538">
        <v>0.91290527654164011</v>
      </c>
      <c r="O538">
        <v>9407999.8181818184</v>
      </c>
      <c r="P538">
        <v>28529</v>
      </c>
      <c r="Q538">
        <v>2</v>
      </c>
      <c r="R538">
        <v>111</v>
      </c>
      <c r="S538">
        <v>11.310605307623497</v>
      </c>
      <c r="T538">
        <v>0.95232557058334355</v>
      </c>
      <c r="W538">
        <f>Tabela6[[#This Row],[mlp_params]]</f>
        <v>28052</v>
      </c>
      <c r="X538">
        <f>Tabela6[[#This Row],[mlp_test_acc]]</f>
        <v>0.90781945327399871</v>
      </c>
      <c r="Y538">
        <f>Tabela6[[#This Row],[kan_val_acc_1]]</f>
        <v>0.95232557058334355</v>
      </c>
      <c r="Z538">
        <f>Tabela6[[#This Row],[no_steps]]</f>
        <v>11.310605307623497</v>
      </c>
    </row>
    <row r="539" spans="1:26" hidden="1" x14ac:dyDescent="0.25">
      <c r="A539" t="s">
        <v>18</v>
      </c>
      <c r="B539">
        <v>9</v>
      </c>
      <c r="C539">
        <v>3</v>
      </c>
      <c r="D539">
        <v>0</v>
      </c>
      <c r="E539" t="s">
        <v>94</v>
      </c>
      <c r="F539">
        <v>20204</v>
      </c>
      <c r="G539">
        <v>23120669.181818184</v>
      </c>
      <c r="H539">
        <v>0.93006992340087891</v>
      </c>
      <c r="I539">
        <v>0.91099809281627464</v>
      </c>
      <c r="J539">
        <v>7780771.5454545459</v>
      </c>
      <c r="K539">
        <v>29495</v>
      </c>
      <c r="L539">
        <v>2</v>
      </c>
      <c r="M539">
        <v>113</v>
      </c>
      <c r="N539">
        <v>0.91036236490781941</v>
      </c>
      <c r="O539">
        <v>7576359.5454545459</v>
      </c>
      <c r="P539">
        <v>29984</v>
      </c>
      <c r="Q539">
        <v>2</v>
      </c>
      <c r="R539">
        <v>114</v>
      </c>
      <c r="S539">
        <v>11.311060365369341</v>
      </c>
      <c r="T539">
        <v>0.96046509742736819</v>
      </c>
      <c r="W539">
        <f>Tabela6[[#This Row],[mlp_params]]</f>
        <v>29495</v>
      </c>
      <c r="X539">
        <f>Tabela6[[#This Row],[mlp_test_acc]]</f>
        <v>0.91099809281627464</v>
      </c>
      <c r="Y539">
        <f>Tabela6[[#This Row],[kan_val_acc_1]]</f>
        <v>0.96046509742736819</v>
      </c>
      <c r="Z539">
        <f>Tabela6[[#This Row],[no_steps]]</f>
        <v>11.311060365369341</v>
      </c>
    </row>
    <row r="540" spans="1:26" hidden="1" x14ac:dyDescent="0.25">
      <c r="A540" t="s">
        <v>18</v>
      </c>
      <c r="B540">
        <v>9</v>
      </c>
      <c r="C540">
        <v>3</v>
      </c>
      <c r="D540">
        <v>0</v>
      </c>
      <c r="E540" t="s">
        <v>95</v>
      </c>
      <c r="F540">
        <v>21166</v>
      </c>
      <c r="G540">
        <v>23178734.727272727</v>
      </c>
      <c r="H540">
        <v>0.92116974700580945</v>
      </c>
      <c r="I540">
        <v>0.91290527654164011</v>
      </c>
      <c r="J540">
        <v>7947382.4545454541</v>
      </c>
      <c r="K540">
        <v>30974</v>
      </c>
      <c r="L540">
        <v>2</v>
      </c>
      <c r="M540">
        <v>116</v>
      </c>
      <c r="N540">
        <v>0.91417673235855057</v>
      </c>
      <c r="O540">
        <v>9550859.3636363633</v>
      </c>
      <c r="P540">
        <v>31475</v>
      </c>
      <c r="Q540">
        <v>2</v>
      </c>
      <c r="R540">
        <v>117</v>
      </c>
      <c r="S540">
        <v>11.310820192403055</v>
      </c>
      <c r="T540">
        <v>0.95465114712715149</v>
      </c>
      <c r="W540">
        <f>Tabela6[[#This Row],[mlp_params]]</f>
        <v>30974</v>
      </c>
      <c r="X540">
        <f>Tabela6[[#This Row],[mlp_test_acc]]</f>
        <v>0.91290527654164011</v>
      </c>
      <c r="Y540">
        <f>Tabela6[[#This Row],[kan_val_acc_1]]</f>
        <v>0.95465114712715149</v>
      </c>
      <c r="Z540">
        <f>Tabela6[[#This Row],[no_steps]]</f>
        <v>11.310820192403055</v>
      </c>
    </row>
    <row r="541" spans="1:26" hidden="1" x14ac:dyDescent="0.25">
      <c r="A541" t="s">
        <v>18</v>
      </c>
      <c r="B541">
        <v>9</v>
      </c>
      <c r="C541">
        <v>3</v>
      </c>
      <c r="D541">
        <v>0</v>
      </c>
      <c r="E541" t="s">
        <v>96</v>
      </c>
      <c r="F541">
        <v>22128</v>
      </c>
      <c r="G541">
        <v>18405339.09090909</v>
      </c>
      <c r="H541">
        <v>0.92816274816339661</v>
      </c>
      <c r="I541">
        <v>0.91099809281627464</v>
      </c>
      <c r="J541">
        <v>7478772.5454545459</v>
      </c>
      <c r="K541">
        <v>31980</v>
      </c>
      <c r="L541">
        <v>2</v>
      </c>
      <c r="M541">
        <v>118</v>
      </c>
      <c r="N541">
        <v>0.91354100445009534</v>
      </c>
      <c r="O541">
        <v>9025101.0909090918</v>
      </c>
      <c r="P541">
        <v>32489</v>
      </c>
      <c r="Q541">
        <v>2</v>
      </c>
      <c r="R541">
        <v>119</v>
      </c>
      <c r="S541">
        <v>11.308004755300178</v>
      </c>
      <c r="T541">
        <v>0.96395347118377683</v>
      </c>
      <c r="W541">
        <f>Tabela6[[#This Row],[mlp_params]]</f>
        <v>31980</v>
      </c>
      <c r="X541">
        <f>Tabela6[[#This Row],[mlp_test_acc]]</f>
        <v>0.91099809281627464</v>
      </c>
      <c r="Y541">
        <f>Tabela6[[#This Row],[kan_val_acc_1]]</f>
        <v>0.96395347118377683</v>
      </c>
      <c r="Z541">
        <f>Tabela6[[#This Row],[no_steps]]</f>
        <v>11.308004755300178</v>
      </c>
    </row>
    <row r="542" spans="1:26" hidden="1" x14ac:dyDescent="0.25">
      <c r="A542" t="s">
        <v>18</v>
      </c>
      <c r="B542">
        <v>9</v>
      </c>
      <c r="C542">
        <v>3</v>
      </c>
      <c r="D542">
        <v>0</v>
      </c>
      <c r="E542" t="s">
        <v>97</v>
      </c>
      <c r="F542">
        <v>23090</v>
      </c>
      <c r="G542">
        <v>36394985.545454547</v>
      </c>
      <c r="H542">
        <v>0.92752702127803455</v>
      </c>
      <c r="I542">
        <v>0.91290527654164011</v>
      </c>
      <c r="J542">
        <v>9432469.9090909082</v>
      </c>
      <c r="K542">
        <v>33519</v>
      </c>
      <c r="L542">
        <v>2</v>
      </c>
      <c r="M542">
        <v>121</v>
      </c>
      <c r="N542">
        <v>0.91226954863318499</v>
      </c>
      <c r="O542">
        <v>8484211.8181818184</v>
      </c>
      <c r="P542">
        <v>34040</v>
      </c>
      <c r="Q542">
        <v>2</v>
      </c>
      <c r="R542">
        <v>122</v>
      </c>
      <c r="S542">
        <v>11.314002968827314</v>
      </c>
      <c r="T542">
        <v>0.95697672963142399</v>
      </c>
      <c r="W542">
        <f>Tabela6[[#This Row],[mlp_params]]</f>
        <v>33519</v>
      </c>
      <c r="X542">
        <f>Tabela6[[#This Row],[mlp_test_acc]]</f>
        <v>0.91290527654164011</v>
      </c>
      <c r="Y542">
        <f>Tabela6[[#This Row],[kan_val_acc_1]]</f>
        <v>0.95697672963142399</v>
      </c>
      <c r="Z542">
        <f>Tabela6[[#This Row],[no_steps]]</f>
        <v>11.314002968827314</v>
      </c>
    </row>
    <row r="543" spans="1:26" hidden="1" x14ac:dyDescent="0.25">
      <c r="A543" t="s">
        <v>18</v>
      </c>
      <c r="B543">
        <v>9</v>
      </c>
      <c r="C543">
        <v>3</v>
      </c>
      <c r="D543">
        <v>0</v>
      </c>
      <c r="E543" t="s">
        <v>98</v>
      </c>
      <c r="F543">
        <v>24052</v>
      </c>
      <c r="G543">
        <v>35740269.909090906</v>
      </c>
      <c r="H543">
        <v>0.93261283094232728</v>
      </c>
      <c r="I543">
        <v>0.90845518118245383</v>
      </c>
      <c r="J543">
        <v>8718589.3636363633</v>
      </c>
      <c r="K543">
        <v>35094</v>
      </c>
      <c r="L543">
        <v>2</v>
      </c>
      <c r="M543">
        <v>124</v>
      </c>
      <c r="N543">
        <v>0.90972663699936429</v>
      </c>
      <c r="O543">
        <v>9350049.3636363633</v>
      </c>
      <c r="P543">
        <v>35627</v>
      </c>
      <c r="Q543">
        <v>2</v>
      </c>
      <c r="R543">
        <v>125</v>
      </c>
      <c r="S543">
        <v>11.319197311190194</v>
      </c>
      <c r="T543">
        <v>0.96046509742736819</v>
      </c>
      <c r="W543">
        <f>Tabela6[[#This Row],[mlp_params]]</f>
        <v>35094</v>
      </c>
      <c r="X543">
        <f>Tabela6[[#This Row],[mlp_test_acc]]</f>
        <v>0.90845518118245383</v>
      </c>
      <c r="Y543">
        <f>Tabela6[[#This Row],[kan_val_acc_1]]</f>
        <v>0.96046509742736819</v>
      </c>
      <c r="Z543">
        <f>Tabela6[[#This Row],[no_steps]]</f>
        <v>11.319197311190194</v>
      </c>
    </row>
    <row r="544" spans="1:26" hidden="1" x14ac:dyDescent="0.25">
      <c r="A544" t="s">
        <v>18</v>
      </c>
      <c r="B544">
        <v>9</v>
      </c>
      <c r="C544">
        <v>3</v>
      </c>
      <c r="D544">
        <v>0</v>
      </c>
      <c r="E544" t="s">
        <v>99</v>
      </c>
      <c r="F544">
        <v>25014</v>
      </c>
      <c r="G544">
        <v>31321336.818181816</v>
      </c>
      <c r="H544">
        <v>0.93388428471305152</v>
      </c>
      <c r="I544">
        <v>0.91290527654164011</v>
      </c>
      <c r="J544">
        <v>8358001</v>
      </c>
      <c r="K544">
        <v>36164</v>
      </c>
      <c r="L544">
        <v>2</v>
      </c>
      <c r="M544">
        <v>126</v>
      </c>
      <c r="N544">
        <v>0.91671964399237127</v>
      </c>
      <c r="O544">
        <v>9777202.6363636367</v>
      </c>
      <c r="P544">
        <v>36705</v>
      </c>
      <c r="Q544">
        <v>2</v>
      </c>
      <c r="R544">
        <v>127</v>
      </c>
      <c r="S544">
        <v>11.32141799150785</v>
      </c>
      <c r="T544">
        <v>0.95813952088356014</v>
      </c>
      <c r="W544">
        <f>Tabela6[[#This Row],[mlp_params]]</f>
        <v>36164</v>
      </c>
      <c r="X544">
        <f>Tabela6[[#This Row],[mlp_test_acc]]</f>
        <v>0.91290527654164011</v>
      </c>
      <c r="Y544">
        <f>Tabela6[[#This Row],[kan_val_acc_1]]</f>
        <v>0.95813952088356014</v>
      </c>
      <c r="Z544">
        <f>Tabela6[[#This Row],[no_steps]]</f>
        <v>11.32141799150785</v>
      </c>
    </row>
    <row r="545" spans="1:26" hidden="1" x14ac:dyDescent="0.25">
      <c r="A545" t="s">
        <v>18</v>
      </c>
      <c r="B545">
        <v>9</v>
      </c>
      <c r="C545">
        <v>3</v>
      </c>
      <c r="D545">
        <v>0</v>
      </c>
      <c r="E545" t="s">
        <v>100</v>
      </c>
      <c r="F545">
        <v>25976</v>
      </c>
      <c r="G545">
        <v>28213235.09090909</v>
      </c>
      <c r="H545">
        <v>0.93579146536913782</v>
      </c>
      <c r="I545">
        <v>0.91290527654164011</v>
      </c>
      <c r="J545">
        <v>9714359.6363636367</v>
      </c>
      <c r="K545">
        <v>37799</v>
      </c>
      <c r="L545">
        <v>2</v>
      </c>
      <c r="M545">
        <v>129</v>
      </c>
      <c r="N545">
        <v>0.91608391608391604</v>
      </c>
      <c r="O545">
        <v>10063015.454545455</v>
      </c>
      <c r="P545">
        <v>38352</v>
      </c>
      <c r="Q545">
        <v>2</v>
      </c>
      <c r="R545">
        <v>130</v>
      </c>
      <c r="S545">
        <v>11.32195699348984</v>
      </c>
      <c r="T545">
        <v>0.96046509742736819</v>
      </c>
      <c r="W545">
        <f>Tabela6[[#This Row],[mlp_params]]</f>
        <v>37799</v>
      </c>
      <c r="X545">
        <f>Tabela6[[#This Row],[mlp_test_acc]]</f>
        <v>0.91290527654164011</v>
      </c>
      <c r="Y545">
        <f>Tabela6[[#This Row],[kan_val_acc_1]]</f>
        <v>0.96046509742736819</v>
      </c>
      <c r="Z545">
        <f>Tabela6[[#This Row],[no_steps]]</f>
        <v>11.32195699348984</v>
      </c>
    </row>
    <row r="546" spans="1:26" hidden="1" x14ac:dyDescent="0.25">
      <c r="A546" t="s">
        <v>18</v>
      </c>
      <c r="B546">
        <v>9</v>
      </c>
      <c r="C546">
        <v>3</v>
      </c>
      <c r="D546">
        <v>0</v>
      </c>
      <c r="E546" t="s">
        <v>101</v>
      </c>
      <c r="F546">
        <v>26938</v>
      </c>
      <c r="G546">
        <v>21131878.454545453</v>
      </c>
      <c r="H546">
        <v>0.9364271922545</v>
      </c>
      <c r="I546">
        <v>0.91481246026700569</v>
      </c>
      <c r="J546">
        <v>10620886.636363637</v>
      </c>
      <c r="K546">
        <v>39470</v>
      </c>
      <c r="L546">
        <v>2</v>
      </c>
      <c r="M546">
        <v>132</v>
      </c>
      <c r="N546">
        <v>0.91290527654164011</v>
      </c>
      <c r="O546">
        <v>9167445.7272727266</v>
      </c>
      <c r="P546">
        <v>40035</v>
      </c>
      <c r="Q546">
        <v>2</v>
      </c>
      <c r="R546">
        <v>133</v>
      </c>
      <c r="S546">
        <v>11.31875061582422</v>
      </c>
      <c r="T546">
        <v>0.96511626243591309</v>
      </c>
      <c r="W546">
        <f>Tabela6[[#This Row],[mlp_params]]</f>
        <v>39470</v>
      </c>
      <c r="X546">
        <f>Tabela6[[#This Row],[mlp_test_acc]]</f>
        <v>0.91481246026700569</v>
      </c>
      <c r="Y546">
        <f>Tabela6[[#This Row],[kan_val_acc_1]]</f>
        <v>0.96511626243591309</v>
      </c>
      <c r="Z546">
        <f>Tabela6[[#This Row],[no_steps]]</f>
        <v>11.31875061582422</v>
      </c>
    </row>
    <row r="547" spans="1:26" hidden="1" x14ac:dyDescent="0.25">
      <c r="A547" t="s">
        <v>18</v>
      </c>
      <c r="B547">
        <v>9</v>
      </c>
      <c r="C547">
        <v>3</v>
      </c>
      <c r="D547">
        <v>0</v>
      </c>
      <c r="E547" t="s">
        <v>102</v>
      </c>
      <c r="F547">
        <v>27900</v>
      </c>
      <c r="G547">
        <v>32398142.454545453</v>
      </c>
      <c r="H547">
        <v>0.92752701585943054</v>
      </c>
      <c r="I547">
        <v>0.91417673235855057</v>
      </c>
      <c r="J547">
        <v>9153467.7272727266</v>
      </c>
      <c r="K547">
        <v>40604</v>
      </c>
      <c r="L547">
        <v>2</v>
      </c>
      <c r="M547">
        <v>134</v>
      </c>
      <c r="N547">
        <v>0.90781945327399871</v>
      </c>
      <c r="O547">
        <v>9533248.1818181816</v>
      </c>
      <c r="P547">
        <v>41177</v>
      </c>
      <c r="Q547">
        <v>2</v>
      </c>
      <c r="R547">
        <v>135</v>
      </c>
      <c r="S547">
        <v>11.320570866141733</v>
      </c>
      <c r="T547">
        <v>0.95813951492309568</v>
      </c>
      <c r="W547">
        <f>Tabela6[[#This Row],[mlp_params]]</f>
        <v>40604</v>
      </c>
      <c r="X547">
        <f>Tabela6[[#This Row],[mlp_test_acc]]</f>
        <v>0.91417673235855057</v>
      </c>
      <c r="Y547">
        <f>Tabela6[[#This Row],[kan_val_acc_1]]</f>
        <v>0.95813951492309568</v>
      </c>
      <c r="Z547">
        <f>Tabela6[[#This Row],[no_steps]]</f>
        <v>11.320570866141733</v>
      </c>
    </row>
    <row r="548" spans="1:26" hidden="1" x14ac:dyDescent="0.25">
      <c r="A548" t="s">
        <v>18</v>
      </c>
      <c r="B548">
        <v>9</v>
      </c>
      <c r="C548">
        <v>3</v>
      </c>
      <c r="D548">
        <v>0</v>
      </c>
      <c r="E548" t="s">
        <v>103</v>
      </c>
      <c r="F548">
        <v>28862</v>
      </c>
      <c r="G548">
        <v>38032301.190476194</v>
      </c>
      <c r="H548">
        <v>0.92773891914458506</v>
      </c>
      <c r="I548">
        <v>0.90742590742590745</v>
      </c>
      <c r="J548">
        <v>9444546.666666666</v>
      </c>
      <c r="K548">
        <v>41754</v>
      </c>
      <c r="L548">
        <v>2</v>
      </c>
      <c r="M548">
        <v>136</v>
      </c>
      <c r="N548">
        <v>0.91242091242091239</v>
      </c>
      <c r="O548">
        <v>9213249.9523809515</v>
      </c>
      <c r="P548">
        <v>42335</v>
      </c>
      <c r="Q548">
        <v>2</v>
      </c>
      <c r="R548">
        <v>137</v>
      </c>
      <c r="S548">
        <v>11.326294077202633</v>
      </c>
      <c r="T548">
        <v>0.94825580716133118</v>
      </c>
      <c r="W548">
        <f>Tabela6[[#This Row],[mlp_params]]</f>
        <v>41754</v>
      </c>
      <c r="X548">
        <f>Tabela6[[#This Row],[mlp_test_acc]]</f>
        <v>0.90742590742590745</v>
      </c>
      <c r="Y548">
        <f>Tabela6[[#This Row],[kan_val_acc_1]]</f>
        <v>0.94825580716133118</v>
      </c>
      <c r="Z548">
        <f>Tabela6[[#This Row],[no_steps]]</f>
        <v>11.326294077202633</v>
      </c>
    </row>
    <row r="549" spans="1:26" hidden="1" x14ac:dyDescent="0.25">
      <c r="A549" t="s">
        <v>18</v>
      </c>
      <c r="B549">
        <v>9</v>
      </c>
      <c r="C549">
        <v>3</v>
      </c>
      <c r="D549">
        <v>0</v>
      </c>
      <c r="E549" t="s">
        <v>24</v>
      </c>
      <c r="F549">
        <v>28924</v>
      </c>
      <c r="G549">
        <v>26208549.727272727</v>
      </c>
      <c r="H549">
        <v>0.93261283094232728</v>
      </c>
      <c r="I549">
        <v>0.92053401144310232</v>
      </c>
      <c r="J549">
        <v>9895909.3636363633</v>
      </c>
      <c r="K549">
        <v>42335</v>
      </c>
      <c r="L549">
        <v>2</v>
      </c>
      <c r="M549">
        <v>137</v>
      </c>
      <c r="N549">
        <v>0.91862682771773685</v>
      </c>
      <c r="O549">
        <v>9511006.2727272734</v>
      </c>
      <c r="P549">
        <v>42920</v>
      </c>
      <c r="Q549">
        <v>2</v>
      </c>
      <c r="R549">
        <v>138</v>
      </c>
      <c r="S549">
        <v>11.324666405023548</v>
      </c>
      <c r="T549">
        <v>0.95930231213569639</v>
      </c>
      <c r="W549">
        <f>Tabela6[[#This Row],[mlp_params]]</f>
        <v>42335</v>
      </c>
      <c r="X549">
        <f>Tabela6[[#This Row],[mlp_test_acc]]</f>
        <v>0.92053401144310232</v>
      </c>
      <c r="Y549">
        <f>Tabela6[[#This Row],[kan_val_acc_1]]</f>
        <v>0.95930231213569639</v>
      </c>
      <c r="Z549">
        <f>Tabela6[[#This Row],[no_steps]]</f>
        <v>11.324666405023548</v>
      </c>
    </row>
    <row r="550" spans="1:26" hidden="1" x14ac:dyDescent="0.25">
      <c r="A550" t="s">
        <v>18</v>
      </c>
      <c r="B550">
        <v>9</v>
      </c>
      <c r="C550">
        <v>3</v>
      </c>
      <c r="D550">
        <v>0</v>
      </c>
      <c r="E550" t="s">
        <v>104</v>
      </c>
      <c r="F550">
        <v>29824</v>
      </c>
      <c r="G550">
        <v>32560315.90909091</v>
      </c>
      <c r="H550">
        <v>0.91671964255246252</v>
      </c>
      <c r="I550">
        <v>0.91036236490781941</v>
      </c>
      <c r="J550">
        <v>9101795.3636363633</v>
      </c>
      <c r="K550">
        <v>43509</v>
      </c>
      <c r="L550">
        <v>2</v>
      </c>
      <c r="M550">
        <v>139</v>
      </c>
      <c r="N550">
        <v>0.90972663699936429</v>
      </c>
      <c r="O550">
        <v>10049816.818181818</v>
      </c>
      <c r="P550">
        <v>44102</v>
      </c>
      <c r="Q550">
        <v>2</v>
      </c>
      <c r="R550">
        <v>140</v>
      </c>
      <c r="S550">
        <v>11.324610408703322</v>
      </c>
      <c r="T550">
        <v>0.94999998211860659</v>
      </c>
      <c r="W550">
        <f>Tabela6[[#This Row],[mlp_params]]</f>
        <v>43509</v>
      </c>
      <c r="X550">
        <f>Tabela6[[#This Row],[mlp_test_acc]]</f>
        <v>0.91036236490781941</v>
      </c>
      <c r="Y550">
        <f>Tabela6[[#This Row],[kan_val_acc_1]]</f>
        <v>0.94999998211860659</v>
      </c>
      <c r="Z550">
        <f>Tabela6[[#This Row],[no_steps]]</f>
        <v>11.324610408703322</v>
      </c>
    </row>
    <row r="551" spans="1:26" hidden="1" x14ac:dyDescent="0.25">
      <c r="A551" t="s">
        <v>18</v>
      </c>
      <c r="B551">
        <v>9</v>
      </c>
      <c r="C551">
        <v>3</v>
      </c>
      <c r="D551">
        <v>0</v>
      </c>
      <c r="E551" t="s">
        <v>26</v>
      </c>
      <c r="F551">
        <v>30848</v>
      </c>
      <c r="G551">
        <v>28144199.615384616</v>
      </c>
      <c r="H551">
        <v>0.92495964811398435</v>
      </c>
      <c r="I551">
        <v>0.9225389994620764</v>
      </c>
      <c r="J551">
        <v>9098599.5</v>
      </c>
      <c r="K551">
        <v>44699</v>
      </c>
      <c r="L551">
        <v>2</v>
      </c>
      <c r="M551">
        <v>141</v>
      </c>
      <c r="N551">
        <v>0.91877353415814955</v>
      </c>
      <c r="O551">
        <v>9042647.4230769239</v>
      </c>
      <c r="P551">
        <v>45300</v>
      </c>
      <c r="Q551">
        <v>2</v>
      </c>
      <c r="R551">
        <v>142</v>
      </c>
      <c r="S551">
        <v>11.320656955714146</v>
      </c>
      <c r="T551">
        <v>0.95395347595214841</v>
      </c>
      <c r="W551">
        <f>Tabela6[[#This Row],[mlp_params]]</f>
        <v>44699</v>
      </c>
      <c r="X551">
        <f>Tabela6[[#This Row],[mlp_test_acc]]</f>
        <v>0.9225389994620764</v>
      </c>
      <c r="Y551">
        <f>Tabela6[[#This Row],[kan_val_acc_1]]</f>
        <v>0.95395347595214841</v>
      </c>
      <c r="Z551">
        <f>Tabela6[[#This Row],[no_steps]]</f>
        <v>11.320656955714146</v>
      </c>
    </row>
    <row r="552" spans="1:26" hidden="1" x14ac:dyDescent="0.25">
      <c r="A552" t="s">
        <v>18</v>
      </c>
      <c r="B552">
        <v>9</v>
      </c>
      <c r="C552">
        <v>3</v>
      </c>
      <c r="D552">
        <v>0</v>
      </c>
      <c r="E552" t="s">
        <v>56</v>
      </c>
      <c r="F552">
        <v>31566</v>
      </c>
      <c r="G552">
        <v>26987106.625</v>
      </c>
      <c r="H552">
        <v>0.92526223510503769</v>
      </c>
      <c r="I552">
        <v>0.93225524475524468</v>
      </c>
      <c r="J552">
        <v>8314206.6875</v>
      </c>
      <c r="K552">
        <v>45905</v>
      </c>
      <c r="L552">
        <v>2</v>
      </c>
      <c r="M552">
        <v>143</v>
      </c>
      <c r="N552">
        <v>0.93181818181818177</v>
      </c>
      <c r="O552">
        <v>10032915.6875</v>
      </c>
      <c r="P552">
        <v>46514</v>
      </c>
      <c r="Q552">
        <v>2</v>
      </c>
      <c r="R552">
        <v>144</v>
      </c>
      <c r="S552">
        <v>11.316837481698389</v>
      </c>
      <c r="T552">
        <v>0.94806199471155805</v>
      </c>
      <c r="W552">
        <f>Tabela6[[#This Row],[mlp_params]]</f>
        <v>45905</v>
      </c>
      <c r="X552">
        <f>Tabela6[[#This Row],[mlp_test_acc]]</f>
        <v>0.93225524475524468</v>
      </c>
      <c r="Y552">
        <f>Tabela6[[#This Row],[kan_val_acc_1]]</f>
        <v>0.94806199471155805</v>
      </c>
      <c r="Z552">
        <f>Tabela6[[#This Row],[no_steps]]</f>
        <v>11.316837481698389</v>
      </c>
    </row>
    <row r="553" spans="1:26" hidden="1" x14ac:dyDescent="0.25">
      <c r="A553" t="s">
        <v>18</v>
      </c>
      <c r="B553">
        <v>9</v>
      </c>
      <c r="C553">
        <v>3</v>
      </c>
      <c r="D553">
        <v>0</v>
      </c>
      <c r="E553" t="s">
        <v>27</v>
      </c>
      <c r="F553">
        <v>31810</v>
      </c>
      <c r="G553">
        <v>34233685</v>
      </c>
      <c r="H553">
        <v>0.94522144397099817</v>
      </c>
      <c r="I553">
        <v>0.96037296037296038</v>
      </c>
      <c r="J553">
        <v>8709448.333333334</v>
      </c>
      <c r="K553">
        <v>46514</v>
      </c>
      <c r="L553">
        <v>2</v>
      </c>
      <c r="M553">
        <v>144</v>
      </c>
      <c r="N553">
        <v>0.9592074592074592</v>
      </c>
      <c r="O553">
        <v>10021598.833333334</v>
      </c>
      <c r="P553">
        <v>47127</v>
      </c>
      <c r="Q553">
        <v>2</v>
      </c>
      <c r="R553">
        <v>145</v>
      </c>
      <c r="S553">
        <v>11.31694468832309</v>
      </c>
      <c r="T553">
        <v>0.97209300994873049</v>
      </c>
      <c r="W553">
        <f>Tabela6[[#This Row],[mlp_params]]</f>
        <v>46514</v>
      </c>
      <c r="X553">
        <f>Tabela6[[#This Row],[mlp_test_acc]]</f>
        <v>0.96037296037296038</v>
      </c>
      <c r="Y553">
        <f>Tabela6[[#This Row],[kan_val_acc_1]]</f>
        <v>0.97209300994873049</v>
      </c>
      <c r="Z553">
        <f>Tabela6[[#This Row],[no_steps]]</f>
        <v>11.31694468832309</v>
      </c>
    </row>
    <row r="554" spans="1:26" hidden="1" x14ac:dyDescent="0.25">
      <c r="A554" t="s">
        <v>18</v>
      </c>
      <c r="B554">
        <v>9</v>
      </c>
      <c r="C554">
        <v>3</v>
      </c>
      <c r="D554">
        <v>0</v>
      </c>
      <c r="E554" t="s">
        <v>28</v>
      </c>
      <c r="F554">
        <v>32772</v>
      </c>
      <c r="G554">
        <v>34242818</v>
      </c>
      <c r="H554">
        <v>0.92963286489248276</v>
      </c>
      <c r="I554">
        <v>0.93050699300699302</v>
      </c>
      <c r="J554">
        <v>8839169.4375</v>
      </c>
      <c r="K554">
        <v>47744</v>
      </c>
      <c r="L554">
        <v>2</v>
      </c>
      <c r="M554">
        <v>146</v>
      </c>
      <c r="N554">
        <v>0.93050699300699291</v>
      </c>
      <c r="O554">
        <v>9638862.125</v>
      </c>
      <c r="P554">
        <v>48365</v>
      </c>
      <c r="Q554">
        <v>2</v>
      </c>
      <c r="R554">
        <v>147</v>
      </c>
      <c r="S554">
        <v>11.316450764585566</v>
      </c>
      <c r="T554">
        <v>0.95116277535756433</v>
      </c>
      <c r="W554">
        <f>Tabela6[[#This Row],[mlp_params]]</f>
        <v>47744</v>
      </c>
      <c r="X554">
        <f>Tabela6[[#This Row],[mlp_test_acc]]</f>
        <v>0.93050699300699302</v>
      </c>
      <c r="Y554">
        <f>Tabela6[[#This Row],[kan_val_acc_1]]</f>
        <v>0.95116277535756433</v>
      </c>
      <c r="Z554">
        <f>Tabela6[[#This Row],[no_steps]]</f>
        <v>11.316450764585566</v>
      </c>
    </row>
    <row r="555" spans="1:26" hidden="1" x14ac:dyDescent="0.25">
      <c r="A555" t="s">
        <v>18</v>
      </c>
      <c r="B555">
        <v>9</v>
      </c>
      <c r="C555">
        <v>3</v>
      </c>
      <c r="D555">
        <v>0</v>
      </c>
      <c r="E555" t="s">
        <v>67</v>
      </c>
      <c r="F555">
        <v>33368</v>
      </c>
      <c r="G555">
        <v>30523199.714285713</v>
      </c>
      <c r="H555">
        <v>0.93606393961679368</v>
      </c>
      <c r="I555">
        <v>0.94239094239094234</v>
      </c>
      <c r="J555">
        <v>8759123.9523809515</v>
      </c>
      <c r="K555">
        <v>48365</v>
      </c>
      <c r="L555">
        <v>2</v>
      </c>
      <c r="M555">
        <v>147</v>
      </c>
      <c r="N555">
        <v>0.93839493839493837</v>
      </c>
      <c r="O555">
        <v>8729395.7142857146</v>
      </c>
      <c r="P555">
        <v>48990</v>
      </c>
      <c r="Q555">
        <v>2</v>
      </c>
      <c r="R555">
        <v>148</v>
      </c>
      <c r="S555">
        <v>11.313277604976673</v>
      </c>
      <c r="T555">
        <v>0.95988370478153229</v>
      </c>
      <c r="W555">
        <f>Tabela6[[#This Row],[mlp_params]]</f>
        <v>48365</v>
      </c>
      <c r="X555">
        <f>Tabela6[[#This Row],[mlp_test_acc]]</f>
        <v>0.94239094239094234</v>
      </c>
      <c r="Y555">
        <f>Tabela6[[#This Row],[kan_val_acc_1]]</f>
        <v>0.95988370478153229</v>
      </c>
      <c r="Z555">
        <f>Tabela6[[#This Row],[no_steps]]</f>
        <v>11.313277604976673</v>
      </c>
    </row>
    <row r="556" spans="1:26" hidden="1" x14ac:dyDescent="0.25">
      <c r="A556" t="s">
        <v>18</v>
      </c>
      <c r="B556">
        <v>9</v>
      </c>
      <c r="C556">
        <v>3</v>
      </c>
      <c r="D556">
        <v>0</v>
      </c>
      <c r="E556" t="s">
        <v>29</v>
      </c>
      <c r="F556">
        <v>33734</v>
      </c>
      <c r="G556">
        <v>32480116.666666668</v>
      </c>
      <c r="H556">
        <v>0.94755246241887414</v>
      </c>
      <c r="I556">
        <v>0.95104895104895104</v>
      </c>
      <c r="J556">
        <v>9096676</v>
      </c>
      <c r="K556">
        <v>48990</v>
      </c>
      <c r="L556">
        <v>2</v>
      </c>
      <c r="M556">
        <v>148</v>
      </c>
      <c r="N556">
        <v>0.96153846153846145</v>
      </c>
      <c r="O556">
        <v>9191988.666666666</v>
      </c>
      <c r="P556">
        <v>49619</v>
      </c>
      <c r="Q556">
        <v>2</v>
      </c>
      <c r="R556">
        <v>149</v>
      </c>
      <c r="S556">
        <v>11.312706430930639</v>
      </c>
      <c r="T556">
        <v>0.9790697574615479</v>
      </c>
      <c r="W556">
        <f>Tabela6[[#This Row],[mlp_params]]</f>
        <v>48990</v>
      </c>
      <c r="X556">
        <f>Tabela6[[#This Row],[mlp_test_acc]]</f>
        <v>0.95104895104895104</v>
      </c>
      <c r="Y556">
        <f>Tabela6[[#This Row],[kan_val_acc_1]]</f>
        <v>0.9790697574615479</v>
      </c>
      <c r="Z556">
        <f>Tabela6[[#This Row],[no_steps]]</f>
        <v>11.312706430930639</v>
      </c>
    </row>
    <row r="557" spans="1:26" hidden="1" x14ac:dyDescent="0.25">
      <c r="A557" t="s">
        <v>18</v>
      </c>
      <c r="B557">
        <v>9</v>
      </c>
      <c r="C557">
        <v>3</v>
      </c>
      <c r="D557">
        <v>0</v>
      </c>
      <c r="E557" t="s">
        <v>30</v>
      </c>
      <c r="F557">
        <v>34696</v>
      </c>
      <c r="G557">
        <v>41158444.952380955</v>
      </c>
      <c r="H557">
        <v>0.93006992623919538</v>
      </c>
      <c r="I557">
        <v>0.94605394605394599</v>
      </c>
      <c r="J557">
        <v>8850956.1428571437</v>
      </c>
      <c r="K557">
        <v>50252</v>
      </c>
      <c r="L557">
        <v>2</v>
      </c>
      <c r="M557">
        <v>150</v>
      </c>
      <c r="N557">
        <v>0.95004995004995008</v>
      </c>
      <c r="O557">
        <v>9643837.4761904757</v>
      </c>
      <c r="P557">
        <v>50889</v>
      </c>
      <c r="Q557">
        <v>2</v>
      </c>
      <c r="R557">
        <v>151</v>
      </c>
      <c r="S557">
        <v>11.315365971885603</v>
      </c>
      <c r="T557">
        <v>0.95116278231143947</v>
      </c>
      <c r="W557">
        <f>Tabela6[[#This Row],[mlp_params]]</f>
        <v>50252</v>
      </c>
      <c r="X557">
        <f>Tabela6[[#This Row],[mlp_test_acc]]</f>
        <v>0.94605394605394599</v>
      </c>
      <c r="Y557">
        <f>Tabela6[[#This Row],[kan_val_acc_1]]</f>
        <v>0.95116278231143947</v>
      </c>
      <c r="Z557">
        <f>Tabela6[[#This Row],[no_steps]]</f>
        <v>11.315365971885603</v>
      </c>
    </row>
    <row r="558" spans="1:26" hidden="1" x14ac:dyDescent="0.25">
      <c r="A558" t="s">
        <v>18</v>
      </c>
      <c r="B558">
        <v>9</v>
      </c>
      <c r="C558">
        <v>3</v>
      </c>
      <c r="D558">
        <v>0</v>
      </c>
      <c r="E558" t="s">
        <v>44</v>
      </c>
      <c r="F558">
        <v>34874</v>
      </c>
      <c r="G558">
        <v>37674729.9375</v>
      </c>
      <c r="H558">
        <v>0.93487760797142982</v>
      </c>
      <c r="I558">
        <v>0.9475524475524475</v>
      </c>
      <c r="J558">
        <v>9300482.75</v>
      </c>
      <c r="K558">
        <v>50889</v>
      </c>
      <c r="L558">
        <v>2</v>
      </c>
      <c r="M558">
        <v>151</v>
      </c>
      <c r="N558">
        <v>0.9475524475524475</v>
      </c>
      <c r="O558">
        <v>9587785.125</v>
      </c>
      <c r="P558">
        <v>51530</v>
      </c>
      <c r="Q558">
        <v>2</v>
      </c>
      <c r="R558">
        <v>152</v>
      </c>
      <c r="S558">
        <v>11.315651921401606</v>
      </c>
      <c r="T558">
        <v>0.9542635560035706</v>
      </c>
      <c r="W558">
        <f>Tabela6[[#This Row],[mlp_params]]</f>
        <v>50889</v>
      </c>
      <c r="X558">
        <f>Tabela6[[#This Row],[mlp_test_acc]]</f>
        <v>0.9475524475524475</v>
      </c>
      <c r="Y558">
        <f>Tabela6[[#This Row],[kan_val_acc_1]]</f>
        <v>0.9542635560035706</v>
      </c>
      <c r="Z558">
        <f>Tabela6[[#This Row],[no_steps]]</f>
        <v>11.315651921401606</v>
      </c>
    </row>
    <row r="559" spans="1:26" hidden="1" x14ac:dyDescent="0.25">
      <c r="A559" t="s">
        <v>18</v>
      </c>
      <c r="B559">
        <v>9</v>
      </c>
      <c r="C559">
        <v>3</v>
      </c>
      <c r="D559">
        <v>0</v>
      </c>
      <c r="E559" t="s">
        <v>77</v>
      </c>
      <c r="F559">
        <v>35170</v>
      </c>
      <c r="G559">
        <v>40650083.81818182</v>
      </c>
      <c r="H559">
        <v>0.93388429555025965</v>
      </c>
      <c r="I559">
        <v>0.97393515575333756</v>
      </c>
      <c r="J559">
        <v>9585891</v>
      </c>
      <c r="K559">
        <v>51530</v>
      </c>
      <c r="L559">
        <v>2</v>
      </c>
      <c r="M559">
        <v>152</v>
      </c>
      <c r="N559">
        <v>0.96948506039415128</v>
      </c>
      <c r="O559">
        <v>8945056.7272727266</v>
      </c>
      <c r="P559">
        <v>52175</v>
      </c>
      <c r="Q559">
        <v>2</v>
      </c>
      <c r="R559">
        <v>153</v>
      </c>
      <c r="S559">
        <v>11.316766582865984</v>
      </c>
      <c r="T559">
        <v>0.9441860437393188</v>
      </c>
      <c r="W559">
        <f>Tabela6[[#This Row],[mlp_params]]</f>
        <v>51530</v>
      </c>
      <c r="X559">
        <f>Tabela6[[#This Row],[mlp_test_acc]]</f>
        <v>0.97393515575333756</v>
      </c>
      <c r="Y559">
        <f>Tabela6[[#This Row],[kan_val_acc_1]]</f>
        <v>0.9441860437393188</v>
      </c>
      <c r="Z559">
        <f>Tabela6[[#This Row],[no_steps]]</f>
        <v>11.316766582865984</v>
      </c>
    </row>
    <row r="560" spans="1:26" hidden="1" x14ac:dyDescent="0.25">
      <c r="A560" t="s">
        <v>18</v>
      </c>
      <c r="B560">
        <v>9</v>
      </c>
      <c r="C560">
        <v>3</v>
      </c>
      <c r="D560">
        <v>0</v>
      </c>
      <c r="E560" t="s">
        <v>31</v>
      </c>
      <c r="F560">
        <v>35658</v>
      </c>
      <c r="G560">
        <v>46518590.833333336</v>
      </c>
      <c r="H560">
        <v>0.95221445957819617</v>
      </c>
      <c r="I560">
        <v>0.97086247086247079</v>
      </c>
      <c r="J560">
        <v>8505095.166666666</v>
      </c>
      <c r="K560">
        <v>52175</v>
      </c>
      <c r="L560">
        <v>2</v>
      </c>
      <c r="M560">
        <v>153</v>
      </c>
      <c r="N560">
        <v>0.96620046620046618</v>
      </c>
      <c r="O560">
        <v>11013414.5</v>
      </c>
      <c r="P560">
        <v>52824</v>
      </c>
      <c r="Q560">
        <v>2</v>
      </c>
      <c r="R560">
        <v>154</v>
      </c>
      <c r="S560">
        <v>11.318612292230382</v>
      </c>
      <c r="T560">
        <v>0.95348836183547969</v>
      </c>
      <c r="W560">
        <f>Tabela6[[#This Row],[mlp_params]]</f>
        <v>52175</v>
      </c>
      <c r="X560">
        <f>Tabela6[[#This Row],[mlp_test_acc]]</f>
        <v>0.97086247086247079</v>
      </c>
      <c r="Y560">
        <f>Tabela6[[#This Row],[kan_val_acc_1]]</f>
        <v>0.95348836183547969</v>
      </c>
      <c r="Z560">
        <f>Tabela6[[#This Row],[no_steps]]</f>
        <v>11.318612292230382</v>
      </c>
    </row>
    <row r="561" spans="1:26" hidden="1" x14ac:dyDescent="0.25">
      <c r="A561" t="s">
        <v>18</v>
      </c>
      <c r="B561">
        <v>9</v>
      </c>
      <c r="C561">
        <v>3</v>
      </c>
      <c r="D561">
        <v>0</v>
      </c>
      <c r="E561" t="s">
        <v>78</v>
      </c>
      <c r="F561">
        <v>36372</v>
      </c>
      <c r="G561">
        <v>39682326.461538464</v>
      </c>
      <c r="H561">
        <v>0.94082840360127962</v>
      </c>
      <c r="I561">
        <v>0.95615922538999454</v>
      </c>
      <c r="J561">
        <v>9590309.346153846</v>
      </c>
      <c r="K561">
        <v>52824</v>
      </c>
      <c r="L561">
        <v>2</v>
      </c>
      <c r="M561">
        <v>154</v>
      </c>
      <c r="N561">
        <v>0.95857988165680474</v>
      </c>
      <c r="O561">
        <v>10135456.884615384</v>
      </c>
      <c r="P561">
        <v>53477</v>
      </c>
      <c r="Q561">
        <v>2</v>
      </c>
      <c r="R561">
        <v>155</v>
      </c>
      <c r="S561">
        <v>11.319645267013689</v>
      </c>
      <c r="T561">
        <v>0.95069766759872432</v>
      </c>
      <c r="W561">
        <f>Tabela6[[#This Row],[mlp_params]]</f>
        <v>52824</v>
      </c>
      <c r="X561">
        <f>Tabela6[[#This Row],[mlp_test_acc]]</f>
        <v>0.95615922538999454</v>
      </c>
      <c r="Y561">
        <f>Tabela6[[#This Row],[kan_val_acc_1]]</f>
        <v>0.95069766759872432</v>
      </c>
      <c r="Z561">
        <f>Tabela6[[#This Row],[no_steps]]</f>
        <v>11.319645267013689</v>
      </c>
    </row>
    <row r="562" spans="1:26" hidden="1" x14ac:dyDescent="0.25">
      <c r="A562" t="s">
        <v>18</v>
      </c>
      <c r="B562">
        <v>9</v>
      </c>
      <c r="C562">
        <v>3</v>
      </c>
      <c r="D562">
        <v>0</v>
      </c>
      <c r="E562" t="s">
        <v>32</v>
      </c>
      <c r="F562">
        <v>36620</v>
      </c>
      <c r="G562">
        <v>40277483.666666664</v>
      </c>
      <c r="H562">
        <v>0.95337994893391931</v>
      </c>
      <c r="I562">
        <v>0.97202797202797198</v>
      </c>
      <c r="J562">
        <v>8634324.666666666</v>
      </c>
      <c r="K562">
        <v>53477</v>
      </c>
      <c r="L562">
        <v>2</v>
      </c>
      <c r="M562">
        <v>155</v>
      </c>
      <c r="N562">
        <v>0.96736596736596736</v>
      </c>
      <c r="O562">
        <v>9586909.5</v>
      </c>
      <c r="P562">
        <v>54134</v>
      </c>
      <c r="Q562">
        <v>2</v>
      </c>
      <c r="R562">
        <v>156</v>
      </c>
      <c r="S562">
        <v>11.320231213872832</v>
      </c>
      <c r="T562">
        <v>0.97209300994873049</v>
      </c>
      <c r="W562">
        <f>Tabela6[[#This Row],[mlp_params]]</f>
        <v>53477</v>
      </c>
      <c r="X562">
        <f>Tabela6[[#This Row],[mlp_test_acc]]</f>
        <v>0.97202797202797198</v>
      </c>
      <c r="Y562">
        <f>Tabela6[[#This Row],[kan_val_acc_1]]</f>
        <v>0.97209300994873049</v>
      </c>
      <c r="Z562">
        <f>Tabela6[[#This Row],[no_steps]]</f>
        <v>11.320231213872832</v>
      </c>
    </row>
    <row r="563" spans="1:26" hidden="1" x14ac:dyDescent="0.25">
      <c r="A563" t="s">
        <v>18</v>
      </c>
      <c r="B563">
        <v>9</v>
      </c>
      <c r="C563">
        <v>3</v>
      </c>
      <c r="D563">
        <v>0</v>
      </c>
      <c r="E563" t="s">
        <v>58</v>
      </c>
      <c r="F563">
        <v>36976</v>
      </c>
      <c r="G563">
        <v>37146244</v>
      </c>
      <c r="H563">
        <v>0.93772894144058228</v>
      </c>
      <c r="I563">
        <v>0.95537795537795533</v>
      </c>
      <c r="J563">
        <v>8889813.9047619049</v>
      </c>
      <c r="K563">
        <v>54134</v>
      </c>
      <c r="L563">
        <v>2</v>
      </c>
      <c r="M563">
        <v>156</v>
      </c>
      <c r="N563">
        <v>0.95138195138195136</v>
      </c>
      <c r="O563">
        <v>9705804.2380952388</v>
      </c>
      <c r="P563">
        <v>54795</v>
      </c>
      <c r="Q563">
        <v>2</v>
      </c>
      <c r="R563">
        <v>157</v>
      </c>
      <c r="S563">
        <v>11.319584655321604</v>
      </c>
      <c r="T563">
        <v>0.95406975746154787</v>
      </c>
      <c r="W563">
        <f>Tabela6[[#This Row],[mlp_params]]</f>
        <v>54134</v>
      </c>
      <c r="X563">
        <f>Tabela6[[#This Row],[mlp_test_acc]]</f>
        <v>0.95537795537795533</v>
      </c>
      <c r="Y563">
        <f>Tabela6[[#This Row],[kan_val_acc_1]]</f>
        <v>0.95406975746154787</v>
      </c>
      <c r="Z563">
        <f>Tabela6[[#This Row],[no_steps]]</f>
        <v>11.319584655321604</v>
      </c>
    </row>
    <row r="564" spans="1:26" hidden="1" x14ac:dyDescent="0.25">
      <c r="A564" t="s">
        <v>18</v>
      </c>
      <c r="B564">
        <v>9</v>
      </c>
      <c r="C564">
        <v>3</v>
      </c>
      <c r="D564">
        <v>0</v>
      </c>
      <c r="E564" t="s">
        <v>33</v>
      </c>
      <c r="F564">
        <v>37582</v>
      </c>
      <c r="G564">
        <v>31420869.333333332</v>
      </c>
      <c r="H564">
        <v>0.94988345106442773</v>
      </c>
      <c r="I564">
        <v>0.96969696969696961</v>
      </c>
      <c r="J564">
        <v>9197910.833333334</v>
      </c>
      <c r="K564">
        <v>54795</v>
      </c>
      <c r="L564">
        <v>2</v>
      </c>
      <c r="M564">
        <v>157</v>
      </c>
      <c r="N564">
        <v>0.96736596736596736</v>
      </c>
      <c r="O564">
        <v>8801587.666666666</v>
      </c>
      <c r="P564">
        <v>55460</v>
      </c>
      <c r="Q564">
        <v>2</v>
      </c>
      <c r="R564">
        <v>158</v>
      </c>
      <c r="S564">
        <v>11.318439511867012</v>
      </c>
      <c r="T564">
        <v>0.96511626243591309</v>
      </c>
      <c r="W564">
        <f>Tabela6[[#This Row],[mlp_params]]</f>
        <v>54795</v>
      </c>
      <c r="X564">
        <f>Tabela6[[#This Row],[mlp_test_acc]]</f>
        <v>0.96969696969696961</v>
      </c>
      <c r="Y564">
        <f>Tabela6[[#This Row],[kan_val_acc_1]]</f>
        <v>0.96511626243591309</v>
      </c>
      <c r="Z564">
        <f>Tabela6[[#This Row],[no_steps]]</f>
        <v>11.318439511867012</v>
      </c>
    </row>
    <row r="565" spans="1:26" hidden="1" x14ac:dyDescent="0.25">
      <c r="A565" t="s">
        <v>18</v>
      </c>
      <c r="B565">
        <v>9</v>
      </c>
      <c r="C565">
        <v>3</v>
      </c>
      <c r="D565">
        <v>0</v>
      </c>
      <c r="E565" t="s">
        <v>47</v>
      </c>
      <c r="F565">
        <v>37940</v>
      </c>
      <c r="G565">
        <v>47675505.6875</v>
      </c>
      <c r="H565">
        <v>0.92788462340831757</v>
      </c>
      <c r="I565">
        <v>0.94930069930069927</v>
      </c>
      <c r="J565">
        <v>8718582.5</v>
      </c>
      <c r="K565">
        <v>55460</v>
      </c>
      <c r="L565">
        <v>2</v>
      </c>
      <c r="M565">
        <v>158</v>
      </c>
      <c r="N565">
        <v>0.94886363636363635</v>
      </c>
      <c r="O565">
        <v>9253079</v>
      </c>
      <c r="P565">
        <v>56129</v>
      </c>
      <c r="Q565">
        <v>2</v>
      </c>
      <c r="R565">
        <v>159</v>
      </c>
      <c r="S565">
        <v>11.322172119351434</v>
      </c>
      <c r="T565">
        <v>0.956589138507843</v>
      </c>
      <c r="W565">
        <f>Tabela6[[#This Row],[mlp_params]]</f>
        <v>55460</v>
      </c>
      <c r="X565">
        <f>Tabela6[[#This Row],[mlp_test_acc]]</f>
        <v>0.94930069930069927</v>
      </c>
      <c r="Y565">
        <f>Tabela6[[#This Row],[kan_val_acc_1]]</f>
        <v>0.956589138507843</v>
      </c>
      <c r="Z565">
        <f>Tabela6[[#This Row],[no_steps]]</f>
        <v>11.322172119351434</v>
      </c>
    </row>
    <row r="566" spans="1:26" hidden="1" x14ac:dyDescent="0.25">
      <c r="A566" t="s">
        <v>18</v>
      </c>
      <c r="B566">
        <v>9</v>
      </c>
      <c r="C566">
        <v>3</v>
      </c>
      <c r="D566">
        <v>0</v>
      </c>
      <c r="E566" t="s">
        <v>34</v>
      </c>
      <c r="F566">
        <v>38544</v>
      </c>
      <c r="G566">
        <v>38954945.875</v>
      </c>
      <c r="H566">
        <v>0.94667831063270569</v>
      </c>
      <c r="I566">
        <v>0.97377622377622375</v>
      </c>
      <c r="J566">
        <v>10163944</v>
      </c>
      <c r="K566">
        <v>56129</v>
      </c>
      <c r="L566">
        <v>2</v>
      </c>
      <c r="M566">
        <v>159</v>
      </c>
      <c r="N566">
        <v>0.96984265734265729</v>
      </c>
      <c r="O566">
        <v>9240344.625</v>
      </c>
      <c r="P566">
        <v>56802</v>
      </c>
      <c r="Q566">
        <v>2</v>
      </c>
      <c r="R566">
        <v>160</v>
      </c>
      <c r="S566">
        <v>11.322061500143692</v>
      </c>
      <c r="T566">
        <v>0.96899223725001016</v>
      </c>
      <c r="W566">
        <f>Tabela6[[#This Row],[mlp_params]]</f>
        <v>56129</v>
      </c>
      <c r="X566">
        <f>Tabela6[[#This Row],[mlp_test_acc]]</f>
        <v>0.97377622377622375</v>
      </c>
      <c r="Y566">
        <f>Tabela6[[#This Row],[kan_val_acc_1]]</f>
        <v>0.96899223725001016</v>
      </c>
      <c r="Z566">
        <f>Tabela6[[#This Row],[no_steps]]</f>
        <v>11.322061500143692</v>
      </c>
    </row>
    <row r="567" spans="1:26" hidden="1" x14ac:dyDescent="0.25">
      <c r="A567" t="s">
        <v>18</v>
      </c>
      <c r="B567">
        <v>9</v>
      </c>
      <c r="C567">
        <v>3</v>
      </c>
      <c r="D567">
        <v>0</v>
      </c>
      <c r="E567" t="s">
        <v>48</v>
      </c>
      <c r="F567">
        <v>38962</v>
      </c>
      <c r="G567">
        <v>53002716.18181818</v>
      </c>
      <c r="H567">
        <v>0.94151302901181311</v>
      </c>
      <c r="I567">
        <v>0.94214876033057848</v>
      </c>
      <c r="J567">
        <v>9559413.9090909082</v>
      </c>
      <c r="K567">
        <v>56802</v>
      </c>
      <c r="L567">
        <v>2</v>
      </c>
      <c r="M567">
        <v>160</v>
      </c>
      <c r="N567">
        <v>0.94214876033057848</v>
      </c>
      <c r="O567">
        <v>9665495</v>
      </c>
      <c r="P567">
        <v>57479</v>
      </c>
      <c r="Q567">
        <v>2</v>
      </c>
      <c r="R567">
        <v>161</v>
      </c>
      <c r="S567">
        <v>11.325550239234449</v>
      </c>
      <c r="T567">
        <v>0.95581393837928774</v>
      </c>
      <c r="W567">
        <f>Tabela6[[#This Row],[mlp_params]]</f>
        <v>56802</v>
      </c>
      <c r="X567">
        <f>Tabela6[[#This Row],[mlp_test_acc]]</f>
        <v>0.94214876033057848</v>
      </c>
      <c r="Y567">
        <f>Tabela6[[#This Row],[kan_val_acc_1]]</f>
        <v>0.95581393837928774</v>
      </c>
      <c r="Z567">
        <f>Tabela6[[#This Row],[no_steps]]</f>
        <v>11.325550239234449</v>
      </c>
    </row>
    <row r="568" spans="1:26" hidden="1" x14ac:dyDescent="0.25">
      <c r="A568" t="s">
        <v>18</v>
      </c>
      <c r="B568">
        <v>9</v>
      </c>
      <c r="C568">
        <v>3</v>
      </c>
      <c r="D568">
        <v>0</v>
      </c>
      <c r="E568" t="s">
        <v>35</v>
      </c>
      <c r="F568">
        <v>39506</v>
      </c>
      <c r="G568">
        <v>37030176.619047619</v>
      </c>
      <c r="H568">
        <v>0.94938394569215323</v>
      </c>
      <c r="I568">
        <v>0.97169497169497165</v>
      </c>
      <c r="J568">
        <v>9212100.8571428563</v>
      </c>
      <c r="K568">
        <v>57479</v>
      </c>
      <c r="L568">
        <v>2</v>
      </c>
      <c r="M568">
        <v>161</v>
      </c>
      <c r="N568">
        <v>0.96303696303696296</v>
      </c>
      <c r="O568">
        <v>8579170.8571428563</v>
      </c>
      <c r="P568">
        <v>58160</v>
      </c>
      <c r="Q568">
        <v>2</v>
      </c>
      <c r="R568">
        <v>162</v>
      </c>
      <c r="S568">
        <v>11.323846815012892</v>
      </c>
      <c r="T568">
        <v>0.94999999105930333</v>
      </c>
      <c r="W568">
        <f>Tabela6[[#This Row],[mlp_params]]</f>
        <v>57479</v>
      </c>
      <c r="X568">
        <f>Tabela6[[#This Row],[mlp_test_acc]]</f>
        <v>0.97169497169497165</v>
      </c>
      <c r="Y568">
        <f>Tabela6[[#This Row],[kan_val_acc_1]]</f>
        <v>0.94999999105930333</v>
      </c>
      <c r="Z568">
        <f>Tabela6[[#This Row],[no_steps]]</f>
        <v>11.323846815012892</v>
      </c>
    </row>
    <row r="569" spans="1:26" hidden="1" x14ac:dyDescent="0.25">
      <c r="A569" t="s">
        <v>18</v>
      </c>
      <c r="B569">
        <v>9</v>
      </c>
      <c r="C569">
        <v>3</v>
      </c>
      <c r="D569">
        <v>0</v>
      </c>
      <c r="E569" t="s">
        <v>49</v>
      </c>
      <c r="F569">
        <v>39984</v>
      </c>
      <c r="G569">
        <v>59931371.636363633</v>
      </c>
      <c r="H569">
        <v>0.91926256093111902</v>
      </c>
      <c r="I569">
        <v>0.94342021614748883</v>
      </c>
      <c r="J569">
        <v>9222585.8181818184</v>
      </c>
      <c r="K569">
        <v>58160</v>
      </c>
      <c r="L569">
        <v>2</v>
      </c>
      <c r="M569">
        <v>162</v>
      </c>
      <c r="N569">
        <v>0.93706293706293708</v>
      </c>
      <c r="O569">
        <v>9859842.5454545449</v>
      </c>
      <c r="P569">
        <v>58845</v>
      </c>
      <c r="Q569">
        <v>2</v>
      </c>
      <c r="R569">
        <v>163</v>
      </c>
      <c r="S569">
        <v>11.328849456210646</v>
      </c>
      <c r="T569">
        <v>0.95697672963142399</v>
      </c>
      <c r="W569">
        <f>Tabela6[[#This Row],[mlp_params]]</f>
        <v>58160</v>
      </c>
      <c r="X569">
        <f>Tabela6[[#This Row],[mlp_test_acc]]</f>
        <v>0.94342021614748883</v>
      </c>
      <c r="Y569">
        <f>Tabela6[[#This Row],[kan_val_acc_1]]</f>
        <v>0.95697672963142399</v>
      </c>
      <c r="Z569">
        <f>Tabela6[[#This Row],[no_steps]]</f>
        <v>11.328849456210646</v>
      </c>
    </row>
    <row r="570" spans="1:26" hidden="1" x14ac:dyDescent="0.25">
      <c r="A570" t="s">
        <v>18</v>
      </c>
      <c r="B570">
        <v>9</v>
      </c>
      <c r="C570">
        <v>3</v>
      </c>
      <c r="D570">
        <v>0</v>
      </c>
      <c r="E570" t="s">
        <v>36</v>
      </c>
      <c r="F570">
        <v>40468</v>
      </c>
      <c r="G570">
        <v>41119832.909090906</v>
      </c>
      <c r="H570">
        <v>0.95104894854805688</v>
      </c>
      <c r="I570">
        <v>0.96884933248569605</v>
      </c>
      <c r="J570">
        <v>8993459.7272727266</v>
      </c>
      <c r="K570">
        <v>58845</v>
      </c>
      <c r="L570">
        <v>2</v>
      </c>
      <c r="M570">
        <v>163</v>
      </c>
      <c r="N570">
        <v>0.96439923712650977</v>
      </c>
      <c r="O570">
        <v>10403488.727272727</v>
      </c>
      <c r="P570">
        <v>59534</v>
      </c>
      <c r="Q570">
        <v>2</v>
      </c>
      <c r="R570">
        <v>164</v>
      </c>
      <c r="S570">
        <v>11.328695320689985</v>
      </c>
      <c r="T570">
        <v>0.96627905368804934</v>
      </c>
      <c r="W570">
        <f>Tabela6[[#This Row],[mlp_params]]</f>
        <v>58845</v>
      </c>
      <c r="X570">
        <f>Tabela6[[#This Row],[mlp_test_acc]]</f>
        <v>0.96884933248569605</v>
      </c>
      <c r="Y570">
        <f>Tabela6[[#This Row],[kan_val_acc_1]]</f>
        <v>0.96627905368804934</v>
      </c>
      <c r="Z570">
        <f>Tabela6[[#This Row],[no_steps]]</f>
        <v>11.328695320689985</v>
      </c>
    </row>
    <row r="571" spans="1:26" hidden="1" x14ac:dyDescent="0.25">
      <c r="A571" t="s">
        <v>18</v>
      </c>
      <c r="B571">
        <v>9</v>
      </c>
      <c r="C571">
        <v>3</v>
      </c>
      <c r="D571">
        <v>0</v>
      </c>
      <c r="E571" t="s">
        <v>50</v>
      </c>
      <c r="F571">
        <v>41006</v>
      </c>
      <c r="G571">
        <v>37996670.619047619</v>
      </c>
      <c r="H571">
        <v>0.94205794164112633</v>
      </c>
      <c r="I571">
        <v>0.95371295371295373</v>
      </c>
      <c r="J571">
        <v>9465626.4761904757</v>
      </c>
      <c r="K571">
        <v>59534</v>
      </c>
      <c r="L571">
        <v>2</v>
      </c>
      <c r="M571">
        <v>164</v>
      </c>
      <c r="N571">
        <v>0.95337995337995329</v>
      </c>
      <c r="O571">
        <v>10525312.523809524</v>
      </c>
      <c r="P571">
        <v>60227</v>
      </c>
      <c r="Q571">
        <v>2</v>
      </c>
      <c r="R571">
        <v>165</v>
      </c>
      <c r="S571">
        <v>11.326517024919156</v>
      </c>
      <c r="T571">
        <v>0.95755812525749207</v>
      </c>
      <c r="W571">
        <f>Tabela6[[#This Row],[mlp_params]]</f>
        <v>59534</v>
      </c>
      <c r="X571">
        <f>Tabela6[[#This Row],[mlp_test_acc]]</f>
        <v>0.95371295371295373</v>
      </c>
      <c r="Y571">
        <f>Tabela6[[#This Row],[kan_val_acc_1]]</f>
        <v>0.95755812525749207</v>
      </c>
      <c r="Z571">
        <f>Tabela6[[#This Row],[no_steps]]</f>
        <v>11.326517024919156</v>
      </c>
    </row>
    <row r="572" spans="1:26" hidden="1" x14ac:dyDescent="0.25">
      <c r="A572" t="s">
        <v>18</v>
      </c>
      <c r="B572">
        <v>9</v>
      </c>
      <c r="C572">
        <v>3</v>
      </c>
      <c r="D572">
        <v>0</v>
      </c>
      <c r="E572" t="s">
        <v>37</v>
      </c>
      <c r="F572">
        <v>41430</v>
      </c>
      <c r="G572">
        <v>36123425.166666664</v>
      </c>
      <c r="H572">
        <v>0.93822841842969262</v>
      </c>
      <c r="I572">
        <v>0.97086247086247079</v>
      </c>
      <c r="J572">
        <v>8198413.666666667</v>
      </c>
      <c r="K572">
        <v>60227</v>
      </c>
      <c r="L572">
        <v>2</v>
      </c>
      <c r="M572">
        <v>165</v>
      </c>
      <c r="N572">
        <v>0.96969696969696961</v>
      </c>
      <c r="O572">
        <v>10432661.166666666</v>
      </c>
      <c r="P572">
        <v>60924</v>
      </c>
      <c r="Q572">
        <v>2</v>
      </c>
      <c r="R572">
        <v>166</v>
      </c>
      <c r="S572">
        <v>11.325190114068441</v>
      </c>
      <c r="T572">
        <v>0.96046509742736819</v>
      </c>
      <c r="W572">
        <f>Tabela6[[#This Row],[mlp_params]]</f>
        <v>60227</v>
      </c>
      <c r="X572">
        <f>Tabela6[[#This Row],[mlp_test_acc]]</f>
        <v>0.97086247086247079</v>
      </c>
      <c r="Y572">
        <f>Tabela6[[#This Row],[kan_val_acc_1]]</f>
        <v>0.96046509742736819</v>
      </c>
      <c r="Z572">
        <f>Tabela6[[#This Row],[no_steps]]</f>
        <v>11.325190114068441</v>
      </c>
    </row>
    <row r="573" spans="1:26" hidden="1" x14ac:dyDescent="0.25">
      <c r="A573" t="s">
        <v>18</v>
      </c>
      <c r="B573">
        <v>9</v>
      </c>
      <c r="C573">
        <v>3</v>
      </c>
      <c r="D573">
        <v>0</v>
      </c>
      <c r="E573" t="s">
        <v>51</v>
      </c>
      <c r="F573">
        <v>42028</v>
      </c>
      <c r="G573">
        <v>41514502.192307696</v>
      </c>
      <c r="H573">
        <v>0.94271113322331357</v>
      </c>
      <c r="I573">
        <v>0.96180742334588487</v>
      </c>
      <c r="J573">
        <v>10733180.73076923</v>
      </c>
      <c r="K573">
        <v>60924</v>
      </c>
      <c r="L573">
        <v>2</v>
      </c>
      <c r="M573">
        <v>166</v>
      </c>
      <c r="N573">
        <v>0.95293168370091441</v>
      </c>
      <c r="O573">
        <v>9933958.615384616</v>
      </c>
      <c r="P573">
        <v>61625</v>
      </c>
      <c r="Q573">
        <v>2</v>
      </c>
      <c r="R573">
        <v>167</v>
      </c>
      <c r="S573">
        <v>11.32467286174853</v>
      </c>
      <c r="T573">
        <v>0.95720928192138677</v>
      </c>
      <c r="W573">
        <f>Tabela6[[#This Row],[mlp_params]]</f>
        <v>60924</v>
      </c>
      <c r="X573">
        <f>Tabela6[[#This Row],[mlp_test_acc]]</f>
        <v>0.96180742334588487</v>
      </c>
      <c r="Y573">
        <f>Tabela6[[#This Row],[kan_val_acc_1]]</f>
        <v>0.95720928192138677</v>
      </c>
      <c r="Z573">
        <f>Tabela6[[#This Row],[no_steps]]</f>
        <v>11.32467286174853</v>
      </c>
    </row>
    <row r="574" spans="1:26" hidden="1" x14ac:dyDescent="0.25">
      <c r="A574" t="s">
        <v>18</v>
      </c>
      <c r="B574">
        <v>9</v>
      </c>
      <c r="C574">
        <v>3</v>
      </c>
      <c r="D574">
        <v>0</v>
      </c>
      <c r="E574" t="s">
        <v>38</v>
      </c>
      <c r="F574">
        <v>42392</v>
      </c>
      <c r="G574">
        <v>44297832.666666664</v>
      </c>
      <c r="H574">
        <v>0.95221444964408875</v>
      </c>
      <c r="I574">
        <v>0.96736596736596736</v>
      </c>
      <c r="J574">
        <v>10474047.833333334</v>
      </c>
      <c r="K574">
        <v>61625</v>
      </c>
      <c r="L574">
        <v>2</v>
      </c>
      <c r="M574">
        <v>167</v>
      </c>
      <c r="N574">
        <v>0.96037296037296038</v>
      </c>
      <c r="O574">
        <v>11890823.5</v>
      </c>
      <c r="P574">
        <v>62330</v>
      </c>
      <c r="Q574">
        <v>2</v>
      </c>
      <c r="R574">
        <v>168</v>
      </c>
      <c r="S574">
        <v>11.324393479909022</v>
      </c>
      <c r="T574">
        <v>0.9790697574615479</v>
      </c>
      <c r="W574">
        <f>Tabela6[[#This Row],[mlp_params]]</f>
        <v>61625</v>
      </c>
      <c r="X574">
        <f>Tabela6[[#This Row],[mlp_test_acc]]</f>
        <v>0.96736596736596736</v>
      </c>
      <c r="Y574">
        <f>Tabela6[[#This Row],[kan_val_acc_1]]</f>
        <v>0.9790697574615479</v>
      </c>
      <c r="Z574">
        <f>Tabela6[[#This Row],[no_steps]]</f>
        <v>11.324393479909022</v>
      </c>
    </row>
    <row r="575" spans="1:26" hidden="1" x14ac:dyDescent="0.25">
      <c r="A575" t="s">
        <v>18</v>
      </c>
      <c r="B575">
        <v>9</v>
      </c>
      <c r="C575">
        <v>3</v>
      </c>
      <c r="D575">
        <v>0</v>
      </c>
      <c r="E575" t="s">
        <v>52</v>
      </c>
      <c r="F575">
        <v>43050</v>
      </c>
      <c r="G575">
        <v>39772168</v>
      </c>
      <c r="H575">
        <v>0.93986013889312747</v>
      </c>
      <c r="I575">
        <v>0.95916083916083916</v>
      </c>
      <c r="J575">
        <v>10741034.48</v>
      </c>
      <c r="K575">
        <v>63039</v>
      </c>
      <c r="L575">
        <v>2</v>
      </c>
      <c r="M575">
        <v>169</v>
      </c>
      <c r="N575">
        <v>0.95720279720279722</v>
      </c>
      <c r="O575">
        <v>9689155.3599999994</v>
      </c>
      <c r="P575">
        <v>63752</v>
      </c>
      <c r="Q575">
        <v>2</v>
      </c>
      <c r="R575">
        <v>170</v>
      </c>
      <c r="S575">
        <v>11.32173584192115</v>
      </c>
      <c r="T575">
        <v>0.96027130385239923</v>
      </c>
      <c r="W575">
        <f>Tabela6[[#This Row],[mlp_params]]</f>
        <v>63039</v>
      </c>
      <c r="X575">
        <f>Tabela6[[#This Row],[mlp_test_acc]]</f>
        <v>0.95916083916083916</v>
      </c>
      <c r="Y575">
        <f>Tabela6[[#This Row],[kan_val_acc_1]]</f>
        <v>0.96027130385239923</v>
      </c>
      <c r="Z575">
        <f>Tabela6[[#This Row],[no_steps]]</f>
        <v>11.32173584192115</v>
      </c>
    </row>
    <row r="576" spans="1:26" hidden="1" x14ac:dyDescent="0.25">
      <c r="A576" t="s">
        <v>18</v>
      </c>
      <c r="B576">
        <v>9</v>
      </c>
      <c r="C576">
        <v>3</v>
      </c>
      <c r="D576">
        <v>0</v>
      </c>
      <c r="E576" t="s">
        <v>70</v>
      </c>
      <c r="F576">
        <v>43646</v>
      </c>
      <c r="G576">
        <v>46156327.272727273</v>
      </c>
      <c r="H576">
        <v>0.94977748935872863</v>
      </c>
      <c r="I576">
        <v>0.96694214876033058</v>
      </c>
      <c r="J576">
        <v>8738016.1818181816</v>
      </c>
      <c r="K576">
        <v>63752</v>
      </c>
      <c r="L576">
        <v>2</v>
      </c>
      <c r="M576">
        <v>170</v>
      </c>
      <c r="N576">
        <v>0.9701207883026064</v>
      </c>
      <c r="O576">
        <v>10863710.727272727</v>
      </c>
      <c r="P576">
        <v>64469</v>
      </c>
      <c r="Q576">
        <v>2</v>
      </c>
      <c r="R576">
        <v>171</v>
      </c>
      <c r="S576">
        <v>11.321968265961466</v>
      </c>
      <c r="T576">
        <v>0.9790697574615479</v>
      </c>
      <c r="W576">
        <f>Tabela6[[#This Row],[mlp_params]]</f>
        <v>63752</v>
      </c>
      <c r="X576">
        <f>Tabela6[[#This Row],[mlp_test_acc]]</f>
        <v>0.96694214876033058</v>
      </c>
      <c r="Y576">
        <f>Tabela6[[#This Row],[kan_val_acc_1]]</f>
        <v>0.9790697574615479</v>
      </c>
      <c r="Z576">
        <f>Tabela6[[#This Row],[no_steps]]</f>
        <v>11.321968265961466</v>
      </c>
    </row>
    <row r="577" spans="1:26" hidden="1" x14ac:dyDescent="0.25">
      <c r="A577" t="s">
        <v>18</v>
      </c>
      <c r="B577">
        <v>9</v>
      </c>
      <c r="C577">
        <v>3</v>
      </c>
      <c r="D577">
        <v>0</v>
      </c>
      <c r="E577" t="s">
        <v>53</v>
      </c>
      <c r="F577">
        <v>44072</v>
      </c>
      <c r="G577">
        <v>41990370.545454547</v>
      </c>
      <c r="H577">
        <v>0.95804194970564405</v>
      </c>
      <c r="I577">
        <v>0.96185632549268907</v>
      </c>
      <c r="J577">
        <v>9236135</v>
      </c>
      <c r="K577">
        <v>64469</v>
      </c>
      <c r="L577">
        <v>2</v>
      </c>
      <c r="M577">
        <v>171</v>
      </c>
      <c r="N577">
        <v>0.96439923712650977</v>
      </c>
      <c r="O577">
        <v>11242636.727272727</v>
      </c>
      <c r="P577">
        <v>65190</v>
      </c>
      <c r="Q577">
        <v>2</v>
      </c>
      <c r="R577">
        <v>172</v>
      </c>
      <c r="S577">
        <v>11.321351070855741</v>
      </c>
      <c r="T577">
        <v>0.9581395268440247</v>
      </c>
      <c r="W577">
        <f>Tabela6[[#This Row],[mlp_params]]</f>
        <v>64469</v>
      </c>
      <c r="X577">
        <f>Tabela6[[#This Row],[mlp_test_acc]]</f>
        <v>0.96185632549268907</v>
      </c>
      <c r="Y577">
        <f>Tabela6[[#This Row],[kan_val_acc_1]]</f>
        <v>0.9581395268440247</v>
      </c>
      <c r="Z577">
        <f>Tabela6[[#This Row],[no_steps]]</f>
        <v>11.321351070855741</v>
      </c>
    </row>
    <row r="578" spans="1:26" hidden="1" x14ac:dyDescent="0.25">
      <c r="A578" t="s">
        <v>18</v>
      </c>
      <c r="B578">
        <v>9</v>
      </c>
      <c r="C578">
        <v>3</v>
      </c>
      <c r="D578">
        <v>0</v>
      </c>
      <c r="E578" t="s">
        <v>62</v>
      </c>
      <c r="F578">
        <v>44550</v>
      </c>
      <c r="G578">
        <v>53475884.666666664</v>
      </c>
      <c r="H578">
        <v>0.93939394752184546</v>
      </c>
      <c r="I578">
        <v>0.96736596736596736</v>
      </c>
      <c r="J578">
        <v>10263439</v>
      </c>
      <c r="K578">
        <v>65190</v>
      </c>
      <c r="L578">
        <v>2</v>
      </c>
      <c r="M578">
        <v>172</v>
      </c>
      <c r="N578">
        <v>0.965034965034965</v>
      </c>
      <c r="O578">
        <v>10395202.333333334</v>
      </c>
      <c r="P578">
        <v>65915</v>
      </c>
      <c r="Q578">
        <v>2</v>
      </c>
      <c r="R578">
        <v>173</v>
      </c>
      <c r="S578">
        <v>11.322395096652523</v>
      </c>
      <c r="T578">
        <v>0.97209300994873049</v>
      </c>
      <c r="W578">
        <f>Tabela6[[#This Row],[mlp_params]]</f>
        <v>65190</v>
      </c>
      <c r="X578">
        <f>Tabela6[[#This Row],[mlp_test_acc]]</f>
        <v>0.96736596736596736</v>
      </c>
      <c r="Y578">
        <f>Tabela6[[#This Row],[kan_val_acc_1]]</f>
        <v>0.97209300994873049</v>
      </c>
      <c r="Z578">
        <f>Tabela6[[#This Row],[no_steps]]</f>
        <v>11.322395096652523</v>
      </c>
    </row>
    <row r="579" spans="1:26" hidden="1" x14ac:dyDescent="0.25">
      <c r="A579" t="s">
        <v>18</v>
      </c>
      <c r="B579">
        <v>9</v>
      </c>
      <c r="C579">
        <v>3</v>
      </c>
      <c r="D579">
        <v>0</v>
      </c>
      <c r="E579" t="s">
        <v>54</v>
      </c>
      <c r="F579">
        <v>45094</v>
      </c>
      <c r="G579">
        <v>46803943.5625</v>
      </c>
      <c r="H579">
        <v>0.94274475425481796</v>
      </c>
      <c r="I579">
        <v>0.96984265734265729</v>
      </c>
      <c r="J579">
        <v>11258756.375</v>
      </c>
      <c r="K579">
        <v>65915</v>
      </c>
      <c r="L579">
        <v>2</v>
      </c>
      <c r="M579">
        <v>173</v>
      </c>
      <c r="N579">
        <v>0.96896853146853146</v>
      </c>
      <c r="O579">
        <v>11202565</v>
      </c>
      <c r="P579">
        <v>66644</v>
      </c>
      <c r="Q579">
        <v>2</v>
      </c>
      <c r="R579">
        <v>174</v>
      </c>
      <c r="S579">
        <v>11.32322756802561</v>
      </c>
      <c r="T579">
        <v>0.96201548576354978</v>
      </c>
      <c r="W579">
        <f>Tabela6[[#This Row],[mlp_params]]</f>
        <v>65915</v>
      </c>
      <c r="X579">
        <f>Tabela6[[#This Row],[mlp_test_acc]]</f>
        <v>0.96984265734265729</v>
      </c>
      <c r="Y579">
        <f>Tabela6[[#This Row],[kan_val_acc_1]]</f>
        <v>0.96201548576354978</v>
      </c>
      <c r="Z579">
        <f>Tabela6[[#This Row],[no_steps]]</f>
        <v>11.32322756802561</v>
      </c>
    </row>
    <row r="580" spans="1:26" hidden="1" x14ac:dyDescent="0.25">
      <c r="A580" t="s">
        <v>18</v>
      </c>
      <c r="B580">
        <v>9</v>
      </c>
      <c r="C580">
        <v>3</v>
      </c>
      <c r="D580">
        <v>0</v>
      </c>
      <c r="E580" t="s">
        <v>63</v>
      </c>
      <c r="F580">
        <v>45632</v>
      </c>
      <c r="G580">
        <v>46943559.666666664</v>
      </c>
      <c r="H580">
        <v>0.92890442411104834</v>
      </c>
      <c r="I580">
        <v>0.97086247086247079</v>
      </c>
      <c r="J580">
        <v>11267566.833333334</v>
      </c>
      <c r="K580">
        <v>66644</v>
      </c>
      <c r="L580">
        <v>2</v>
      </c>
      <c r="M580">
        <v>174</v>
      </c>
      <c r="N580">
        <v>0.96736596736596736</v>
      </c>
      <c r="O580">
        <v>9015451</v>
      </c>
      <c r="P580">
        <v>67377</v>
      </c>
      <c r="Q580">
        <v>2</v>
      </c>
      <c r="R580">
        <v>175</v>
      </c>
      <c r="S580">
        <v>11.323233273736708</v>
      </c>
      <c r="T580">
        <v>0.95581393241882329</v>
      </c>
      <c r="W580">
        <f>Tabela6[[#This Row],[mlp_params]]</f>
        <v>66644</v>
      </c>
      <c r="X580">
        <f>Tabela6[[#This Row],[mlp_test_acc]]</f>
        <v>0.97086247086247079</v>
      </c>
      <c r="Y580">
        <f>Tabela6[[#This Row],[kan_val_acc_1]]</f>
        <v>0.95581393241882329</v>
      </c>
      <c r="Z580">
        <f>Tabela6[[#This Row],[no_steps]]</f>
        <v>11.323233273736708</v>
      </c>
    </row>
    <row r="581" spans="1:26" hidden="1" x14ac:dyDescent="0.25">
      <c r="A581" t="s">
        <v>18</v>
      </c>
      <c r="B581">
        <v>9</v>
      </c>
      <c r="C581">
        <v>3</v>
      </c>
      <c r="D581">
        <v>0</v>
      </c>
      <c r="E581" t="s">
        <v>86</v>
      </c>
      <c r="F581">
        <v>45988</v>
      </c>
      <c r="G581">
        <v>43896744.272727273</v>
      </c>
      <c r="H581">
        <v>0.95422759381207556</v>
      </c>
      <c r="I581">
        <v>0.96185632549268907</v>
      </c>
      <c r="J581">
        <v>11307725</v>
      </c>
      <c r="K581">
        <v>67377</v>
      </c>
      <c r="L581">
        <v>2</v>
      </c>
      <c r="M581">
        <v>175</v>
      </c>
      <c r="N581">
        <v>0.97202797202797198</v>
      </c>
      <c r="O581">
        <v>11166412.272727273</v>
      </c>
      <c r="P581">
        <v>68114</v>
      </c>
      <c r="Q581">
        <v>2</v>
      </c>
      <c r="R581">
        <v>176</v>
      </c>
      <c r="S581">
        <v>11.322993043805226</v>
      </c>
      <c r="T581">
        <v>0.95930230617523193</v>
      </c>
      <c r="W581">
        <f>Tabela6[[#This Row],[mlp_params]]</f>
        <v>67377</v>
      </c>
      <c r="X581">
        <f>Tabela6[[#This Row],[mlp_test_acc]]</f>
        <v>0.96185632549268907</v>
      </c>
      <c r="Y581">
        <f>Tabela6[[#This Row],[kan_val_acc_1]]</f>
        <v>0.95930230617523193</v>
      </c>
      <c r="Z581">
        <f>Tabela6[[#This Row],[no_steps]]</f>
        <v>11.322993043805226</v>
      </c>
    </row>
    <row r="582" spans="1:26" hidden="1" x14ac:dyDescent="0.25">
      <c r="A582" t="s">
        <v>18</v>
      </c>
      <c r="B582">
        <v>9</v>
      </c>
      <c r="C582">
        <v>3</v>
      </c>
      <c r="D582">
        <v>0</v>
      </c>
      <c r="E582" t="s">
        <v>64</v>
      </c>
      <c r="F582">
        <v>46714</v>
      </c>
      <c r="G582">
        <v>41074541.833333336</v>
      </c>
      <c r="H582">
        <v>0.93822842836380005</v>
      </c>
      <c r="I582">
        <v>0.97086247086247079</v>
      </c>
      <c r="J582">
        <v>11461503.333333334</v>
      </c>
      <c r="K582">
        <v>68114</v>
      </c>
      <c r="L582">
        <v>2</v>
      </c>
      <c r="M582">
        <v>176</v>
      </c>
      <c r="N582">
        <v>0.97086247086247091</v>
      </c>
      <c r="O582">
        <v>10841992</v>
      </c>
      <c r="P582">
        <v>68855</v>
      </c>
      <c r="Q582">
        <v>2</v>
      </c>
      <c r="R582">
        <v>177</v>
      </c>
      <c r="S582">
        <v>11.322341225103344</v>
      </c>
      <c r="T582">
        <v>0.96976742744445799</v>
      </c>
      <c r="W582">
        <f>Tabela6[[#This Row],[mlp_params]]</f>
        <v>68114</v>
      </c>
      <c r="X582">
        <f>Tabela6[[#This Row],[mlp_test_acc]]</f>
        <v>0.97086247086247079</v>
      </c>
      <c r="Y582">
        <f>Tabela6[[#This Row],[kan_val_acc_1]]</f>
        <v>0.96976742744445799</v>
      </c>
      <c r="Z582">
        <f>Tabela6[[#This Row],[no_steps]]</f>
        <v>11.322341225103344</v>
      </c>
    </row>
    <row r="583" spans="1:26" hidden="1" x14ac:dyDescent="0.25">
      <c r="A583" t="s">
        <v>18</v>
      </c>
      <c r="B583">
        <v>9</v>
      </c>
      <c r="C583">
        <v>3</v>
      </c>
      <c r="D583">
        <v>0</v>
      </c>
      <c r="E583" t="s">
        <v>72</v>
      </c>
      <c r="F583">
        <v>47072</v>
      </c>
      <c r="G583">
        <v>43653211.666666664</v>
      </c>
      <c r="H583">
        <v>0.94988345106442773</v>
      </c>
      <c r="I583">
        <v>0.97086247086247079</v>
      </c>
      <c r="J583">
        <v>9603805.666666666</v>
      </c>
      <c r="K583">
        <v>68855</v>
      </c>
      <c r="L583">
        <v>2</v>
      </c>
      <c r="M583">
        <v>177</v>
      </c>
      <c r="N583">
        <v>0.96853146853146854</v>
      </c>
      <c r="O583">
        <v>11781517.833333334</v>
      </c>
      <c r="P583">
        <v>69600</v>
      </c>
      <c r="Q583">
        <v>2</v>
      </c>
      <c r="R583">
        <v>178</v>
      </c>
      <c r="S583">
        <v>11.321877934272301</v>
      </c>
      <c r="T583">
        <v>0.97674417495727539</v>
      </c>
      <c r="W583">
        <f>Tabela6[[#This Row],[mlp_params]]</f>
        <v>68855</v>
      </c>
      <c r="X583">
        <f>Tabela6[[#This Row],[mlp_test_acc]]</f>
        <v>0.97086247086247079</v>
      </c>
      <c r="Y583">
        <f>Tabela6[[#This Row],[kan_val_acc_1]]</f>
        <v>0.97674417495727539</v>
      </c>
      <c r="Z583">
        <f>Tabela6[[#This Row],[no_steps]]</f>
        <v>11.321877934272301</v>
      </c>
    </row>
    <row r="584" spans="1:26" hidden="1" x14ac:dyDescent="0.25">
      <c r="A584" t="s">
        <v>18</v>
      </c>
      <c r="B584">
        <v>9</v>
      </c>
      <c r="C584">
        <v>3</v>
      </c>
      <c r="D584">
        <v>0</v>
      </c>
      <c r="E584" t="s">
        <v>65</v>
      </c>
      <c r="F584">
        <v>47796</v>
      </c>
      <c r="G584">
        <v>44945802.727272727</v>
      </c>
      <c r="H584">
        <v>0.94914176789197058</v>
      </c>
      <c r="I584">
        <v>0.96694214876033058</v>
      </c>
      <c r="J584">
        <v>12186467.545454545</v>
      </c>
      <c r="K584">
        <v>69600</v>
      </c>
      <c r="L584">
        <v>2</v>
      </c>
      <c r="M584">
        <v>178</v>
      </c>
      <c r="N584">
        <v>0.96821360457724093</v>
      </c>
      <c r="O584">
        <v>11564255.818181818</v>
      </c>
      <c r="P584">
        <v>70349</v>
      </c>
      <c r="Q584">
        <v>2</v>
      </c>
      <c r="R584">
        <v>179</v>
      </c>
      <c r="S584">
        <v>11.321264421724042</v>
      </c>
      <c r="T584">
        <v>0.97558138370513914</v>
      </c>
      <c r="W584">
        <f>Tabela6[[#This Row],[mlp_params]]</f>
        <v>69600</v>
      </c>
      <c r="X584">
        <f>Tabela6[[#This Row],[mlp_test_acc]]</f>
        <v>0.96694214876033058</v>
      </c>
      <c r="Y584">
        <f>Tabela6[[#This Row],[kan_val_acc_1]]</f>
        <v>0.97558138370513914</v>
      </c>
      <c r="Z584">
        <f>Tabela6[[#This Row],[no_steps]]</f>
        <v>11.321264421724042</v>
      </c>
    </row>
    <row r="585" spans="1:26" hidden="1" x14ac:dyDescent="0.25">
      <c r="A585" t="s">
        <v>18</v>
      </c>
      <c r="B585">
        <v>9</v>
      </c>
      <c r="C585">
        <v>3</v>
      </c>
      <c r="D585">
        <v>0</v>
      </c>
      <c r="E585" t="s">
        <v>73</v>
      </c>
      <c r="F585">
        <v>48214</v>
      </c>
      <c r="G585">
        <v>51594908.666666664</v>
      </c>
      <c r="H585">
        <v>0.95221445957819617</v>
      </c>
      <c r="I585">
        <v>0.96969696969696972</v>
      </c>
      <c r="J585">
        <v>10666386.333333334</v>
      </c>
      <c r="K585">
        <v>70349</v>
      </c>
      <c r="L585">
        <v>2</v>
      </c>
      <c r="M585">
        <v>179</v>
      </c>
      <c r="N585">
        <v>0.96853146853146854</v>
      </c>
      <c r="O585">
        <v>11310953.166666666</v>
      </c>
      <c r="P585">
        <v>71102</v>
      </c>
      <c r="Q585">
        <v>2</v>
      </c>
      <c r="R585">
        <v>180</v>
      </c>
      <c r="S585">
        <v>11.3217399456267</v>
      </c>
      <c r="T585">
        <v>0.96046509742736819</v>
      </c>
      <c r="W585">
        <f>Tabela6[[#This Row],[mlp_params]]</f>
        <v>70349</v>
      </c>
      <c r="X585">
        <f>Tabela6[[#This Row],[mlp_test_acc]]</f>
        <v>0.96969696969696972</v>
      </c>
      <c r="Y585">
        <f>Tabela6[[#This Row],[kan_val_acc_1]]</f>
        <v>0.96046509742736819</v>
      </c>
      <c r="Z585">
        <f>Tabela6[[#This Row],[no_steps]]</f>
        <v>11.3217399456267</v>
      </c>
    </row>
    <row r="586" spans="1:26" hidden="1" x14ac:dyDescent="0.25">
      <c r="A586" t="s">
        <v>18</v>
      </c>
      <c r="B586">
        <v>9</v>
      </c>
      <c r="C586">
        <v>3</v>
      </c>
      <c r="D586">
        <v>0</v>
      </c>
      <c r="E586" t="s">
        <v>74</v>
      </c>
      <c r="F586">
        <v>49356</v>
      </c>
      <c r="G586">
        <v>44813057.636363633</v>
      </c>
      <c r="H586">
        <v>0.94977749477733264</v>
      </c>
      <c r="I586">
        <v>0.96439923712650977</v>
      </c>
      <c r="J586">
        <v>9764041.4545454551</v>
      </c>
      <c r="K586">
        <v>71859</v>
      </c>
      <c r="L586">
        <v>2</v>
      </c>
      <c r="M586">
        <v>181</v>
      </c>
      <c r="N586">
        <v>0.96694214876033058</v>
      </c>
      <c r="O586">
        <v>12001541.090909092</v>
      </c>
      <c r="P586">
        <v>72620</v>
      </c>
      <c r="Q586">
        <v>2</v>
      </c>
      <c r="R586">
        <v>182</v>
      </c>
      <c r="S586">
        <v>11.32094025098333</v>
      </c>
      <c r="T586">
        <v>0.9558139443397522</v>
      </c>
      <c r="W586">
        <f>Tabela6[[#This Row],[mlp_params]]</f>
        <v>71859</v>
      </c>
      <c r="X586">
        <f>Tabela6[[#This Row],[mlp_test_acc]]</f>
        <v>0.96439923712650977</v>
      </c>
      <c r="Y586">
        <f>Tabela6[[#This Row],[kan_val_acc_1]]</f>
        <v>0.9558139443397522</v>
      </c>
      <c r="Z586">
        <f>Tabela6[[#This Row],[no_steps]]</f>
        <v>11.32094025098333</v>
      </c>
    </row>
    <row r="587" spans="1:26" hidden="1" x14ac:dyDescent="0.25">
      <c r="A587" t="s">
        <v>18</v>
      </c>
      <c r="B587">
        <v>9</v>
      </c>
      <c r="C587">
        <v>3</v>
      </c>
      <c r="D587">
        <v>0</v>
      </c>
      <c r="E587" t="s">
        <v>89</v>
      </c>
      <c r="F587">
        <v>49594</v>
      </c>
      <c r="G587">
        <v>49736308.333333336</v>
      </c>
      <c r="H587">
        <v>0.95104895035425818</v>
      </c>
      <c r="I587">
        <v>0.96620046620046618</v>
      </c>
      <c r="J587">
        <v>11930381.333333334</v>
      </c>
      <c r="K587">
        <v>72620</v>
      </c>
      <c r="L587">
        <v>2</v>
      </c>
      <c r="M587">
        <v>182</v>
      </c>
      <c r="N587">
        <v>0.97202797202797198</v>
      </c>
      <c r="O587">
        <v>12483538.166666666</v>
      </c>
      <c r="P587">
        <v>73385</v>
      </c>
      <c r="Q587">
        <v>2</v>
      </c>
      <c r="R587">
        <v>183</v>
      </c>
      <c r="S587">
        <v>11.321134406589293</v>
      </c>
      <c r="T587">
        <v>0.97674417495727539</v>
      </c>
      <c r="W587">
        <f>Tabela6[[#This Row],[mlp_params]]</f>
        <v>72620</v>
      </c>
      <c r="X587">
        <f>Tabela6[[#This Row],[mlp_test_acc]]</f>
        <v>0.96620046620046618</v>
      </c>
      <c r="Y587">
        <f>Tabela6[[#This Row],[kan_val_acc_1]]</f>
        <v>0.97674417495727539</v>
      </c>
      <c r="Z587">
        <f>Tabela6[[#This Row],[no_steps]]</f>
        <v>11.321134406589293</v>
      </c>
    </row>
    <row r="588" spans="1:26" hidden="1" x14ac:dyDescent="0.25">
      <c r="A588" t="s">
        <v>18</v>
      </c>
      <c r="B588">
        <v>9</v>
      </c>
      <c r="C588">
        <v>3</v>
      </c>
      <c r="D588">
        <v>0</v>
      </c>
      <c r="E588" t="s">
        <v>75</v>
      </c>
      <c r="F588">
        <v>50498</v>
      </c>
      <c r="G588">
        <v>48595121.5</v>
      </c>
      <c r="H588">
        <v>0.94871794184048974</v>
      </c>
      <c r="I588">
        <v>0.96969696969696972</v>
      </c>
      <c r="J588">
        <v>11049781.333333334</v>
      </c>
      <c r="K588">
        <v>73385</v>
      </c>
      <c r="L588">
        <v>2</v>
      </c>
      <c r="M588">
        <v>183</v>
      </c>
      <c r="N588">
        <v>0.96853146853146854</v>
      </c>
      <c r="O588">
        <v>13720944.5</v>
      </c>
      <c r="P588">
        <v>74154</v>
      </c>
      <c r="Q588">
        <v>2</v>
      </c>
      <c r="R588">
        <v>184</v>
      </c>
      <c r="S588">
        <v>11.321047708138448</v>
      </c>
      <c r="T588">
        <v>0.96279067993164058</v>
      </c>
      <c r="W588">
        <f>Tabela6[[#This Row],[mlp_params]]</f>
        <v>73385</v>
      </c>
      <c r="X588">
        <f>Tabela6[[#This Row],[mlp_test_acc]]</f>
        <v>0.96969696969696972</v>
      </c>
      <c r="Y588">
        <f>Tabela6[[#This Row],[kan_val_acc_1]]</f>
        <v>0.96279067993164058</v>
      </c>
      <c r="Z588">
        <f>Tabela6[[#This Row],[no_steps]]</f>
        <v>11.321047708138448</v>
      </c>
    </row>
    <row r="589" spans="1:26" hidden="1" x14ac:dyDescent="0.25">
      <c r="A589" t="s">
        <v>18</v>
      </c>
      <c r="B589">
        <v>9</v>
      </c>
      <c r="C589">
        <v>3</v>
      </c>
      <c r="D589">
        <v>0</v>
      </c>
      <c r="E589" t="s">
        <v>90</v>
      </c>
      <c r="F589">
        <v>50796</v>
      </c>
      <c r="G589">
        <v>45922256.166666664</v>
      </c>
      <c r="H589">
        <v>0.95454544822374976</v>
      </c>
      <c r="I589">
        <v>0.96969696969696961</v>
      </c>
      <c r="J589">
        <v>12984949.166666666</v>
      </c>
      <c r="K589">
        <v>74154</v>
      </c>
      <c r="L589">
        <v>2</v>
      </c>
      <c r="M589">
        <v>184</v>
      </c>
      <c r="N589">
        <v>0.96969696969696961</v>
      </c>
      <c r="O589">
        <v>13041674.333333334</v>
      </c>
      <c r="P589">
        <v>74927</v>
      </c>
      <c r="Q589">
        <v>2</v>
      </c>
      <c r="R589">
        <v>185</v>
      </c>
      <c r="S589">
        <v>11.320587135377711</v>
      </c>
      <c r="T589">
        <v>0.95348834991455078</v>
      </c>
      <c r="W589">
        <f>Tabela6[[#This Row],[mlp_params]]</f>
        <v>74154</v>
      </c>
      <c r="X589">
        <f>Tabela6[[#This Row],[mlp_test_acc]]</f>
        <v>0.96969696969696961</v>
      </c>
      <c r="Y589">
        <f>Tabela6[[#This Row],[kan_val_acc_1]]</f>
        <v>0.95348834991455078</v>
      </c>
      <c r="Z589">
        <f>Tabela6[[#This Row],[no_steps]]</f>
        <v>11.320587135377711</v>
      </c>
    </row>
    <row r="590" spans="1:26" hidden="1" x14ac:dyDescent="0.25">
      <c r="A590" t="s">
        <v>18</v>
      </c>
      <c r="B590">
        <v>9</v>
      </c>
      <c r="C590">
        <v>3</v>
      </c>
      <c r="D590">
        <v>0</v>
      </c>
      <c r="E590" t="s">
        <v>91</v>
      </c>
      <c r="F590">
        <v>51998</v>
      </c>
      <c r="G590">
        <v>56368205</v>
      </c>
      <c r="H590">
        <v>0.9545454581578573</v>
      </c>
      <c r="I590">
        <v>0.97086247086247079</v>
      </c>
      <c r="J590">
        <v>13287408</v>
      </c>
      <c r="K590">
        <v>75704</v>
      </c>
      <c r="L590">
        <v>2</v>
      </c>
      <c r="M590">
        <v>186</v>
      </c>
      <c r="N590">
        <v>0.96620046620046618</v>
      </c>
      <c r="O590">
        <v>13753819.333333334</v>
      </c>
      <c r="P590">
        <v>76485</v>
      </c>
      <c r="Q590">
        <v>2</v>
      </c>
      <c r="R590">
        <v>187</v>
      </c>
      <c r="S590">
        <v>11.321435245748459</v>
      </c>
      <c r="T590">
        <v>0.95813951492309568</v>
      </c>
      <c r="W590">
        <f>Tabela6[[#This Row],[mlp_params]]</f>
        <v>75704</v>
      </c>
      <c r="X590">
        <f>Tabela6[[#This Row],[mlp_test_acc]]</f>
        <v>0.97086247086247079</v>
      </c>
      <c r="Y590">
        <f>Tabela6[[#This Row],[kan_val_acc_1]]</f>
        <v>0.95813951492309568</v>
      </c>
      <c r="Z590">
        <f>Tabela6[[#This Row],[no_steps]]</f>
        <v>11.321435245748459</v>
      </c>
    </row>
    <row r="591" spans="1:26" hidden="1" x14ac:dyDescent="0.25">
      <c r="A591" t="s">
        <v>18</v>
      </c>
      <c r="B591">
        <v>9</v>
      </c>
      <c r="C591">
        <v>3</v>
      </c>
      <c r="D591">
        <v>0</v>
      </c>
      <c r="E591" t="s">
        <v>92</v>
      </c>
      <c r="F591">
        <v>53200</v>
      </c>
      <c r="G591">
        <v>43913858.166666664</v>
      </c>
      <c r="H591">
        <v>0.95571095744768775</v>
      </c>
      <c r="I591">
        <v>0.96736596736596736</v>
      </c>
      <c r="J591">
        <v>14204188.833333334</v>
      </c>
      <c r="K591">
        <v>77270</v>
      </c>
      <c r="L591">
        <v>2</v>
      </c>
      <c r="M591">
        <v>188</v>
      </c>
      <c r="N591">
        <v>0.96620046620046618</v>
      </c>
      <c r="O591">
        <v>15089056.5</v>
      </c>
      <c r="P591">
        <v>78059</v>
      </c>
      <c r="Q591">
        <v>2</v>
      </c>
      <c r="R591">
        <v>189</v>
      </c>
      <c r="S591">
        <v>11.320508031378409</v>
      </c>
      <c r="T591">
        <v>0.96046509742736819</v>
      </c>
      <c r="W591">
        <f>Tabela6[[#This Row],[mlp_params]]</f>
        <v>77270</v>
      </c>
      <c r="X591">
        <f>Tabela6[[#This Row],[mlp_test_acc]]</f>
        <v>0.96736596736596736</v>
      </c>
      <c r="Y591">
        <f>Tabela6[[#This Row],[kan_val_acc_1]]</f>
        <v>0.96046509742736819</v>
      </c>
      <c r="Z591">
        <f>Tabela6[[#This Row],[no_steps]]</f>
        <v>11.320508031378409</v>
      </c>
    </row>
    <row r="592" spans="1:26" hidden="1" x14ac:dyDescent="0.25">
      <c r="A592" t="s">
        <v>18</v>
      </c>
      <c r="B592">
        <v>9</v>
      </c>
      <c r="C592">
        <v>3</v>
      </c>
      <c r="D592">
        <v>0</v>
      </c>
      <c r="E592" t="s">
        <v>105</v>
      </c>
      <c r="F592">
        <v>10584</v>
      </c>
      <c r="G592">
        <v>55011905</v>
      </c>
      <c r="H592">
        <v>0.93939394752184546</v>
      </c>
      <c r="I592">
        <v>0.95454545454545447</v>
      </c>
      <c r="J592">
        <v>11535199.166666666</v>
      </c>
      <c r="K592">
        <v>15249</v>
      </c>
      <c r="L592">
        <v>2</v>
      </c>
      <c r="M592">
        <v>79</v>
      </c>
      <c r="N592">
        <v>0.96153846153846145</v>
      </c>
      <c r="O592">
        <v>13869800.5</v>
      </c>
      <c r="P592">
        <v>15602</v>
      </c>
      <c r="Q592">
        <v>2</v>
      </c>
      <c r="R592">
        <v>80</v>
      </c>
      <c r="S592">
        <v>11.321728579428784</v>
      </c>
      <c r="T592">
        <v>0.96279067993164058</v>
      </c>
      <c r="W592">
        <f>Tabela6[[#This Row],[mlp_params]]</f>
        <v>15249</v>
      </c>
      <c r="X592">
        <f>Tabela6[[#This Row],[mlp_test_acc]]</f>
        <v>0.95454545454545447</v>
      </c>
      <c r="Y592">
        <f>Tabela6[[#This Row],[kan_val_acc_1]]</f>
        <v>0.96279067993164058</v>
      </c>
      <c r="Z592">
        <f>Tabela6[[#This Row],[no_steps]]</f>
        <v>11.321728579428784</v>
      </c>
    </row>
    <row r="593" spans="1:26" hidden="1" x14ac:dyDescent="0.25">
      <c r="A593" t="s">
        <v>18</v>
      </c>
      <c r="B593">
        <v>9</v>
      </c>
      <c r="C593">
        <v>3</v>
      </c>
      <c r="D593">
        <v>0</v>
      </c>
      <c r="E593" t="s">
        <v>19</v>
      </c>
      <c r="F593">
        <v>11546</v>
      </c>
      <c r="G593">
        <v>15221745.454545455</v>
      </c>
      <c r="H593">
        <v>0.90527654777873645</v>
      </c>
      <c r="I593">
        <v>0.91481246026700569</v>
      </c>
      <c r="J593">
        <v>4058796.9090909092</v>
      </c>
      <c r="K593">
        <v>16685</v>
      </c>
      <c r="L593">
        <v>2</v>
      </c>
      <c r="M593">
        <v>83</v>
      </c>
      <c r="N593">
        <v>0.91417673235855057</v>
      </c>
      <c r="O593">
        <v>4467484.7272727275</v>
      </c>
      <c r="P593">
        <v>17054</v>
      </c>
      <c r="Q593">
        <v>2</v>
      </c>
      <c r="R593">
        <v>84</v>
      </c>
      <c r="S593">
        <v>11.321398601398601</v>
      </c>
      <c r="T593">
        <v>0.94883720278739925</v>
      </c>
      <c r="W593">
        <f>Tabela6[[#This Row],[mlp_params]]</f>
        <v>16685</v>
      </c>
      <c r="X593">
        <f>Tabela6[[#This Row],[mlp_test_acc]]</f>
        <v>0.91481246026700569</v>
      </c>
      <c r="Y593">
        <f>Tabela6[[#This Row],[kan_val_acc_1]]</f>
        <v>0.94883720278739925</v>
      </c>
      <c r="Z593">
        <f>Tabela6[[#This Row],[no_steps]]</f>
        <v>11.321398601398601</v>
      </c>
    </row>
    <row r="594" spans="1:26" hidden="1" x14ac:dyDescent="0.25">
      <c r="A594" t="s">
        <v>18</v>
      </c>
      <c r="B594">
        <v>9</v>
      </c>
      <c r="C594">
        <v>3</v>
      </c>
      <c r="D594">
        <v>0</v>
      </c>
      <c r="E594" t="s">
        <v>20</v>
      </c>
      <c r="F594">
        <v>12508</v>
      </c>
      <c r="G594">
        <v>11841469.727272727</v>
      </c>
      <c r="H594">
        <v>0.92116974158720533</v>
      </c>
      <c r="I594">
        <v>0.91481246026700569</v>
      </c>
      <c r="J594">
        <v>4604871.6363636367</v>
      </c>
      <c r="K594">
        <v>18185</v>
      </c>
      <c r="L594">
        <v>2</v>
      </c>
      <c r="M594">
        <v>87</v>
      </c>
      <c r="N594">
        <v>0.92371265098537825</v>
      </c>
      <c r="O594">
        <v>4036509.6363636362</v>
      </c>
      <c r="P594">
        <v>18570</v>
      </c>
      <c r="Q594">
        <v>2</v>
      </c>
      <c r="R594">
        <v>88</v>
      </c>
      <c r="S594">
        <v>11.318181818181818</v>
      </c>
      <c r="T594">
        <v>0.96279067993164058</v>
      </c>
      <c r="W594">
        <f>Tabela6[[#This Row],[mlp_params]]</f>
        <v>18185</v>
      </c>
      <c r="X594">
        <f>Tabela6[[#This Row],[mlp_test_acc]]</f>
        <v>0.91481246026700569</v>
      </c>
      <c r="Y594">
        <f>Tabela6[[#This Row],[kan_val_acc_1]]</f>
        <v>0.96279067993164058</v>
      </c>
      <c r="Z594">
        <f>Tabela6[[#This Row],[no_steps]]</f>
        <v>11.318181818181818</v>
      </c>
    </row>
    <row r="595" spans="1:26" hidden="1" x14ac:dyDescent="0.25">
      <c r="A595" t="s">
        <v>18</v>
      </c>
      <c r="B595">
        <v>9</v>
      </c>
      <c r="C595">
        <v>3</v>
      </c>
      <c r="D595">
        <v>0</v>
      </c>
      <c r="E595" t="s">
        <v>21</v>
      </c>
      <c r="F595">
        <v>13470</v>
      </c>
      <c r="G595">
        <v>15438475.454545455</v>
      </c>
      <c r="H595">
        <v>0.90909090367230505</v>
      </c>
      <c r="I595">
        <v>0.91226954863318499</v>
      </c>
      <c r="J595">
        <v>8461628.0909090918</v>
      </c>
      <c r="K595">
        <v>19352</v>
      </c>
      <c r="L595">
        <v>2</v>
      </c>
      <c r="M595">
        <v>90</v>
      </c>
      <c r="N595">
        <v>0.91354100445009534</v>
      </c>
      <c r="O595">
        <v>7176582.9090909092</v>
      </c>
      <c r="P595">
        <v>19749</v>
      </c>
      <c r="Q595">
        <v>2</v>
      </c>
      <c r="R595">
        <v>91</v>
      </c>
      <c r="S595">
        <v>11.317018702893831</v>
      </c>
      <c r="T595">
        <v>0.94999998211860659</v>
      </c>
      <c r="W595">
        <f>Tabela6[[#This Row],[mlp_params]]</f>
        <v>19352</v>
      </c>
      <c r="X595">
        <f>Tabela6[[#This Row],[mlp_test_acc]]</f>
        <v>0.91226954863318499</v>
      </c>
      <c r="Y595">
        <f>Tabela6[[#This Row],[kan_val_acc_1]]</f>
        <v>0.94999998211860659</v>
      </c>
      <c r="Z595">
        <f>Tabela6[[#This Row],[no_steps]]</f>
        <v>11.317018702893831</v>
      </c>
    </row>
    <row r="596" spans="1:26" hidden="1" x14ac:dyDescent="0.25">
      <c r="A596" t="s">
        <v>18</v>
      </c>
      <c r="B596">
        <v>9</v>
      </c>
      <c r="C596">
        <v>3</v>
      </c>
      <c r="D596">
        <v>0</v>
      </c>
      <c r="E596" t="s">
        <v>22</v>
      </c>
      <c r="F596">
        <v>14432</v>
      </c>
      <c r="G596">
        <v>14044957.090909092</v>
      </c>
      <c r="H596">
        <v>0.9326128363609314</v>
      </c>
      <c r="I596">
        <v>0.91671964399237127</v>
      </c>
      <c r="J596">
        <v>8467066.0909090918</v>
      </c>
      <c r="K596">
        <v>20964</v>
      </c>
      <c r="L596">
        <v>2</v>
      </c>
      <c r="M596">
        <v>94</v>
      </c>
      <c r="N596">
        <v>0.91417673235855057</v>
      </c>
      <c r="O596">
        <v>8973383.8181818184</v>
      </c>
      <c r="P596">
        <v>21377</v>
      </c>
      <c r="Q596">
        <v>2</v>
      </c>
      <c r="R596">
        <v>95</v>
      </c>
      <c r="S596">
        <v>11.314556609035137</v>
      </c>
      <c r="T596">
        <v>0.95697672367095943</v>
      </c>
      <c r="W596">
        <f>Tabela6[[#This Row],[mlp_params]]</f>
        <v>20964</v>
      </c>
      <c r="X596">
        <f>Tabela6[[#This Row],[mlp_test_acc]]</f>
        <v>0.91671964399237127</v>
      </c>
      <c r="Y596">
        <f>Tabela6[[#This Row],[kan_val_acc_1]]</f>
        <v>0.95697672367095943</v>
      </c>
      <c r="Z596">
        <f>Tabela6[[#This Row],[no_steps]]</f>
        <v>11.314556609035137</v>
      </c>
    </row>
    <row r="597" spans="1:26" hidden="1" x14ac:dyDescent="0.25">
      <c r="A597" t="s">
        <v>18</v>
      </c>
      <c r="B597">
        <v>9</v>
      </c>
      <c r="C597">
        <v>3</v>
      </c>
      <c r="D597">
        <v>0</v>
      </c>
      <c r="E597" t="s">
        <v>39</v>
      </c>
      <c r="F597">
        <v>15394</v>
      </c>
      <c r="G597">
        <v>19645738.272727273</v>
      </c>
      <c r="H597">
        <v>0.92752701585943054</v>
      </c>
      <c r="I597">
        <v>0.91036236490781941</v>
      </c>
      <c r="J597">
        <v>8621144.1818181816</v>
      </c>
      <c r="K597">
        <v>22215</v>
      </c>
      <c r="L597">
        <v>2</v>
      </c>
      <c r="M597">
        <v>97</v>
      </c>
      <c r="N597">
        <v>0.91226954863318499</v>
      </c>
      <c r="O597">
        <v>9386441.6363636367</v>
      </c>
      <c r="P597">
        <v>22640</v>
      </c>
      <c r="Q597">
        <v>2</v>
      </c>
      <c r="R597">
        <v>98</v>
      </c>
      <c r="S597">
        <v>11.315349614634599</v>
      </c>
      <c r="T597">
        <v>0.95813951492309568</v>
      </c>
      <c r="W597">
        <f>Tabela6[[#This Row],[mlp_params]]</f>
        <v>22215</v>
      </c>
      <c r="X597">
        <f>Tabela6[[#This Row],[mlp_test_acc]]</f>
        <v>0.91036236490781941</v>
      </c>
      <c r="Y597">
        <f>Tabela6[[#This Row],[kan_val_acc_1]]</f>
        <v>0.95813951492309568</v>
      </c>
      <c r="Z597">
        <f>Tabela6[[#This Row],[no_steps]]</f>
        <v>11.315349614634599</v>
      </c>
    </row>
    <row r="598" spans="1:26" x14ac:dyDescent="0.25">
      <c r="A598" t="s">
        <v>18</v>
      </c>
      <c r="B598">
        <v>9</v>
      </c>
      <c r="C598">
        <v>4</v>
      </c>
      <c r="D598">
        <v>0</v>
      </c>
      <c r="E598" t="s">
        <v>105</v>
      </c>
      <c r="F598">
        <v>11288</v>
      </c>
      <c r="G598">
        <v>52264832.333333336</v>
      </c>
      <c r="H598">
        <v>0.93123543262481689</v>
      </c>
      <c r="I598">
        <v>0.9533799533799534</v>
      </c>
      <c r="J598">
        <v>15760441.666666666</v>
      </c>
      <c r="K598">
        <v>17427</v>
      </c>
      <c r="L598">
        <v>2</v>
      </c>
      <c r="M598">
        <v>85</v>
      </c>
      <c r="N598">
        <v>0.95804195804195802</v>
      </c>
      <c r="O598">
        <v>15618930.333333334</v>
      </c>
      <c r="P598">
        <v>17804</v>
      </c>
      <c r="Q598">
        <v>2</v>
      </c>
      <c r="R598">
        <v>86</v>
      </c>
      <c r="S598">
        <v>11.272181513198552</v>
      </c>
      <c r="T598">
        <v>0.9511627793312073</v>
      </c>
      <c r="W598">
        <f>Tabela6[[#This Row],[mlp_params]]</f>
        <v>17427</v>
      </c>
      <c r="X598">
        <f>Tabela6[[#This Row],[mlp_test_acc]]</f>
        <v>0.9533799533799534</v>
      </c>
      <c r="Y598">
        <f>Tabela6[[#This Row],[kan_val_acc_1]]</f>
        <v>0.9511627793312073</v>
      </c>
      <c r="Z598">
        <f>Tabela6[[#This Row],[no_steps]]</f>
        <v>11.272181513198552</v>
      </c>
    </row>
    <row r="599" spans="1:26" x14ac:dyDescent="0.25">
      <c r="A599" t="s">
        <v>18</v>
      </c>
      <c r="B599">
        <v>9</v>
      </c>
      <c r="C599">
        <v>4</v>
      </c>
      <c r="D599">
        <v>0</v>
      </c>
      <c r="E599" t="s">
        <v>19</v>
      </c>
      <c r="F599">
        <v>12314</v>
      </c>
      <c r="G599">
        <v>13455015.166666666</v>
      </c>
      <c r="H599">
        <v>0.95571095744768775</v>
      </c>
      <c r="I599">
        <v>0.96037296037296038</v>
      </c>
      <c r="J599">
        <v>7042032.666666667</v>
      </c>
      <c r="K599">
        <v>18959</v>
      </c>
      <c r="L599">
        <v>2</v>
      </c>
      <c r="M599">
        <v>89</v>
      </c>
      <c r="N599">
        <v>0.97785547785547788</v>
      </c>
      <c r="O599">
        <v>9141459.666666666</v>
      </c>
      <c r="P599">
        <v>19352</v>
      </c>
      <c r="Q599">
        <v>2</v>
      </c>
      <c r="R599">
        <v>90</v>
      </c>
      <c r="S599">
        <v>11.270625606635489</v>
      </c>
      <c r="T599">
        <v>0.96279067993164058</v>
      </c>
      <c r="W599">
        <f>Tabela6[[#This Row],[mlp_params]]</f>
        <v>18959</v>
      </c>
      <c r="X599">
        <f>Tabela6[[#This Row],[mlp_test_acc]]</f>
        <v>0.96037296037296038</v>
      </c>
      <c r="Y599">
        <f>Tabela6[[#This Row],[kan_val_acc_1]]</f>
        <v>0.96279067993164058</v>
      </c>
      <c r="Z599">
        <f>Tabela6[[#This Row],[no_steps]]</f>
        <v>11.270625606635489</v>
      </c>
    </row>
    <row r="600" spans="1:26" x14ac:dyDescent="0.25">
      <c r="A600" t="s">
        <v>18</v>
      </c>
      <c r="B600">
        <v>9</v>
      </c>
      <c r="C600">
        <v>4</v>
      </c>
      <c r="D600">
        <v>0</v>
      </c>
      <c r="E600" t="s">
        <v>20</v>
      </c>
      <c r="F600">
        <v>13340</v>
      </c>
      <c r="G600">
        <v>20344807.166666668</v>
      </c>
      <c r="H600">
        <v>0.95337994893391931</v>
      </c>
      <c r="I600">
        <v>0.96853146853146854</v>
      </c>
      <c r="J600">
        <v>9525307.666666666</v>
      </c>
      <c r="K600">
        <v>20555</v>
      </c>
      <c r="L600">
        <v>2</v>
      </c>
      <c r="M600">
        <v>93</v>
      </c>
      <c r="N600">
        <v>0.97202797202797198</v>
      </c>
      <c r="O600">
        <v>7483659.833333333</v>
      </c>
      <c r="P600">
        <v>20964</v>
      </c>
      <c r="Q600">
        <v>2</v>
      </c>
      <c r="R600">
        <v>94</v>
      </c>
      <c r="S600">
        <v>11.271276126642562</v>
      </c>
      <c r="T600">
        <v>0.9604651093482971</v>
      </c>
      <c r="W600">
        <f>Tabela6[[#This Row],[mlp_params]]</f>
        <v>20555</v>
      </c>
      <c r="X600">
        <f>Tabela6[[#This Row],[mlp_test_acc]]</f>
        <v>0.96853146853146854</v>
      </c>
      <c r="Y600">
        <f>Tabela6[[#This Row],[kan_val_acc_1]]</f>
        <v>0.9604651093482971</v>
      </c>
      <c r="Z600">
        <f>Tabela6[[#This Row],[no_steps]]</f>
        <v>11.271276126642562</v>
      </c>
    </row>
    <row r="601" spans="1:26" x14ac:dyDescent="0.25">
      <c r="A601" t="s">
        <v>18</v>
      </c>
      <c r="B601">
        <v>9</v>
      </c>
      <c r="C601">
        <v>4</v>
      </c>
      <c r="D601">
        <v>0</v>
      </c>
      <c r="E601" t="s">
        <v>21</v>
      </c>
      <c r="F601">
        <v>14366</v>
      </c>
      <c r="G601">
        <v>21784376.166666668</v>
      </c>
      <c r="H601">
        <v>0.96270396312077844</v>
      </c>
      <c r="I601">
        <v>0.97086247086247079</v>
      </c>
      <c r="J601">
        <v>7050688</v>
      </c>
      <c r="K601">
        <v>22215</v>
      </c>
      <c r="L601">
        <v>2</v>
      </c>
      <c r="M601">
        <v>97</v>
      </c>
      <c r="N601">
        <v>0.96853146853146854</v>
      </c>
      <c r="O601">
        <v>7302662.833333333</v>
      </c>
      <c r="P601">
        <v>22640</v>
      </c>
      <c r="Q601">
        <v>2</v>
      </c>
      <c r="R601">
        <v>98</v>
      </c>
      <c r="S601">
        <v>11.272102247686206</v>
      </c>
      <c r="T601">
        <v>0.95813951492309568</v>
      </c>
      <c r="W601">
        <f>Tabela6[[#This Row],[mlp_params]]</f>
        <v>22215</v>
      </c>
      <c r="X601">
        <f>Tabela6[[#This Row],[mlp_test_acc]]</f>
        <v>0.97086247086247079</v>
      </c>
      <c r="Y601">
        <f>Tabela6[[#This Row],[kan_val_acc_1]]</f>
        <v>0.95813951492309568</v>
      </c>
      <c r="Z601">
        <f>Tabela6[[#This Row],[no_steps]]</f>
        <v>11.272102247686206</v>
      </c>
    </row>
    <row r="602" spans="1:26" x14ac:dyDescent="0.25">
      <c r="A602" t="s">
        <v>18</v>
      </c>
      <c r="B602">
        <v>9</v>
      </c>
      <c r="C602">
        <v>4</v>
      </c>
      <c r="D602">
        <v>0</v>
      </c>
      <c r="E602" t="s">
        <v>22</v>
      </c>
      <c r="F602">
        <v>15392</v>
      </c>
      <c r="G602">
        <v>28035826.818181816</v>
      </c>
      <c r="H602">
        <v>0.93324856324629346</v>
      </c>
      <c r="I602">
        <v>0.91608391608391604</v>
      </c>
      <c r="J602">
        <v>8633927.7272727266</v>
      </c>
      <c r="K602">
        <v>23939</v>
      </c>
      <c r="L602">
        <v>2</v>
      </c>
      <c r="M602">
        <v>101</v>
      </c>
      <c r="N602">
        <v>0.91926255562619197</v>
      </c>
      <c r="O602">
        <v>8567092.2727272734</v>
      </c>
      <c r="P602">
        <v>24380</v>
      </c>
      <c r="Q602">
        <v>2</v>
      </c>
      <c r="R602">
        <v>102</v>
      </c>
      <c r="S602">
        <v>11.320686456400741</v>
      </c>
      <c r="T602">
        <v>0.95232557058334355</v>
      </c>
      <c r="W602">
        <f>Tabela6[[#This Row],[mlp_params]]</f>
        <v>23939</v>
      </c>
      <c r="X602">
        <f>Tabela6[[#This Row],[mlp_test_acc]]</f>
        <v>0.91608391608391604</v>
      </c>
      <c r="Y602">
        <f>Tabela6[[#This Row],[kan_val_acc_1]]</f>
        <v>0.95232557058334355</v>
      </c>
      <c r="Z602">
        <f>Tabela6[[#This Row],[no_steps]]</f>
        <v>11.320686456400741</v>
      </c>
    </row>
    <row r="603" spans="1:26" x14ac:dyDescent="0.25">
      <c r="A603" t="s">
        <v>18</v>
      </c>
      <c r="B603">
        <v>9</v>
      </c>
      <c r="C603">
        <v>4</v>
      </c>
      <c r="D603">
        <v>0</v>
      </c>
      <c r="E603" t="s">
        <v>39</v>
      </c>
      <c r="F603">
        <v>16418</v>
      </c>
      <c r="G603">
        <v>15243640.833333334</v>
      </c>
      <c r="H603">
        <v>0.96270396312077844</v>
      </c>
      <c r="I603">
        <v>0.965034965034965</v>
      </c>
      <c r="J603">
        <v>9285303</v>
      </c>
      <c r="K603">
        <v>25274</v>
      </c>
      <c r="L603">
        <v>2</v>
      </c>
      <c r="M603">
        <v>104</v>
      </c>
      <c r="N603">
        <v>0.97202797202797198</v>
      </c>
      <c r="O603">
        <v>8615508.166666666</v>
      </c>
      <c r="P603">
        <v>25727</v>
      </c>
      <c r="Q603">
        <v>2</v>
      </c>
      <c r="R603">
        <v>105</v>
      </c>
      <c r="S603">
        <v>11.319024661598368</v>
      </c>
      <c r="T603">
        <v>0.96511626243591309</v>
      </c>
      <c r="W603">
        <f>Tabela6[[#This Row],[mlp_params]]</f>
        <v>25274</v>
      </c>
      <c r="X603">
        <f>Tabela6[[#This Row],[mlp_test_acc]]</f>
        <v>0.965034965034965</v>
      </c>
      <c r="Y603">
        <f>Tabela6[[#This Row],[kan_val_acc_1]]</f>
        <v>0.96511626243591309</v>
      </c>
      <c r="Z603">
        <f>Tabela6[[#This Row],[no_steps]]</f>
        <v>11.319024661598368</v>
      </c>
    </row>
    <row r="604" spans="1:26" x14ac:dyDescent="0.25">
      <c r="A604" t="s">
        <v>18</v>
      </c>
      <c r="B604">
        <v>9</v>
      </c>
      <c r="C604">
        <v>4</v>
      </c>
      <c r="D604">
        <v>0</v>
      </c>
      <c r="E604" t="s">
        <v>55</v>
      </c>
      <c r="F604">
        <v>17444</v>
      </c>
      <c r="G604">
        <v>25215000.5</v>
      </c>
      <c r="H604">
        <v>0.9627039531866709</v>
      </c>
      <c r="I604">
        <v>0.96969696969696961</v>
      </c>
      <c r="J604">
        <v>8910070.5</v>
      </c>
      <c r="K604">
        <v>27110</v>
      </c>
      <c r="L604">
        <v>2</v>
      </c>
      <c r="M604">
        <v>108</v>
      </c>
      <c r="N604">
        <v>0.97086247086247079</v>
      </c>
      <c r="O604">
        <v>8950954.5</v>
      </c>
      <c r="P604">
        <v>27579</v>
      </c>
      <c r="Q604">
        <v>2</v>
      </c>
      <c r="R604">
        <v>109</v>
      </c>
      <c r="S604">
        <v>11.31986656782802</v>
      </c>
      <c r="T604">
        <v>0.965116274356842</v>
      </c>
      <c r="W604">
        <f>Tabela6[[#This Row],[mlp_params]]</f>
        <v>27110</v>
      </c>
      <c r="X604">
        <f>Tabela6[[#This Row],[mlp_test_acc]]</f>
        <v>0.96969696969696961</v>
      </c>
      <c r="Y604">
        <f>Tabela6[[#This Row],[kan_val_acc_1]]</f>
        <v>0.965116274356842</v>
      </c>
      <c r="Z604">
        <f>Tabela6[[#This Row],[no_steps]]</f>
        <v>11.31986656782802</v>
      </c>
    </row>
    <row r="605" spans="1:26" x14ac:dyDescent="0.25">
      <c r="A605" t="s">
        <v>18</v>
      </c>
      <c r="B605">
        <v>9</v>
      </c>
      <c r="C605">
        <v>4</v>
      </c>
      <c r="D605">
        <v>0</v>
      </c>
      <c r="E605" t="s">
        <v>66</v>
      </c>
      <c r="F605">
        <v>18470</v>
      </c>
      <c r="G605">
        <v>27756225</v>
      </c>
      <c r="H605">
        <v>0.95687644680341088</v>
      </c>
      <c r="I605">
        <v>0.96736596736596736</v>
      </c>
      <c r="J605">
        <v>9426211</v>
      </c>
      <c r="K605">
        <v>28529</v>
      </c>
      <c r="L605">
        <v>2</v>
      </c>
      <c r="M605">
        <v>111</v>
      </c>
      <c r="N605">
        <v>0.96969696969696961</v>
      </c>
      <c r="O605">
        <v>8585732.833333334</v>
      </c>
      <c r="P605">
        <v>29010</v>
      </c>
      <c r="Q605">
        <v>2</v>
      </c>
      <c r="R605">
        <v>112</v>
      </c>
      <c r="S605">
        <v>11.320985367660677</v>
      </c>
      <c r="T605">
        <v>0.96279067993164058</v>
      </c>
      <c r="W605">
        <f>Tabela6[[#This Row],[mlp_params]]</f>
        <v>28529</v>
      </c>
      <c r="X605">
        <f>Tabela6[[#This Row],[mlp_test_acc]]</f>
        <v>0.96736596736596736</v>
      </c>
      <c r="Y605">
        <f>Tabela6[[#This Row],[kan_val_acc_1]]</f>
        <v>0.96279067993164058</v>
      </c>
      <c r="Z605">
        <f>Tabela6[[#This Row],[no_steps]]</f>
        <v>11.320985367660677</v>
      </c>
    </row>
    <row r="606" spans="1:26" x14ac:dyDescent="0.25">
      <c r="A606" t="s">
        <v>18</v>
      </c>
      <c r="B606">
        <v>9</v>
      </c>
      <c r="C606">
        <v>4</v>
      </c>
      <c r="D606">
        <v>0</v>
      </c>
      <c r="E606" t="s">
        <v>76</v>
      </c>
      <c r="F606">
        <v>19496</v>
      </c>
      <c r="G606">
        <v>23109645.166666668</v>
      </c>
      <c r="H606">
        <v>0.95104895035425818</v>
      </c>
      <c r="I606">
        <v>0.96853146853146854</v>
      </c>
      <c r="J606">
        <v>8304652.333333333</v>
      </c>
      <c r="K606">
        <v>29984</v>
      </c>
      <c r="L606">
        <v>2</v>
      </c>
      <c r="M606">
        <v>114</v>
      </c>
      <c r="N606">
        <v>0.97319347319347316</v>
      </c>
      <c r="O606">
        <v>9878990.666666666</v>
      </c>
      <c r="P606">
        <v>30477</v>
      </c>
      <c r="Q606">
        <v>2</v>
      </c>
      <c r="R606">
        <v>115</v>
      </c>
      <c r="S606">
        <v>11.320807108478341</v>
      </c>
      <c r="T606">
        <v>0.96744184494018559</v>
      </c>
      <c r="W606">
        <f>Tabela6[[#This Row],[mlp_params]]</f>
        <v>29984</v>
      </c>
      <c r="X606">
        <f>Tabela6[[#This Row],[mlp_test_acc]]</f>
        <v>0.96853146853146854</v>
      </c>
      <c r="Y606">
        <f>Tabela6[[#This Row],[kan_val_acc_1]]</f>
        <v>0.96744184494018559</v>
      </c>
      <c r="Z606">
        <f>Tabela6[[#This Row],[no_steps]]</f>
        <v>11.320807108478341</v>
      </c>
    </row>
    <row r="607" spans="1:26" x14ac:dyDescent="0.25">
      <c r="A607" t="s">
        <v>18</v>
      </c>
      <c r="B607">
        <v>9</v>
      </c>
      <c r="C607">
        <v>4</v>
      </c>
      <c r="D607">
        <v>0</v>
      </c>
      <c r="E607" t="s">
        <v>93</v>
      </c>
      <c r="F607">
        <v>20522</v>
      </c>
      <c r="G607">
        <v>26188756.666666668</v>
      </c>
      <c r="H607">
        <v>0.95804195602734887</v>
      </c>
      <c r="I607">
        <v>0.965034965034965</v>
      </c>
      <c r="J607">
        <v>9486055.333333334</v>
      </c>
      <c r="K607">
        <v>31980</v>
      </c>
      <c r="L607">
        <v>2</v>
      </c>
      <c r="M607">
        <v>118</v>
      </c>
      <c r="N607">
        <v>0.96853146853146854</v>
      </c>
      <c r="O607">
        <v>10007163.5</v>
      </c>
      <c r="P607">
        <v>32489</v>
      </c>
      <c r="Q607">
        <v>2</v>
      </c>
      <c r="R607">
        <v>119</v>
      </c>
      <c r="S607">
        <v>11.3209065679926</v>
      </c>
      <c r="T607">
        <v>0.96511626243591309</v>
      </c>
      <c r="W607">
        <f>Tabela6[[#This Row],[mlp_params]]</f>
        <v>31980</v>
      </c>
      <c r="X607">
        <f>Tabela6[[#This Row],[mlp_test_acc]]</f>
        <v>0.965034965034965</v>
      </c>
      <c r="Y607">
        <f>Tabela6[[#This Row],[kan_val_acc_1]]</f>
        <v>0.96511626243591309</v>
      </c>
      <c r="Z607">
        <f>Tabela6[[#This Row],[no_steps]]</f>
        <v>11.3209065679926</v>
      </c>
    </row>
    <row r="608" spans="1:26" x14ac:dyDescent="0.25">
      <c r="A608" t="s">
        <v>18</v>
      </c>
      <c r="B608">
        <v>9</v>
      </c>
      <c r="C608">
        <v>4</v>
      </c>
      <c r="D608">
        <v>0</v>
      </c>
      <c r="E608" t="s">
        <v>94</v>
      </c>
      <c r="F608">
        <v>21548</v>
      </c>
      <c r="G608">
        <v>29212681.666666668</v>
      </c>
      <c r="H608">
        <v>0.95454544822374976</v>
      </c>
      <c r="I608">
        <v>0.97086247086247079</v>
      </c>
      <c r="J608">
        <v>9006616.5</v>
      </c>
      <c r="K608">
        <v>33519</v>
      </c>
      <c r="L608">
        <v>2</v>
      </c>
      <c r="M608">
        <v>121</v>
      </c>
      <c r="N608">
        <v>0.97086247086247079</v>
      </c>
      <c r="O608">
        <v>10018041.833333334</v>
      </c>
      <c r="P608">
        <v>34040</v>
      </c>
      <c r="Q608">
        <v>2</v>
      </c>
      <c r="R608">
        <v>122</v>
      </c>
      <c r="S608">
        <v>11.321930473372781</v>
      </c>
      <c r="T608">
        <v>0.96511626243591309</v>
      </c>
      <c r="W608">
        <f>Tabela6[[#This Row],[mlp_params]]</f>
        <v>33519</v>
      </c>
      <c r="X608">
        <f>Tabela6[[#This Row],[mlp_test_acc]]</f>
        <v>0.97086247086247079</v>
      </c>
      <c r="Y608">
        <f>Tabela6[[#This Row],[kan_val_acc_1]]</f>
        <v>0.96511626243591309</v>
      </c>
      <c r="Z608">
        <f>Tabela6[[#This Row],[no_steps]]</f>
        <v>11.321930473372781</v>
      </c>
    </row>
    <row r="609" spans="1:26" x14ac:dyDescent="0.25">
      <c r="A609" t="s">
        <v>18</v>
      </c>
      <c r="B609">
        <v>9</v>
      </c>
      <c r="C609">
        <v>4</v>
      </c>
      <c r="D609">
        <v>0</v>
      </c>
      <c r="E609" t="s">
        <v>95</v>
      </c>
      <c r="F609">
        <v>22574</v>
      </c>
      <c r="G609">
        <v>19277819.833333332</v>
      </c>
      <c r="H609">
        <v>0.97552446524302161</v>
      </c>
      <c r="I609">
        <v>0.97202797202797198</v>
      </c>
      <c r="J609">
        <v>9448572.166666666</v>
      </c>
      <c r="K609">
        <v>35094</v>
      </c>
      <c r="L609">
        <v>2</v>
      </c>
      <c r="M609">
        <v>124</v>
      </c>
      <c r="N609">
        <v>0.96969696969696972</v>
      </c>
      <c r="O609">
        <v>10089595.833333334</v>
      </c>
      <c r="P609">
        <v>35627</v>
      </c>
      <c r="Q609">
        <v>2</v>
      </c>
      <c r="R609">
        <v>125</v>
      </c>
      <c r="S609">
        <v>11.320181112548513</v>
      </c>
      <c r="T609">
        <v>0.95348834991455078</v>
      </c>
      <c r="W609">
        <f>Tabela6[[#This Row],[mlp_params]]</f>
        <v>35094</v>
      </c>
      <c r="X609">
        <f>Tabela6[[#This Row],[mlp_test_acc]]</f>
        <v>0.97202797202797198</v>
      </c>
      <c r="Y609">
        <f>Tabela6[[#This Row],[kan_val_acc_1]]</f>
        <v>0.95348834991455078</v>
      </c>
      <c r="Z609">
        <f>Tabela6[[#This Row],[no_steps]]</f>
        <v>11.320181112548513</v>
      </c>
    </row>
    <row r="610" spans="1:26" x14ac:dyDescent="0.25">
      <c r="A610" t="s">
        <v>18</v>
      </c>
      <c r="B610">
        <v>9</v>
      </c>
      <c r="C610">
        <v>4</v>
      </c>
      <c r="D610">
        <v>0</v>
      </c>
      <c r="E610" t="s">
        <v>96</v>
      </c>
      <c r="F610">
        <v>23600</v>
      </c>
      <c r="G610">
        <v>22230388.5</v>
      </c>
      <c r="H610">
        <v>0.95337995886802673</v>
      </c>
      <c r="I610">
        <v>0.96853146853146854</v>
      </c>
      <c r="J610">
        <v>8739078.833333334</v>
      </c>
      <c r="K610">
        <v>36705</v>
      </c>
      <c r="L610">
        <v>2</v>
      </c>
      <c r="M610">
        <v>127</v>
      </c>
      <c r="N610">
        <v>0.9766899766899767</v>
      </c>
      <c r="O610">
        <v>9138631.833333334</v>
      </c>
      <c r="P610">
        <v>37250</v>
      </c>
      <c r="Q610">
        <v>2</v>
      </c>
      <c r="R610">
        <v>128</v>
      </c>
      <c r="S610">
        <v>11.319080162541558</v>
      </c>
      <c r="T610">
        <v>0.95581393241882329</v>
      </c>
      <c r="W610">
        <f>Tabela6[[#This Row],[mlp_params]]</f>
        <v>36705</v>
      </c>
      <c r="X610">
        <f>Tabela6[[#This Row],[mlp_test_acc]]</f>
        <v>0.96853146853146854</v>
      </c>
      <c r="Y610">
        <f>Tabela6[[#This Row],[kan_val_acc_1]]</f>
        <v>0.95581393241882329</v>
      </c>
      <c r="Z610">
        <f>Tabela6[[#This Row],[no_steps]]</f>
        <v>11.319080162541558</v>
      </c>
    </row>
    <row r="611" spans="1:26" x14ac:dyDescent="0.25">
      <c r="A611" t="s">
        <v>18</v>
      </c>
      <c r="B611">
        <v>9</v>
      </c>
      <c r="C611">
        <v>4</v>
      </c>
      <c r="D611">
        <v>0</v>
      </c>
      <c r="E611" t="s">
        <v>97</v>
      </c>
      <c r="F611">
        <v>24626</v>
      </c>
      <c r="G611">
        <v>28951645.5</v>
      </c>
      <c r="H611">
        <v>0.95571095744768775</v>
      </c>
      <c r="I611">
        <v>0.965034965034965</v>
      </c>
      <c r="J611">
        <v>8490604.333333334</v>
      </c>
      <c r="K611">
        <v>38352</v>
      </c>
      <c r="L611">
        <v>2</v>
      </c>
      <c r="M611">
        <v>130</v>
      </c>
      <c r="N611">
        <v>0.965034965034965</v>
      </c>
      <c r="O611">
        <v>9782418.166666666</v>
      </c>
      <c r="P611">
        <v>38909</v>
      </c>
      <c r="Q611">
        <v>2</v>
      </c>
      <c r="R611">
        <v>131</v>
      </c>
      <c r="S611">
        <v>11.319272660143991</v>
      </c>
      <c r="T611">
        <v>0.95581393241882329</v>
      </c>
      <c r="W611">
        <f>Tabela6[[#This Row],[mlp_params]]</f>
        <v>38352</v>
      </c>
      <c r="X611">
        <f>Tabela6[[#This Row],[mlp_test_acc]]</f>
        <v>0.965034965034965</v>
      </c>
      <c r="Y611">
        <f>Tabela6[[#This Row],[kan_val_acc_1]]</f>
        <v>0.95581393241882329</v>
      </c>
      <c r="Z611">
        <f>Tabela6[[#This Row],[no_steps]]</f>
        <v>11.319272660143991</v>
      </c>
    </row>
    <row r="612" spans="1:26" x14ac:dyDescent="0.25">
      <c r="A612" t="s">
        <v>18</v>
      </c>
      <c r="B612">
        <v>9</v>
      </c>
      <c r="C612">
        <v>4</v>
      </c>
      <c r="D612">
        <v>0</v>
      </c>
      <c r="E612" t="s">
        <v>98</v>
      </c>
      <c r="F612">
        <v>25652</v>
      </c>
      <c r="G612">
        <v>33538366.666666668</v>
      </c>
      <c r="H612">
        <v>0.97086246808369958</v>
      </c>
      <c r="I612">
        <v>0.97086247086247091</v>
      </c>
      <c r="J612">
        <v>7808344.5</v>
      </c>
      <c r="K612">
        <v>40035</v>
      </c>
      <c r="L612">
        <v>2</v>
      </c>
      <c r="M612">
        <v>133</v>
      </c>
      <c r="N612">
        <v>0.965034965034965</v>
      </c>
      <c r="O612">
        <v>9807277</v>
      </c>
      <c r="P612">
        <v>40604</v>
      </c>
      <c r="Q612">
        <v>2</v>
      </c>
      <c r="R612">
        <v>134</v>
      </c>
      <c r="S612">
        <v>11.32029520295203</v>
      </c>
      <c r="T612">
        <v>0.96279067993164058</v>
      </c>
      <c r="W612">
        <f>Tabela6[[#This Row],[mlp_params]]</f>
        <v>40035</v>
      </c>
      <c r="X612">
        <f>Tabela6[[#This Row],[mlp_test_acc]]</f>
        <v>0.97086247086247091</v>
      </c>
      <c r="Y612">
        <f>Tabela6[[#This Row],[kan_val_acc_1]]</f>
        <v>0.96279067993164058</v>
      </c>
      <c r="Z612">
        <f>Tabela6[[#This Row],[no_steps]]</f>
        <v>11.32029520295203</v>
      </c>
    </row>
    <row r="613" spans="1:26" x14ac:dyDescent="0.25">
      <c r="A613" t="s">
        <v>18</v>
      </c>
      <c r="B613">
        <v>9</v>
      </c>
      <c r="C613">
        <v>4</v>
      </c>
      <c r="D613">
        <v>0</v>
      </c>
      <c r="E613" t="s">
        <v>99</v>
      </c>
      <c r="F613">
        <v>26678</v>
      </c>
      <c r="G613">
        <v>33303851.333333332</v>
      </c>
      <c r="H613">
        <v>0.94988345106442773</v>
      </c>
      <c r="I613">
        <v>0.97202797202797198</v>
      </c>
      <c r="J613">
        <v>8214073.666666667</v>
      </c>
      <c r="K613">
        <v>41177</v>
      </c>
      <c r="L613">
        <v>2</v>
      </c>
      <c r="M613">
        <v>135</v>
      </c>
      <c r="N613">
        <v>0.97202797202797198</v>
      </c>
      <c r="O613">
        <v>9106107.833333334</v>
      </c>
      <c r="P613">
        <v>41754</v>
      </c>
      <c r="Q613">
        <v>2</v>
      </c>
      <c r="R613">
        <v>136</v>
      </c>
      <c r="S613">
        <v>11.320763415083903</v>
      </c>
      <c r="T613">
        <v>0.95581393241882329</v>
      </c>
      <c r="W613">
        <f>Tabela6[[#This Row],[mlp_params]]</f>
        <v>41177</v>
      </c>
      <c r="X613">
        <f>Tabela6[[#This Row],[mlp_test_acc]]</f>
        <v>0.97202797202797198</v>
      </c>
      <c r="Y613">
        <f>Tabela6[[#This Row],[kan_val_acc_1]]</f>
        <v>0.95581393241882329</v>
      </c>
      <c r="Z613">
        <f>Tabela6[[#This Row],[no_steps]]</f>
        <v>11.320763415083903</v>
      </c>
    </row>
    <row r="614" spans="1:26" x14ac:dyDescent="0.25">
      <c r="A614" t="s">
        <v>18</v>
      </c>
      <c r="B614">
        <v>9</v>
      </c>
      <c r="C614">
        <v>4</v>
      </c>
      <c r="D614">
        <v>0</v>
      </c>
      <c r="E614" t="s">
        <v>100</v>
      </c>
      <c r="F614">
        <v>27704</v>
      </c>
      <c r="G614">
        <v>28960461</v>
      </c>
      <c r="H614">
        <v>0.96153845389684045</v>
      </c>
      <c r="I614">
        <v>0.96736596736596736</v>
      </c>
      <c r="J614">
        <v>8991931</v>
      </c>
      <c r="K614">
        <v>42920</v>
      </c>
      <c r="L614">
        <v>2</v>
      </c>
      <c r="M614">
        <v>138</v>
      </c>
      <c r="N614">
        <v>0.965034965034965</v>
      </c>
      <c r="O614">
        <v>7092381.5</v>
      </c>
      <c r="P614">
        <v>43509</v>
      </c>
      <c r="Q614">
        <v>2</v>
      </c>
      <c r="R614">
        <v>139</v>
      </c>
      <c r="S614">
        <v>11.32030962034648</v>
      </c>
      <c r="T614">
        <v>0.96744184494018559</v>
      </c>
      <c r="W614">
        <f>Tabela6[[#This Row],[mlp_params]]</f>
        <v>42920</v>
      </c>
      <c r="X614">
        <f>Tabela6[[#This Row],[mlp_test_acc]]</f>
        <v>0.96736596736596736</v>
      </c>
      <c r="Y614">
        <f>Tabela6[[#This Row],[kan_val_acc_1]]</f>
        <v>0.96744184494018559</v>
      </c>
      <c r="Z614">
        <f>Tabela6[[#This Row],[no_steps]]</f>
        <v>11.32030962034648</v>
      </c>
    </row>
    <row r="615" spans="1:26" x14ac:dyDescent="0.25">
      <c r="A615" t="s">
        <v>18</v>
      </c>
      <c r="B615">
        <v>9</v>
      </c>
      <c r="C615">
        <v>4</v>
      </c>
      <c r="D615">
        <v>0</v>
      </c>
      <c r="E615" t="s">
        <v>101</v>
      </c>
      <c r="F615">
        <v>28730</v>
      </c>
      <c r="G615">
        <v>25204604.333333332</v>
      </c>
      <c r="H615">
        <v>0.96503495176633203</v>
      </c>
      <c r="I615">
        <v>0.96736596736596736</v>
      </c>
      <c r="J615">
        <v>7348735.333333333</v>
      </c>
      <c r="K615">
        <v>44699</v>
      </c>
      <c r="L615">
        <v>2</v>
      </c>
      <c r="M615">
        <v>141</v>
      </c>
      <c r="N615">
        <v>0.965034965034965</v>
      </c>
      <c r="O615">
        <v>10491182.666666666</v>
      </c>
      <c r="P615">
        <v>45300</v>
      </c>
      <c r="Q615">
        <v>2</v>
      </c>
      <c r="R615">
        <v>142</v>
      </c>
      <c r="S615">
        <v>11.318843249217167</v>
      </c>
      <c r="T615">
        <v>0.96511626243591309</v>
      </c>
      <c r="W615">
        <f>Tabela6[[#This Row],[mlp_params]]</f>
        <v>44699</v>
      </c>
      <c r="X615">
        <f>Tabela6[[#This Row],[mlp_test_acc]]</f>
        <v>0.96736596736596736</v>
      </c>
      <c r="Y615">
        <f>Tabela6[[#This Row],[kan_val_acc_1]]</f>
        <v>0.96511626243591309</v>
      </c>
      <c r="Z615">
        <f>Tabela6[[#This Row],[no_steps]]</f>
        <v>11.318843249217167</v>
      </c>
    </row>
    <row r="616" spans="1:26" x14ac:dyDescent="0.25">
      <c r="A616" t="s">
        <v>18</v>
      </c>
      <c r="B616">
        <v>9</v>
      </c>
      <c r="C616">
        <v>4</v>
      </c>
      <c r="D616">
        <v>0</v>
      </c>
      <c r="E616" t="s">
        <v>102</v>
      </c>
      <c r="F616">
        <v>29756</v>
      </c>
      <c r="G616">
        <v>35610378.5</v>
      </c>
      <c r="H616">
        <v>0.95571095744768775</v>
      </c>
      <c r="I616">
        <v>0.96853146853146854</v>
      </c>
      <c r="J616">
        <v>8742813.333333334</v>
      </c>
      <c r="K616">
        <v>45905</v>
      </c>
      <c r="L616">
        <v>2</v>
      </c>
      <c r="M616">
        <v>143</v>
      </c>
      <c r="N616">
        <v>0.96736596736596736</v>
      </c>
      <c r="O616">
        <v>9249033.5</v>
      </c>
      <c r="P616">
        <v>46514</v>
      </c>
      <c r="Q616">
        <v>2</v>
      </c>
      <c r="R616">
        <v>144</v>
      </c>
      <c r="S616">
        <v>11.31931148748159</v>
      </c>
      <c r="T616">
        <v>0.97674417495727539</v>
      </c>
      <c r="W616">
        <f>Tabela6[[#This Row],[mlp_params]]</f>
        <v>45905</v>
      </c>
      <c r="X616">
        <f>Tabela6[[#This Row],[mlp_test_acc]]</f>
        <v>0.96853146853146854</v>
      </c>
      <c r="Y616">
        <f>Tabela6[[#This Row],[kan_val_acc_1]]</f>
        <v>0.97674417495727539</v>
      </c>
      <c r="Z616">
        <f>Tabela6[[#This Row],[no_steps]]</f>
        <v>11.31931148748159</v>
      </c>
    </row>
    <row r="617" spans="1:26" x14ac:dyDescent="0.25">
      <c r="A617" t="s">
        <v>18</v>
      </c>
      <c r="B617">
        <v>9</v>
      </c>
      <c r="C617">
        <v>4</v>
      </c>
      <c r="D617">
        <v>0</v>
      </c>
      <c r="E617" t="s">
        <v>23</v>
      </c>
      <c r="F617">
        <v>29822</v>
      </c>
      <c r="G617">
        <v>36089168.833333336</v>
      </c>
      <c r="H617">
        <v>0.95571094751358032</v>
      </c>
      <c r="I617">
        <v>0.97319347319347316</v>
      </c>
      <c r="J617">
        <v>8709561.5</v>
      </c>
      <c r="K617">
        <v>46514</v>
      </c>
      <c r="L617">
        <v>2</v>
      </c>
      <c r="M617">
        <v>144</v>
      </c>
      <c r="N617">
        <v>0.96969696969696961</v>
      </c>
      <c r="O617">
        <v>10072542.833333334</v>
      </c>
      <c r="P617">
        <v>47127</v>
      </c>
      <c r="Q617">
        <v>2</v>
      </c>
      <c r="R617">
        <v>145</v>
      </c>
      <c r="S617">
        <v>11.319595216191352</v>
      </c>
      <c r="T617">
        <v>0.9790697574615479</v>
      </c>
      <c r="W617">
        <f>Tabela6[[#This Row],[mlp_params]]</f>
        <v>46514</v>
      </c>
      <c r="X617">
        <f>Tabela6[[#This Row],[mlp_test_acc]]</f>
        <v>0.97319347319347316</v>
      </c>
      <c r="Y617">
        <f>Tabela6[[#This Row],[kan_val_acc_1]]</f>
        <v>0.9790697574615479</v>
      </c>
      <c r="Z617">
        <f>Tabela6[[#This Row],[no_steps]]</f>
        <v>11.319595216191352</v>
      </c>
    </row>
    <row r="618" spans="1:26" x14ac:dyDescent="0.25">
      <c r="A618" t="s">
        <v>18</v>
      </c>
      <c r="B618">
        <v>9</v>
      </c>
      <c r="C618">
        <v>4</v>
      </c>
      <c r="D618">
        <v>0</v>
      </c>
      <c r="E618" t="s">
        <v>103</v>
      </c>
      <c r="F618">
        <v>30782</v>
      </c>
      <c r="G618">
        <v>39537081.666666664</v>
      </c>
      <c r="H618">
        <v>0.92890444397926331</v>
      </c>
      <c r="I618">
        <v>0.96853146853146854</v>
      </c>
      <c r="J618">
        <v>7910114.166666667</v>
      </c>
      <c r="K618">
        <v>47744</v>
      </c>
      <c r="L618">
        <v>2</v>
      </c>
      <c r="M618">
        <v>146</v>
      </c>
      <c r="N618">
        <v>0.96969696969696972</v>
      </c>
      <c r="O618">
        <v>9372135</v>
      </c>
      <c r="P618">
        <v>48365</v>
      </c>
      <c r="Q618">
        <v>2</v>
      </c>
      <c r="R618">
        <v>147</v>
      </c>
      <c r="S618">
        <v>11.319970577418168</v>
      </c>
      <c r="T618">
        <v>0.94883719682693479</v>
      </c>
      <c r="W618">
        <f>Tabela6[[#This Row],[mlp_params]]</f>
        <v>47744</v>
      </c>
      <c r="X618">
        <f>Tabela6[[#This Row],[mlp_test_acc]]</f>
        <v>0.96853146853146854</v>
      </c>
      <c r="Y618">
        <f>Tabela6[[#This Row],[kan_val_acc_1]]</f>
        <v>0.94883719682693479</v>
      </c>
      <c r="Z618">
        <f>Tabela6[[#This Row],[no_steps]]</f>
        <v>11.319970577418168</v>
      </c>
    </row>
    <row r="619" spans="1:26" x14ac:dyDescent="0.25">
      <c r="A619" t="s">
        <v>18</v>
      </c>
      <c r="B619">
        <v>9</v>
      </c>
      <c r="C619">
        <v>4</v>
      </c>
      <c r="D619">
        <v>0</v>
      </c>
      <c r="E619" t="s">
        <v>40</v>
      </c>
      <c r="F619">
        <v>31744</v>
      </c>
      <c r="G619">
        <v>30761400.454545453</v>
      </c>
      <c r="H619">
        <v>0.93261284177953552</v>
      </c>
      <c r="I619">
        <v>0.96948506039415128</v>
      </c>
      <c r="J619">
        <v>8189631.6363636367</v>
      </c>
      <c r="K619">
        <v>48990</v>
      </c>
      <c r="L619">
        <v>2</v>
      </c>
      <c r="M619">
        <v>148</v>
      </c>
      <c r="N619">
        <v>0.96058486967577872</v>
      </c>
      <c r="O619">
        <v>8824575.2727272734</v>
      </c>
      <c r="P619">
        <v>49619</v>
      </c>
      <c r="Q619">
        <v>2</v>
      </c>
      <c r="R619">
        <v>149</v>
      </c>
      <c r="S619">
        <v>11.31808579039221</v>
      </c>
      <c r="T619">
        <v>0.96162788867950444</v>
      </c>
      <c r="W619">
        <f>Tabela6[[#This Row],[mlp_params]]</f>
        <v>48990</v>
      </c>
      <c r="X619">
        <f>Tabela6[[#This Row],[mlp_test_acc]]</f>
        <v>0.96948506039415128</v>
      </c>
      <c r="Y619">
        <f>Tabela6[[#This Row],[kan_val_acc_1]]</f>
        <v>0.96162788867950444</v>
      </c>
      <c r="Z619">
        <f>Tabela6[[#This Row],[no_steps]]</f>
        <v>11.31808579039221</v>
      </c>
    </row>
    <row r="620" spans="1:26" x14ac:dyDescent="0.25">
      <c r="A620" t="s">
        <v>18</v>
      </c>
      <c r="B620">
        <v>9</v>
      </c>
      <c r="C620">
        <v>4</v>
      </c>
      <c r="D620">
        <v>0</v>
      </c>
      <c r="E620" t="s">
        <v>104</v>
      </c>
      <c r="F620">
        <v>31808</v>
      </c>
      <c r="G620">
        <v>32350512.333333332</v>
      </c>
      <c r="H620">
        <v>0.93473192056020105</v>
      </c>
      <c r="I620">
        <v>0.94405594405594406</v>
      </c>
      <c r="J620">
        <v>9919196.833333334</v>
      </c>
      <c r="K620">
        <v>49619</v>
      </c>
      <c r="L620">
        <v>2</v>
      </c>
      <c r="M620">
        <v>149</v>
      </c>
      <c r="N620">
        <v>0.94522144522144524</v>
      </c>
      <c r="O620">
        <v>9526018.5</v>
      </c>
      <c r="P620">
        <v>50252</v>
      </c>
      <c r="Q620">
        <v>2</v>
      </c>
      <c r="R620">
        <v>150</v>
      </c>
      <c r="S620">
        <v>11.317359772330855</v>
      </c>
      <c r="T620">
        <v>0.96511626243591309</v>
      </c>
      <c r="W620">
        <f>Tabela6[[#This Row],[mlp_params]]</f>
        <v>49619</v>
      </c>
      <c r="X620">
        <f>Tabela6[[#This Row],[mlp_test_acc]]</f>
        <v>0.94405594405594406</v>
      </c>
      <c r="Y620">
        <f>Tabela6[[#This Row],[kan_val_acc_1]]</f>
        <v>0.96511626243591309</v>
      </c>
      <c r="Z620">
        <f>Tabela6[[#This Row],[no_steps]]</f>
        <v>11.317359772330855</v>
      </c>
    </row>
    <row r="621" spans="1:26" x14ac:dyDescent="0.25">
      <c r="A621" t="s">
        <v>18</v>
      </c>
      <c r="B621">
        <v>9</v>
      </c>
      <c r="C621">
        <v>4</v>
      </c>
      <c r="D621">
        <v>0</v>
      </c>
      <c r="E621" t="s">
        <v>26</v>
      </c>
      <c r="F621">
        <v>32900</v>
      </c>
      <c r="G621">
        <v>38275569.909090906</v>
      </c>
      <c r="H621">
        <v>0.94087730212645093</v>
      </c>
      <c r="I621">
        <v>0.96439923712650977</v>
      </c>
      <c r="J621">
        <v>9538176.1818181816</v>
      </c>
      <c r="K621">
        <v>50889</v>
      </c>
      <c r="L621">
        <v>2</v>
      </c>
      <c r="M621">
        <v>151</v>
      </c>
      <c r="N621">
        <v>0.96821360457724093</v>
      </c>
      <c r="O621">
        <v>10122487.090909092</v>
      </c>
      <c r="P621">
        <v>51530</v>
      </c>
      <c r="Q621">
        <v>2</v>
      </c>
      <c r="R621">
        <v>152</v>
      </c>
      <c r="S621">
        <v>11.318323550990462</v>
      </c>
      <c r="T621">
        <v>0.95697672367095943</v>
      </c>
      <c r="W621">
        <f>Tabela6[[#This Row],[mlp_params]]</f>
        <v>50889</v>
      </c>
      <c r="X621">
        <f>Tabela6[[#This Row],[mlp_test_acc]]</f>
        <v>0.96439923712650977</v>
      </c>
      <c r="Y621">
        <f>Tabela6[[#This Row],[kan_val_acc_1]]</f>
        <v>0.95697672367095943</v>
      </c>
      <c r="Z621">
        <f>Tabela6[[#This Row],[no_steps]]</f>
        <v>11.318323550990462</v>
      </c>
    </row>
    <row r="622" spans="1:26" x14ac:dyDescent="0.25">
      <c r="A622" t="s">
        <v>18</v>
      </c>
      <c r="B622">
        <v>9</v>
      </c>
      <c r="C622">
        <v>4</v>
      </c>
      <c r="D622">
        <v>0</v>
      </c>
      <c r="E622" t="s">
        <v>56</v>
      </c>
      <c r="F622">
        <v>33666</v>
      </c>
      <c r="G622">
        <v>35119525.272727273</v>
      </c>
      <c r="H622">
        <v>0.92943419651551684</v>
      </c>
      <c r="I622">
        <v>0.9599491417673236</v>
      </c>
      <c r="J622">
        <v>9275984</v>
      </c>
      <c r="K622">
        <v>52175</v>
      </c>
      <c r="L622">
        <v>2</v>
      </c>
      <c r="M622">
        <v>153</v>
      </c>
      <c r="N622">
        <v>0.96058486967577872</v>
      </c>
      <c r="O622">
        <v>9572167.0909090918</v>
      </c>
      <c r="P622">
        <v>52824</v>
      </c>
      <c r="Q622">
        <v>2</v>
      </c>
      <c r="R622">
        <v>154</v>
      </c>
      <c r="S622">
        <v>11.317086578103527</v>
      </c>
      <c r="T622">
        <v>0.96046509742736819</v>
      </c>
      <c r="W622">
        <f>Tabela6[[#This Row],[mlp_params]]</f>
        <v>52175</v>
      </c>
      <c r="X622">
        <f>Tabela6[[#This Row],[mlp_test_acc]]</f>
        <v>0.9599491417673236</v>
      </c>
      <c r="Y622">
        <f>Tabela6[[#This Row],[kan_val_acc_1]]</f>
        <v>0.96046509742736819</v>
      </c>
      <c r="Z622">
        <f>Tabela6[[#This Row],[no_steps]]</f>
        <v>11.317086578103527</v>
      </c>
    </row>
    <row r="623" spans="1:26" x14ac:dyDescent="0.25">
      <c r="A623" t="s">
        <v>18</v>
      </c>
      <c r="B623">
        <v>9</v>
      </c>
      <c r="C623">
        <v>4</v>
      </c>
      <c r="D623">
        <v>0</v>
      </c>
      <c r="E623" t="s">
        <v>27</v>
      </c>
      <c r="F623">
        <v>33926</v>
      </c>
      <c r="G623">
        <v>30511806.166666668</v>
      </c>
      <c r="H623">
        <v>0.92540791630744934</v>
      </c>
      <c r="I623">
        <v>0.94522144522144524</v>
      </c>
      <c r="J623">
        <v>9258821.5</v>
      </c>
      <c r="K623">
        <v>52824</v>
      </c>
      <c r="L623">
        <v>2</v>
      </c>
      <c r="M623">
        <v>154</v>
      </c>
      <c r="N623">
        <v>0.93706293706293708</v>
      </c>
      <c r="O623">
        <v>10184499.333333334</v>
      </c>
      <c r="P623">
        <v>53477</v>
      </c>
      <c r="Q623">
        <v>2</v>
      </c>
      <c r="R623">
        <v>155</v>
      </c>
      <c r="S623">
        <v>11.315630436773189</v>
      </c>
      <c r="T623">
        <v>0.96511626243591309</v>
      </c>
      <c r="W623">
        <f>Tabela6[[#This Row],[mlp_params]]</f>
        <v>52824</v>
      </c>
      <c r="X623">
        <f>Tabela6[[#This Row],[mlp_test_acc]]</f>
        <v>0.94522144522144524</v>
      </c>
      <c r="Y623">
        <f>Tabela6[[#This Row],[kan_val_acc_1]]</f>
        <v>0.96511626243591309</v>
      </c>
      <c r="Z623">
        <f>Tabela6[[#This Row],[no_steps]]</f>
        <v>11.315630436773189</v>
      </c>
    </row>
    <row r="624" spans="1:26" x14ac:dyDescent="0.25">
      <c r="A624" t="s">
        <v>18</v>
      </c>
      <c r="B624">
        <v>9</v>
      </c>
      <c r="C624">
        <v>4</v>
      </c>
      <c r="D624">
        <v>0</v>
      </c>
      <c r="E624" t="s">
        <v>28</v>
      </c>
      <c r="F624">
        <v>34952</v>
      </c>
      <c r="G624">
        <v>35000235.727272727</v>
      </c>
      <c r="H624">
        <v>0.93324857408350159</v>
      </c>
      <c r="I624">
        <v>0.96058486967577872</v>
      </c>
      <c r="J624">
        <v>9842948</v>
      </c>
      <c r="K624">
        <v>54134</v>
      </c>
      <c r="L624">
        <v>2</v>
      </c>
      <c r="M624">
        <v>156</v>
      </c>
      <c r="N624">
        <v>0.9599491417673236</v>
      </c>
      <c r="O624">
        <v>10141442.818181818</v>
      </c>
      <c r="P624">
        <v>54795</v>
      </c>
      <c r="Q624">
        <v>2</v>
      </c>
      <c r="R624">
        <v>157</v>
      </c>
      <c r="S624">
        <v>11.313849249908525</v>
      </c>
      <c r="T624">
        <v>0.96162790060043335</v>
      </c>
      <c r="W624">
        <f>Tabela6[[#This Row],[mlp_params]]</f>
        <v>54134</v>
      </c>
      <c r="X624">
        <f>Tabela6[[#This Row],[mlp_test_acc]]</f>
        <v>0.96058486967577872</v>
      </c>
      <c r="Y624">
        <f>Tabela6[[#This Row],[kan_val_acc_1]]</f>
        <v>0.96162790060043335</v>
      </c>
      <c r="Z624">
        <f>Tabela6[[#This Row],[no_steps]]</f>
        <v>11.313849249908525</v>
      </c>
    </row>
    <row r="625" spans="1:26" x14ac:dyDescent="0.25">
      <c r="A625" t="s">
        <v>18</v>
      </c>
      <c r="B625">
        <v>9</v>
      </c>
      <c r="C625">
        <v>4</v>
      </c>
      <c r="D625">
        <v>0</v>
      </c>
      <c r="E625" t="s">
        <v>67</v>
      </c>
      <c r="F625">
        <v>35588</v>
      </c>
      <c r="G625">
        <v>39169136.375</v>
      </c>
      <c r="H625">
        <v>0.9235139787197113</v>
      </c>
      <c r="I625">
        <v>0.96328671328671323</v>
      </c>
      <c r="J625">
        <v>9328945.125</v>
      </c>
      <c r="K625">
        <v>55460</v>
      </c>
      <c r="L625">
        <v>2</v>
      </c>
      <c r="M625">
        <v>158</v>
      </c>
      <c r="N625">
        <v>0.96022727272727271</v>
      </c>
      <c r="O625">
        <v>10434940.125</v>
      </c>
      <c r="P625">
        <v>56129</v>
      </c>
      <c r="Q625">
        <v>2</v>
      </c>
      <c r="R625">
        <v>159</v>
      </c>
      <c r="S625">
        <v>11.313116550968214</v>
      </c>
      <c r="T625">
        <v>0.96124029556910195</v>
      </c>
      <c r="W625">
        <f>Tabela6[[#This Row],[mlp_params]]</f>
        <v>55460</v>
      </c>
      <c r="X625">
        <f>Tabela6[[#This Row],[mlp_test_acc]]</f>
        <v>0.96328671328671323</v>
      </c>
      <c r="Y625">
        <f>Tabela6[[#This Row],[kan_val_acc_1]]</f>
        <v>0.96124029556910195</v>
      </c>
      <c r="Z625">
        <f>Tabela6[[#This Row],[no_steps]]</f>
        <v>11.313116550968214</v>
      </c>
    </row>
    <row r="626" spans="1:26" x14ac:dyDescent="0.25">
      <c r="A626" t="s">
        <v>18</v>
      </c>
      <c r="B626">
        <v>9</v>
      </c>
      <c r="C626">
        <v>4</v>
      </c>
      <c r="D626">
        <v>0</v>
      </c>
      <c r="E626" t="s">
        <v>29</v>
      </c>
      <c r="F626">
        <v>35978</v>
      </c>
      <c r="G626">
        <v>48171350</v>
      </c>
      <c r="H626">
        <v>0.88344988226890564</v>
      </c>
      <c r="I626">
        <v>0.95571095571095566</v>
      </c>
      <c r="J626">
        <v>10080650.833333334</v>
      </c>
      <c r="K626">
        <v>56129</v>
      </c>
      <c r="L626">
        <v>2</v>
      </c>
      <c r="M626">
        <v>159</v>
      </c>
      <c r="N626">
        <v>0.95454545454545459</v>
      </c>
      <c r="O626">
        <v>10062888</v>
      </c>
      <c r="P626">
        <v>56802</v>
      </c>
      <c r="Q626">
        <v>2</v>
      </c>
      <c r="R626">
        <v>160</v>
      </c>
      <c r="S626">
        <v>11.313949242285924</v>
      </c>
      <c r="T626">
        <v>0.9511627793312073</v>
      </c>
      <c r="W626">
        <f>Tabela6[[#This Row],[mlp_params]]</f>
        <v>56129</v>
      </c>
      <c r="X626">
        <f>Tabela6[[#This Row],[mlp_test_acc]]</f>
        <v>0.95571095571095566</v>
      </c>
      <c r="Y626">
        <f>Tabela6[[#This Row],[kan_val_acc_1]]</f>
        <v>0.9511627793312073</v>
      </c>
      <c r="Z626">
        <f>Tabela6[[#This Row],[no_steps]]</f>
        <v>11.313949242285924</v>
      </c>
    </row>
    <row r="627" spans="1:26" x14ac:dyDescent="0.25">
      <c r="A627" t="s">
        <v>18</v>
      </c>
      <c r="B627">
        <v>9</v>
      </c>
      <c r="C627">
        <v>4</v>
      </c>
      <c r="D627">
        <v>0</v>
      </c>
      <c r="E627" t="s">
        <v>68</v>
      </c>
      <c r="F627">
        <v>36806</v>
      </c>
      <c r="G627">
        <v>33422569.75</v>
      </c>
      <c r="H627">
        <v>0.93444055691361427</v>
      </c>
      <c r="I627">
        <v>0.95629370629370625</v>
      </c>
      <c r="J627">
        <v>10058727</v>
      </c>
      <c r="K627">
        <v>56802</v>
      </c>
      <c r="L627">
        <v>2</v>
      </c>
      <c r="M627">
        <v>160</v>
      </c>
      <c r="N627">
        <v>0.95629370629370625</v>
      </c>
      <c r="O627">
        <v>10388564.875</v>
      </c>
      <c r="P627">
        <v>57479</v>
      </c>
      <c r="Q627">
        <v>2</v>
      </c>
      <c r="R627">
        <v>161</v>
      </c>
      <c r="S627">
        <v>11.310209662716499</v>
      </c>
      <c r="T627">
        <v>0.95426354805628455</v>
      </c>
      <c r="W627">
        <f>Tabela6[[#This Row],[mlp_params]]</f>
        <v>56802</v>
      </c>
      <c r="X627">
        <f>Tabela6[[#This Row],[mlp_test_acc]]</f>
        <v>0.95629370629370625</v>
      </c>
      <c r="Y627">
        <f>Tabela6[[#This Row],[kan_val_acc_1]]</f>
        <v>0.95426354805628455</v>
      </c>
      <c r="Z627">
        <f>Tabela6[[#This Row],[no_steps]]</f>
        <v>11.310209662716499</v>
      </c>
    </row>
    <row r="628" spans="1:26" x14ac:dyDescent="0.25">
      <c r="A628" t="s">
        <v>18</v>
      </c>
      <c r="B628">
        <v>9</v>
      </c>
      <c r="C628">
        <v>4</v>
      </c>
      <c r="D628">
        <v>0</v>
      </c>
      <c r="E628" t="s">
        <v>30</v>
      </c>
      <c r="F628">
        <v>37004</v>
      </c>
      <c r="G628">
        <v>32542982.666666668</v>
      </c>
      <c r="H628">
        <v>0.92540791630744934</v>
      </c>
      <c r="I628">
        <v>0.95571095571095566</v>
      </c>
      <c r="J628">
        <v>11461497.166666666</v>
      </c>
      <c r="K628">
        <v>57479</v>
      </c>
      <c r="L628">
        <v>2</v>
      </c>
      <c r="M628">
        <v>161</v>
      </c>
      <c r="N628">
        <v>0.95454545454545459</v>
      </c>
      <c r="O628">
        <v>9574739.166666666</v>
      </c>
      <c r="P628">
        <v>58160</v>
      </c>
      <c r="Q628">
        <v>2</v>
      </c>
      <c r="R628">
        <v>162</v>
      </c>
      <c r="S628">
        <v>11.308673469387756</v>
      </c>
      <c r="T628">
        <v>0.95813951492309568</v>
      </c>
      <c r="W628">
        <f>Tabela6[[#This Row],[mlp_params]]</f>
        <v>57479</v>
      </c>
      <c r="X628">
        <f>Tabela6[[#This Row],[mlp_test_acc]]</f>
        <v>0.95571095571095566</v>
      </c>
      <c r="Y628">
        <f>Tabela6[[#This Row],[kan_val_acc_1]]</f>
        <v>0.95813951492309568</v>
      </c>
      <c r="Z628">
        <f>Tabela6[[#This Row],[no_steps]]</f>
        <v>11.308673469387756</v>
      </c>
    </row>
    <row r="629" spans="1:26" x14ac:dyDescent="0.25">
      <c r="A629" t="s">
        <v>18</v>
      </c>
      <c r="B629">
        <v>9</v>
      </c>
      <c r="C629">
        <v>4</v>
      </c>
      <c r="D629">
        <v>0</v>
      </c>
      <c r="E629" t="s">
        <v>77</v>
      </c>
      <c r="F629">
        <v>37510</v>
      </c>
      <c r="G629">
        <v>42254434.5625</v>
      </c>
      <c r="H629">
        <v>0.93444056436419487</v>
      </c>
      <c r="I629">
        <v>0.9576048951048951</v>
      </c>
      <c r="J629">
        <v>10277175.5625</v>
      </c>
      <c r="K629">
        <v>58160</v>
      </c>
      <c r="L629">
        <v>2</v>
      </c>
      <c r="M629">
        <v>162</v>
      </c>
      <c r="N629">
        <v>0.96066433566433562</v>
      </c>
      <c r="O629">
        <v>10189048.8125</v>
      </c>
      <c r="P629">
        <v>58845</v>
      </c>
      <c r="Q629">
        <v>2</v>
      </c>
      <c r="R629">
        <v>163</v>
      </c>
      <c r="S629">
        <v>11.308133187772926</v>
      </c>
      <c r="T629">
        <v>0.96201548576354978</v>
      </c>
      <c r="W629">
        <f>Tabela6[[#This Row],[mlp_params]]</f>
        <v>58160</v>
      </c>
      <c r="X629">
        <f>Tabela6[[#This Row],[mlp_test_acc]]</f>
        <v>0.9576048951048951</v>
      </c>
      <c r="Y629">
        <f>Tabela6[[#This Row],[kan_val_acc_1]]</f>
        <v>0.96201548576354978</v>
      </c>
      <c r="Z629">
        <f>Tabela6[[#This Row],[no_steps]]</f>
        <v>11.308133187772926</v>
      </c>
    </row>
    <row r="630" spans="1:26" x14ac:dyDescent="0.25">
      <c r="A630" t="s">
        <v>18</v>
      </c>
      <c r="B630">
        <v>9</v>
      </c>
      <c r="C630">
        <v>4</v>
      </c>
      <c r="D630">
        <v>0</v>
      </c>
      <c r="E630" t="s">
        <v>31</v>
      </c>
      <c r="F630">
        <v>38030</v>
      </c>
      <c r="G630">
        <v>39885314.333333336</v>
      </c>
      <c r="H630">
        <v>0.87179486950238549</v>
      </c>
      <c r="I630">
        <v>0.95687645687645684</v>
      </c>
      <c r="J630">
        <v>10396100</v>
      </c>
      <c r="K630">
        <v>58845</v>
      </c>
      <c r="L630">
        <v>2</v>
      </c>
      <c r="M630">
        <v>163</v>
      </c>
      <c r="N630">
        <v>0.96153846153846156</v>
      </c>
      <c r="O630">
        <v>10170984.666666666</v>
      </c>
      <c r="P630">
        <v>59534</v>
      </c>
      <c r="Q630">
        <v>2</v>
      </c>
      <c r="R630">
        <v>164</v>
      </c>
      <c r="S630">
        <v>11.307237679578105</v>
      </c>
      <c r="T630">
        <v>0.95116276741027828</v>
      </c>
      <c r="W630">
        <f>Tabela6[[#This Row],[mlp_params]]</f>
        <v>58845</v>
      </c>
      <c r="X630">
        <f>Tabela6[[#This Row],[mlp_test_acc]]</f>
        <v>0.95687645687645684</v>
      </c>
      <c r="Y630">
        <f>Tabela6[[#This Row],[kan_val_acc_1]]</f>
        <v>0.95116276741027828</v>
      </c>
      <c r="Z630">
        <f>Tabela6[[#This Row],[no_steps]]</f>
        <v>11.307237679578105</v>
      </c>
    </row>
    <row r="631" spans="1:26" x14ac:dyDescent="0.25">
      <c r="A631" t="s">
        <v>18</v>
      </c>
      <c r="B631">
        <v>9</v>
      </c>
      <c r="C631">
        <v>4</v>
      </c>
      <c r="D631">
        <v>0</v>
      </c>
      <c r="E631" t="s">
        <v>45</v>
      </c>
      <c r="F631">
        <v>38284</v>
      </c>
      <c r="G631">
        <v>44498620.454545453</v>
      </c>
      <c r="H631">
        <v>0.91163382205096155</v>
      </c>
      <c r="I631">
        <v>0.95867768595041325</v>
      </c>
      <c r="J631">
        <v>9693486.2727272734</v>
      </c>
      <c r="K631">
        <v>59534</v>
      </c>
      <c r="L631">
        <v>2</v>
      </c>
      <c r="M631">
        <v>164</v>
      </c>
      <c r="N631">
        <v>0.95740623013350279</v>
      </c>
      <c r="O631">
        <v>10152396.727272727</v>
      </c>
      <c r="P631">
        <v>60227</v>
      </c>
      <c r="Q631">
        <v>2</v>
      </c>
      <c r="R631">
        <v>165</v>
      </c>
      <c r="S631">
        <v>11.307294032155509</v>
      </c>
      <c r="T631">
        <v>0.95465114712715149</v>
      </c>
      <c r="W631">
        <f>Tabela6[[#This Row],[mlp_params]]</f>
        <v>59534</v>
      </c>
      <c r="X631">
        <f>Tabela6[[#This Row],[mlp_test_acc]]</f>
        <v>0.95867768595041325</v>
      </c>
      <c r="Y631">
        <f>Tabela6[[#This Row],[kan_val_acc_1]]</f>
        <v>0.95465114712715149</v>
      </c>
      <c r="Z631">
        <f>Tabela6[[#This Row],[no_steps]]</f>
        <v>11.307294032155509</v>
      </c>
    </row>
    <row r="632" spans="1:26" x14ac:dyDescent="0.25">
      <c r="A632" t="s">
        <v>18</v>
      </c>
      <c r="B632">
        <v>9</v>
      </c>
      <c r="C632">
        <v>4</v>
      </c>
      <c r="D632">
        <v>0</v>
      </c>
      <c r="E632" t="s">
        <v>78</v>
      </c>
      <c r="F632">
        <v>38792</v>
      </c>
      <c r="G632">
        <v>39695823.727272727</v>
      </c>
      <c r="H632">
        <v>0.94405593655326148</v>
      </c>
      <c r="I632">
        <v>0.95168467895740627</v>
      </c>
      <c r="J632">
        <v>10889897.636363637</v>
      </c>
      <c r="K632">
        <v>60227</v>
      </c>
      <c r="L632">
        <v>2</v>
      </c>
      <c r="M632">
        <v>165</v>
      </c>
      <c r="N632">
        <v>0.94977749523204069</v>
      </c>
      <c r="O632">
        <v>10998989</v>
      </c>
      <c r="P632">
        <v>60924</v>
      </c>
      <c r="Q632">
        <v>2</v>
      </c>
      <c r="R632">
        <v>166</v>
      </c>
      <c r="S632">
        <v>11.306079854809438</v>
      </c>
      <c r="T632">
        <v>0.95581393837928774</v>
      </c>
      <c r="W632">
        <f>Tabela6[[#This Row],[mlp_params]]</f>
        <v>60227</v>
      </c>
      <c r="X632">
        <f>Tabela6[[#This Row],[mlp_test_acc]]</f>
        <v>0.95168467895740627</v>
      </c>
      <c r="Y632">
        <f>Tabela6[[#This Row],[kan_val_acc_1]]</f>
        <v>0.95581393837928774</v>
      </c>
      <c r="Z632">
        <f>Tabela6[[#This Row],[no_steps]]</f>
        <v>11.306079854809438</v>
      </c>
    </row>
    <row r="633" spans="1:26" x14ac:dyDescent="0.25">
      <c r="A633" t="s">
        <v>18</v>
      </c>
      <c r="B633">
        <v>9</v>
      </c>
      <c r="C633">
        <v>4</v>
      </c>
      <c r="D633">
        <v>0</v>
      </c>
      <c r="E633" t="s">
        <v>32</v>
      </c>
      <c r="F633">
        <v>39056</v>
      </c>
      <c r="G633">
        <v>45055815.666666664</v>
      </c>
      <c r="H633">
        <v>0.93006992340087891</v>
      </c>
      <c r="I633">
        <v>0.95454545454545459</v>
      </c>
      <c r="J633">
        <v>10231423</v>
      </c>
      <c r="K633">
        <v>60924</v>
      </c>
      <c r="L633">
        <v>2</v>
      </c>
      <c r="M633">
        <v>166</v>
      </c>
      <c r="N633">
        <v>0.95454545454545459</v>
      </c>
      <c r="O633">
        <v>12761374.333333334</v>
      </c>
      <c r="P633">
        <v>61625</v>
      </c>
      <c r="Q633">
        <v>2</v>
      </c>
      <c r="R633">
        <v>167</v>
      </c>
      <c r="S633">
        <v>11.306003990567749</v>
      </c>
      <c r="T633">
        <v>0.9465116143226624</v>
      </c>
      <c r="W633">
        <f>Tabela6[[#This Row],[mlp_params]]</f>
        <v>60924</v>
      </c>
      <c r="X633">
        <f>Tabela6[[#This Row],[mlp_test_acc]]</f>
        <v>0.95454545454545459</v>
      </c>
      <c r="Y633">
        <f>Tabela6[[#This Row],[kan_val_acc_1]]</f>
        <v>0.9465116143226624</v>
      </c>
      <c r="Z633">
        <f>Tabela6[[#This Row],[no_steps]]</f>
        <v>11.306003990567749</v>
      </c>
    </row>
    <row r="634" spans="1:26" x14ac:dyDescent="0.25">
      <c r="A634" t="s">
        <v>18</v>
      </c>
      <c r="B634">
        <v>9</v>
      </c>
      <c r="C634">
        <v>4</v>
      </c>
      <c r="D634">
        <v>0</v>
      </c>
      <c r="E634" t="s">
        <v>33</v>
      </c>
      <c r="F634">
        <v>40082</v>
      </c>
      <c r="G634">
        <v>37115377.619047619</v>
      </c>
      <c r="H634">
        <v>0.90109889847891667</v>
      </c>
      <c r="I634">
        <v>0.95970695970695963</v>
      </c>
      <c r="J634">
        <v>10773995.952380951</v>
      </c>
      <c r="K634">
        <v>62330</v>
      </c>
      <c r="L634">
        <v>2</v>
      </c>
      <c r="M634">
        <v>168</v>
      </c>
      <c r="N634">
        <v>0.96636696636696628</v>
      </c>
      <c r="O634">
        <v>12254953.238095239</v>
      </c>
      <c r="P634">
        <v>63039</v>
      </c>
      <c r="Q634">
        <v>2</v>
      </c>
      <c r="R634">
        <v>169</v>
      </c>
      <c r="S634">
        <v>11.301801394043633</v>
      </c>
      <c r="T634">
        <v>0.9598837018013</v>
      </c>
      <c r="W634">
        <f>Tabela6[[#This Row],[mlp_params]]</f>
        <v>62330</v>
      </c>
      <c r="X634">
        <f>Tabela6[[#This Row],[mlp_test_acc]]</f>
        <v>0.95970695970695963</v>
      </c>
      <c r="Y634">
        <f>Tabela6[[#This Row],[kan_val_acc_1]]</f>
        <v>0.9598837018013</v>
      </c>
      <c r="Z634">
        <f>Tabela6[[#This Row],[no_steps]]</f>
        <v>11.301801394043633</v>
      </c>
    </row>
    <row r="635" spans="1:26" x14ac:dyDescent="0.25">
      <c r="A635" t="s">
        <v>18</v>
      </c>
      <c r="B635">
        <v>9</v>
      </c>
      <c r="C635">
        <v>4</v>
      </c>
      <c r="D635">
        <v>0</v>
      </c>
      <c r="E635" t="s">
        <v>47</v>
      </c>
      <c r="F635">
        <v>40464</v>
      </c>
      <c r="G635">
        <v>46502892.81818182</v>
      </c>
      <c r="H635">
        <v>0.91799109632318665</v>
      </c>
      <c r="I635">
        <v>0.96122059758423395</v>
      </c>
      <c r="J635">
        <v>11494823.454545455</v>
      </c>
      <c r="K635">
        <v>63039</v>
      </c>
      <c r="L635">
        <v>2</v>
      </c>
      <c r="M635">
        <v>169</v>
      </c>
      <c r="N635">
        <v>0.96058486967577872</v>
      </c>
      <c r="O635">
        <v>11943706.454545455</v>
      </c>
      <c r="P635">
        <v>63752</v>
      </c>
      <c r="Q635">
        <v>2</v>
      </c>
      <c r="R635">
        <v>170</v>
      </c>
      <c r="S635">
        <v>11.301862904684391</v>
      </c>
      <c r="T635">
        <v>0.94767441153526311</v>
      </c>
      <c r="W635">
        <f>Tabela6[[#This Row],[mlp_params]]</f>
        <v>63039</v>
      </c>
      <c r="X635">
        <f>Tabela6[[#This Row],[mlp_test_acc]]</f>
        <v>0.96122059758423395</v>
      </c>
      <c r="Y635">
        <f>Tabela6[[#This Row],[kan_val_acc_1]]</f>
        <v>0.94767441153526311</v>
      </c>
      <c r="Z635">
        <f>Tabela6[[#This Row],[no_steps]]</f>
        <v>11.301862904684391</v>
      </c>
    </row>
    <row r="636" spans="1:26" x14ac:dyDescent="0.25">
      <c r="A636" t="s">
        <v>18</v>
      </c>
      <c r="B636">
        <v>9</v>
      </c>
      <c r="C636">
        <v>4</v>
      </c>
      <c r="D636">
        <v>0</v>
      </c>
      <c r="E636" t="s">
        <v>34</v>
      </c>
      <c r="F636">
        <v>41108</v>
      </c>
      <c r="G636">
        <v>42646244.1875</v>
      </c>
      <c r="H636">
        <v>0.90384615585207939</v>
      </c>
      <c r="I636">
        <v>0.96022727272727271</v>
      </c>
      <c r="J636">
        <v>10343607.875</v>
      </c>
      <c r="K636">
        <v>63752</v>
      </c>
      <c r="L636">
        <v>2</v>
      </c>
      <c r="M636">
        <v>170</v>
      </c>
      <c r="N636">
        <v>0.95673076923076916</v>
      </c>
      <c r="O636">
        <v>12328308.125</v>
      </c>
      <c r="P636">
        <v>64469</v>
      </c>
      <c r="Q636">
        <v>2</v>
      </c>
      <c r="R636">
        <v>171</v>
      </c>
      <c r="S636">
        <v>11.300072241285894</v>
      </c>
      <c r="T636">
        <v>0.96046509742736819</v>
      </c>
      <c r="W636">
        <f>Tabela6[[#This Row],[mlp_params]]</f>
        <v>63752</v>
      </c>
      <c r="X636">
        <f>Tabela6[[#This Row],[mlp_test_acc]]</f>
        <v>0.96022727272727271</v>
      </c>
      <c r="Y636">
        <f>Tabela6[[#This Row],[kan_val_acc_1]]</f>
        <v>0.96046509742736819</v>
      </c>
      <c r="Z636">
        <f>Tabela6[[#This Row],[no_steps]]</f>
        <v>11.300072241285894</v>
      </c>
    </row>
    <row r="637" spans="1:26" x14ac:dyDescent="0.25">
      <c r="A637" t="s">
        <v>18</v>
      </c>
      <c r="B637">
        <v>9</v>
      </c>
      <c r="C637">
        <v>4</v>
      </c>
      <c r="D637">
        <v>0</v>
      </c>
      <c r="E637" t="s">
        <v>48</v>
      </c>
      <c r="F637">
        <v>41554</v>
      </c>
      <c r="G637">
        <v>44233576.333333336</v>
      </c>
      <c r="H637">
        <v>0.92307692766189575</v>
      </c>
      <c r="I637">
        <v>0.9592074592074592</v>
      </c>
      <c r="J637">
        <v>10091025.833333334</v>
      </c>
      <c r="K637">
        <v>64469</v>
      </c>
      <c r="L637">
        <v>2</v>
      </c>
      <c r="M637">
        <v>171</v>
      </c>
      <c r="N637">
        <v>0.96386946386946382</v>
      </c>
      <c r="O637">
        <v>11706118.833333334</v>
      </c>
      <c r="P637">
        <v>65190</v>
      </c>
      <c r="Q637">
        <v>2</v>
      </c>
      <c r="R637">
        <v>172</v>
      </c>
      <c r="S637">
        <v>11.299368231046932</v>
      </c>
      <c r="T637">
        <v>0.9511627793312073</v>
      </c>
      <c r="W637">
        <f>Tabela6[[#This Row],[mlp_params]]</f>
        <v>64469</v>
      </c>
      <c r="X637">
        <f>Tabela6[[#This Row],[mlp_test_acc]]</f>
        <v>0.9592074592074592</v>
      </c>
      <c r="Y637">
        <f>Tabela6[[#This Row],[kan_val_acc_1]]</f>
        <v>0.9511627793312073</v>
      </c>
      <c r="Z637">
        <f>Tabela6[[#This Row],[no_steps]]</f>
        <v>11.299368231046932</v>
      </c>
    </row>
    <row r="638" spans="1:26" x14ac:dyDescent="0.25">
      <c r="A638" t="s">
        <v>18</v>
      </c>
      <c r="B638">
        <v>9</v>
      </c>
      <c r="C638">
        <v>4</v>
      </c>
      <c r="D638">
        <v>0</v>
      </c>
      <c r="E638" t="s">
        <v>35</v>
      </c>
      <c r="F638">
        <v>42134</v>
      </c>
      <c r="G638">
        <v>41327930.571428575</v>
      </c>
      <c r="H638">
        <v>0.93206793069839478</v>
      </c>
      <c r="I638">
        <v>0.95371295371295373</v>
      </c>
      <c r="J638">
        <v>11609381.666666666</v>
      </c>
      <c r="K638">
        <v>65190</v>
      </c>
      <c r="L638">
        <v>2</v>
      </c>
      <c r="M638">
        <v>172</v>
      </c>
      <c r="N638">
        <v>0.949050949050949</v>
      </c>
      <c r="O638">
        <v>12081406.761904761</v>
      </c>
      <c r="P638">
        <v>65915</v>
      </c>
      <c r="Q638">
        <v>2</v>
      </c>
      <c r="R638">
        <v>173</v>
      </c>
      <c r="S638">
        <v>11.296459778398342</v>
      </c>
      <c r="T638">
        <v>0.95639533400535581</v>
      </c>
      <c r="W638">
        <f>Tabela6[[#This Row],[mlp_params]]</f>
        <v>65190</v>
      </c>
      <c r="X638">
        <f>Tabela6[[#This Row],[mlp_test_acc]]</f>
        <v>0.95371295371295373</v>
      </c>
      <c r="Y638">
        <f>Tabela6[[#This Row],[kan_val_acc_1]]</f>
        <v>0.95639533400535581</v>
      </c>
      <c r="Z638">
        <f>Tabela6[[#This Row],[no_steps]]</f>
        <v>11.296459778398342</v>
      </c>
    </row>
    <row r="639" spans="1:26" x14ac:dyDescent="0.25">
      <c r="A639" t="s">
        <v>18</v>
      </c>
      <c r="B639">
        <v>9</v>
      </c>
      <c r="C639">
        <v>4</v>
      </c>
      <c r="D639">
        <v>0</v>
      </c>
      <c r="E639" t="s">
        <v>49</v>
      </c>
      <c r="F639">
        <v>42644</v>
      </c>
      <c r="G639">
        <v>43376205.666666664</v>
      </c>
      <c r="H639">
        <v>0.92773892482121789</v>
      </c>
      <c r="I639">
        <v>0.96969696969696961</v>
      </c>
      <c r="J639">
        <v>10968743.333333334</v>
      </c>
      <c r="K639">
        <v>65915</v>
      </c>
      <c r="L639">
        <v>2</v>
      </c>
      <c r="M639">
        <v>173</v>
      </c>
      <c r="N639">
        <v>0.96969696969696961</v>
      </c>
      <c r="O639">
        <v>11379800</v>
      </c>
      <c r="P639">
        <v>66644</v>
      </c>
      <c r="Q639">
        <v>2</v>
      </c>
      <c r="R639">
        <v>174</v>
      </c>
      <c r="S639">
        <v>11.295579364364816</v>
      </c>
      <c r="T639">
        <v>0.96976742744445799</v>
      </c>
      <c r="W639">
        <f>Tabela6[[#This Row],[mlp_params]]</f>
        <v>65915</v>
      </c>
      <c r="X639">
        <f>Tabela6[[#This Row],[mlp_test_acc]]</f>
        <v>0.96969696969696961</v>
      </c>
      <c r="Y639">
        <f>Tabela6[[#This Row],[kan_val_acc_1]]</f>
        <v>0.96976742744445799</v>
      </c>
      <c r="Z639">
        <f>Tabela6[[#This Row],[no_steps]]</f>
        <v>11.295579364364816</v>
      </c>
    </row>
    <row r="640" spans="1:26" x14ac:dyDescent="0.25">
      <c r="A640" t="s">
        <v>18</v>
      </c>
      <c r="B640">
        <v>9</v>
      </c>
      <c r="C640">
        <v>4</v>
      </c>
      <c r="D640">
        <v>0</v>
      </c>
      <c r="E640" t="s">
        <v>60</v>
      </c>
      <c r="F640">
        <v>42898</v>
      </c>
      <c r="G640">
        <v>45904351.090909094</v>
      </c>
      <c r="H640">
        <v>0.92116973616860132</v>
      </c>
      <c r="I640">
        <v>0.94787031150667511</v>
      </c>
      <c r="J640">
        <v>12841164.909090908</v>
      </c>
      <c r="K640">
        <v>66644</v>
      </c>
      <c r="L640">
        <v>2</v>
      </c>
      <c r="M640">
        <v>174</v>
      </c>
      <c r="N640">
        <v>0.94914176732358546</v>
      </c>
      <c r="O640">
        <v>12897234.636363637</v>
      </c>
      <c r="P640">
        <v>67377</v>
      </c>
      <c r="Q640">
        <v>2</v>
      </c>
      <c r="R640">
        <v>175</v>
      </c>
      <c r="S640">
        <v>11.294747256700845</v>
      </c>
      <c r="T640">
        <v>0.96046509742736819</v>
      </c>
      <c r="W640">
        <f>Tabela6[[#This Row],[mlp_params]]</f>
        <v>66644</v>
      </c>
      <c r="X640">
        <f>Tabela6[[#This Row],[mlp_test_acc]]</f>
        <v>0.94787031150667511</v>
      </c>
      <c r="Y640">
        <f>Tabela6[[#This Row],[kan_val_acc_1]]</f>
        <v>0.96046509742736819</v>
      </c>
      <c r="Z640">
        <f>Tabela6[[#This Row],[no_steps]]</f>
        <v>11.294747256700845</v>
      </c>
    </row>
    <row r="641" spans="1:26" x14ac:dyDescent="0.25">
      <c r="A641" t="s">
        <v>18</v>
      </c>
      <c r="B641">
        <v>9</v>
      </c>
      <c r="C641">
        <v>4</v>
      </c>
      <c r="D641">
        <v>0</v>
      </c>
      <c r="E641" t="s">
        <v>36</v>
      </c>
      <c r="F641">
        <v>43160</v>
      </c>
      <c r="G641">
        <v>40733349.545454547</v>
      </c>
      <c r="H641">
        <v>0.92434837601401587</v>
      </c>
      <c r="I641">
        <v>0.94787031150667511</v>
      </c>
      <c r="J641">
        <v>11992881.818181818</v>
      </c>
      <c r="K641">
        <v>67377</v>
      </c>
      <c r="L641">
        <v>2</v>
      </c>
      <c r="M641">
        <v>175</v>
      </c>
      <c r="N641">
        <v>0.95613477431659244</v>
      </c>
      <c r="O641">
        <v>11295155.090909092</v>
      </c>
      <c r="P641">
        <v>68114</v>
      </c>
      <c r="Q641">
        <v>2</v>
      </c>
      <c r="R641">
        <v>176</v>
      </c>
      <c r="S641">
        <v>11.292928385299668</v>
      </c>
      <c r="T641">
        <v>0.95465114116668703</v>
      </c>
      <c r="W641">
        <f>Tabela6[[#This Row],[mlp_params]]</f>
        <v>67377</v>
      </c>
      <c r="X641">
        <f>Tabela6[[#This Row],[mlp_test_acc]]</f>
        <v>0.94787031150667511</v>
      </c>
      <c r="Y641">
        <f>Tabela6[[#This Row],[kan_val_acc_1]]</f>
        <v>0.95465114116668703</v>
      </c>
      <c r="Z641">
        <f>Tabela6[[#This Row],[no_steps]]</f>
        <v>11.292928385299668</v>
      </c>
    </row>
    <row r="642" spans="1:26" x14ac:dyDescent="0.25">
      <c r="A642" t="s">
        <v>18</v>
      </c>
      <c r="B642">
        <v>9</v>
      </c>
      <c r="C642">
        <v>4</v>
      </c>
      <c r="D642">
        <v>0</v>
      </c>
      <c r="E642" t="s">
        <v>50</v>
      </c>
      <c r="F642">
        <v>43734</v>
      </c>
      <c r="G642">
        <v>46751674.5</v>
      </c>
      <c r="H642">
        <v>0.93123543262481689</v>
      </c>
      <c r="I642">
        <v>0.97086247086247079</v>
      </c>
      <c r="J642">
        <v>10491094.833333334</v>
      </c>
      <c r="K642">
        <v>68114</v>
      </c>
      <c r="L642">
        <v>2</v>
      </c>
      <c r="M642">
        <v>176</v>
      </c>
      <c r="N642">
        <v>0.96853146853146854</v>
      </c>
      <c r="O642">
        <v>12625432</v>
      </c>
      <c r="P642">
        <v>68855</v>
      </c>
      <c r="Q642">
        <v>2</v>
      </c>
      <c r="R642">
        <v>177</v>
      </c>
      <c r="S642">
        <v>11.292501122586438</v>
      </c>
      <c r="T642">
        <v>0.97209300994873049</v>
      </c>
      <c r="W642">
        <f>Tabela6[[#This Row],[mlp_params]]</f>
        <v>68114</v>
      </c>
      <c r="X642">
        <f>Tabela6[[#This Row],[mlp_test_acc]]</f>
        <v>0.97086247086247079</v>
      </c>
      <c r="Y642">
        <f>Tabela6[[#This Row],[kan_val_acc_1]]</f>
        <v>0.97209300994873049</v>
      </c>
      <c r="Z642">
        <f>Tabela6[[#This Row],[no_steps]]</f>
        <v>11.292501122586438</v>
      </c>
    </row>
    <row r="643" spans="1:26" x14ac:dyDescent="0.25">
      <c r="A643" t="s">
        <v>18</v>
      </c>
      <c r="B643">
        <v>9</v>
      </c>
      <c r="C643">
        <v>4</v>
      </c>
      <c r="D643">
        <v>0</v>
      </c>
      <c r="E643" t="s">
        <v>37</v>
      </c>
      <c r="F643">
        <v>44186</v>
      </c>
      <c r="G643">
        <v>42310680.6875</v>
      </c>
      <c r="H643">
        <v>0.92701048403978348</v>
      </c>
      <c r="I643">
        <v>0.95716783216783219</v>
      </c>
      <c r="J643">
        <v>11431490.5625</v>
      </c>
      <c r="K643">
        <v>68855</v>
      </c>
      <c r="L643">
        <v>2</v>
      </c>
      <c r="M643">
        <v>177</v>
      </c>
      <c r="N643">
        <v>0.94274475524475521</v>
      </c>
      <c r="O643">
        <v>12743354.9375</v>
      </c>
      <c r="P643">
        <v>69600</v>
      </c>
      <c r="Q643">
        <v>2</v>
      </c>
      <c r="R643">
        <v>178</v>
      </c>
      <c r="S643">
        <v>11.289839476280154</v>
      </c>
      <c r="T643">
        <v>0.95891471703847253</v>
      </c>
      <c r="W643">
        <f>Tabela6[[#This Row],[mlp_params]]</f>
        <v>68855</v>
      </c>
      <c r="X643">
        <f>Tabela6[[#This Row],[mlp_test_acc]]</f>
        <v>0.95716783216783219</v>
      </c>
      <c r="Y643">
        <f>Tabela6[[#This Row],[kan_val_acc_1]]</f>
        <v>0.95891471703847253</v>
      </c>
      <c r="Z643">
        <f>Tabela6[[#This Row],[no_steps]]</f>
        <v>11.289839476280154</v>
      </c>
    </row>
    <row r="644" spans="1:26" x14ac:dyDescent="0.25">
      <c r="A644" t="s">
        <v>18</v>
      </c>
      <c r="B644">
        <v>9</v>
      </c>
      <c r="C644">
        <v>4</v>
      </c>
      <c r="D644">
        <v>0</v>
      </c>
      <c r="E644" t="s">
        <v>51</v>
      </c>
      <c r="F644">
        <v>44824</v>
      </c>
      <c r="G644">
        <v>47344798.81818182</v>
      </c>
      <c r="H644">
        <v>0.91671964255246252</v>
      </c>
      <c r="I644">
        <v>0.95359186268277174</v>
      </c>
      <c r="J644">
        <v>11684667.818181818</v>
      </c>
      <c r="K644">
        <v>69600</v>
      </c>
      <c r="L644">
        <v>2</v>
      </c>
      <c r="M644">
        <v>178</v>
      </c>
      <c r="N644">
        <v>0.95104895104895104</v>
      </c>
      <c r="O644">
        <v>12125859.818181818</v>
      </c>
      <c r="P644">
        <v>70349</v>
      </c>
      <c r="Q644">
        <v>2</v>
      </c>
      <c r="R644">
        <v>179</v>
      </c>
      <c r="S644">
        <v>11.28874753628382</v>
      </c>
      <c r="T644">
        <v>0.95581393837928774</v>
      </c>
      <c r="W644">
        <f>Tabela6[[#This Row],[mlp_params]]</f>
        <v>69600</v>
      </c>
      <c r="X644">
        <f>Tabela6[[#This Row],[mlp_test_acc]]</f>
        <v>0.95359186268277174</v>
      </c>
      <c r="Y644">
        <f>Tabela6[[#This Row],[kan_val_acc_1]]</f>
        <v>0.95581393837928774</v>
      </c>
      <c r="Z644">
        <f>Tabela6[[#This Row],[no_steps]]</f>
        <v>11.28874753628382</v>
      </c>
    </row>
    <row r="645" spans="1:26" x14ac:dyDescent="0.25">
      <c r="A645" t="s">
        <v>18</v>
      </c>
      <c r="B645">
        <v>9</v>
      </c>
      <c r="C645">
        <v>4</v>
      </c>
      <c r="D645">
        <v>0</v>
      </c>
      <c r="E645" t="s">
        <v>38</v>
      </c>
      <c r="F645">
        <v>45212</v>
      </c>
      <c r="G645">
        <v>47010424.5</v>
      </c>
      <c r="H645">
        <v>0.94172494610150659</v>
      </c>
      <c r="I645">
        <v>0.95454545454545459</v>
      </c>
      <c r="J645">
        <v>10441459.666666666</v>
      </c>
      <c r="K645">
        <v>70349</v>
      </c>
      <c r="L645">
        <v>2</v>
      </c>
      <c r="M645">
        <v>179</v>
      </c>
      <c r="N645">
        <v>0.95104895104895104</v>
      </c>
      <c r="O645">
        <v>13605394.166666666</v>
      </c>
      <c r="P645">
        <v>71102</v>
      </c>
      <c r="Q645">
        <v>2</v>
      </c>
      <c r="R645">
        <v>180</v>
      </c>
      <c r="S645">
        <v>11.287965616045845</v>
      </c>
      <c r="T645">
        <v>0.96744184494018559</v>
      </c>
      <c r="W645">
        <f>Tabela6[[#This Row],[mlp_params]]</f>
        <v>70349</v>
      </c>
      <c r="X645">
        <f>Tabela6[[#This Row],[mlp_test_acc]]</f>
        <v>0.95454545454545459</v>
      </c>
      <c r="Y645">
        <f>Tabela6[[#This Row],[kan_val_acc_1]]</f>
        <v>0.96744184494018559</v>
      </c>
      <c r="Z645">
        <f>Tabela6[[#This Row],[no_steps]]</f>
        <v>11.287965616045845</v>
      </c>
    </row>
    <row r="646" spans="1:26" x14ac:dyDescent="0.25">
      <c r="A646" t="s">
        <v>18</v>
      </c>
      <c r="B646">
        <v>9</v>
      </c>
      <c r="C646">
        <v>4</v>
      </c>
      <c r="D646">
        <v>0</v>
      </c>
      <c r="E646" t="s">
        <v>52</v>
      </c>
      <c r="F646">
        <v>45914</v>
      </c>
      <c r="G646">
        <v>46769518.238095239</v>
      </c>
      <c r="H646">
        <v>0.92007992097309654</v>
      </c>
      <c r="I646">
        <v>0.94971694971694975</v>
      </c>
      <c r="J646">
        <v>12682055.857142856</v>
      </c>
      <c r="K646">
        <v>71102</v>
      </c>
      <c r="L646">
        <v>2</v>
      </c>
      <c r="M646">
        <v>180</v>
      </c>
      <c r="N646">
        <v>0.9533799533799534</v>
      </c>
      <c r="O646">
        <v>13634267.952380951</v>
      </c>
      <c r="P646">
        <v>71859</v>
      </c>
      <c r="Q646">
        <v>2</v>
      </c>
      <c r="R646">
        <v>181</v>
      </c>
      <c r="S646">
        <v>11.285369559388686</v>
      </c>
      <c r="T646">
        <v>0.95465114116668703</v>
      </c>
      <c r="W646">
        <f>Tabela6[[#This Row],[mlp_params]]</f>
        <v>71102</v>
      </c>
      <c r="X646">
        <f>Tabela6[[#This Row],[mlp_test_acc]]</f>
        <v>0.94971694971694975</v>
      </c>
      <c r="Y646">
        <f>Tabela6[[#This Row],[kan_val_acc_1]]</f>
        <v>0.95465114116668703</v>
      </c>
      <c r="Z646">
        <f>Tabela6[[#This Row],[no_steps]]</f>
        <v>11.285369559388686</v>
      </c>
    </row>
    <row r="647" spans="1:26" x14ac:dyDescent="0.25">
      <c r="A647" t="s">
        <v>18</v>
      </c>
      <c r="B647">
        <v>9</v>
      </c>
      <c r="C647">
        <v>4</v>
      </c>
      <c r="D647">
        <v>0</v>
      </c>
      <c r="E647" t="s">
        <v>61</v>
      </c>
      <c r="F647">
        <v>46360</v>
      </c>
      <c r="G647">
        <v>46350819.166666664</v>
      </c>
      <c r="H647">
        <v>0.93356643120447791</v>
      </c>
      <c r="I647">
        <v>0.95104895104895104</v>
      </c>
      <c r="J647">
        <v>12995266.333333334</v>
      </c>
      <c r="K647">
        <v>71859</v>
      </c>
      <c r="L647">
        <v>2</v>
      </c>
      <c r="M647">
        <v>181</v>
      </c>
      <c r="N647">
        <v>0.95454545454545459</v>
      </c>
      <c r="O647">
        <v>14086092</v>
      </c>
      <c r="P647">
        <v>72620</v>
      </c>
      <c r="Q647">
        <v>2</v>
      </c>
      <c r="R647">
        <v>182</v>
      </c>
      <c r="S647">
        <v>11.284502009825815</v>
      </c>
      <c r="T647">
        <v>0.96744184494018559</v>
      </c>
      <c r="W647">
        <f>Tabela6[[#This Row],[mlp_params]]</f>
        <v>71859</v>
      </c>
      <c r="X647">
        <f>Tabela6[[#This Row],[mlp_test_acc]]</f>
        <v>0.95104895104895104</v>
      </c>
      <c r="Y647">
        <f>Tabela6[[#This Row],[kan_val_acc_1]]</f>
        <v>0.96744184494018559</v>
      </c>
      <c r="Z647">
        <f>Tabela6[[#This Row],[no_steps]]</f>
        <v>11.284502009825815</v>
      </c>
    </row>
    <row r="648" spans="1:26" x14ac:dyDescent="0.25">
      <c r="A648" t="s">
        <v>18</v>
      </c>
      <c r="B648">
        <v>9</v>
      </c>
      <c r="C648">
        <v>4</v>
      </c>
      <c r="D648">
        <v>0</v>
      </c>
      <c r="E648" t="s">
        <v>70</v>
      </c>
      <c r="F648">
        <v>46550</v>
      </c>
      <c r="G648">
        <v>47026751.727272727</v>
      </c>
      <c r="H648">
        <v>0.93960584293712268</v>
      </c>
      <c r="I648">
        <v>0.95740623013350279</v>
      </c>
      <c r="J648">
        <v>14382196.727272727</v>
      </c>
      <c r="K648">
        <v>72620</v>
      </c>
      <c r="L648">
        <v>2</v>
      </c>
      <c r="M648">
        <v>182</v>
      </c>
      <c r="N648">
        <v>0.95549904640813732</v>
      </c>
      <c r="O648">
        <v>14387017.454545455</v>
      </c>
      <c r="P648">
        <v>73385</v>
      </c>
      <c r="Q648">
        <v>2</v>
      </c>
      <c r="R648">
        <v>183</v>
      </c>
      <c r="S648">
        <v>11.283419596644654</v>
      </c>
      <c r="T648">
        <v>0.96395347118377683</v>
      </c>
      <c r="W648">
        <f>Tabela6[[#This Row],[mlp_params]]</f>
        <v>72620</v>
      </c>
      <c r="X648">
        <f>Tabela6[[#This Row],[mlp_test_acc]]</f>
        <v>0.95740623013350279</v>
      </c>
      <c r="Y648">
        <f>Tabela6[[#This Row],[kan_val_acc_1]]</f>
        <v>0.96395347118377683</v>
      </c>
      <c r="Z648">
        <f>Tabela6[[#This Row],[no_steps]]</f>
        <v>11.283419596644654</v>
      </c>
    </row>
    <row r="649" spans="1:26" x14ac:dyDescent="0.25">
      <c r="A649" t="s">
        <v>18</v>
      </c>
      <c r="B649">
        <v>9</v>
      </c>
      <c r="C649">
        <v>4</v>
      </c>
      <c r="D649">
        <v>0</v>
      </c>
      <c r="E649" t="s">
        <v>53</v>
      </c>
      <c r="F649">
        <v>47004</v>
      </c>
      <c r="G649">
        <v>52733348</v>
      </c>
      <c r="H649">
        <v>0.92424242695172631</v>
      </c>
      <c r="I649">
        <v>0.96270396270396263</v>
      </c>
      <c r="J649">
        <v>15256903</v>
      </c>
      <c r="K649">
        <v>73385</v>
      </c>
      <c r="L649">
        <v>2</v>
      </c>
      <c r="M649">
        <v>183</v>
      </c>
      <c r="N649">
        <v>0.96037296037296038</v>
      </c>
      <c r="O649">
        <v>14859844.5</v>
      </c>
      <c r="P649">
        <v>74154</v>
      </c>
      <c r="Q649">
        <v>2</v>
      </c>
      <c r="R649">
        <v>184</v>
      </c>
      <c r="S649">
        <v>11.283446307527649</v>
      </c>
      <c r="T649">
        <v>0.96511626243591309</v>
      </c>
      <c r="W649">
        <f>Tabela6[[#This Row],[mlp_params]]</f>
        <v>73385</v>
      </c>
      <c r="X649">
        <f>Tabela6[[#This Row],[mlp_test_acc]]</f>
        <v>0.96270396270396263</v>
      </c>
      <c r="Y649">
        <f>Tabela6[[#This Row],[kan_val_acc_1]]</f>
        <v>0.96511626243591309</v>
      </c>
      <c r="Z649">
        <f>Tabela6[[#This Row],[no_steps]]</f>
        <v>11.283446307527649</v>
      </c>
    </row>
    <row r="650" spans="1:26" x14ac:dyDescent="0.25">
      <c r="A650" t="s">
        <v>18</v>
      </c>
      <c r="B650">
        <v>9</v>
      </c>
      <c r="C650">
        <v>4</v>
      </c>
      <c r="D650">
        <v>0</v>
      </c>
      <c r="E650" t="s">
        <v>62</v>
      </c>
      <c r="F650">
        <v>47514</v>
      </c>
      <c r="G650">
        <v>53662473.666666664</v>
      </c>
      <c r="H650">
        <v>0.93123543262481689</v>
      </c>
      <c r="I650">
        <v>0.95104895104895104</v>
      </c>
      <c r="J650">
        <v>13517040.333333334</v>
      </c>
      <c r="K650">
        <v>74154</v>
      </c>
      <c r="L650">
        <v>2</v>
      </c>
      <c r="M650">
        <v>184</v>
      </c>
      <c r="N650">
        <v>0.94871794871794868</v>
      </c>
      <c r="O650">
        <v>11448110.5</v>
      </c>
      <c r="P650">
        <v>74927</v>
      </c>
      <c r="Q650">
        <v>2</v>
      </c>
      <c r="R650">
        <v>185</v>
      </c>
      <c r="S650">
        <v>11.283294704938491</v>
      </c>
      <c r="T650">
        <v>0.9790697574615479</v>
      </c>
      <c r="W650">
        <f>Tabela6[[#This Row],[mlp_params]]</f>
        <v>74154</v>
      </c>
      <c r="X650">
        <f>Tabela6[[#This Row],[mlp_test_acc]]</f>
        <v>0.95104895104895104</v>
      </c>
      <c r="Y650">
        <f>Tabela6[[#This Row],[kan_val_acc_1]]</f>
        <v>0.9790697574615479</v>
      </c>
      <c r="Z650">
        <f>Tabela6[[#This Row],[no_steps]]</f>
        <v>11.283294704938491</v>
      </c>
    </row>
    <row r="651" spans="1:26" x14ac:dyDescent="0.25">
      <c r="A651" t="s">
        <v>18</v>
      </c>
      <c r="B651">
        <v>9</v>
      </c>
      <c r="C651">
        <v>4</v>
      </c>
      <c r="D651">
        <v>0</v>
      </c>
      <c r="E651" t="s">
        <v>54</v>
      </c>
      <c r="F651">
        <v>48094</v>
      </c>
      <c r="G651">
        <v>46793320.6875</v>
      </c>
      <c r="H651">
        <v>0.92176572978496552</v>
      </c>
      <c r="I651">
        <v>0.9401223776223776</v>
      </c>
      <c r="J651">
        <v>14427895.25</v>
      </c>
      <c r="K651">
        <v>74927</v>
      </c>
      <c r="L651">
        <v>2</v>
      </c>
      <c r="M651">
        <v>185</v>
      </c>
      <c r="N651">
        <v>0.9375</v>
      </c>
      <c r="O651">
        <v>15038078.8125</v>
      </c>
      <c r="P651">
        <v>75704</v>
      </c>
      <c r="Q651">
        <v>2</v>
      </c>
      <c r="R651">
        <v>186</v>
      </c>
      <c r="S651">
        <v>11.280754851344135</v>
      </c>
      <c r="T651">
        <v>0.96201548576354978</v>
      </c>
      <c r="W651">
        <f>Tabela6[[#This Row],[mlp_params]]</f>
        <v>74927</v>
      </c>
      <c r="X651">
        <f>Tabela6[[#This Row],[mlp_test_acc]]</f>
        <v>0.9401223776223776</v>
      </c>
      <c r="Y651">
        <f>Tabela6[[#This Row],[kan_val_acc_1]]</f>
        <v>0.96201548576354978</v>
      </c>
      <c r="Z651">
        <f>Tabela6[[#This Row],[no_steps]]</f>
        <v>11.280754851344135</v>
      </c>
    </row>
    <row r="652" spans="1:26" x14ac:dyDescent="0.25">
      <c r="A652" t="s">
        <v>18</v>
      </c>
      <c r="B652">
        <v>9</v>
      </c>
      <c r="C652">
        <v>4</v>
      </c>
      <c r="D652">
        <v>0</v>
      </c>
      <c r="E652" t="s">
        <v>63</v>
      </c>
      <c r="F652">
        <v>48668</v>
      </c>
      <c r="G652">
        <v>48566656.333333336</v>
      </c>
      <c r="H652">
        <v>0.90209789077440894</v>
      </c>
      <c r="I652">
        <v>0.94988344988344986</v>
      </c>
      <c r="J652">
        <v>15534512.333333334</v>
      </c>
      <c r="K652">
        <v>75704</v>
      </c>
      <c r="L652">
        <v>2</v>
      </c>
      <c r="M652">
        <v>186</v>
      </c>
      <c r="N652">
        <v>0.95571095571095566</v>
      </c>
      <c r="O652">
        <v>13839562.833333334</v>
      </c>
      <c r="P652">
        <v>76485</v>
      </c>
      <c r="Q652">
        <v>2</v>
      </c>
      <c r="R652">
        <v>187</v>
      </c>
      <c r="S652">
        <v>11.279982206405695</v>
      </c>
      <c r="T652">
        <v>0.97441859245300289</v>
      </c>
      <c r="W652">
        <f>Tabela6[[#This Row],[mlp_params]]</f>
        <v>75704</v>
      </c>
      <c r="X652">
        <f>Tabela6[[#This Row],[mlp_test_acc]]</f>
        <v>0.94988344988344986</v>
      </c>
      <c r="Y652">
        <f>Tabela6[[#This Row],[kan_val_acc_1]]</f>
        <v>0.97441859245300289</v>
      </c>
      <c r="Z652">
        <f>Tabela6[[#This Row],[no_steps]]</f>
        <v>11.279982206405695</v>
      </c>
    </row>
    <row r="653" spans="1:26" x14ac:dyDescent="0.25">
      <c r="A653" t="s">
        <v>18</v>
      </c>
      <c r="B653">
        <v>9</v>
      </c>
      <c r="C653">
        <v>4</v>
      </c>
      <c r="D653">
        <v>0</v>
      </c>
      <c r="E653" t="s">
        <v>71</v>
      </c>
      <c r="F653">
        <v>48986</v>
      </c>
      <c r="G653">
        <v>45510737.166666664</v>
      </c>
      <c r="H653">
        <v>0.94522144397099817</v>
      </c>
      <c r="I653">
        <v>0.94871794871794868</v>
      </c>
      <c r="J653">
        <v>13905913.333333334</v>
      </c>
      <c r="K653">
        <v>76485</v>
      </c>
      <c r="L653">
        <v>2</v>
      </c>
      <c r="M653">
        <v>187</v>
      </c>
      <c r="N653">
        <v>0.95104895104895104</v>
      </c>
      <c r="O653">
        <v>15078067</v>
      </c>
      <c r="P653">
        <v>77270</v>
      </c>
      <c r="Q653">
        <v>2</v>
      </c>
      <c r="R653">
        <v>188</v>
      </c>
      <c r="S653">
        <v>11.279032544904855</v>
      </c>
      <c r="T653">
        <v>0.96511626243591309</v>
      </c>
      <c r="W653">
        <f>Tabela6[[#This Row],[mlp_params]]</f>
        <v>76485</v>
      </c>
      <c r="X653">
        <f>Tabela6[[#This Row],[mlp_test_acc]]</f>
        <v>0.94871794871794868</v>
      </c>
      <c r="Y653">
        <f>Tabela6[[#This Row],[kan_val_acc_1]]</f>
        <v>0.96511626243591309</v>
      </c>
      <c r="Z653">
        <f>Tabela6[[#This Row],[no_steps]]</f>
        <v>11.279032544904855</v>
      </c>
    </row>
    <row r="654" spans="1:26" x14ac:dyDescent="0.25">
      <c r="A654" t="s">
        <v>18</v>
      </c>
      <c r="B654">
        <v>9</v>
      </c>
      <c r="C654">
        <v>4</v>
      </c>
      <c r="D654">
        <v>0</v>
      </c>
      <c r="E654" t="s">
        <v>64</v>
      </c>
      <c r="F654">
        <v>49822</v>
      </c>
      <c r="G654">
        <v>47218315.545454547</v>
      </c>
      <c r="H654">
        <v>0.93960583751851867</v>
      </c>
      <c r="I654">
        <v>0.95168467895740627</v>
      </c>
      <c r="J654">
        <v>14829020.818181818</v>
      </c>
      <c r="K654">
        <v>77270</v>
      </c>
      <c r="L654">
        <v>2</v>
      </c>
      <c r="M654">
        <v>188</v>
      </c>
      <c r="N654">
        <v>0.94787031150667511</v>
      </c>
      <c r="O654">
        <v>14966822.272727273</v>
      </c>
      <c r="P654">
        <v>78059</v>
      </c>
      <c r="Q654">
        <v>2</v>
      </c>
      <c r="R654">
        <v>189</v>
      </c>
      <c r="S654">
        <v>11.277427378520033</v>
      </c>
      <c r="T654">
        <v>0.96279067993164058</v>
      </c>
      <c r="W654">
        <f>Tabela6[[#This Row],[mlp_params]]</f>
        <v>77270</v>
      </c>
      <c r="X654">
        <f>Tabela6[[#This Row],[mlp_test_acc]]</f>
        <v>0.95168467895740627</v>
      </c>
      <c r="Y654">
        <f>Tabela6[[#This Row],[kan_val_acc_1]]</f>
        <v>0.96279067993164058</v>
      </c>
      <c r="Z654">
        <f>Tabela6[[#This Row],[no_steps]]</f>
        <v>11.277427378520033</v>
      </c>
    </row>
    <row r="655" spans="1:26" x14ac:dyDescent="0.25">
      <c r="A655" t="s">
        <v>18</v>
      </c>
      <c r="B655">
        <v>9</v>
      </c>
      <c r="C655">
        <v>4</v>
      </c>
      <c r="D655">
        <v>0</v>
      </c>
      <c r="E655" t="s">
        <v>72</v>
      </c>
      <c r="F655">
        <v>50204</v>
      </c>
      <c r="G655">
        <v>46415553.666666664</v>
      </c>
      <c r="H655">
        <v>0.93123542269070947</v>
      </c>
      <c r="I655">
        <v>0.95454545454545459</v>
      </c>
      <c r="J655">
        <v>13901359.5</v>
      </c>
      <c r="K655">
        <v>78059</v>
      </c>
      <c r="L655">
        <v>2</v>
      </c>
      <c r="M655">
        <v>189</v>
      </c>
      <c r="N655">
        <v>0.95454545454545459</v>
      </c>
      <c r="O655">
        <v>12642886.166666666</v>
      </c>
      <c r="P655">
        <v>78852</v>
      </c>
      <c r="Q655">
        <v>2</v>
      </c>
      <c r="R655">
        <v>190</v>
      </c>
      <c r="S655">
        <v>11.276302938826245</v>
      </c>
      <c r="T655">
        <v>0.96744184494018559</v>
      </c>
      <c r="W655">
        <f>Tabela6[[#This Row],[mlp_params]]</f>
        <v>78059</v>
      </c>
      <c r="X655">
        <f>Tabela6[[#This Row],[mlp_test_acc]]</f>
        <v>0.95454545454545459</v>
      </c>
      <c r="Y655">
        <f>Tabela6[[#This Row],[kan_val_acc_1]]</f>
        <v>0.96744184494018559</v>
      </c>
      <c r="Z655">
        <f>Tabela6[[#This Row],[no_steps]]</f>
        <v>11.276302938826245</v>
      </c>
    </row>
    <row r="656" spans="1:26" x14ac:dyDescent="0.25">
      <c r="A656" t="s">
        <v>18</v>
      </c>
      <c r="B656">
        <v>9</v>
      </c>
      <c r="C656">
        <v>4</v>
      </c>
      <c r="D656">
        <v>0</v>
      </c>
      <c r="E656" t="s">
        <v>65</v>
      </c>
      <c r="F656">
        <v>50976</v>
      </c>
      <c r="G656">
        <v>54400266.090909094</v>
      </c>
      <c r="H656">
        <v>0.91926255009391089</v>
      </c>
      <c r="I656">
        <v>0.94977749523204069</v>
      </c>
      <c r="J656">
        <v>15553222</v>
      </c>
      <c r="K656">
        <v>78852</v>
      </c>
      <c r="L656">
        <v>2</v>
      </c>
      <c r="M656">
        <v>190</v>
      </c>
      <c r="N656">
        <v>0.95422759059122697</v>
      </c>
      <c r="O656">
        <v>15909209.454545455</v>
      </c>
      <c r="P656">
        <v>79649</v>
      </c>
      <c r="Q656">
        <v>2</v>
      </c>
      <c r="R656">
        <v>191</v>
      </c>
      <c r="S656">
        <v>11.275767252084442</v>
      </c>
      <c r="T656">
        <v>0.95813951492309568</v>
      </c>
      <c r="W656">
        <f>Tabela6[[#This Row],[mlp_params]]</f>
        <v>78852</v>
      </c>
      <c r="X656">
        <f>Tabela6[[#This Row],[mlp_test_acc]]</f>
        <v>0.94977749523204069</v>
      </c>
      <c r="Y656">
        <f>Tabela6[[#This Row],[kan_val_acc_1]]</f>
        <v>0.95813951492309568</v>
      </c>
      <c r="Z656">
        <f>Tabela6[[#This Row],[no_steps]]</f>
        <v>11.275767252084442</v>
      </c>
    </row>
    <row r="657" spans="1:26" x14ac:dyDescent="0.25">
      <c r="A657" t="s">
        <v>18</v>
      </c>
      <c r="B657">
        <v>9</v>
      </c>
      <c r="C657">
        <v>4</v>
      </c>
      <c r="D657">
        <v>0</v>
      </c>
      <c r="E657" t="s">
        <v>73</v>
      </c>
      <c r="F657">
        <v>51422</v>
      </c>
      <c r="G657">
        <v>53311151.833333336</v>
      </c>
      <c r="H657">
        <v>0.93589742978413903</v>
      </c>
      <c r="I657">
        <v>0.95221445221445222</v>
      </c>
      <c r="J657">
        <v>15250519.166666666</v>
      </c>
      <c r="K657">
        <v>79649</v>
      </c>
      <c r="L657">
        <v>2</v>
      </c>
      <c r="M657">
        <v>191</v>
      </c>
      <c r="N657">
        <v>0.95104895104895104</v>
      </c>
      <c r="O657">
        <v>15068986.666666666</v>
      </c>
      <c r="P657">
        <v>80450</v>
      </c>
      <c r="Q657">
        <v>2</v>
      </c>
      <c r="R657">
        <v>192</v>
      </c>
      <c r="S657">
        <v>11.275354609929078</v>
      </c>
      <c r="T657">
        <v>0.96976742744445799</v>
      </c>
      <c r="W657">
        <f>Tabela6[[#This Row],[mlp_params]]</f>
        <v>79649</v>
      </c>
      <c r="X657">
        <f>Tabela6[[#This Row],[mlp_test_acc]]</f>
        <v>0.95221445221445222</v>
      </c>
      <c r="Y657">
        <f>Tabela6[[#This Row],[kan_val_acc_1]]</f>
        <v>0.96976742744445799</v>
      </c>
      <c r="Z657">
        <f>Tabela6[[#This Row],[no_steps]]</f>
        <v>11.275354609929078</v>
      </c>
    </row>
    <row r="658" spans="1:26" x14ac:dyDescent="0.25">
      <c r="A658" t="s">
        <v>18</v>
      </c>
      <c r="B658">
        <v>9</v>
      </c>
      <c r="C658">
        <v>4</v>
      </c>
      <c r="D658">
        <v>0</v>
      </c>
      <c r="E658" t="s">
        <v>88</v>
      </c>
      <c r="F658">
        <v>51612</v>
      </c>
      <c r="G658">
        <v>46710171.833333336</v>
      </c>
      <c r="H658">
        <v>0.93822842836380005</v>
      </c>
      <c r="I658">
        <v>0.95221445221445222</v>
      </c>
      <c r="J658">
        <v>15268476</v>
      </c>
      <c r="K658">
        <v>80450</v>
      </c>
      <c r="L658">
        <v>2</v>
      </c>
      <c r="M658">
        <v>192</v>
      </c>
      <c r="N658">
        <v>0.96037296037296038</v>
      </c>
      <c r="O658">
        <v>15325102.333333334</v>
      </c>
      <c r="P658">
        <v>81255</v>
      </c>
      <c r="Q658">
        <v>2</v>
      </c>
      <c r="R658">
        <v>193</v>
      </c>
      <c r="S658">
        <v>11.274233563707249</v>
      </c>
      <c r="T658">
        <v>0.9511627793312073</v>
      </c>
      <c r="W658">
        <f>Tabela6[[#This Row],[mlp_params]]</f>
        <v>80450</v>
      </c>
      <c r="X658">
        <f>Tabela6[[#This Row],[mlp_test_acc]]</f>
        <v>0.95221445221445222</v>
      </c>
      <c r="Y658">
        <f>Tabela6[[#This Row],[kan_val_acc_1]]</f>
        <v>0.9511627793312073</v>
      </c>
      <c r="Z658">
        <f>Tabela6[[#This Row],[no_steps]]</f>
        <v>11.274233563707249</v>
      </c>
    </row>
    <row r="659" spans="1:26" x14ac:dyDescent="0.25">
      <c r="A659" t="s">
        <v>18</v>
      </c>
      <c r="B659">
        <v>9</v>
      </c>
      <c r="C659">
        <v>4</v>
      </c>
      <c r="D659">
        <v>0</v>
      </c>
      <c r="E659" t="s">
        <v>74</v>
      </c>
      <c r="F659">
        <v>52640</v>
      </c>
      <c r="G659">
        <v>49304700.833333336</v>
      </c>
      <c r="H659">
        <v>0.92424242695172631</v>
      </c>
      <c r="I659">
        <v>0.95804195804195802</v>
      </c>
      <c r="J659">
        <v>15352505.833333334</v>
      </c>
      <c r="K659">
        <v>82064</v>
      </c>
      <c r="L659">
        <v>2</v>
      </c>
      <c r="M659">
        <v>194</v>
      </c>
      <c r="N659">
        <v>0.96037296037296038</v>
      </c>
      <c r="O659">
        <v>15436803.5</v>
      </c>
      <c r="P659">
        <v>82877</v>
      </c>
      <c r="Q659">
        <v>2</v>
      </c>
      <c r="R659">
        <v>195</v>
      </c>
      <c r="S659">
        <v>11.273290825363089</v>
      </c>
      <c r="T659">
        <v>0.9558139443397522</v>
      </c>
      <c r="W659">
        <f>Tabela6[[#This Row],[mlp_params]]</f>
        <v>82064</v>
      </c>
      <c r="X659">
        <f>Tabela6[[#This Row],[mlp_test_acc]]</f>
        <v>0.95804195804195802</v>
      </c>
      <c r="Y659">
        <f>Tabela6[[#This Row],[kan_val_acc_1]]</f>
        <v>0.9558139443397522</v>
      </c>
      <c r="Z659">
        <f>Tabela6[[#This Row],[no_steps]]</f>
        <v>11.273290825363089</v>
      </c>
    </row>
    <row r="660" spans="1:26" x14ac:dyDescent="0.25">
      <c r="A660" t="s">
        <v>18</v>
      </c>
      <c r="B660">
        <v>9</v>
      </c>
      <c r="C660">
        <v>4</v>
      </c>
      <c r="D660">
        <v>0</v>
      </c>
      <c r="E660" t="s">
        <v>75</v>
      </c>
      <c r="F660">
        <v>53858</v>
      </c>
      <c r="G660">
        <v>57979904.454545453</v>
      </c>
      <c r="H660">
        <v>0.93452002785422583</v>
      </c>
      <c r="I660">
        <v>0.9599491417673236</v>
      </c>
      <c r="J660">
        <v>16302928.909090908</v>
      </c>
      <c r="K660">
        <v>83694</v>
      </c>
      <c r="L660">
        <v>2</v>
      </c>
      <c r="M660">
        <v>196</v>
      </c>
      <c r="N660">
        <v>0.95677050222504767</v>
      </c>
      <c r="O660">
        <v>17422695.272727273</v>
      </c>
      <c r="P660">
        <v>84515</v>
      </c>
      <c r="Q660">
        <v>2</v>
      </c>
      <c r="R660">
        <v>197</v>
      </c>
      <c r="S660">
        <v>11.27311333274352</v>
      </c>
      <c r="T660">
        <v>0.95348835587501524</v>
      </c>
      <c r="W660">
        <f>Tabela6[[#This Row],[mlp_params]]</f>
        <v>83694</v>
      </c>
      <c r="X660">
        <f>Tabela6[[#This Row],[mlp_test_acc]]</f>
        <v>0.9599491417673236</v>
      </c>
      <c r="Y660">
        <f>Tabela6[[#This Row],[kan_val_acc_1]]</f>
        <v>0.95348835587501524</v>
      </c>
      <c r="Z660">
        <f>Tabela6[[#This Row],[no_steps]]</f>
        <v>11.27311333274352</v>
      </c>
    </row>
    <row r="661" spans="1:26" x14ac:dyDescent="0.25">
      <c r="A661" t="s">
        <v>18</v>
      </c>
      <c r="B661">
        <v>9</v>
      </c>
      <c r="C661">
        <v>4</v>
      </c>
      <c r="D661">
        <v>0</v>
      </c>
      <c r="E661" t="s">
        <v>90</v>
      </c>
      <c r="F661">
        <v>54176</v>
      </c>
      <c r="G661">
        <v>55399605.666666664</v>
      </c>
      <c r="H661">
        <v>0.93006991346677148</v>
      </c>
      <c r="I661">
        <v>0.9533799533799534</v>
      </c>
      <c r="J661">
        <v>15571581.333333334</v>
      </c>
      <c r="K661">
        <v>84515</v>
      </c>
      <c r="L661">
        <v>2</v>
      </c>
      <c r="M661">
        <v>197</v>
      </c>
      <c r="N661">
        <v>0.95104895104895104</v>
      </c>
      <c r="O661">
        <v>16342793.5</v>
      </c>
      <c r="P661">
        <v>85340</v>
      </c>
      <c r="Q661">
        <v>2</v>
      </c>
      <c r="R661">
        <v>198</v>
      </c>
      <c r="S661">
        <v>11.272614731629675</v>
      </c>
      <c r="T661">
        <v>0.9604651093482971</v>
      </c>
      <c r="W661">
        <f>Tabela6[[#This Row],[mlp_params]]</f>
        <v>84515</v>
      </c>
      <c r="X661">
        <f>Tabela6[[#This Row],[mlp_test_acc]]</f>
        <v>0.9533799533799534</v>
      </c>
      <c r="Y661">
        <f>Tabela6[[#This Row],[kan_val_acc_1]]</f>
        <v>0.9604651093482971</v>
      </c>
      <c r="Z661">
        <f>Tabela6[[#This Row],[no_steps]]</f>
        <v>11.272614731629675</v>
      </c>
    </row>
    <row r="662" spans="1:26" x14ac:dyDescent="0.25">
      <c r="A662" t="s">
        <v>18</v>
      </c>
      <c r="B662">
        <v>9</v>
      </c>
      <c r="C662">
        <v>4</v>
      </c>
      <c r="D662">
        <v>0</v>
      </c>
      <c r="E662" t="s">
        <v>91</v>
      </c>
      <c r="F662">
        <v>55458</v>
      </c>
      <c r="G662">
        <v>54455878.5</v>
      </c>
      <c r="H662">
        <v>0.91608392198880517</v>
      </c>
      <c r="I662">
        <v>0.94988344988344986</v>
      </c>
      <c r="J662">
        <v>16046609.833333334</v>
      </c>
      <c r="K662">
        <v>86169</v>
      </c>
      <c r="L662">
        <v>2</v>
      </c>
      <c r="M662">
        <v>199</v>
      </c>
      <c r="N662">
        <v>0.95104895104895104</v>
      </c>
      <c r="O662">
        <v>15561710.333333334</v>
      </c>
      <c r="P662">
        <v>87002</v>
      </c>
      <c r="Q662">
        <v>2</v>
      </c>
      <c r="R662">
        <v>200</v>
      </c>
      <c r="S662">
        <v>11.272116659301812</v>
      </c>
      <c r="T662">
        <v>0.9558139443397522</v>
      </c>
      <c r="W662">
        <f>Tabela6[[#This Row],[mlp_params]]</f>
        <v>86169</v>
      </c>
      <c r="X662">
        <f>Tabela6[[#This Row],[mlp_test_acc]]</f>
        <v>0.94988344988344986</v>
      </c>
      <c r="Y662">
        <f>Tabela6[[#This Row],[kan_val_acc_1]]</f>
        <v>0.9558139443397522</v>
      </c>
      <c r="Z662">
        <f>Tabela6[[#This Row],[no_steps]]</f>
        <v>11.272116659301812</v>
      </c>
    </row>
    <row r="663" spans="1:26" x14ac:dyDescent="0.25">
      <c r="A663" t="s">
        <v>18</v>
      </c>
      <c r="B663">
        <v>9</v>
      </c>
      <c r="C663">
        <v>4</v>
      </c>
      <c r="D663">
        <v>0</v>
      </c>
      <c r="E663" t="s">
        <v>92</v>
      </c>
      <c r="F663">
        <v>56740</v>
      </c>
      <c r="G663">
        <v>65663615.833333336</v>
      </c>
      <c r="H663">
        <v>0.9207459191481272</v>
      </c>
      <c r="I663">
        <v>0.95454545454545459</v>
      </c>
      <c r="J663">
        <v>18245613.5</v>
      </c>
      <c r="K663">
        <v>87839</v>
      </c>
      <c r="L663">
        <v>2</v>
      </c>
      <c r="M663">
        <v>201</v>
      </c>
      <c r="N663">
        <v>0.94871794871794868</v>
      </c>
      <c r="O663">
        <v>17698140</v>
      </c>
      <c r="P663">
        <v>88680</v>
      </c>
      <c r="Q663">
        <v>2</v>
      </c>
      <c r="R663">
        <v>202</v>
      </c>
      <c r="S663">
        <v>11.272679091953007</v>
      </c>
      <c r="T663">
        <v>0.96279067993164058</v>
      </c>
      <c r="W663">
        <f>Tabela6[[#This Row],[mlp_params]]</f>
        <v>87839</v>
      </c>
      <c r="X663">
        <f>Tabela6[[#This Row],[mlp_test_acc]]</f>
        <v>0.95454545454545459</v>
      </c>
      <c r="Y663">
        <f>Tabela6[[#This Row],[kan_val_acc_1]]</f>
        <v>0.96279067993164058</v>
      </c>
      <c r="Z663">
        <f>Tabela6[[#This Row],[no_steps]]</f>
        <v>11.272679091953007</v>
      </c>
    </row>
    <row r="664" spans="1:26" hidden="1" x14ac:dyDescent="0.25">
      <c r="A664" t="s">
        <v>18</v>
      </c>
      <c r="B664">
        <v>9</v>
      </c>
      <c r="C664">
        <v>5</v>
      </c>
      <c r="D664">
        <v>0</v>
      </c>
      <c r="E664" t="s">
        <v>105</v>
      </c>
      <c r="F664">
        <v>11992</v>
      </c>
      <c r="G664">
        <v>48843444.5</v>
      </c>
      <c r="H664">
        <v>0.79953379432360328</v>
      </c>
      <c r="I664">
        <v>0.91491841491841486</v>
      </c>
      <c r="J664">
        <v>15235120</v>
      </c>
      <c r="K664">
        <v>19352</v>
      </c>
      <c r="L664">
        <v>2</v>
      </c>
      <c r="M664">
        <v>90</v>
      </c>
      <c r="N664">
        <v>0.92540792540792549</v>
      </c>
      <c r="O664">
        <v>15498180.666666666</v>
      </c>
      <c r="P664">
        <v>19749</v>
      </c>
      <c r="Q664">
        <v>2</v>
      </c>
      <c r="R664">
        <v>91</v>
      </c>
      <c r="S664">
        <v>11.18976814516129</v>
      </c>
      <c r="T664">
        <v>0.94883719682693479</v>
      </c>
      <c r="W664">
        <f>Tabela6[[#This Row],[mlp_params]]</f>
        <v>19352</v>
      </c>
      <c r="X664">
        <f>Tabela6[[#This Row],[mlp_test_acc]]</f>
        <v>0.91491841491841486</v>
      </c>
      <c r="Y664">
        <f>Tabela6[[#This Row],[kan_val_acc_1]]</f>
        <v>0.94883719682693479</v>
      </c>
      <c r="Z664">
        <f>Tabela6[[#This Row],[no_steps]]</f>
        <v>11.18976814516129</v>
      </c>
    </row>
    <row r="665" spans="1:26" hidden="1" x14ac:dyDescent="0.25">
      <c r="A665" t="s">
        <v>18</v>
      </c>
      <c r="B665">
        <v>9</v>
      </c>
      <c r="C665">
        <v>5</v>
      </c>
      <c r="D665">
        <v>0</v>
      </c>
      <c r="E665" t="s">
        <v>19</v>
      </c>
      <c r="F665">
        <v>13082</v>
      </c>
      <c r="G665">
        <v>17210350.5</v>
      </c>
      <c r="H665">
        <v>0.94755243261655175</v>
      </c>
      <c r="I665">
        <v>0.93939393939393945</v>
      </c>
      <c r="J665">
        <v>8493977.5</v>
      </c>
      <c r="K665">
        <v>21377</v>
      </c>
      <c r="L665">
        <v>2</v>
      </c>
      <c r="M665">
        <v>95</v>
      </c>
      <c r="N665">
        <v>0.94405594405594406</v>
      </c>
      <c r="O665">
        <v>9106248</v>
      </c>
      <c r="P665">
        <v>21794</v>
      </c>
      <c r="Q665">
        <v>2</v>
      </c>
      <c r="R665">
        <v>96</v>
      </c>
      <c r="S665">
        <v>11.188748950461797</v>
      </c>
      <c r="T665">
        <v>0.9581395268440247</v>
      </c>
      <c r="W665">
        <f>Tabela6[[#This Row],[mlp_params]]</f>
        <v>21377</v>
      </c>
      <c r="X665">
        <f>Tabela6[[#This Row],[mlp_test_acc]]</f>
        <v>0.93939393939393945</v>
      </c>
      <c r="Y665">
        <f>Tabela6[[#This Row],[kan_val_acc_1]]</f>
        <v>0.9581395268440247</v>
      </c>
      <c r="Z665">
        <f>Tabela6[[#This Row],[no_steps]]</f>
        <v>11.188748950461797</v>
      </c>
    </row>
    <row r="666" spans="1:26" hidden="1" x14ac:dyDescent="0.25">
      <c r="A666" t="s">
        <v>18</v>
      </c>
      <c r="B666">
        <v>9</v>
      </c>
      <c r="C666">
        <v>5</v>
      </c>
      <c r="D666">
        <v>0</v>
      </c>
      <c r="E666" t="s">
        <v>20</v>
      </c>
      <c r="F666">
        <v>14172</v>
      </c>
      <c r="G666">
        <v>20248959.833333332</v>
      </c>
      <c r="H666">
        <v>0.9172494113445282</v>
      </c>
      <c r="I666">
        <v>0.95454545454545459</v>
      </c>
      <c r="J666">
        <v>10081546.5</v>
      </c>
      <c r="K666">
        <v>23069</v>
      </c>
      <c r="L666">
        <v>2</v>
      </c>
      <c r="M666">
        <v>99</v>
      </c>
      <c r="N666">
        <v>0.9533799533799534</v>
      </c>
      <c r="O666">
        <v>6805937.166666667</v>
      </c>
      <c r="P666">
        <v>23502</v>
      </c>
      <c r="Q666">
        <v>2</v>
      </c>
      <c r="R666">
        <v>100</v>
      </c>
      <c r="S666">
        <v>11.188234306814367</v>
      </c>
      <c r="T666">
        <v>0.94186046123504641</v>
      </c>
      <c r="W666">
        <f>Tabela6[[#This Row],[mlp_params]]</f>
        <v>23069</v>
      </c>
      <c r="X666">
        <f>Tabela6[[#This Row],[mlp_test_acc]]</f>
        <v>0.95454545454545459</v>
      </c>
      <c r="Y666">
        <f>Tabela6[[#This Row],[kan_val_acc_1]]</f>
        <v>0.94186046123504641</v>
      </c>
      <c r="Z666">
        <f>Tabela6[[#This Row],[no_steps]]</f>
        <v>11.188234306814367</v>
      </c>
    </row>
    <row r="667" spans="1:26" hidden="1" x14ac:dyDescent="0.25">
      <c r="A667" t="s">
        <v>18</v>
      </c>
      <c r="B667">
        <v>9</v>
      </c>
      <c r="C667">
        <v>5</v>
      </c>
      <c r="D667">
        <v>0</v>
      </c>
      <c r="E667" t="s">
        <v>21</v>
      </c>
      <c r="F667">
        <v>15262</v>
      </c>
      <c r="G667">
        <v>25795552.5</v>
      </c>
      <c r="H667">
        <v>0.9580419659614563</v>
      </c>
      <c r="I667">
        <v>0.96386946386946382</v>
      </c>
      <c r="J667">
        <v>7436926.333333333</v>
      </c>
      <c r="K667">
        <v>24825</v>
      </c>
      <c r="L667">
        <v>2</v>
      </c>
      <c r="M667">
        <v>103</v>
      </c>
      <c r="N667">
        <v>0.96969696969696972</v>
      </c>
      <c r="O667">
        <v>8835107.5</v>
      </c>
      <c r="P667">
        <v>25274</v>
      </c>
      <c r="Q667">
        <v>2</v>
      </c>
      <c r="R667">
        <v>104</v>
      </c>
      <c r="S667">
        <v>11.273632279094352</v>
      </c>
      <c r="T667">
        <v>0.97441859245300289</v>
      </c>
      <c r="W667">
        <f>Tabela6[[#This Row],[mlp_params]]</f>
        <v>24825</v>
      </c>
      <c r="X667">
        <f>Tabela6[[#This Row],[mlp_test_acc]]</f>
        <v>0.96386946386946382</v>
      </c>
      <c r="Y667">
        <f>Tabela6[[#This Row],[kan_val_acc_1]]</f>
        <v>0.97441859245300289</v>
      </c>
      <c r="Z667">
        <f>Tabela6[[#This Row],[no_steps]]</f>
        <v>11.273632279094352</v>
      </c>
    </row>
    <row r="668" spans="1:26" hidden="1" x14ac:dyDescent="0.25">
      <c r="A668" t="s">
        <v>18</v>
      </c>
      <c r="B668">
        <v>9</v>
      </c>
      <c r="C668">
        <v>5</v>
      </c>
      <c r="D668">
        <v>0</v>
      </c>
      <c r="E668" t="s">
        <v>22</v>
      </c>
      <c r="F668">
        <v>16352</v>
      </c>
      <c r="G668">
        <v>26684651.333333332</v>
      </c>
      <c r="H668">
        <v>0.95337994893391931</v>
      </c>
      <c r="I668">
        <v>0.94405594405594406</v>
      </c>
      <c r="J668">
        <v>8793199.333333334</v>
      </c>
      <c r="K668">
        <v>26645</v>
      </c>
      <c r="L668">
        <v>2</v>
      </c>
      <c r="M668">
        <v>107</v>
      </c>
      <c r="N668">
        <v>0.95454545454545459</v>
      </c>
      <c r="O668">
        <v>10661342</v>
      </c>
      <c r="P668">
        <v>27110</v>
      </c>
      <c r="Q668">
        <v>2</v>
      </c>
      <c r="R668">
        <v>108</v>
      </c>
      <c r="S668">
        <v>11.274280179624901</v>
      </c>
      <c r="T668">
        <v>0.95348834991455078</v>
      </c>
      <c r="W668">
        <f>Tabela6[[#This Row],[mlp_params]]</f>
        <v>26645</v>
      </c>
      <c r="X668">
        <f>Tabela6[[#This Row],[mlp_test_acc]]</f>
        <v>0.94405594405594406</v>
      </c>
      <c r="Y668">
        <f>Tabela6[[#This Row],[kan_val_acc_1]]</f>
        <v>0.95348834991455078</v>
      </c>
      <c r="Z668">
        <f>Tabela6[[#This Row],[no_steps]]</f>
        <v>11.274280179624901</v>
      </c>
    </row>
    <row r="669" spans="1:26" hidden="1" x14ac:dyDescent="0.25">
      <c r="A669" t="s">
        <v>18</v>
      </c>
      <c r="B669">
        <v>9</v>
      </c>
      <c r="C669">
        <v>5</v>
      </c>
      <c r="D669">
        <v>0</v>
      </c>
      <c r="E669" t="s">
        <v>39</v>
      </c>
      <c r="F669">
        <v>17442</v>
      </c>
      <c r="G669">
        <v>25624641.833333332</v>
      </c>
      <c r="H669">
        <v>0.92773893475532532</v>
      </c>
      <c r="I669">
        <v>0.95104895104895104</v>
      </c>
      <c r="J669">
        <v>9310975.166666666</v>
      </c>
      <c r="K669">
        <v>28529</v>
      </c>
      <c r="L669">
        <v>2</v>
      </c>
      <c r="M669">
        <v>111</v>
      </c>
      <c r="N669">
        <v>0.94988344988344986</v>
      </c>
      <c r="O669">
        <v>8117238.5</v>
      </c>
      <c r="P669">
        <v>29010</v>
      </c>
      <c r="Q669">
        <v>2</v>
      </c>
      <c r="R669">
        <v>112</v>
      </c>
      <c r="S669">
        <v>11.274223356507964</v>
      </c>
      <c r="T669">
        <v>0.95581393241882329</v>
      </c>
      <c r="W669">
        <f>Tabela6[[#This Row],[mlp_params]]</f>
        <v>28529</v>
      </c>
      <c r="X669">
        <f>Tabela6[[#This Row],[mlp_test_acc]]</f>
        <v>0.95104895104895104</v>
      </c>
      <c r="Y669">
        <f>Tabela6[[#This Row],[kan_val_acc_1]]</f>
        <v>0.95581393241882329</v>
      </c>
      <c r="Z669">
        <f>Tabela6[[#This Row],[no_steps]]</f>
        <v>11.274223356507964</v>
      </c>
    </row>
    <row r="670" spans="1:26" hidden="1" x14ac:dyDescent="0.25">
      <c r="A670" t="s">
        <v>18</v>
      </c>
      <c r="B670">
        <v>9</v>
      </c>
      <c r="C670">
        <v>5</v>
      </c>
      <c r="D670">
        <v>0</v>
      </c>
      <c r="E670" t="s">
        <v>55</v>
      </c>
      <c r="F670">
        <v>18532</v>
      </c>
      <c r="G670">
        <v>24948314</v>
      </c>
      <c r="H670">
        <v>0.93356644113858545</v>
      </c>
      <c r="I670">
        <v>0.94871794871794868</v>
      </c>
      <c r="J670">
        <v>8564132.5</v>
      </c>
      <c r="K670">
        <v>30477</v>
      </c>
      <c r="L670">
        <v>2</v>
      </c>
      <c r="M670">
        <v>115</v>
      </c>
      <c r="N670">
        <v>0.95454545454545459</v>
      </c>
      <c r="O670">
        <v>8161967.666666667</v>
      </c>
      <c r="P670">
        <v>30974</v>
      </c>
      <c r="Q670">
        <v>2</v>
      </c>
      <c r="R670">
        <v>116</v>
      </c>
      <c r="S670">
        <v>11.273990676400739</v>
      </c>
      <c r="T670">
        <v>0.94418603181838989</v>
      </c>
      <c r="W670">
        <f>Tabela6[[#This Row],[mlp_params]]</f>
        <v>30477</v>
      </c>
      <c r="X670">
        <f>Tabela6[[#This Row],[mlp_test_acc]]</f>
        <v>0.94871794871794868</v>
      </c>
      <c r="Y670">
        <f>Tabela6[[#This Row],[kan_val_acc_1]]</f>
        <v>0.94418603181838989</v>
      </c>
      <c r="Z670">
        <f>Tabela6[[#This Row],[no_steps]]</f>
        <v>11.273990676400739</v>
      </c>
    </row>
    <row r="671" spans="1:26" hidden="1" x14ac:dyDescent="0.25">
      <c r="A671" t="s">
        <v>18</v>
      </c>
      <c r="B671">
        <v>9</v>
      </c>
      <c r="C671">
        <v>5</v>
      </c>
      <c r="D671">
        <v>0</v>
      </c>
      <c r="E671" t="s">
        <v>66</v>
      </c>
      <c r="F671">
        <v>19622</v>
      </c>
      <c r="G671">
        <v>21541905.833333332</v>
      </c>
      <c r="H671">
        <v>0.92424242695172631</v>
      </c>
      <c r="I671">
        <v>0.9533799533799534</v>
      </c>
      <c r="J671">
        <v>9705011.833333334</v>
      </c>
      <c r="K671">
        <v>31980</v>
      </c>
      <c r="L671">
        <v>2</v>
      </c>
      <c r="M671">
        <v>118</v>
      </c>
      <c r="N671">
        <v>0.9475524475524475</v>
      </c>
      <c r="O671">
        <v>8934939.833333334</v>
      </c>
      <c r="P671">
        <v>32489</v>
      </c>
      <c r="Q671">
        <v>2</v>
      </c>
      <c r="R671">
        <v>119</v>
      </c>
      <c r="S671">
        <v>11.272791208791208</v>
      </c>
      <c r="T671">
        <v>0.94418605566024782</v>
      </c>
      <c r="W671">
        <f>Tabela6[[#This Row],[mlp_params]]</f>
        <v>31980</v>
      </c>
      <c r="X671">
        <f>Tabela6[[#This Row],[mlp_test_acc]]</f>
        <v>0.9533799533799534</v>
      </c>
      <c r="Y671">
        <f>Tabela6[[#This Row],[kan_val_acc_1]]</f>
        <v>0.94418605566024782</v>
      </c>
      <c r="Z671">
        <f>Tabela6[[#This Row],[no_steps]]</f>
        <v>11.272791208791208</v>
      </c>
    </row>
    <row r="672" spans="1:26" hidden="1" x14ac:dyDescent="0.25">
      <c r="A672" t="s">
        <v>18</v>
      </c>
      <c r="B672">
        <v>9</v>
      </c>
      <c r="C672">
        <v>5</v>
      </c>
      <c r="D672">
        <v>0</v>
      </c>
      <c r="E672" t="s">
        <v>76</v>
      </c>
      <c r="F672">
        <v>20712</v>
      </c>
      <c r="G672">
        <v>25909669.166666668</v>
      </c>
      <c r="H672">
        <v>0.92657342553138733</v>
      </c>
      <c r="I672">
        <v>0.95571095571095566</v>
      </c>
      <c r="J672">
        <v>10205468.666666666</v>
      </c>
      <c r="K672">
        <v>34040</v>
      </c>
      <c r="L672">
        <v>2</v>
      </c>
      <c r="M672">
        <v>122</v>
      </c>
      <c r="N672">
        <v>0.95804195804195802</v>
      </c>
      <c r="O672">
        <v>9009564.333333334</v>
      </c>
      <c r="P672">
        <v>34565</v>
      </c>
      <c r="Q672">
        <v>2</v>
      </c>
      <c r="R672">
        <v>123</v>
      </c>
      <c r="S672">
        <v>11.272208066075038</v>
      </c>
      <c r="T672">
        <v>0.94883718490600588</v>
      </c>
      <c r="W672">
        <f>Tabela6[[#This Row],[mlp_params]]</f>
        <v>34040</v>
      </c>
      <c r="X672">
        <f>Tabela6[[#This Row],[mlp_test_acc]]</f>
        <v>0.95571095571095566</v>
      </c>
      <c r="Y672">
        <f>Tabela6[[#This Row],[kan_val_acc_1]]</f>
        <v>0.94883718490600588</v>
      </c>
      <c r="Z672">
        <f>Tabela6[[#This Row],[no_steps]]</f>
        <v>11.272208066075038</v>
      </c>
    </row>
    <row r="673" spans="1:26" hidden="1" x14ac:dyDescent="0.25">
      <c r="A673" t="s">
        <v>18</v>
      </c>
      <c r="B673">
        <v>9</v>
      </c>
      <c r="C673">
        <v>5</v>
      </c>
      <c r="D673">
        <v>0</v>
      </c>
      <c r="E673" t="s">
        <v>93</v>
      </c>
      <c r="F673">
        <v>21802</v>
      </c>
      <c r="G673">
        <v>33610718.333333336</v>
      </c>
      <c r="H673">
        <v>0.93240093191464746</v>
      </c>
      <c r="I673">
        <v>0.95804195804195802</v>
      </c>
      <c r="J673">
        <v>9266427.5</v>
      </c>
      <c r="K673">
        <v>35627</v>
      </c>
      <c r="L673">
        <v>2</v>
      </c>
      <c r="M673">
        <v>125</v>
      </c>
      <c r="N673">
        <v>0.95571095571095566</v>
      </c>
      <c r="O673">
        <v>9177455.166666666</v>
      </c>
      <c r="P673">
        <v>36164</v>
      </c>
      <c r="Q673">
        <v>2</v>
      </c>
      <c r="R673">
        <v>126</v>
      </c>
      <c r="S673">
        <v>11.272767190656012</v>
      </c>
      <c r="T673">
        <v>0.9581395268440247</v>
      </c>
      <c r="W673">
        <f>Tabela6[[#This Row],[mlp_params]]</f>
        <v>35627</v>
      </c>
      <c r="X673">
        <f>Tabela6[[#This Row],[mlp_test_acc]]</f>
        <v>0.95804195804195802</v>
      </c>
      <c r="Y673">
        <f>Tabela6[[#This Row],[kan_val_acc_1]]</f>
        <v>0.9581395268440247</v>
      </c>
      <c r="Z673">
        <f>Tabela6[[#This Row],[no_steps]]</f>
        <v>11.272767190656012</v>
      </c>
    </row>
    <row r="674" spans="1:26" hidden="1" x14ac:dyDescent="0.25">
      <c r="A674" t="s">
        <v>18</v>
      </c>
      <c r="B674">
        <v>9</v>
      </c>
      <c r="C674">
        <v>5</v>
      </c>
      <c r="D674">
        <v>0</v>
      </c>
      <c r="E674" t="s">
        <v>94</v>
      </c>
      <c r="F674">
        <v>22892</v>
      </c>
      <c r="G674">
        <v>30846341.166666668</v>
      </c>
      <c r="H674">
        <v>0.93822843829790747</v>
      </c>
      <c r="I674">
        <v>0.9533799533799534</v>
      </c>
      <c r="J674">
        <v>9348428</v>
      </c>
      <c r="K674">
        <v>37250</v>
      </c>
      <c r="L674">
        <v>2</v>
      </c>
      <c r="M674">
        <v>128</v>
      </c>
      <c r="N674">
        <v>0.94871794871794868</v>
      </c>
      <c r="O674">
        <v>11156339.166666666</v>
      </c>
      <c r="P674">
        <v>37799</v>
      </c>
      <c r="Q674">
        <v>2</v>
      </c>
      <c r="R674">
        <v>129</v>
      </c>
      <c r="S674">
        <v>11.272711313964715</v>
      </c>
      <c r="T674">
        <v>0.95348836183547969</v>
      </c>
      <c r="W674">
        <f>Tabela6[[#This Row],[mlp_params]]</f>
        <v>37250</v>
      </c>
      <c r="X674">
        <f>Tabela6[[#This Row],[mlp_test_acc]]</f>
        <v>0.9533799533799534</v>
      </c>
      <c r="Y674">
        <f>Tabela6[[#This Row],[kan_val_acc_1]]</f>
        <v>0.95348836183547969</v>
      </c>
      <c r="Z674">
        <f>Tabela6[[#This Row],[no_steps]]</f>
        <v>11.272711313964715</v>
      </c>
    </row>
    <row r="675" spans="1:26" hidden="1" x14ac:dyDescent="0.25">
      <c r="A675" t="s">
        <v>18</v>
      </c>
      <c r="B675">
        <v>9</v>
      </c>
      <c r="C675">
        <v>5</v>
      </c>
      <c r="D675">
        <v>0</v>
      </c>
      <c r="E675" t="s">
        <v>95</v>
      </c>
      <c r="F675">
        <v>23982</v>
      </c>
      <c r="G675">
        <v>28968766.333333332</v>
      </c>
      <c r="H675">
        <v>0.92657343546549475</v>
      </c>
      <c r="I675">
        <v>0.94988344988344986</v>
      </c>
      <c r="J675">
        <v>9917879.666666666</v>
      </c>
      <c r="K675">
        <v>38909</v>
      </c>
      <c r="L675">
        <v>2</v>
      </c>
      <c r="M675">
        <v>131</v>
      </c>
      <c r="N675">
        <v>0.94871794871794868</v>
      </c>
      <c r="O675">
        <v>10882251.333333334</v>
      </c>
      <c r="P675">
        <v>39470</v>
      </c>
      <c r="Q675">
        <v>2</v>
      </c>
      <c r="R675">
        <v>132</v>
      </c>
      <c r="S675">
        <v>11.272304588121765</v>
      </c>
      <c r="T675">
        <v>0.93023257255554204</v>
      </c>
      <c r="W675">
        <f>Tabela6[[#This Row],[mlp_params]]</f>
        <v>38909</v>
      </c>
      <c r="X675">
        <f>Tabela6[[#This Row],[mlp_test_acc]]</f>
        <v>0.94988344988344986</v>
      </c>
      <c r="Y675">
        <f>Tabela6[[#This Row],[kan_val_acc_1]]</f>
        <v>0.93023257255554204</v>
      </c>
      <c r="Z675">
        <f>Tabela6[[#This Row],[no_steps]]</f>
        <v>11.272304588121765</v>
      </c>
    </row>
    <row r="676" spans="1:26" hidden="1" x14ac:dyDescent="0.25">
      <c r="A676" t="s">
        <v>18</v>
      </c>
      <c r="B676">
        <v>9</v>
      </c>
      <c r="C676">
        <v>5</v>
      </c>
      <c r="D676">
        <v>0</v>
      </c>
      <c r="E676" t="s">
        <v>96</v>
      </c>
      <c r="F676">
        <v>25072</v>
      </c>
      <c r="G676">
        <v>31409013.666666668</v>
      </c>
      <c r="H676">
        <v>0.94988345106442773</v>
      </c>
      <c r="I676">
        <v>0.94638694638694643</v>
      </c>
      <c r="J676">
        <v>8457183.666666666</v>
      </c>
      <c r="K676">
        <v>41177</v>
      </c>
      <c r="L676">
        <v>2</v>
      </c>
      <c r="M676">
        <v>135</v>
      </c>
      <c r="N676">
        <v>0.94522144522144524</v>
      </c>
      <c r="O676">
        <v>8846509.333333334</v>
      </c>
      <c r="P676">
        <v>41754</v>
      </c>
      <c r="Q676">
        <v>2</v>
      </c>
      <c r="R676">
        <v>136</v>
      </c>
      <c r="S676">
        <v>11.271722928540115</v>
      </c>
      <c r="T676">
        <v>0.94418603181838989</v>
      </c>
      <c r="W676">
        <f>Tabela6[[#This Row],[mlp_params]]</f>
        <v>41177</v>
      </c>
      <c r="X676">
        <f>Tabela6[[#This Row],[mlp_test_acc]]</f>
        <v>0.94638694638694643</v>
      </c>
      <c r="Y676">
        <f>Tabela6[[#This Row],[kan_val_acc_1]]</f>
        <v>0.94418603181838989</v>
      </c>
      <c r="Z676">
        <f>Tabela6[[#This Row],[no_steps]]</f>
        <v>11.271722928540115</v>
      </c>
    </row>
    <row r="677" spans="1:26" hidden="1" x14ac:dyDescent="0.25">
      <c r="A677" t="s">
        <v>18</v>
      </c>
      <c r="B677">
        <v>9</v>
      </c>
      <c r="C677">
        <v>5</v>
      </c>
      <c r="D677">
        <v>0</v>
      </c>
      <c r="E677" t="s">
        <v>97</v>
      </c>
      <c r="F677">
        <v>26162</v>
      </c>
      <c r="G677">
        <v>37148551.5</v>
      </c>
      <c r="H677">
        <v>0.94871795177459717</v>
      </c>
      <c r="I677">
        <v>0.95221445221445222</v>
      </c>
      <c r="J677">
        <v>8622303.333333334</v>
      </c>
      <c r="K677">
        <v>42920</v>
      </c>
      <c r="L677">
        <v>2</v>
      </c>
      <c r="M677">
        <v>138</v>
      </c>
      <c r="N677">
        <v>0.95104895104895104</v>
      </c>
      <c r="O677">
        <v>10933433.666666666</v>
      </c>
      <c r="P677">
        <v>43509</v>
      </c>
      <c r="Q677">
        <v>2</v>
      </c>
      <c r="R677">
        <v>139</v>
      </c>
      <c r="S677">
        <v>11.272368766979231</v>
      </c>
      <c r="T677">
        <v>0.95813951492309568</v>
      </c>
      <c r="W677">
        <f>Tabela6[[#This Row],[mlp_params]]</f>
        <v>42920</v>
      </c>
      <c r="X677">
        <f>Tabela6[[#This Row],[mlp_test_acc]]</f>
        <v>0.95221445221445222</v>
      </c>
      <c r="Y677">
        <f>Tabela6[[#This Row],[kan_val_acc_1]]</f>
        <v>0.95813951492309568</v>
      </c>
      <c r="Z677">
        <f>Tabela6[[#This Row],[no_steps]]</f>
        <v>11.272368766979231</v>
      </c>
    </row>
    <row r="678" spans="1:26" hidden="1" x14ac:dyDescent="0.25">
      <c r="A678" t="s">
        <v>18</v>
      </c>
      <c r="B678">
        <v>9</v>
      </c>
      <c r="C678">
        <v>5</v>
      </c>
      <c r="D678">
        <v>0</v>
      </c>
      <c r="E678" t="s">
        <v>98</v>
      </c>
      <c r="F678">
        <v>27252</v>
      </c>
      <c r="G678">
        <v>38298257.166666664</v>
      </c>
      <c r="H678">
        <v>0.91025641560554504</v>
      </c>
      <c r="I678">
        <v>0.9533799533799534</v>
      </c>
      <c r="J678">
        <v>9804271.5</v>
      </c>
      <c r="K678">
        <v>44699</v>
      </c>
      <c r="L678">
        <v>2</v>
      </c>
      <c r="M678">
        <v>141</v>
      </c>
      <c r="N678">
        <v>0.95454545454545459</v>
      </c>
      <c r="O678">
        <v>10788555.666666666</v>
      </c>
      <c r="P678">
        <v>45300</v>
      </c>
      <c r="Q678">
        <v>2</v>
      </c>
      <c r="R678">
        <v>142</v>
      </c>
      <c r="S678">
        <v>11.273013926600683</v>
      </c>
      <c r="T678">
        <v>0.94418603181838989</v>
      </c>
      <c r="W678">
        <f>Tabela6[[#This Row],[mlp_params]]</f>
        <v>44699</v>
      </c>
      <c r="X678">
        <f>Tabela6[[#This Row],[mlp_test_acc]]</f>
        <v>0.9533799533799534</v>
      </c>
      <c r="Y678">
        <f>Tabela6[[#This Row],[kan_val_acc_1]]</f>
        <v>0.94418603181838989</v>
      </c>
      <c r="Z678">
        <f>Tabela6[[#This Row],[no_steps]]</f>
        <v>11.273013926600683</v>
      </c>
    </row>
    <row r="679" spans="1:26" hidden="1" x14ac:dyDescent="0.25">
      <c r="A679" t="s">
        <v>18</v>
      </c>
      <c r="B679">
        <v>9</v>
      </c>
      <c r="C679">
        <v>5</v>
      </c>
      <c r="D679">
        <v>0</v>
      </c>
      <c r="E679" t="s">
        <v>99</v>
      </c>
      <c r="F679">
        <v>28342</v>
      </c>
      <c r="G679">
        <v>37727161.333333336</v>
      </c>
      <c r="H679">
        <v>0.93939392765363061</v>
      </c>
      <c r="I679">
        <v>0.95104895104895104</v>
      </c>
      <c r="J679">
        <v>10606808.833333334</v>
      </c>
      <c r="K679">
        <v>46514</v>
      </c>
      <c r="L679">
        <v>2</v>
      </c>
      <c r="M679">
        <v>144</v>
      </c>
      <c r="N679">
        <v>0.95221445221445222</v>
      </c>
      <c r="O679">
        <v>9690263.166666666</v>
      </c>
      <c r="P679">
        <v>47127</v>
      </c>
      <c r="Q679">
        <v>2</v>
      </c>
      <c r="R679">
        <v>145</v>
      </c>
      <c r="S679">
        <v>11.273045609734746</v>
      </c>
      <c r="T679">
        <v>0.96046509742736819</v>
      </c>
      <c r="W679">
        <f>Tabela6[[#This Row],[mlp_params]]</f>
        <v>46514</v>
      </c>
      <c r="X679">
        <f>Tabela6[[#This Row],[mlp_test_acc]]</f>
        <v>0.95104895104895104</v>
      </c>
      <c r="Y679">
        <f>Tabela6[[#This Row],[kan_val_acc_1]]</f>
        <v>0.96046509742736819</v>
      </c>
      <c r="Z679">
        <f>Tabela6[[#This Row],[no_steps]]</f>
        <v>11.273045609734746</v>
      </c>
    </row>
    <row r="680" spans="1:26" hidden="1" x14ac:dyDescent="0.25">
      <c r="A680" t="s">
        <v>18</v>
      </c>
      <c r="B680">
        <v>9</v>
      </c>
      <c r="C680">
        <v>5</v>
      </c>
      <c r="D680">
        <v>0</v>
      </c>
      <c r="E680" t="s">
        <v>100</v>
      </c>
      <c r="F680">
        <v>29432</v>
      </c>
      <c r="G680">
        <v>36286699.833333336</v>
      </c>
      <c r="H680">
        <v>0.93939393758773804</v>
      </c>
      <c r="I680">
        <v>0.95687645687645684</v>
      </c>
      <c r="J680">
        <v>11951518.333333334</v>
      </c>
      <c r="K680">
        <v>48365</v>
      </c>
      <c r="L680">
        <v>2</v>
      </c>
      <c r="M680">
        <v>147</v>
      </c>
      <c r="N680">
        <v>0.95104895104895104</v>
      </c>
      <c r="O680">
        <v>8692930.833333334</v>
      </c>
      <c r="P680">
        <v>48990</v>
      </c>
      <c r="Q680">
        <v>2</v>
      </c>
      <c r="R680">
        <v>148</v>
      </c>
      <c r="S680">
        <v>11.27237728585178</v>
      </c>
      <c r="T680">
        <v>0.9558139443397522</v>
      </c>
      <c r="W680">
        <f>Tabela6[[#This Row],[mlp_params]]</f>
        <v>48365</v>
      </c>
      <c r="X680">
        <f>Tabela6[[#This Row],[mlp_test_acc]]</f>
        <v>0.95687645687645684</v>
      </c>
      <c r="Y680">
        <f>Tabela6[[#This Row],[kan_val_acc_1]]</f>
        <v>0.9558139443397522</v>
      </c>
      <c r="Z680">
        <f>Tabela6[[#This Row],[no_steps]]</f>
        <v>11.27237728585178</v>
      </c>
    </row>
    <row r="681" spans="1:26" hidden="1" x14ac:dyDescent="0.25">
      <c r="A681" t="s">
        <v>18</v>
      </c>
      <c r="B681">
        <v>9</v>
      </c>
      <c r="C681">
        <v>5</v>
      </c>
      <c r="D681">
        <v>0</v>
      </c>
      <c r="E681" t="s">
        <v>101</v>
      </c>
      <c r="F681">
        <v>30522</v>
      </c>
      <c r="G681">
        <v>37231795.833333336</v>
      </c>
      <c r="H681">
        <v>0.94289044539133704</v>
      </c>
      <c r="I681">
        <v>0.9475524475524475</v>
      </c>
      <c r="J681">
        <v>10185148.5</v>
      </c>
      <c r="K681">
        <v>49619</v>
      </c>
      <c r="L681">
        <v>2</v>
      </c>
      <c r="M681">
        <v>149</v>
      </c>
      <c r="N681">
        <v>0.94871794871794868</v>
      </c>
      <c r="O681">
        <v>9958009</v>
      </c>
      <c r="P681">
        <v>50252</v>
      </c>
      <c r="Q681">
        <v>2</v>
      </c>
      <c r="R681">
        <v>150</v>
      </c>
      <c r="S681">
        <v>11.271884564932225</v>
      </c>
      <c r="T681">
        <v>0.96976743936538701</v>
      </c>
      <c r="W681">
        <f>Tabela6[[#This Row],[mlp_params]]</f>
        <v>49619</v>
      </c>
      <c r="X681">
        <f>Tabela6[[#This Row],[mlp_test_acc]]</f>
        <v>0.9475524475524475</v>
      </c>
      <c r="Y681">
        <f>Tabela6[[#This Row],[kan_val_acc_1]]</f>
        <v>0.96976743936538701</v>
      </c>
      <c r="Z681">
        <f>Tabela6[[#This Row],[no_steps]]</f>
        <v>11.271884564932225</v>
      </c>
    </row>
    <row r="682" spans="1:26" hidden="1" x14ac:dyDescent="0.25">
      <c r="A682" t="s">
        <v>18</v>
      </c>
      <c r="B682">
        <v>9</v>
      </c>
      <c r="C682">
        <v>5</v>
      </c>
      <c r="D682">
        <v>0</v>
      </c>
      <c r="E682" t="s">
        <v>102</v>
      </c>
      <c r="F682">
        <v>31612</v>
      </c>
      <c r="G682">
        <v>45640693.333333336</v>
      </c>
      <c r="H682">
        <v>0.93123542269070947</v>
      </c>
      <c r="I682">
        <v>0.94871794871794868</v>
      </c>
      <c r="J682">
        <v>11062076</v>
      </c>
      <c r="K682">
        <v>51530</v>
      </c>
      <c r="L682">
        <v>2</v>
      </c>
      <c r="M682">
        <v>152</v>
      </c>
      <c r="N682">
        <v>0.95104895104895104</v>
      </c>
      <c r="O682">
        <v>10953506.5</v>
      </c>
      <c r="P682">
        <v>52175</v>
      </c>
      <c r="Q682">
        <v>2</v>
      </c>
      <c r="R682">
        <v>153</v>
      </c>
      <c r="S682">
        <v>11.272703435014423</v>
      </c>
      <c r="T682">
        <v>0.94883720874786381</v>
      </c>
      <c r="W682">
        <f>Tabela6[[#This Row],[mlp_params]]</f>
        <v>51530</v>
      </c>
      <c r="X682">
        <f>Tabela6[[#This Row],[mlp_test_acc]]</f>
        <v>0.94871794871794868</v>
      </c>
      <c r="Y682">
        <f>Tabela6[[#This Row],[kan_val_acc_1]]</f>
        <v>0.94883720874786381</v>
      </c>
      <c r="Z682">
        <f>Tabela6[[#This Row],[no_steps]]</f>
        <v>11.272703435014423</v>
      </c>
    </row>
    <row r="683" spans="1:26" hidden="1" x14ac:dyDescent="0.25">
      <c r="A683" t="s">
        <v>18</v>
      </c>
      <c r="B683">
        <v>9</v>
      </c>
      <c r="C683">
        <v>5</v>
      </c>
      <c r="D683">
        <v>0</v>
      </c>
      <c r="E683" t="s">
        <v>103</v>
      </c>
      <c r="F683">
        <v>32702</v>
      </c>
      <c r="G683">
        <v>43762982.81818182</v>
      </c>
      <c r="H683">
        <v>0.83788937872106384</v>
      </c>
      <c r="I683">
        <v>0.94914176732358546</v>
      </c>
      <c r="J683">
        <v>10724985.636363637</v>
      </c>
      <c r="K683">
        <v>53477</v>
      </c>
      <c r="L683">
        <v>2</v>
      </c>
      <c r="M683">
        <v>155</v>
      </c>
      <c r="N683">
        <v>0.95295613477431662</v>
      </c>
      <c r="O683">
        <v>9687645.8181818184</v>
      </c>
      <c r="P683">
        <v>54134</v>
      </c>
      <c r="Q683">
        <v>2</v>
      </c>
      <c r="R683">
        <v>156</v>
      </c>
      <c r="S683">
        <v>11.272790778903248</v>
      </c>
      <c r="T683">
        <v>0.94186046123504641</v>
      </c>
      <c r="W683">
        <f>Tabela6[[#This Row],[mlp_params]]</f>
        <v>53477</v>
      </c>
      <c r="X683">
        <f>Tabela6[[#This Row],[mlp_test_acc]]</f>
        <v>0.94914176732358546</v>
      </c>
      <c r="Y683">
        <f>Tabela6[[#This Row],[kan_val_acc_1]]</f>
        <v>0.94186046123504641</v>
      </c>
      <c r="Z683">
        <f>Tabela6[[#This Row],[no_steps]]</f>
        <v>11.272790778903248</v>
      </c>
    </row>
    <row r="684" spans="1:26" hidden="1" x14ac:dyDescent="0.25">
      <c r="A684" t="s">
        <v>18</v>
      </c>
      <c r="B684">
        <v>9</v>
      </c>
      <c r="C684">
        <v>5</v>
      </c>
      <c r="D684">
        <v>0</v>
      </c>
      <c r="E684" t="s">
        <v>104</v>
      </c>
      <c r="F684">
        <v>33792</v>
      </c>
      <c r="G684">
        <v>38145924.636363633</v>
      </c>
      <c r="H684">
        <v>0.92879846421155066</v>
      </c>
      <c r="I684">
        <v>0.95549904640813732</v>
      </c>
      <c r="J684">
        <v>10087634.727272727</v>
      </c>
      <c r="K684">
        <v>55460</v>
      </c>
      <c r="L684">
        <v>2</v>
      </c>
      <c r="M684">
        <v>158</v>
      </c>
      <c r="N684">
        <v>0.95486331849968209</v>
      </c>
      <c r="O684">
        <v>11215592.818181818</v>
      </c>
      <c r="P684">
        <v>56129</v>
      </c>
      <c r="Q684">
        <v>2</v>
      </c>
      <c r="R684">
        <v>159</v>
      </c>
      <c r="S684">
        <v>11.271133211201256</v>
      </c>
      <c r="T684">
        <v>0.94302324056625364</v>
      </c>
      <c r="W684">
        <f>Tabela6[[#This Row],[mlp_params]]</f>
        <v>55460</v>
      </c>
      <c r="X684">
        <f>Tabela6[[#This Row],[mlp_test_acc]]</f>
        <v>0.95549904640813732</v>
      </c>
      <c r="Y684">
        <f>Tabela6[[#This Row],[kan_val_acc_1]]</f>
        <v>0.94302324056625364</v>
      </c>
      <c r="Z684">
        <f>Tabela6[[#This Row],[no_steps]]</f>
        <v>11.271133211201256</v>
      </c>
    </row>
    <row r="685" spans="1:26" hidden="1" x14ac:dyDescent="0.25">
      <c r="A685" t="s">
        <v>18</v>
      </c>
      <c r="B685">
        <v>9</v>
      </c>
      <c r="C685">
        <v>5</v>
      </c>
      <c r="D685">
        <v>0</v>
      </c>
      <c r="E685" t="s">
        <v>41</v>
      </c>
      <c r="F685">
        <v>34882</v>
      </c>
      <c r="G685">
        <v>41355851.375</v>
      </c>
      <c r="H685">
        <v>0.87368880957365036</v>
      </c>
      <c r="I685">
        <v>0.95061188811188813</v>
      </c>
      <c r="J685">
        <v>10789367.375</v>
      </c>
      <c r="K685">
        <v>56802</v>
      </c>
      <c r="L685">
        <v>2</v>
      </c>
      <c r="M685">
        <v>160</v>
      </c>
      <c r="N685">
        <v>0.94973776223776218</v>
      </c>
      <c r="O685">
        <v>11507876.4375</v>
      </c>
      <c r="P685">
        <v>57479</v>
      </c>
      <c r="Q685">
        <v>2</v>
      </c>
      <c r="R685">
        <v>161</v>
      </c>
      <c r="S685">
        <v>11.269274327031971</v>
      </c>
      <c r="T685">
        <v>0.94108527501424155</v>
      </c>
      <c r="W685">
        <f>Tabela6[[#This Row],[mlp_params]]</f>
        <v>56802</v>
      </c>
      <c r="X685">
        <f>Tabela6[[#This Row],[mlp_test_acc]]</f>
        <v>0.95061188811188813</v>
      </c>
      <c r="Y685">
        <f>Tabela6[[#This Row],[kan_val_acc_1]]</f>
        <v>0.94108527501424155</v>
      </c>
      <c r="Z685">
        <f>Tabela6[[#This Row],[no_steps]]</f>
        <v>11.269274327031971</v>
      </c>
    </row>
    <row r="686" spans="1:26" hidden="1" x14ac:dyDescent="0.25">
      <c r="A686" t="s">
        <v>18</v>
      </c>
      <c r="B686">
        <v>9</v>
      </c>
      <c r="C686">
        <v>5</v>
      </c>
      <c r="D686">
        <v>0</v>
      </c>
      <c r="E686" t="s">
        <v>26</v>
      </c>
      <c r="F686">
        <v>34952</v>
      </c>
      <c r="G686">
        <v>44227293.666666664</v>
      </c>
      <c r="H686">
        <v>0.87179486950238549</v>
      </c>
      <c r="I686">
        <v>0.94638694638694643</v>
      </c>
      <c r="J686">
        <v>10530213.5</v>
      </c>
      <c r="K686">
        <v>57479</v>
      </c>
      <c r="L686">
        <v>2</v>
      </c>
      <c r="M686">
        <v>161</v>
      </c>
      <c r="N686">
        <v>0.95221445221445222</v>
      </c>
      <c r="O686">
        <v>11032700.666666666</v>
      </c>
      <c r="P686">
        <v>58160</v>
      </c>
      <c r="Q686">
        <v>2</v>
      </c>
      <c r="R686">
        <v>162</v>
      </c>
      <c r="S686">
        <v>11.268698302133217</v>
      </c>
      <c r="T686">
        <v>0.92093023061752322</v>
      </c>
      <c r="W686">
        <f>Tabela6[[#This Row],[mlp_params]]</f>
        <v>57479</v>
      </c>
      <c r="X686">
        <f>Tabela6[[#This Row],[mlp_test_acc]]</f>
        <v>0.94638694638694643</v>
      </c>
      <c r="Y686">
        <f>Tabela6[[#This Row],[kan_val_acc_1]]</f>
        <v>0.92093023061752322</v>
      </c>
      <c r="Z686">
        <f>Tabela6[[#This Row],[no_steps]]</f>
        <v>11.268698302133217</v>
      </c>
    </row>
    <row r="687" spans="1:26" hidden="1" x14ac:dyDescent="0.25">
      <c r="A687" t="s">
        <v>18</v>
      </c>
      <c r="B687">
        <v>9</v>
      </c>
      <c r="C687">
        <v>5</v>
      </c>
      <c r="D687">
        <v>0</v>
      </c>
      <c r="E687" t="s">
        <v>27</v>
      </c>
      <c r="F687">
        <v>36042</v>
      </c>
      <c r="G687">
        <v>33999398.333333336</v>
      </c>
      <c r="H687">
        <v>0.83216784397761023</v>
      </c>
      <c r="I687">
        <v>0.9533799533799534</v>
      </c>
      <c r="J687">
        <v>10521065</v>
      </c>
      <c r="K687">
        <v>58845</v>
      </c>
      <c r="L687">
        <v>2</v>
      </c>
      <c r="M687">
        <v>163</v>
      </c>
      <c r="N687">
        <v>0.95687645687645684</v>
      </c>
      <c r="O687">
        <v>11919140.166666666</v>
      </c>
      <c r="P687">
        <v>59534</v>
      </c>
      <c r="Q687">
        <v>2</v>
      </c>
      <c r="R687">
        <v>164</v>
      </c>
      <c r="S687">
        <v>11.266730484727178</v>
      </c>
      <c r="T687">
        <v>0.92325581312179561</v>
      </c>
      <c r="W687">
        <f>Tabela6[[#This Row],[mlp_params]]</f>
        <v>58845</v>
      </c>
      <c r="X687">
        <f>Tabela6[[#This Row],[mlp_test_acc]]</f>
        <v>0.9533799533799534</v>
      </c>
      <c r="Y687">
        <f>Tabela6[[#This Row],[kan_val_acc_1]]</f>
        <v>0.92325581312179561</v>
      </c>
      <c r="Z687">
        <f>Tabela6[[#This Row],[no_steps]]</f>
        <v>11.266730484727178</v>
      </c>
    </row>
    <row r="688" spans="1:26" hidden="1" x14ac:dyDescent="0.25">
      <c r="A688" t="s">
        <v>18</v>
      </c>
      <c r="B688">
        <v>9</v>
      </c>
      <c r="C688">
        <v>5</v>
      </c>
      <c r="D688">
        <v>0</v>
      </c>
      <c r="E688" t="s">
        <v>57</v>
      </c>
      <c r="F688">
        <v>36992</v>
      </c>
      <c r="G688">
        <v>40868740.8125</v>
      </c>
      <c r="H688">
        <v>0.83653846010565758</v>
      </c>
      <c r="I688">
        <v>0.95935314685314688</v>
      </c>
      <c r="J688">
        <v>11736049.875</v>
      </c>
      <c r="K688">
        <v>60227</v>
      </c>
      <c r="L688">
        <v>2</v>
      </c>
      <c r="M688">
        <v>165</v>
      </c>
      <c r="N688">
        <v>0.95104895104895104</v>
      </c>
      <c r="O688">
        <v>9737340.9375</v>
      </c>
      <c r="P688">
        <v>60924</v>
      </c>
      <c r="Q688">
        <v>2</v>
      </c>
      <c r="R688">
        <v>166</v>
      </c>
      <c r="S688">
        <v>11.263752498479187</v>
      </c>
      <c r="T688">
        <v>0.93023255268732707</v>
      </c>
      <c r="W688">
        <f>Tabela6[[#This Row],[mlp_params]]</f>
        <v>60227</v>
      </c>
      <c r="X688">
        <f>Tabela6[[#This Row],[mlp_test_acc]]</f>
        <v>0.95935314685314688</v>
      </c>
      <c r="Y688">
        <f>Tabela6[[#This Row],[kan_val_acc_1]]</f>
        <v>0.93023255268732707</v>
      </c>
      <c r="Z688">
        <f>Tabela6[[#This Row],[no_steps]]</f>
        <v>11.263752498479187</v>
      </c>
    </row>
    <row r="689" spans="1:26" hidden="1" x14ac:dyDescent="0.25">
      <c r="A689" t="s">
        <v>18</v>
      </c>
      <c r="B689">
        <v>9</v>
      </c>
      <c r="C689">
        <v>5</v>
      </c>
      <c r="D689">
        <v>0</v>
      </c>
      <c r="E689" t="s">
        <v>28</v>
      </c>
      <c r="F689">
        <v>37132</v>
      </c>
      <c r="G689">
        <v>37236922.833333336</v>
      </c>
      <c r="H689">
        <v>0.8519813517729441</v>
      </c>
      <c r="I689">
        <v>0.95571095571095566</v>
      </c>
      <c r="J689">
        <v>11507193.5</v>
      </c>
      <c r="K689">
        <v>60924</v>
      </c>
      <c r="L689">
        <v>2</v>
      </c>
      <c r="M689">
        <v>166</v>
      </c>
      <c r="N689">
        <v>0.94988344988344986</v>
      </c>
      <c r="O689">
        <v>12487995.666666666</v>
      </c>
      <c r="P689">
        <v>61625</v>
      </c>
      <c r="Q689">
        <v>2</v>
      </c>
      <c r="R689">
        <v>167</v>
      </c>
      <c r="S689">
        <v>11.262225310518545</v>
      </c>
      <c r="T689">
        <v>0.93720930814743042</v>
      </c>
      <c r="W689">
        <f>Tabela6[[#This Row],[mlp_params]]</f>
        <v>60924</v>
      </c>
      <c r="X689">
        <f>Tabela6[[#This Row],[mlp_test_acc]]</f>
        <v>0.95571095571095566</v>
      </c>
      <c r="Y689">
        <f>Tabela6[[#This Row],[kan_val_acc_1]]</f>
        <v>0.93720930814743042</v>
      </c>
      <c r="Z689">
        <f>Tabela6[[#This Row],[no_steps]]</f>
        <v>11.262225310518545</v>
      </c>
    </row>
    <row r="690" spans="1:26" hidden="1" x14ac:dyDescent="0.25">
      <c r="A690" t="s">
        <v>18</v>
      </c>
      <c r="B690">
        <v>9</v>
      </c>
      <c r="C690">
        <v>5</v>
      </c>
      <c r="D690">
        <v>0</v>
      </c>
      <c r="E690" t="s">
        <v>67</v>
      </c>
      <c r="F690">
        <v>37808</v>
      </c>
      <c r="G690">
        <v>38871519.363636367</v>
      </c>
      <c r="H690">
        <v>0.876668783751401</v>
      </c>
      <c r="I690">
        <v>0.94723458359821999</v>
      </c>
      <c r="J690">
        <v>11282695</v>
      </c>
      <c r="K690">
        <v>61625</v>
      </c>
      <c r="L690">
        <v>2</v>
      </c>
      <c r="M690">
        <v>167</v>
      </c>
      <c r="N690">
        <v>0.95677050222504767</v>
      </c>
      <c r="O690">
        <v>11812817.636363637</v>
      </c>
      <c r="P690">
        <v>62330</v>
      </c>
      <c r="Q690">
        <v>2</v>
      </c>
      <c r="R690">
        <v>168</v>
      </c>
      <c r="S690">
        <v>11.259545296771954</v>
      </c>
      <c r="T690">
        <v>0.94883719682693479</v>
      </c>
      <c r="W690">
        <f>Tabela6[[#This Row],[mlp_params]]</f>
        <v>61625</v>
      </c>
      <c r="X690">
        <f>Tabela6[[#This Row],[mlp_test_acc]]</f>
        <v>0.94723458359821999</v>
      </c>
      <c r="Y690">
        <f>Tabela6[[#This Row],[kan_val_acc_1]]</f>
        <v>0.94883719682693479</v>
      </c>
      <c r="Z690">
        <f>Tabela6[[#This Row],[no_steps]]</f>
        <v>11.259545296771954</v>
      </c>
    </row>
    <row r="691" spans="1:26" hidden="1" x14ac:dyDescent="0.25">
      <c r="A691" t="s">
        <v>18</v>
      </c>
      <c r="B691">
        <v>9</v>
      </c>
      <c r="C691">
        <v>5</v>
      </c>
      <c r="D691">
        <v>0</v>
      </c>
      <c r="E691" t="s">
        <v>29</v>
      </c>
      <c r="F691">
        <v>38222</v>
      </c>
      <c r="G691">
        <v>37486913.5</v>
      </c>
      <c r="H691">
        <v>0.87762238581975305</v>
      </c>
      <c r="I691">
        <v>0.92074592074592077</v>
      </c>
      <c r="J691">
        <v>9358799.666666666</v>
      </c>
      <c r="K691">
        <v>62330</v>
      </c>
      <c r="L691">
        <v>2</v>
      </c>
      <c r="M691">
        <v>168</v>
      </c>
      <c r="N691">
        <v>0.9242424242424242</v>
      </c>
      <c r="O691">
        <v>12866817.166666666</v>
      </c>
      <c r="P691">
        <v>63039</v>
      </c>
      <c r="Q691">
        <v>2</v>
      </c>
      <c r="R691">
        <v>169</v>
      </c>
      <c r="S691">
        <v>11.257935819601041</v>
      </c>
      <c r="T691">
        <v>0.95348836183547969</v>
      </c>
      <c r="W691">
        <f>Tabela6[[#This Row],[mlp_params]]</f>
        <v>62330</v>
      </c>
      <c r="X691">
        <f>Tabela6[[#This Row],[mlp_test_acc]]</f>
        <v>0.92074592074592077</v>
      </c>
      <c r="Y691">
        <f>Tabela6[[#This Row],[kan_val_acc_1]]</f>
        <v>0.95348836183547969</v>
      </c>
      <c r="Z691">
        <f>Tabela6[[#This Row],[no_steps]]</f>
        <v>11.257935819601041</v>
      </c>
    </row>
    <row r="692" spans="1:26" hidden="1" x14ac:dyDescent="0.25">
      <c r="A692" t="s">
        <v>18</v>
      </c>
      <c r="B692">
        <v>9</v>
      </c>
      <c r="C692">
        <v>5</v>
      </c>
      <c r="D692">
        <v>0</v>
      </c>
      <c r="E692" t="s">
        <v>43</v>
      </c>
      <c r="F692">
        <v>38356</v>
      </c>
      <c r="G692">
        <v>38797033.81818182</v>
      </c>
      <c r="H692">
        <v>0.81436745416034351</v>
      </c>
      <c r="I692">
        <v>0.95168467895740627</v>
      </c>
      <c r="J692">
        <v>9541505.3636363633</v>
      </c>
      <c r="K692">
        <v>63039</v>
      </c>
      <c r="L692">
        <v>2</v>
      </c>
      <c r="M692">
        <v>169</v>
      </c>
      <c r="N692">
        <v>0.94977749523204069</v>
      </c>
      <c r="O692">
        <v>13151120.818181818</v>
      </c>
      <c r="P692">
        <v>63752</v>
      </c>
      <c r="Q692">
        <v>2</v>
      </c>
      <c r="R692">
        <v>170</v>
      </c>
      <c r="S692">
        <v>11.254830603933801</v>
      </c>
      <c r="T692">
        <v>0.91976745128631587</v>
      </c>
      <c r="W692">
        <f>Tabela6[[#This Row],[mlp_params]]</f>
        <v>63039</v>
      </c>
      <c r="X692">
        <f>Tabela6[[#This Row],[mlp_test_acc]]</f>
        <v>0.95168467895740627</v>
      </c>
      <c r="Y692">
        <f>Tabela6[[#This Row],[kan_val_acc_1]]</f>
        <v>0.91976745128631587</v>
      </c>
      <c r="Z692">
        <f>Tabela6[[#This Row],[no_steps]]</f>
        <v>11.254830603933801</v>
      </c>
    </row>
    <row r="693" spans="1:26" hidden="1" x14ac:dyDescent="0.25">
      <c r="A693" t="s">
        <v>18</v>
      </c>
      <c r="B693">
        <v>9</v>
      </c>
      <c r="C693">
        <v>5</v>
      </c>
      <c r="D693">
        <v>0</v>
      </c>
      <c r="E693" t="s">
        <v>68</v>
      </c>
      <c r="F693">
        <v>39102</v>
      </c>
      <c r="G693">
        <v>37926409.666666664</v>
      </c>
      <c r="H693">
        <v>0.81818181276321411</v>
      </c>
      <c r="I693">
        <v>0.94871794871794868</v>
      </c>
      <c r="J693">
        <v>11205457.833333334</v>
      </c>
      <c r="K693">
        <v>63752</v>
      </c>
      <c r="L693">
        <v>2</v>
      </c>
      <c r="M693">
        <v>170</v>
      </c>
      <c r="N693">
        <v>0.94871794871794868</v>
      </c>
      <c r="O693">
        <v>11440259.666666666</v>
      </c>
      <c r="P693">
        <v>64469</v>
      </c>
      <c r="Q693">
        <v>2</v>
      </c>
      <c r="R693">
        <v>171</v>
      </c>
      <c r="S693">
        <v>11.253139343552437</v>
      </c>
      <c r="T693">
        <v>0.95348834991455078</v>
      </c>
      <c r="W693">
        <f>Tabela6[[#This Row],[mlp_params]]</f>
        <v>63752</v>
      </c>
      <c r="X693">
        <f>Tabela6[[#This Row],[mlp_test_acc]]</f>
        <v>0.94871794871794868</v>
      </c>
      <c r="Y693">
        <f>Tabela6[[#This Row],[kan_val_acc_1]]</f>
        <v>0.95348834991455078</v>
      </c>
      <c r="Z693">
        <f>Tabela6[[#This Row],[no_steps]]</f>
        <v>11.253139343552437</v>
      </c>
    </row>
    <row r="694" spans="1:26" hidden="1" x14ac:dyDescent="0.25">
      <c r="A694" t="s">
        <v>18</v>
      </c>
      <c r="B694">
        <v>9</v>
      </c>
      <c r="C694">
        <v>5</v>
      </c>
      <c r="D694">
        <v>0</v>
      </c>
      <c r="E694" t="s">
        <v>30</v>
      </c>
      <c r="F694">
        <v>39312</v>
      </c>
      <c r="G694">
        <v>43161114.166666664</v>
      </c>
      <c r="H694">
        <v>0.89743589361508691</v>
      </c>
      <c r="I694">
        <v>0.93123543123543129</v>
      </c>
      <c r="J694">
        <v>12404560.833333334</v>
      </c>
      <c r="K694">
        <v>64469</v>
      </c>
      <c r="L694">
        <v>2</v>
      </c>
      <c r="M694">
        <v>171</v>
      </c>
      <c r="N694">
        <v>0.93123543123543129</v>
      </c>
      <c r="O694">
        <v>11868476</v>
      </c>
      <c r="P694">
        <v>65190</v>
      </c>
      <c r="Q694">
        <v>2</v>
      </c>
      <c r="R694">
        <v>172</v>
      </c>
      <c r="S694">
        <v>11.251969185492946</v>
      </c>
      <c r="T694">
        <v>0.95348836183547969</v>
      </c>
      <c r="W694">
        <f>Tabela6[[#This Row],[mlp_params]]</f>
        <v>64469</v>
      </c>
      <c r="X694">
        <f>Tabela6[[#This Row],[mlp_test_acc]]</f>
        <v>0.93123543123543129</v>
      </c>
      <c r="Y694">
        <f>Tabela6[[#This Row],[kan_val_acc_1]]</f>
        <v>0.95348836183547969</v>
      </c>
      <c r="Z694">
        <f>Tabela6[[#This Row],[no_steps]]</f>
        <v>11.251969185492946</v>
      </c>
    </row>
    <row r="695" spans="1:26" hidden="1" x14ac:dyDescent="0.25">
      <c r="A695" t="s">
        <v>18</v>
      </c>
      <c r="B695">
        <v>9</v>
      </c>
      <c r="C695">
        <v>5</v>
      </c>
      <c r="D695">
        <v>0</v>
      </c>
      <c r="E695" t="s">
        <v>77</v>
      </c>
      <c r="F695">
        <v>39850</v>
      </c>
      <c r="G695">
        <v>50859297.5625</v>
      </c>
      <c r="H695">
        <v>0.89379369467496872</v>
      </c>
      <c r="I695">
        <v>0.95410839160839156</v>
      </c>
      <c r="J695">
        <v>12977260.75</v>
      </c>
      <c r="K695">
        <v>65190</v>
      </c>
      <c r="L695">
        <v>2</v>
      </c>
      <c r="M695">
        <v>172</v>
      </c>
      <c r="N695">
        <v>0.94667832167832167</v>
      </c>
      <c r="O695">
        <v>12629163.4375</v>
      </c>
      <c r="P695">
        <v>65915</v>
      </c>
      <c r="Q695">
        <v>2</v>
      </c>
      <c r="R695">
        <v>173</v>
      </c>
      <c r="S695">
        <v>11.251102083153254</v>
      </c>
      <c r="T695">
        <v>0.93875968456268311</v>
      </c>
      <c r="W695">
        <f>Tabela6[[#This Row],[mlp_params]]</f>
        <v>65190</v>
      </c>
      <c r="X695">
        <f>Tabela6[[#This Row],[mlp_test_acc]]</f>
        <v>0.95410839160839156</v>
      </c>
      <c r="Y695">
        <f>Tabela6[[#This Row],[kan_val_acc_1]]</f>
        <v>0.93875968456268311</v>
      </c>
      <c r="Z695">
        <f>Tabela6[[#This Row],[no_steps]]</f>
        <v>11.251102083153254</v>
      </c>
    </row>
    <row r="696" spans="1:26" hidden="1" x14ac:dyDescent="0.25">
      <c r="A696" t="s">
        <v>18</v>
      </c>
      <c r="B696">
        <v>9</v>
      </c>
      <c r="C696">
        <v>5</v>
      </c>
      <c r="D696">
        <v>0</v>
      </c>
      <c r="E696" t="s">
        <v>31</v>
      </c>
      <c r="F696">
        <v>40402</v>
      </c>
      <c r="G696">
        <v>52520796.666666664</v>
      </c>
      <c r="H696">
        <v>0.83100233475367224</v>
      </c>
      <c r="I696">
        <v>0.93006993006993011</v>
      </c>
      <c r="J696">
        <v>12198221</v>
      </c>
      <c r="K696">
        <v>65915</v>
      </c>
      <c r="L696">
        <v>2</v>
      </c>
      <c r="M696">
        <v>173</v>
      </c>
      <c r="N696">
        <v>0.92773892773892774</v>
      </c>
      <c r="O696">
        <v>11749910.5</v>
      </c>
      <c r="P696">
        <v>66644</v>
      </c>
      <c r="Q696">
        <v>2</v>
      </c>
      <c r="R696">
        <v>174</v>
      </c>
      <c r="S696">
        <v>11.250971922246221</v>
      </c>
      <c r="T696">
        <v>0.93255814313888552</v>
      </c>
      <c r="W696">
        <f>Tabela6[[#This Row],[mlp_params]]</f>
        <v>65915</v>
      </c>
      <c r="X696">
        <f>Tabela6[[#This Row],[mlp_test_acc]]</f>
        <v>0.93006993006993011</v>
      </c>
      <c r="Y696">
        <f>Tabela6[[#This Row],[kan_val_acc_1]]</f>
        <v>0.93255814313888552</v>
      </c>
      <c r="Z696">
        <f>Tabela6[[#This Row],[no_steps]]</f>
        <v>11.250971922246221</v>
      </c>
    </row>
    <row r="697" spans="1:26" hidden="1" x14ac:dyDescent="0.25">
      <c r="A697" t="s">
        <v>18</v>
      </c>
      <c r="B697">
        <v>9</v>
      </c>
      <c r="C697">
        <v>5</v>
      </c>
      <c r="D697">
        <v>0</v>
      </c>
      <c r="E697" t="s">
        <v>45</v>
      </c>
      <c r="F697">
        <v>40672</v>
      </c>
      <c r="G697">
        <v>46374873.363636367</v>
      </c>
      <c r="H697">
        <v>0.89764780347997497</v>
      </c>
      <c r="I697">
        <v>0.93579148124602674</v>
      </c>
      <c r="J697">
        <v>12550209.545454545</v>
      </c>
      <c r="K697">
        <v>66644</v>
      </c>
      <c r="L697">
        <v>2</v>
      </c>
      <c r="M697">
        <v>174</v>
      </c>
      <c r="N697">
        <v>0.93579148124602662</v>
      </c>
      <c r="O697">
        <v>12814229.636363637</v>
      </c>
      <c r="P697">
        <v>67377</v>
      </c>
      <c r="Q697">
        <v>2</v>
      </c>
      <c r="R697">
        <v>175</v>
      </c>
      <c r="S697">
        <v>11.249352667011911</v>
      </c>
      <c r="T697">
        <v>0.95465114712715149</v>
      </c>
      <c r="W697">
        <f>Tabela6[[#This Row],[mlp_params]]</f>
        <v>66644</v>
      </c>
      <c r="X697">
        <f>Tabela6[[#This Row],[mlp_test_acc]]</f>
        <v>0.93579148124602674</v>
      </c>
      <c r="Y697">
        <f>Tabela6[[#This Row],[kan_val_acc_1]]</f>
        <v>0.95465114712715149</v>
      </c>
      <c r="Z697">
        <f>Tabela6[[#This Row],[no_steps]]</f>
        <v>11.249352667011911</v>
      </c>
    </row>
    <row r="698" spans="1:26" hidden="1" x14ac:dyDescent="0.25">
      <c r="A698" t="s">
        <v>18</v>
      </c>
      <c r="B698">
        <v>9</v>
      </c>
      <c r="C698">
        <v>5</v>
      </c>
      <c r="D698">
        <v>0</v>
      </c>
      <c r="E698" t="s">
        <v>78</v>
      </c>
      <c r="F698">
        <v>41212</v>
      </c>
      <c r="G698">
        <v>42164837.272727273</v>
      </c>
      <c r="H698">
        <v>0.84170374545184046</v>
      </c>
      <c r="I698">
        <v>0.94214876033057848</v>
      </c>
      <c r="J698">
        <v>12626538.545454545</v>
      </c>
      <c r="K698">
        <v>67377</v>
      </c>
      <c r="L698">
        <v>2</v>
      </c>
      <c r="M698">
        <v>175</v>
      </c>
      <c r="N698">
        <v>0.94977749523204069</v>
      </c>
      <c r="O698">
        <v>12158638</v>
      </c>
      <c r="P698">
        <v>68114</v>
      </c>
      <c r="Q698">
        <v>2</v>
      </c>
      <c r="R698">
        <v>176</v>
      </c>
      <c r="S698">
        <v>11.246960420798482</v>
      </c>
      <c r="T698">
        <v>0.9406976640224457</v>
      </c>
      <c r="W698">
        <f>Tabela6[[#This Row],[mlp_params]]</f>
        <v>67377</v>
      </c>
      <c r="X698">
        <f>Tabela6[[#This Row],[mlp_test_acc]]</f>
        <v>0.94214876033057848</v>
      </c>
      <c r="Y698">
        <f>Tabela6[[#This Row],[kan_val_acc_1]]</f>
        <v>0.9406976640224457</v>
      </c>
      <c r="Z698">
        <f>Tabela6[[#This Row],[no_steps]]</f>
        <v>11.246960420798482</v>
      </c>
    </row>
    <row r="699" spans="1:26" hidden="1" x14ac:dyDescent="0.25">
      <c r="A699" t="s">
        <v>18</v>
      </c>
      <c r="B699">
        <v>9</v>
      </c>
      <c r="C699">
        <v>5</v>
      </c>
      <c r="D699">
        <v>0</v>
      </c>
      <c r="E699" t="s">
        <v>32</v>
      </c>
      <c r="F699">
        <v>41492</v>
      </c>
      <c r="G699">
        <v>46856870.5</v>
      </c>
      <c r="H699">
        <v>0.80419581135114038</v>
      </c>
      <c r="I699">
        <v>0.92540792540792538</v>
      </c>
      <c r="J699">
        <v>11772637</v>
      </c>
      <c r="K699">
        <v>68114</v>
      </c>
      <c r="L699">
        <v>2</v>
      </c>
      <c r="M699">
        <v>176</v>
      </c>
      <c r="N699">
        <v>0.92890442890442892</v>
      </c>
      <c r="O699">
        <v>12959813.666666666</v>
      </c>
      <c r="P699">
        <v>68855</v>
      </c>
      <c r="Q699">
        <v>2</v>
      </c>
      <c r="R699">
        <v>177</v>
      </c>
      <c r="S699">
        <v>11.246229423424976</v>
      </c>
      <c r="T699">
        <v>0.9558139443397522</v>
      </c>
      <c r="W699">
        <f>Tabela6[[#This Row],[mlp_params]]</f>
        <v>68114</v>
      </c>
      <c r="X699">
        <f>Tabela6[[#This Row],[mlp_test_acc]]</f>
        <v>0.92540792540792538</v>
      </c>
      <c r="Y699">
        <f>Tabela6[[#This Row],[kan_val_acc_1]]</f>
        <v>0.9558139443397522</v>
      </c>
      <c r="Z699">
        <f>Tabela6[[#This Row],[no_steps]]</f>
        <v>11.246229423424976</v>
      </c>
    </row>
    <row r="700" spans="1:26" hidden="1" x14ac:dyDescent="0.25">
      <c r="A700" t="s">
        <v>18</v>
      </c>
      <c r="B700">
        <v>9</v>
      </c>
      <c r="C700">
        <v>5</v>
      </c>
      <c r="D700">
        <v>0</v>
      </c>
      <c r="E700" t="s">
        <v>58</v>
      </c>
      <c r="F700">
        <v>41896</v>
      </c>
      <c r="G700">
        <v>42924343.1875</v>
      </c>
      <c r="H700">
        <v>0.79589160718023777</v>
      </c>
      <c r="I700">
        <v>0.94624125874125875</v>
      </c>
      <c r="J700">
        <v>11845700.8125</v>
      </c>
      <c r="K700">
        <v>68855</v>
      </c>
      <c r="L700">
        <v>2</v>
      </c>
      <c r="M700">
        <v>177</v>
      </c>
      <c r="N700">
        <v>0.94711538461538458</v>
      </c>
      <c r="O700">
        <v>12944694.4375</v>
      </c>
      <c r="P700">
        <v>69600</v>
      </c>
      <c r="Q700">
        <v>2</v>
      </c>
      <c r="R700">
        <v>178</v>
      </c>
      <c r="S700">
        <v>11.242361649023152</v>
      </c>
      <c r="T700">
        <v>0.93023256063461301</v>
      </c>
      <c r="W700">
        <f>Tabela6[[#This Row],[mlp_params]]</f>
        <v>68855</v>
      </c>
      <c r="X700">
        <f>Tabela6[[#This Row],[mlp_test_acc]]</f>
        <v>0.94624125874125875</v>
      </c>
      <c r="Y700">
        <f>Tabela6[[#This Row],[kan_val_acc_1]]</f>
        <v>0.93023256063461301</v>
      </c>
      <c r="Z700">
        <f>Tabela6[[#This Row],[no_steps]]</f>
        <v>11.242361649023152</v>
      </c>
    </row>
    <row r="701" spans="1:26" hidden="1" x14ac:dyDescent="0.25">
      <c r="A701" t="s">
        <v>18</v>
      </c>
      <c r="B701">
        <v>9</v>
      </c>
      <c r="C701">
        <v>5</v>
      </c>
      <c r="D701">
        <v>0</v>
      </c>
      <c r="E701" t="s">
        <v>33</v>
      </c>
      <c r="F701">
        <v>42582</v>
      </c>
      <c r="G701">
        <v>43047104.833333336</v>
      </c>
      <c r="H701">
        <v>0.8986014028390249</v>
      </c>
      <c r="I701">
        <v>0.95804195804195802</v>
      </c>
      <c r="J701">
        <v>13042810.833333334</v>
      </c>
      <c r="K701">
        <v>69600</v>
      </c>
      <c r="L701">
        <v>2</v>
      </c>
      <c r="M701">
        <v>178</v>
      </c>
      <c r="N701">
        <v>0.9533799533799534</v>
      </c>
      <c r="O701">
        <v>14091487.333333334</v>
      </c>
      <c r="P701">
        <v>70349</v>
      </c>
      <c r="Q701">
        <v>2</v>
      </c>
      <c r="R701">
        <v>179</v>
      </c>
      <c r="S701">
        <v>11.241032258064516</v>
      </c>
      <c r="T701">
        <v>0.93953489065170293</v>
      </c>
      <c r="W701">
        <f>Tabela6[[#This Row],[mlp_params]]</f>
        <v>69600</v>
      </c>
      <c r="X701">
        <f>Tabela6[[#This Row],[mlp_test_acc]]</f>
        <v>0.95804195804195802</v>
      </c>
      <c r="Y701">
        <f>Tabela6[[#This Row],[kan_val_acc_1]]</f>
        <v>0.93953489065170293</v>
      </c>
      <c r="Z701">
        <f>Tabela6[[#This Row],[no_steps]]</f>
        <v>11.241032258064516</v>
      </c>
    </row>
    <row r="702" spans="1:26" hidden="1" x14ac:dyDescent="0.25">
      <c r="A702" t="s">
        <v>18</v>
      </c>
      <c r="B702">
        <v>9</v>
      </c>
      <c r="C702">
        <v>5</v>
      </c>
      <c r="D702">
        <v>0</v>
      </c>
      <c r="E702" t="s">
        <v>47</v>
      </c>
      <c r="F702">
        <v>42988</v>
      </c>
      <c r="G702">
        <v>50845952.272727273</v>
      </c>
      <c r="H702">
        <v>0.83089637214487244</v>
      </c>
      <c r="I702">
        <v>0.94342021614748883</v>
      </c>
      <c r="J702">
        <v>13210227.727272727</v>
      </c>
      <c r="K702">
        <v>70349</v>
      </c>
      <c r="L702">
        <v>2</v>
      </c>
      <c r="M702">
        <v>179</v>
      </c>
      <c r="N702">
        <v>0.93897012078830266</v>
      </c>
      <c r="O702">
        <v>13722578.909090908</v>
      </c>
      <c r="P702">
        <v>71102</v>
      </c>
      <c r="Q702">
        <v>2</v>
      </c>
      <c r="R702">
        <v>180</v>
      </c>
      <c r="S702">
        <v>11.239687177724305</v>
      </c>
      <c r="T702">
        <v>0.92325583100318909</v>
      </c>
      <c r="W702">
        <f>Tabela6[[#This Row],[mlp_params]]</f>
        <v>70349</v>
      </c>
      <c r="X702">
        <f>Tabela6[[#This Row],[mlp_test_acc]]</f>
        <v>0.94342021614748883</v>
      </c>
      <c r="Y702">
        <f>Tabela6[[#This Row],[kan_val_acc_1]]</f>
        <v>0.92325583100318909</v>
      </c>
      <c r="Z702">
        <f>Tabela6[[#This Row],[no_steps]]</f>
        <v>11.239687177724305</v>
      </c>
    </row>
    <row r="703" spans="1:26" hidden="1" x14ac:dyDescent="0.25">
      <c r="A703" t="s">
        <v>18</v>
      </c>
      <c r="B703">
        <v>9</v>
      </c>
      <c r="C703">
        <v>5</v>
      </c>
      <c r="D703">
        <v>0</v>
      </c>
      <c r="E703" t="s">
        <v>34</v>
      </c>
      <c r="F703">
        <v>43672</v>
      </c>
      <c r="G703">
        <v>47368423.5</v>
      </c>
      <c r="H703">
        <v>0.82036713138222694</v>
      </c>
      <c r="I703">
        <v>0.94099650349650354</v>
      </c>
      <c r="J703">
        <v>13115666.25</v>
      </c>
      <c r="K703">
        <v>71859</v>
      </c>
      <c r="L703">
        <v>2</v>
      </c>
      <c r="M703">
        <v>181</v>
      </c>
      <c r="N703">
        <v>0.94361888111888115</v>
      </c>
      <c r="O703">
        <v>13621730.625</v>
      </c>
      <c r="P703">
        <v>72620</v>
      </c>
      <c r="Q703">
        <v>2</v>
      </c>
      <c r="R703">
        <v>182</v>
      </c>
      <c r="S703">
        <v>11.236955029179541</v>
      </c>
      <c r="T703">
        <v>0.92713179190953576</v>
      </c>
      <c r="W703">
        <f>Tabela6[[#This Row],[mlp_params]]</f>
        <v>71859</v>
      </c>
      <c r="X703">
        <f>Tabela6[[#This Row],[mlp_test_acc]]</f>
        <v>0.94099650349650354</v>
      </c>
      <c r="Y703">
        <f>Tabela6[[#This Row],[kan_val_acc_1]]</f>
        <v>0.92713179190953576</v>
      </c>
      <c r="Z703">
        <f>Tabela6[[#This Row],[no_steps]]</f>
        <v>11.236955029179541</v>
      </c>
    </row>
    <row r="704" spans="1:26" hidden="1" x14ac:dyDescent="0.25">
      <c r="A704" t="s">
        <v>18</v>
      </c>
      <c r="B704">
        <v>9</v>
      </c>
      <c r="C704">
        <v>5</v>
      </c>
      <c r="D704">
        <v>0</v>
      </c>
      <c r="E704" t="s">
        <v>48</v>
      </c>
      <c r="F704">
        <v>44146</v>
      </c>
      <c r="G704">
        <v>40900347.18181818</v>
      </c>
      <c r="H704">
        <v>0.86013986305757006</v>
      </c>
      <c r="I704">
        <v>0.93452002542911639</v>
      </c>
      <c r="J704">
        <v>14044827</v>
      </c>
      <c r="K704">
        <v>72620</v>
      </c>
      <c r="L704">
        <v>2</v>
      </c>
      <c r="M704">
        <v>182</v>
      </c>
      <c r="N704">
        <v>0.9351557533375715</v>
      </c>
      <c r="O704">
        <v>14523577.636363637</v>
      </c>
      <c r="P704">
        <v>73385</v>
      </c>
      <c r="Q704">
        <v>2</v>
      </c>
      <c r="R704">
        <v>183</v>
      </c>
      <c r="S704">
        <v>11.233644859813085</v>
      </c>
      <c r="T704">
        <v>0.93372092247009275</v>
      </c>
      <c r="W704">
        <f>Tabela6[[#This Row],[mlp_params]]</f>
        <v>72620</v>
      </c>
      <c r="X704">
        <f>Tabela6[[#This Row],[mlp_test_acc]]</f>
        <v>0.93452002542911639</v>
      </c>
      <c r="Y704">
        <f>Tabela6[[#This Row],[kan_val_acc_1]]</f>
        <v>0.93372092247009275</v>
      </c>
      <c r="Z704">
        <f>Tabela6[[#This Row],[no_steps]]</f>
        <v>11.233644859813085</v>
      </c>
    </row>
    <row r="705" spans="1:26" hidden="1" x14ac:dyDescent="0.25">
      <c r="A705" t="s">
        <v>18</v>
      </c>
      <c r="B705">
        <v>9</v>
      </c>
      <c r="C705">
        <v>5</v>
      </c>
      <c r="D705">
        <v>0</v>
      </c>
      <c r="E705" t="s">
        <v>35</v>
      </c>
      <c r="F705">
        <v>44762</v>
      </c>
      <c r="G705">
        <v>48167004.4375</v>
      </c>
      <c r="H705">
        <v>0.85402097553014755</v>
      </c>
      <c r="I705">
        <v>0.94230769230769229</v>
      </c>
      <c r="J705">
        <v>13835259.9375</v>
      </c>
      <c r="K705">
        <v>73385</v>
      </c>
      <c r="L705">
        <v>2</v>
      </c>
      <c r="M705">
        <v>183</v>
      </c>
      <c r="N705">
        <v>0.93881118881118886</v>
      </c>
      <c r="O705">
        <v>14916516.125</v>
      </c>
      <c r="P705">
        <v>74154</v>
      </c>
      <c r="Q705">
        <v>2</v>
      </c>
      <c r="R705">
        <v>184</v>
      </c>
      <c r="S705">
        <v>11.230584810343352</v>
      </c>
      <c r="T705">
        <v>0.95813952287038162</v>
      </c>
      <c r="W705">
        <f>Tabela6[[#This Row],[mlp_params]]</f>
        <v>73385</v>
      </c>
      <c r="X705">
        <f>Tabela6[[#This Row],[mlp_test_acc]]</f>
        <v>0.94230769230769229</v>
      </c>
      <c r="Y705">
        <f>Tabela6[[#This Row],[kan_val_acc_1]]</f>
        <v>0.95813952287038162</v>
      </c>
      <c r="Z705">
        <f>Tabela6[[#This Row],[no_steps]]</f>
        <v>11.230584810343352</v>
      </c>
    </row>
    <row r="706" spans="1:26" hidden="1" x14ac:dyDescent="0.25">
      <c r="A706" t="s">
        <v>18</v>
      </c>
      <c r="B706">
        <v>9</v>
      </c>
      <c r="C706">
        <v>5</v>
      </c>
      <c r="D706">
        <v>0</v>
      </c>
      <c r="E706" t="s">
        <v>49</v>
      </c>
      <c r="F706">
        <v>45304</v>
      </c>
      <c r="G706">
        <v>75924660.833333328</v>
      </c>
      <c r="H706">
        <v>0.9265734155972799</v>
      </c>
      <c r="I706">
        <v>0.95454545454545459</v>
      </c>
      <c r="J706">
        <v>15106884.666666666</v>
      </c>
      <c r="K706">
        <v>74154</v>
      </c>
      <c r="L706">
        <v>2</v>
      </c>
      <c r="M706">
        <v>184</v>
      </c>
      <c r="N706">
        <v>0.9592074592074592</v>
      </c>
      <c r="O706">
        <v>15664149.833333334</v>
      </c>
      <c r="P706">
        <v>74927</v>
      </c>
      <c r="Q706">
        <v>2</v>
      </c>
      <c r="R706">
        <v>185</v>
      </c>
      <c r="S706">
        <v>11.231750106974754</v>
      </c>
      <c r="T706">
        <v>0.9558139443397522</v>
      </c>
      <c r="W706">
        <f>Tabela6[[#This Row],[mlp_params]]</f>
        <v>74154</v>
      </c>
      <c r="X706">
        <f>Tabela6[[#This Row],[mlp_test_acc]]</f>
        <v>0.95454545454545459</v>
      </c>
      <c r="Y706">
        <f>Tabela6[[#This Row],[kan_val_acc_1]]</f>
        <v>0.9558139443397522</v>
      </c>
      <c r="Z706">
        <f>Tabela6[[#This Row],[no_steps]]</f>
        <v>11.231750106974754</v>
      </c>
    </row>
    <row r="707" spans="1:26" hidden="1" x14ac:dyDescent="0.25">
      <c r="A707" t="s">
        <v>18</v>
      </c>
      <c r="B707">
        <v>9</v>
      </c>
      <c r="C707">
        <v>5</v>
      </c>
      <c r="D707">
        <v>0</v>
      </c>
      <c r="E707" t="s">
        <v>36</v>
      </c>
      <c r="F707">
        <v>45852</v>
      </c>
      <c r="G707">
        <v>57452499.545454547</v>
      </c>
      <c r="H707">
        <v>0.8480610305612738</v>
      </c>
      <c r="I707">
        <v>0.93324856961220592</v>
      </c>
      <c r="J707">
        <v>13598539.363636363</v>
      </c>
      <c r="K707">
        <v>74927</v>
      </c>
      <c r="L707">
        <v>2</v>
      </c>
      <c r="M707">
        <v>185</v>
      </c>
      <c r="N707">
        <v>0.94342021614748883</v>
      </c>
      <c r="O707">
        <v>14936690.090909092</v>
      </c>
      <c r="P707">
        <v>75704</v>
      </c>
      <c r="Q707">
        <v>2</v>
      </c>
      <c r="R707">
        <v>186</v>
      </c>
      <c r="S707">
        <v>11.230848153214774</v>
      </c>
      <c r="T707">
        <v>0.94186046719551086</v>
      </c>
      <c r="W707">
        <f>Tabela6[[#This Row],[mlp_params]]</f>
        <v>74927</v>
      </c>
      <c r="X707">
        <f>Tabela6[[#This Row],[mlp_test_acc]]</f>
        <v>0.93324856961220592</v>
      </c>
      <c r="Y707">
        <f>Tabela6[[#This Row],[kan_val_acc_1]]</f>
        <v>0.94186046719551086</v>
      </c>
      <c r="Z707">
        <f>Tabela6[[#This Row],[no_steps]]</f>
        <v>11.230848153214774</v>
      </c>
    </row>
    <row r="708" spans="1:26" hidden="1" x14ac:dyDescent="0.25">
      <c r="A708" t="s">
        <v>18</v>
      </c>
      <c r="B708">
        <v>9</v>
      </c>
      <c r="C708">
        <v>5</v>
      </c>
      <c r="D708">
        <v>0</v>
      </c>
      <c r="E708" t="s">
        <v>50</v>
      </c>
      <c r="F708">
        <v>46462</v>
      </c>
      <c r="G708">
        <v>44009485.875</v>
      </c>
      <c r="H708">
        <v>0.84396853111684322</v>
      </c>
      <c r="I708">
        <v>0.92963286713286708</v>
      </c>
      <c r="J708">
        <v>14631259.75</v>
      </c>
      <c r="K708">
        <v>75704</v>
      </c>
      <c r="L708">
        <v>2</v>
      </c>
      <c r="M708">
        <v>186</v>
      </c>
      <c r="N708">
        <v>0.93924825174825177</v>
      </c>
      <c r="O708">
        <v>14402328.75</v>
      </c>
      <c r="P708">
        <v>76485</v>
      </c>
      <c r="Q708">
        <v>2</v>
      </c>
      <c r="R708">
        <v>187</v>
      </c>
      <c r="S708">
        <v>11.226349043715848</v>
      </c>
      <c r="T708">
        <v>0.94573642412821457</v>
      </c>
      <c r="W708">
        <f>Tabela6[[#This Row],[mlp_params]]</f>
        <v>75704</v>
      </c>
      <c r="X708">
        <f>Tabela6[[#This Row],[mlp_test_acc]]</f>
        <v>0.92963286713286708</v>
      </c>
      <c r="Y708">
        <f>Tabela6[[#This Row],[kan_val_acc_1]]</f>
        <v>0.94573642412821457</v>
      </c>
      <c r="Z708">
        <f>Tabela6[[#This Row],[no_steps]]</f>
        <v>11.226349043715848</v>
      </c>
    </row>
    <row r="709" spans="1:26" hidden="1" x14ac:dyDescent="0.25">
      <c r="A709" t="s">
        <v>18</v>
      </c>
      <c r="B709">
        <v>9</v>
      </c>
      <c r="C709">
        <v>5</v>
      </c>
      <c r="D709">
        <v>0</v>
      </c>
      <c r="E709" t="s">
        <v>37</v>
      </c>
      <c r="F709">
        <v>46942</v>
      </c>
      <c r="G709">
        <v>51971646.5</v>
      </c>
      <c r="H709">
        <v>0.91142189502716064</v>
      </c>
      <c r="I709">
        <v>0.94988344988344986</v>
      </c>
      <c r="J709">
        <v>14039401.166666666</v>
      </c>
      <c r="K709">
        <v>76485</v>
      </c>
      <c r="L709">
        <v>2</v>
      </c>
      <c r="M709">
        <v>187</v>
      </c>
      <c r="N709">
        <v>0.94638694638694643</v>
      </c>
      <c r="O709">
        <v>15411239.5</v>
      </c>
      <c r="P709">
        <v>77270</v>
      </c>
      <c r="Q709">
        <v>2</v>
      </c>
      <c r="R709">
        <v>188</v>
      </c>
      <c r="S709">
        <v>11.225294418842806</v>
      </c>
      <c r="T709">
        <v>0.94186047315597532</v>
      </c>
      <c r="W709">
        <f>Tabela6[[#This Row],[mlp_params]]</f>
        <v>76485</v>
      </c>
      <c r="X709">
        <f>Tabela6[[#This Row],[mlp_test_acc]]</f>
        <v>0.94988344988344986</v>
      </c>
      <c r="Y709">
        <f>Tabela6[[#This Row],[kan_val_acc_1]]</f>
        <v>0.94186047315597532</v>
      </c>
      <c r="Z709">
        <f>Tabela6[[#This Row],[no_steps]]</f>
        <v>11.225294418842806</v>
      </c>
    </row>
    <row r="710" spans="1:26" hidden="1" x14ac:dyDescent="0.25">
      <c r="A710" t="s">
        <v>18</v>
      </c>
      <c r="B710">
        <v>9</v>
      </c>
      <c r="C710">
        <v>5</v>
      </c>
      <c r="D710">
        <v>0</v>
      </c>
      <c r="E710" t="s">
        <v>51</v>
      </c>
      <c r="F710">
        <v>47620</v>
      </c>
      <c r="G710">
        <v>50914669.571428575</v>
      </c>
      <c r="H710">
        <v>0.84648684092930382</v>
      </c>
      <c r="I710">
        <v>0.93040293040293043</v>
      </c>
      <c r="J710">
        <v>14826485.619047619</v>
      </c>
      <c r="K710">
        <v>78059</v>
      </c>
      <c r="L710">
        <v>2</v>
      </c>
      <c r="M710">
        <v>189</v>
      </c>
      <c r="N710">
        <v>0.93040293040293043</v>
      </c>
      <c r="O710">
        <v>15046215.095238095</v>
      </c>
      <c r="P710">
        <v>78852</v>
      </c>
      <c r="Q710">
        <v>2</v>
      </c>
      <c r="R710">
        <v>190</v>
      </c>
      <c r="S710">
        <v>11.221909873072663</v>
      </c>
      <c r="T710">
        <v>0.94418603479862218</v>
      </c>
      <c r="W710">
        <f>Tabela6[[#This Row],[mlp_params]]</f>
        <v>78059</v>
      </c>
      <c r="X710">
        <f>Tabela6[[#This Row],[mlp_test_acc]]</f>
        <v>0.93040293040293043</v>
      </c>
      <c r="Y710">
        <f>Tabela6[[#This Row],[kan_val_acc_1]]</f>
        <v>0.94418603479862218</v>
      </c>
      <c r="Z710">
        <f>Tabela6[[#This Row],[no_steps]]</f>
        <v>11.221909873072663</v>
      </c>
    </row>
    <row r="711" spans="1:26" hidden="1" x14ac:dyDescent="0.25">
      <c r="A711" t="s">
        <v>18</v>
      </c>
      <c r="B711">
        <v>9</v>
      </c>
      <c r="C711">
        <v>5</v>
      </c>
      <c r="D711">
        <v>0</v>
      </c>
      <c r="E711" t="s">
        <v>38</v>
      </c>
      <c r="F711">
        <v>48032</v>
      </c>
      <c r="G711">
        <v>69953673.333333328</v>
      </c>
      <c r="H711">
        <v>0.90093241135279334</v>
      </c>
      <c r="I711">
        <v>0.94871794871794868</v>
      </c>
      <c r="J711">
        <v>16086600</v>
      </c>
      <c r="K711">
        <v>78852</v>
      </c>
      <c r="L711">
        <v>2</v>
      </c>
      <c r="M711">
        <v>190</v>
      </c>
      <c r="N711">
        <v>0.9475524475524475</v>
      </c>
      <c r="O711">
        <v>15693095.833333334</v>
      </c>
      <c r="P711">
        <v>79649</v>
      </c>
      <c r="Q711">
        <v>2</v>
      </c>
      <c r="R711">
        <v>191</v>
      </c>
      <c r="S711">
        <v>11.2223073648361</v>
      </c>
      <c r="T711">
        <v>0.94883719682693479</v>
      </c>
      <c r="W711">
        <f>Tabela6[[#This Row],[mlp_params]]</f>
        <v>78852</v>
      </c>
      <c r="X711">
        <f>Tabela6[[#This Row],[mlp_test_acc]]</f>
        <v>0.94871794871794868</v>
      </c>
      <c r="Y711">
        <f>Tabela6[[#This Row],[kan_val_acc_1]]</f>
        <v>0.94883719682693479</v>
      </c>
      <c r="Z711">
        <f>Tabela6[[#This Row],[no_steps]]</f>
        <v>11.2223073648361</v>
      </c>
    </row>
    <row r="712" spans="1:26" hidden="1" x14ac:dyDescent="0.25">
      <c r="A712" t="s">
        <v>18</v>
      </c>
      <c r="B712">
        <v>9</v>
      </c>
      <c r="C712">
        <v>5</v>
      </c>
      <c r="D712">
        <v>0</v>
      </c>
      <c r="E712" t="s">
        <v>52</v>
      </c>
      <c r="F712">
        <v>48778</v>
      </c>
      <c r="G712">
        <v>53832407.952380955</v>
      </c>
      <c r="H712">
        <v>0.82550782816750667</v>
      </c>
      <c r="I712">
        <v>0.93040293040293043</v>
      </c>
      <c r="J712">
        <v>15827446.142857144</v>
      </c>
      <c r="K712">
        <v>79649</v>
      </c>
      <c r="L712">
        <v>2</v>
      </c>
      <c r="M712">
        <v>191</v>
      </c>
      <c r="N712">
        <v>0.92474192474192474</v>
      </c>
      <c r="O712">
        <v>15428587.428571429</v>
      </c>
      <c r="P712">
        <v>80450</v>
      </c>
      <c r="Q712">
        <v>2</v>
      </c>
      <c r="R712">
        <v>192</v>
      </c>
      <c r="S712">
        <v>11.219105898351181</v>
      </c>
      <c r="T712">
        <v>0.94127905964851377</v>
      </c>
      <c r="W712">
        <f>Tabela6[[#This Row],[mlp_params]]</f>
        <v>79649</v>
      </c>
      <c r="X712">
        <f>Tabela6[[#This Row],[mlp_test_acc]]</f>
        <v>0.93040293040293043</v>
      </c>
      <c r="Y712">
        <f>Tabela6[[#This Row],[kan_val_acc_1]]</f>
        <v>0.94127905964851377</v>
      </c>
      <c r="Z712">
        <f>Tabela6[[#This Row],[no_steps]]</f>
        <v>11.219105898351181</v>
      </c>
    </row>
    <row r="713" spans="1:26" hidden="1" x14ac:dyDescent="0.25">
      <c r="A713" t="s">
        <v>18</v>
      </c>
      <c r="B713">
        <v>9</v>
      </c>
      <c r="C713">
        <v>5</v>
      </c>
      <c r="D713">
        <v>0</v>
      </c>
      <c r="E713" t="s">
        <v>61</v>
      </c>
      <c r="F713">
        <v>49252</v>
      </c>
      <c r="G713">
        <v>47349111.833333336</v>
      </c>
      <c r="H713">
        <v>0.89976689219474792</v>
      </c>
      <c r="I713">
        <v>0.94522144522144524</v>
      </c>
      <c r="J713">
        <v>16006058.666666666</v>
      </c>
      <c r="K713">
        <v>80450</v>
      </c>
      <c r="L713">
        <v>2</v>
      </c>
      <c r="M713">
        <v>192</v>
      </c>
      <c r="N713">
        <v>0.9533799533799534</v>
      </c>
      <c r="O713">
        <v>15524990</v>
      </c>
      <c r="P713">
        <v>81255</v>
      </c>
      <c r="Q713">
        <v>2</v>
      </c>
      <c r="R713">
        <v>193</v>
      </c>
      <c r="S713">
        <v>11.217550118926265</v>
      </c>
      <c r="T713">
        <v>0.94186046123504641</v>
      </c>
      <c r="W713">
        <f>Tabela6[[#This Row],[mlp_params]]</f>
        <v>80450</v>
      </c>
      <c r="X713">
        <f>Tabela6[[#This Row],[mlp_test_acc]]</f>
        <v>0.94522144522144524</v>
      </c>
      <c r="Y713">
        <f>Tabela6[[#This Row],[kan_val_acc_1]]</f>
        <v>0.94186046123504641</v>
      </c>
      <c r="Z713">
        <f>Tabela6[[#This Row],[no_steps]]</f>
        <v>11.217550118926265</v>
      </c>
    </row>
    <row r="714" spans="1:26" hidden="1" x14ac:dyDescent="0.25">
      <c r="A714" t="s">
        <v>18</v>
      </c>
      <c r="B714">
        <v>9</v>
      </c>
      <c r="C714">
        <v>5</v>
      </c>
      <c r="D714">
        <v>0</v>
      </c>
      <c r="E714" t="s">
        <v>70</v>
      </c>
      <c r="F714">
        <v>49454</v>
      </c>
      <c r="G714">
        <v>49979370</v>
      </c>
      <c r="H714">
        <v>0.84965034325917566</v>
      </c>
      <c r="I714">
        <v>0.92773892773892774</v>
      </c>
      <c r="J714">
        <v>15709874.666666666</v>
      </c>
      <c r="K714">
        <v>81255</v>
      </c>
      <c r="L714">
        <v>2</v>
      </c>
      <c r="M714">
        <v>193</v>
      </c>
      <c r="N714">
        <v>0.92307692307692313</v>
      </c>
      <c r="O714">
        <v>14361425</v>
      </c>
      <c r="P714">
        <v>82064</v>
      </c>
      <c r="Q714">
        <v>2</v>
      </c>
      <c r="R714">
        <v>194</v>
      </c>
      <c r="S714">
        <v>11.216335540838852</v>
      </c>
      <c r="T714">
        <v>0.965116274356842</v>
      </c>
      <c r="W714">
        <f>Tabela6[[#This Row],[mlp_params]]</f>
        <v>81255</v>
      </c>
      <c r="X714">
        <f>Tabela6[[#This Row],[mlp_test_acc]]</f>
        <v>0.92773892773892774</v>
      </c>
      <c r="Y714">
        <f>Tabela6[[#This Row],[kan_val_acc_1]]</f>
        <v>0.965116274356842</v>
      </c>
      <c r="Z714">
        <f>Tabela6[[#This Row],[no_steps]]</f>
        <v>11.216335540838852</v>
      </c>
    </row>
    <row r="715" spans="1:26" hidden="1" x14ac:dyDescent="0.25">
      <c r="A715" t="s">
        <v>18</v>
      </c>
      <c r="B715">
        <v>9</v>
      </c>
      <c r="C715">
        <v>5</v>
      </c>
      <c r="D715">
        <v>0</v>
      </c>
      <c r="E715" t="s">
        <v>53</v>
      </c>
      <c r="F715">
        <v>49936</v>
      </c>
      <c r="G715">
        <v>45826109.272727273</v>
      </c>
      <c r="H715">
        <v>0.80928163094954053</v>
      </c>
      <c r="I715">
        <v>0.93324856961220604</v>
      </c>
      <c r="J715">
        <v>15295517.909090908</v>
      </c>
      <c r="K715">
        <v>82064</v>
      </c>
      <c r="L715">
        <v>2</v>
      </c>
      <c r="M715">
        <v>194</v>
      </c>
      <c r="N715">
        <v>0.93388429752066116</v>
      </c>
      <c r="O715">
        <v>16077799.909090908</v>
      </c>
      <c r="P715">
        <v>82877</v>
      </c>
      <c r="Q715">
        <v>2</v>
      </c>
      <c r="R715">
        <v>195</v>
      </c>
      <c r="S715">
        <v>11.213334464331156</v>
      </c>
      <c r="T715">
        <v>0.9453488290309906</v>
      </c>
      <c r="W715">
        <f>Tabela6[[#This Row],[mlp_params]]</f>
        <v>82064</v>
      </c>
      <c r="X715">
        <f>Tabela6[[#This Row],[mlp_test_acc]]</f>
        <v>0.93324856961220604</v>
      </c>
      <c r="Y715">
        <f>Tabela6[[#This Row],[kan_val_acc_1]]</f>
        <v>0.9453488290309906</v>
      </c>
      <c r="Z715">
        <f>Tabela6[[#This Row],[no_steps]]</f>
        <v>11.213334464331156</v>
      </c>
    </row>
    <row r="716" spans="1:26" hidden="1" x14ac:dyDescent="0.25">
      <c r="A716" t="s">
        <v>18</v>
      </c>
      <c r="B716">
        <v>9</v>
      </c>
      <c r="C716">
        <v>5</v>
      </c>
      <c r="D716">
        <v>0</v>
      </c>
      <c r="E716" t="s">
        <v>62</v>
      </c>
      <c r="F716">
        <v>50478</v>
      </c>
      <c r="G716">
        <v>51466443.833333336</v>
      </c>
      <c r="H716">
        <v>0.90909091631571448</v>
      </c>
      <c r="I716">
        <v>0.94988344988344986</v>
      </c>
      <c r="J716">
        <v>16288962</v>
      </c>
      <c r="K716">
        <v>82877</v>
      </c>
      <c r="L716">
        <v>2</v>
      </c>
      <c r="M716">
        <v>195</v>
      </c>
      <c r="N716">
        <v>0.95454545454545459</v>
      </c>
      <c r="O716">
        <v>17016304</v>
      </c>
      <c r="P716">
        <v>83694</v>
      </c>
      <c r="Q716">
        <v>2</v>
      </c>
      <c r="R716">
        <v>196</v>
      </c>
      <c r="S716">
        <v>11.212038999576091</v>
      </c>
      <c r="T716">
        <v>0.95348834991455078</v>
      </c>
      <c r="W716">
        <f>Tabela6[[#This Row],[mlp_params]]</f>
        <v>82877</v>
      </c>
      <c r="X716">
        <f>Tabela6[[#This Row],[mlp_test_acc]]</f>
        <v>0.94988344988344986</v>
      </c>
      <c r="Y716">
        <f>Tabela6[[#This Row],[kan_val_acc_1]]</f>
        <v>0.95348834991455078</v>
      </c>
      <c r="Z716">
        <f>Tabela6[[#This Row],[no_steps]]</f>
        <v>11.212038999576091</v>
      </c>
    </row>
    <row r="717" spans="1:26" hidden="1" x14ac:dyDescent="0.25">
      <c r="A717" t="s">
        <v>18</v>
      </c>
      <c r="B717">
        <v>9</v>
      </c>
      <c r="C717">
        <v>5</v>
      </c>
      <c r="D717">
        <v>0</v>
      </c>
      <c r="E717" t="s">
        <v>54</v>
      </c>
      <c r="F717">
        <v>51094</v>
      </c>
      <c r="G717">
        <v>50525216.625</v>
      </c>
      <c r="H717">
        <v>0.84265735000371933</v>
      </c>
      <c r="I717">
        <v>0.9274475524475525</v>
      </c>
      <c r="J717">
        <v>15985969.875</v>
      </c>
      <c r="K717">
        <v>83694</v>
      </c>
      <c r="L717">
        <v>2</v>
      </c>
      <c r="M717">
        <v>196</v>
      </c>
      <c r="N717">
        <v>0.92963286713286719</v>
      </c>
      <c r="O717">
        <v>16595216.25</v>
      </c>
      <c r="P717">
        <v>84515</v>
      </c>
      <c r="Q717">
        <v>2</v>
      </c>
      <c r="R717">
        <v>197</v>
      </c>
      <c r="S717">
        <v>11.208280416560832</v>
      </c>
      <c r="T717">
        <v>0.95348835388819375</v>
      </c>
      <c r="W717">
        <f>Tabela6[[#This Row],[mlp_params]]</f>
        <v>83694</v>
      </c>
      <c r="X717">
        <f>Tabela6[[#This Row],[mlp_test_acc]]</f>
        <v>0.9274475524475525</v>
      </c>
      <c r="Y717">
        <f>Tabela6[[#This Row],[kan_val_acc_1]]</f>
        <v>0.95348835388819375</v>
      </c>
      <c r="Z717">
        <f>Tabela6[[#This Row],[no_steps]]</f>
        <v>11.208280416560832</v>
      </c>
    </row>
    <row r="718" spans="1:26" hidden="1" x14ac:dyDescent="0.25">
      <c r="A718" t="s">
        <v>18</v>
      </c>
      <c r="B718">
        <v>9</v>
      </c>
      <c r="C718">
        <v>5</v>
      </c>
      <c r="D718">
        <v>0</v>
      </c>
      <c r="E718" t="s">
        <v>63</v>
      </c>
      <c r="F718">
        <v>51704</v>
      </c>
      <c r="G718">
        <v>63251529.5</v>
      </c>
      <c r="H718">
        <v>0.90909091631571448</v>
      </c>
      <c r="I718">
        <v>0.94405594405594406</v>
      </c>
      <c r="J718">
        <v>15893139.5</v>
      </c>
      <c r="K718">
        <v>84515</v>
      </c>
      <c r="L718">
        <v>2</v>
      </c>
      <c r="M718">
        <v>197</v>
      </c>
      <c r="N718">
        <v>0.9475524475524475</v>
      </c>
      <c r="O718">
        <v>16234950</v>
      </c>
      <c r="P718">
        <v>85340</v>
      </c>
      <c r="Q718">
        <v>2</v>
      </c>
      <c r="R718">
        <v>198</v>
      </c>
      <c r="S718">
        <v>11.207751544385207</v>
      </c>
      <c r="T718">
        <v>0.9511627793312073</v>
      </c>
      <c r="W718">
        <f>Tabela6[[#This Row],[mlp_params]]</f>
        <v>84515</v>
      </c>
      <c r="X718">
        <f>Tabela6[[#This Row],[mlp_test_acc]]</f>
        <v>0.94405594405594406</v>
      </c>
      <c r="Y718">
        <f>Tabela6[[#This Row],[kan_val_acc_1]]</f>
        <v>0.9511627793312073</v>
      </c>
      <c r="Z718">
        <f>Tabela6[[#This Row],[no_steps]]</f>
        <v>11.207751544385207</v>
      </c>
    </row>
    <row r="719" spans="1:26" hidden="1" x14ac:dyDescent="0.25">
      <c r="A719" t="s">
        <v>18</v>
      </c>
      <c r="B719">
        <v>9</v>
      </c>
      <c r="C719">
        <v>5</v>
      </c>
      <c r="D719">
        <v>0</v>
      </c>
      <c r="E719" t="s">
        <v>71</v>
      </c>
      <c r="F719">
        <v>52042</v>
      </c>
      <c r="G719">
        <v>49856824.166666664</v>
      </c>
      <c r="H719">
        <v>0.82400931914647424</v>
      </c>
      <c r="I719">
        <v>0.92307692307692313</v>
      </c>
      <c r="J719">
        <v>15908894.333333334</v>
      </c>
      <c r="K719">
        <v>85340</v>
      </c>
      <c r="L719">
        <v>2</v>
      </c>
      <c r="M719">
        <v>198</v>
      </c>
      <c r="N719">
        <v>0.92890442890442892</v>
      </c>
      <c r="O719">
        <v>17116941</v>
      </c>
      <c r="P719">
        <v>86169</v>
      </c>
      <c r="Q719">
        <v>2</v>
      </c>
      <c r="R719">
        <v>199</v>
      </c>
      <c r="S719">
        <v>11.206208238179819</v>
      </c>
      <c r="T719">
        <v>0.93720929622650151</v>
      </c>
      <c r="W719">
        <f>Tabela6[[#This Row],[mlp_params]]</f>
        <v>85340</v>
      </c>
      <c r="X719">
        <f>Tabela6[[#This Row],[mlp_test_acc]]</f>
        <v>0.92307692307692313</v>
      </c>
      <c r="Y719">
        <f>Tabela6[[#This Row],[kan_val_acc_1]]</f>
        <v>0.93720929622650151</v>
      </c>
      <c r="Z719">
        <f>Tabela6[[#This Row],[no_steps]]</f>
        <v>11.206208238179819</v>
      </c>
    </row>
    <row r="720" spans="1:26" hidden="1" x14ac:dyDescent="0.25">
      <c r="A720" t="s">
        <v>18</v>
      </c>
      <c r="B720">
        <v>9</v>
      </c>
      <c r="C720">
        <v>5</v>
      </c>
      <c r="D720">
        <v>0</v>
      </c>
      <c r="E720" t="s">
        <v>64</v>
      </c>
      <c r="F720">
        <v>52930</v>
      </c>
      <c r="G720">
        <v>52115282.272727273</v>
      </c>
      <c r="H720">
        <v>0.85060393810272217</v>
      </c>
      <c r="I720">
        <v>0.91862682771773685</v>
      </c>
      <c r="J720">
        <v>16638937.272727273</v>
      </c>
      <c r="K720">
        <v>87002</v>
      </c>
      <c r="L720">
        <v>2</v>
      </c>
      <c r="M720">
        <v>200</v>
      </c>
      <c r="N720">
        <v>0.92307692307692313</v>
      </c>
      <c r="O720">
        <v>16926570.727272727</v>
      </c>
      <c r="P720">
        <v>87839</v>
      </c>
      <c r="Q720">
        <v>2</v>
      </c>
      <c r="R720">
        <v>201</v>
      </c>
      <c r="S720">
        <v>11.203735000845024</v>
      </c>
      <c r="T720">
        <v>0.94999998807907104</v>
      </c>
      <c r="W720">
        <f>Tabela6[[#This Row],[mlp_params]]</f>
        <v>87002</v>
      </c>
      <c r="X720">
        <f>Tabela6[[#This Row],[mlp_test_acc]]</f>
        <v>0.91862682771773685</v>
      </c>
      <c r="Y720">
        <f>Tabela6[[#This Row],[kan_val_acc_1]]</f>
        <v>0.94999998807907104</v>
      </c>
      <c r="Z720">
        <f>Tabela6[[#This Row],[no_steps]]</f>
        <v>11.203735000845024</v>
      </c>
    </row>
    <row r="721" spans="1:26" hidden="1" x14ac:dyDescent="0.25">
      <c r="A721" t="s">
        <v>18</v>
      </c>
      <c r="B721">
        <v>9</v>
      </c>
      <c r="C721">
        <v>5</v>
      </c>
      <c r="D721">
        <v>0</v>
      </c>
      <c r="E721" t="s">
        <v>87</v>
      </c>
      <c r="F721">
        <v>53470</v>
      </c>
      <c r="G721">
        <v>60275580.636363633</v>
      </c>
      <c r="H721">
        <v>0.87794023752212524</v>
      </c>
      <c r="I721">
        <v>0.92434837889383348</v>
      </c>
      <c r="J721">
        <v>16124341.818181818</v>
      </c>
      <c r="K721">
        <v>87839</v>
      </c>
      <c r="L721">
        <v>2</v>
      </c>
      <c r="M721">
        <v>201</v>
      </c>
      <c r="N721">
        <v>0.92180546726001278</v>
      </c>
      <c r="O721">
        <v>16668789.181818182</v>
      </c>
      <c r="P721">
        <v>88680</v>
      </c>
      <c r="Q721">
        <v>2</v>
      </c>
      <c r="R721">
        <v>202</v>
      </c>
      <c r="S721">
        <v>11.202448290417898</v>
      </c>
      <c r="T721">
        <v>0.95348834991455078</v>
      </c>
      <c r="W721">
        <f>Tabela6[[#This Row],[mlp_params]]</f>
        <v>87839</v>
      </c>
      <c r="X721">
        <f>Tabela6[[#This Row],[mlp_test_acc]]</f>
        <v>0.92434837889383348</v>
      </c>
      <c r="Y721">
        <f>Tabela6[[#This Row],[kan_val_acc_1]]</f>
        <v>0.95348834991455078</v>
      </c>
      <c r="Z721">
        <f>Tabela6[[#This Row],[no_steps]]</f>
        <v>11.202448290417898</v>
      </c>
    </row>
    <row r="722" spans="1:26" hidden="1" x14ac:dyDescent="0.25">
      <c r="A722" t="s">
        <v>18</v>
      </c>
      <c r="B722">
        <v>9</v>
      </c>
      <c r="C722">
        <v>5</v>
      </c>
      <c r="D722">
        <v>0</v>
      </c>
      <c r="E722" t="s">
        <v>65</v>
      </c>
      <c r="F722">
        <v>54156</v>
      </c>
      <c r="G722">
        <v>42971782.5</v>
      </c>
      <c r="H722">
        <v>0.83333332339922583</v>
      </c>
      <c r="I722">
        <v>0.92890442890442892</v>
      </c>
      <c r="J722">
        <v>17423889.666666668</v>
      </c>
      <c r="K722">
        <v>88680</v>
      </c>
      <c r="L722">
        <v>2</v>
      </c>
      <c r="M722">
        <v>202</v>
      </c>
      <c r="N722">
        <v>0.93006993006993011</v>
      </c>
      <c r="O722">
        <v>15324554</v>
      </c>
      <c r="P722">
        <v>89525</v>
      </c>
      <c r="Q722">
        <v>2</v>
      </c>
      <c r="R722">
        <v>203</v>
      </c>
      <c r="S722">
        <v>11.200320648046578</v>
      </c>
      <c r="T722">
        <v>0.9558139443397522</v>
      </c>
      <c r="W722">
        <f>Tabela6[[#This Row],[mlp_params]]</f>
        <v>88680</v>
      </c>
      <c r="X722">
        <f>Tabela6[[#This Row],[mlp_test_acc]]</f>
        <v>0.92890442890442892</v>
      </c>
      <c r="Y722">
        <f>Tabela6[[#This Row],[kan_val_acc_1]]</f>
        <v>0.9558139443397522</v>
      </c>
      <c r="Z722">
        <f>Tabela6[[#This Row],[no_steps]]</f>
        <v>11.200320648046578</v>
      </c>
    </row>
    <row r="723" spans="1:26" hidden="1" x14ac:dyDescent="0.25">
      <c r="A723" t="s">
        <v>18</v>
      </c>
      <c r="B723">
        <v>9</v>
      </c>
      <c r="C723">
        <v>5</v>
      </c>
      <c r="D723">
        <v>0</v>
      </c>
      <c r="E723" t="s">
        <v>73</v>
      </c>
      <c r="F723">
        <v>54630</v>
      </c>
      <c r="G723">
        <v>54574373.833333336</v>
      </c>
      <c r="H723">
        <v>0.84032632907231652</v>
      </c>
      <c r="I723">
        <v>0.92657342657342667</v>
      </c>
      <c r="J723">
        <v>16549204.833333334</v>
      </c>
      <c r="K723">
        <v>89525</v>
      </c>
      <c r="L723">
        <v>2</v>
      </c>
      <c r="M723">
        <v>203</v>
      </c>
      <c r="N723">
        <v>0.92074592074592077</v>
      </c>
      <c r="O723">
        <v>16449214.333333334</v>
      </c>
      <c r="P723">
        <v>90374</v>
      </c>
      <c r="Q723">
        <v>2</v>
      </c>
      <c r="R723">
        <v>204</v>
      </c>
      <c r="S723">
        <v>11.199122880998566</v>
      </c>
      <c r="T723">
        <v>0.9558139443397522</v>
      </c>
      <c r="W723">
        <f>Tabela6[[#This Row],[mlp_params]]</f>
        <v>89525</v>
      </c>
      <c r="X723">
        <f>Tabela6[[#This Row],[mlp_test_acc]]</f>
        <v>0.92657342657342667</v>
      </c>
      <c r="Y723">
        <f>Tabela6[[#This Row],[kan_val_acc_1]]</f>
        <v>0.9558139443397522</v>
      </c>
      <c r="Z723">
        <f>Tabela6[[#This Row],[no_steps]]</f>
        <v>11.199122880998566</v>
      </c>
    </row>
    <row r="724" spans="1:26" hidden="1" x14ac:dyDescent="0.25">
      <c r="A724" t="s">
        <v>18</v>
      </c>
      <c r="B724">
        <v>9</v>
      </c>
      <c r="C724">
        <v>5</v>
      </c>
      <c r="D724">
        <v>0</v>
      </c>
      <c r="E724" t="s">
        <v>74</v>
      </c>
      <c r="F724">
        <v>55924</v>
      </c>
      <c r="G724">
        <v>61039923.272727273</v>
      </c>
      <c r="H724">
        <v>0.81373172998428345</v>
      </c>
      <c r="I724">
        <v>0.92561983471074383</v>
      </c>
      <c r="J724">
        <v>15881558.090909092</v>
      </c>
      <c r="K724">
        <v>91227</v>
      </c>
      <c r="L724">
        <v>2</v>
      </c>
      <c r="M724">
        <v>205</v>
      </c>
      <c r="N724">
        <v>0.92752701843610941</v>
      </c>
      <c r="O724">
        <v>16823550.545454547</v>
      </c>
      <c r="P724">
        <v>92084</v>
      </c>
      <c r="Q724">
        <v>2</v>
      </c>
      <c r="R724">
        <v>206</v>
      </c>
      <c r="S724">
        <v>11.197590158409168</v>
      </c>
      <c r="T724">
        <v>0.93255813717842106</v>
      </c>
      <c r="W724">
        <f>Tabela6[[#This Row],[mlp_params]]</f>
        <v>91227</v>
      </c>
      <c r="X724">
        <f>Tabela6[[#This Row],[mlp_test_acc]]</f>
        <v>0.92561983471074383</v>
      </c>
      <c r="Y724">
        <f>Tabela6[[#This Row],[kan_val_acc_1]]</f>
        <v>0.93255813717842106</v>
      </c>
      <c r="Z724">
        <f>Tabela6[[#This Row],[no_steps]]</f>
        <v>11.197590158409168</v>
      </c>
    </row>
    <row r="725" spans="1:26" hidden="1" x14ac:dyDescent="0.25">
      <c r="A725" t="s">
        <v>18</v>
      </c>
      <c r="B725">
        <v>9</v>
      </c>
      <c r="C725">
        <v>5</v>
      </c>
      <c r="D725">
        <v>0</v>
      </c>
      <c r="E725" t="s">
        <v>89</v>
      </c>
      <c r="F725">
        <v>56194</v>
      </c>
      <c r="G725">
        <v>53028214.833333336</v>
      </c>
      <c r="H725">
        <v>0.76806526382764184</v>
      </c>
      <c r="I725">
        <v>0.92424242424242431</v>
      </c>
      <c r="J725">
        <v>16980063.333333332</v>
      </c>
      <c r="K725">
        <v>92084</v>
      </c>
      <c r="L725">
        <v>2</v>
      </c>
      <c r="M725">
        <v>206</v>
      </c>
      <c r="N725">
        <v>0.93006993006993011</v>
      </c>
      <c r="O725">
        <v>16472706.166666666</v>
      </c>
      <c r="P725">
        <v>92945</v>
      </c>
      <c r="Q725">
        <v>2</v>
      </c>
      <c r="R725">
        <v>207</v>
      </c>
      <c r="S725">
        <v>11.196058615462356</v>
      </c>
      <c r="T725">
        <v>0.9465116143226624</v>
      </c>
      <c r="W725">
        <f>Tabela6[[#This Row],[mlp_params]]</f>
        <v>92084</v>
      </c>
      <c r="X725">
        <f>Tabela6[[#This Row],[mlp_test_acc]]</f>
        <v>0.92424242424242431</v>
      </c>
      <c r="Y725">
        <f>Tabela6[[#This Row],[kan_val_acc_1]]</f>
        <v>0.9465116143226624</v>
      </c>
      <c r="Z725">
        <f>Tabela6[[#This Row],[no_steps]]</f>
        <v>11.196058615462356</v>
      </c>
    </row>
    <row r="726" spans="1:26" hidden="1" x14ac:dyDescent="0.25">
      <c r="A726" t="s">
        <v>18</v>
      </c>
      <c r="B726">
        <v>9</v>
      </c>
      <c r="C726">
        <v>5</v>
      </c>
      <c r="D726">
        <v>0</v>
      </c>
      <c r="E726" t="s">
        <v>75</v>
      </c>
      <c r="F726">
        <v>57218</v>
      </c>
      <c r="G726">
        <v>51788997.5</v>
      </c>
      <c r="H726">
        <v>0.82400932908058167</v>
      </c>
      <c r="I726">
        <v>0.92540792540792549</v>
      </c>
      <c r="J726">
        <v>17635153.666666668</v>
      </c>
      <c r="K726">
        <v>93810</v>
      </c>
      <c r="L726">
        <v>2</v>
      </c>
      <c r="M726">
        <v>208</v>
      </c>
      <c r="N726">
        <v>0.93006993006993011</v>
      </c>
      <c r="O726">
        <v>15938498.666666666</v>
      </c>
      <c r="P726">
        <v>94679</v>
      </c>
      <c r="Q726">
        <v>2</v>
      </c>
      <c r="R726">
        <v>209</v>
      </c>
      <c r="S726">
        <v>11.194528619528619</v>
      </c>
      <c r="T726">
        <v>0.9441860437393188</v>
      </c>
      <c r="W726">
        <f>Tabela6[[#This Row],[mlp_params]]</f>
        <v>93810</v>
      </c>
      <c r="X726">
        <f>Tabela6[[#This Row],[mlp_test_acc]]</f>
        <v>0.92540792540792549</v>
      </c>
      <c r="Y726">
        <f>Tabela6[[#This Row],[kan_val_acc_1]]</f>
        <v>0.9441860437393188</v>
      </c>
      <c r="Z726">
        <f>Tabela6[[#This Row],[no_steps]]</f>
        <v>11.194528619528619</v>
      </c>
    </row>
    <row r="727" spans="1:26" hidden="1" x14ac:dyDescent="0.25">
      <c r="A727" t="s">
        <v>18</v>
      </c>
      <c r="B727">
        <v>9</v>
      </c>
      <c r="C727">
        <v>5</v>
      </c>
      <c r="D727">
        <v>0</v>
      </c>
      <c r="E727" t="s">
        <v>90</v>
      </c>
      <c r="F727">
        <v>57556</v>
      </c>
      <c r="G727">
        <v>61966500.166666664</v>
      </c>
      <c r="H727">
        <v>0.82634033759435022</v>
      </c>
      <c r="I727">
        <v>0.92773892773892774</v>
      </c>
      <c r="J727">
        <v>15953771.166666666</v>
      </c>
      <c r="K727">
        <v>94679</v>
      </c>
      <c r="L727">
        <v>2</v>
      </c>
      <c r="M727">
        <v>209</v>
      </c>
      <c r="N727">
        <v>0.92890442890442892</v>
      </c>
      <c r="O727">
        <v>16064192.166666666</v>
      </c>
      <c r="P727">
        <v>95552</v>
      </c>
      <c r="Q727">
        <v>2</v>
      </c>
      <c r="R727">
        <v>210</v>
      </c>
      <c r="S727">
        <v>11.193504963822985</v>
      </c>
      <c r="T727">
        <v>0.94883720874786381</v>
      </c>
      <c r="W727">
        <f>Tabela6[[#This Row],[mlp_params]]</f>
        <v>94679</v>
      </c>
      <c r="X727">
        <f>Tabela6[[#This Row],[mlp_test_acc]]</f>
        <v>0.92773892773892774</v>
      </c>
      <c r="Y727">
        <f>Tabela6[[#This Row],[kan_val_acc_1]]</f>
        <v>0.94883720874786381</v>
      </c>
      <c r="Z727">
        <f>Tabela6[[#This Row],[no_steps]]</f>
        <v>11.193504963822985</v>
      </c>
    </row>
    <row r="728" spans="1:26" hidden="1" x14ac:dyDescent="0.25">
      <c r="A728" t="s">
        <v>18</v>
      </c>
      <c r="B728">
        <v>9</v>
      </c>
      <c r="C728">
        <v>5</v>
      </c>
      <c r="D728">
        <v>0</v>
      </c>
      <c r="E728" t="s">
        <v>91</v>
      </c>
      <c r="F728">
        <v>58918</v>
      </c>
      <c r="G728">
        <v>58954845</v>
      </c>
      <c r="H728">
        <v>0.83100233475367224</v>
      </c>
      <c r="I728">
        <v>0.92307692307692313</v>
      </c>
      <c r="J728">
        <v>16183139.666666666</v>
      </c>
      <c r="K728">
        <v>96429</v>
      </c>
      <c r="L728">
        <v>2</v>
      </c>
      <c r="M728">
        <v>211</v>
      </c>
      <c r="N728">
        <v>0.92773892773892774</v>
      </c>
      <c r="O728">
        <v>16054864.166666666</v>
      </c>
      <c r="P728">
        <v>97310</v>
      </c>
      <c r="Q728">
        <v>2</v>
      </c>
      <c r="R728">
        <v>212</v>
      </c>
      <c r="S728">
        <v>11.192145980491086</v>
      </c>
      <c r="T728">
        <v>0.94651162624359131</v>
      </c>
      <c r="W728">
        <f>Tabela6[[#This Row],[mlp_params]]</f>
        <v>96429</v>
      </c>
      <c r="X728">
        <f>Tabela6[[#This Row],[mlp_test_acc]]</f>
        <v>0.92307692307692313</v>
      </c>
      <c r="Y728">
        <f>Tabela6[[#This Row],[kan_val_acc_1]]</f>
        <v>0.94651162624359131</v>
      </c>
      <c r="Z728">
        <f>Tabela6[[#This Row],[no_steps]]</f>
        <v>11.192145980491086</v>
      </c>
    </row>
    <row r="729" spans="1:26" hidden="1" x14ac:dyDescent="0.25">
      <c r="A729" t="s">
        <v>18</v>
      </c>
      <c r="B729">
        <v>9</v>
      </c>
      <c r="C729">
        <v>5</v>
      </c>
      <c r="D729">
        <v>0</v>
      </c>
      <c r="E729" t="s">
        <v>92</v>
      </c>
      <c r="F729">
        <v>60280</v>
      </c>
      <c r="G729">
        <v>64531420.166666664</v>
      </c>
      <c r="H729">
        <v>0.79137528936068213</v>
      </c>
      <c r="I729">
        <v>0.92657342657342656</v>
      </c>
      <c r="J729">
        <v>16989851.666666668</v>
      </c>
      <c r="K729">
        <v>99084</v>
      </c>
      <c r="L729">
        <v>2</v>
      </c>
      <c r="M729">
        <v>214</v>
      </c>
      <c r="N729">
        <v>0.92424242424242431</v>
      </c>
      <c r="O729">
        <v>17470777.166666668</v>
      </c>
      <c r="P729">
        <v>99977</v>
      </c>
      <c r="Q729">
        <v>2</v>
      </c>
      <c r="R729">
        <v>215</v>
      </c>
      <c r="S729">
        <v>11.191376701966718</v>
      </c>
      <c r="T729">
        <v>0.94883719682693479</v>
      </c>
      <c r="W729">
        <f>Tabela6[[#This Row],[mlp_params]]</f>
        <v>99084</v>
      </c>
      <c r="X729">
        <f>Tabela6[[#This Row],[mlp_test_acc]]</f>
        <v>0.92657342657342656</v>
      </c>
      <c r="Y729">
        <f>Tabela6[[#This Row],[kan_val_acc_1]]</f>
        <v>0.94883719682693479</v>
      </c>
      <c r="Z729">
        <f>Tabela6[[#This Row],[no_steps]]</f>
        <v>11.191376701966718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6BA49-76B5-4364-B13F-7C0A09527727}">
  <dimension ref="A1:Z183"/>
  <sheetViews>
    <sheetView tabSelected="1" topLeftCell="C152" zoomScale="115" zoomScaleNormal="115" workbookViewId="0">
      <selection activeCell="K2" sqref="K2:K183"/>
    </sheetView>
  </sheetViews>
  <sheetFormatPr defaultRowHeight="15" x14ac:dyDescent="0.25"/>
  <cols>
    <col min="1" max="1" width="15.5703125" customWidth="1"/>
    <col min="2" max="2" width="27.5703125" customWidth="1"/>
    <col min="3" max="3" width="13.28515625" customWidth="1"/>
    <col min="4" max="4" width="10.42578125" customWidth="1"/>
    <col min="5" max="5" width="12" customWidth="1"/>
    <col min="6" max="6" width="13.7109375" customWidth="1"/>
    <col min="7" max="7" width="20.5703125" customWidth="1"/>
    <col min="8" max="9" width="14.85546875" customWidth="1"/>
    <col min="10" max="10" width="20.5703125" customWidth="1"/>
    <col min="11" max="11" width="13.7109375" customWidth="1"/>
    <col min="12" max="12" width="15.5703125" customWidth="1"/>
    <col min="13" max="13" width="18.140625" customWidth="1"/>
    <col min="14" max="14" width="15.85546875" customWidth="1"/>
    <col min="15" max="15" width="21.5703125" customWidth="1"/>
    <col min="16" max="16" width="14.85546875" customWidth="1"/>
    <col min="17" max="17" width="12.7109375" customWidth="1"/>
    <col min="18" max="18" width="15.28515625" customWidth="1"/>
    <col min="19" max="19" width="12" bestFit="1" customWidth="1"/>
    <col min="20" max="20" width="15.5703125" customWidth="1"/>
    <col min="23" max="23" width="10" bestFit="1" customWidth="1"/>
    <col min="24" max="24" width="12" bestFit="1" customWidth="1"/>
    <col min="25" max="25" width="11.28515625" bestFit="1" customWidth="1"/>
  </cols>
  <sheetData>
    <row r="1" spans="1:26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361</v>
      </c>
      <c r="T1" s="3" t="s">
        <v>362</v>
      </c>
      <c r="W1" t="s">
        <v>363</v>
      </c>
      <c r="X1" t="s">
        <v>367</v>
      </c>
      <c r="Y1" t="s">
        <v>368</v>
      </c>
      <c r="Z1" t="s">
        <v>369</v>
      </c>
    </row>
    <row r="2" spans="1:26" x14ac:dyDescent="0.25">
      <c r="A2" t="s">
        <v>295</v>
      </c>
      <c r="B2">
        <v>3</v>
      </c>
      <c r="C2">
        <v>2</v>
      </c>
      <c r="D2">
        <v>0</v>
      </c>
      <c r="E2" t="s">
        <v>302</v>
      </c>
      <c r="F2">
        <v>174</v>
      </c>
      <c r="G2">
        <v>3854794.3125</v>
      </c>
      <c r="H2">
        <v>0.93421053513884544</v>
      </c>
      <c r="I2">
        <v>0.91776315789473684</v>
      </c>
      <c r="J2">
        <v>312098.1875</v>
      </c>
      <c r="K2">
        <v>255</v>
      </c>
      <c r="L2">
        <v>2</v>
      </c>
      <c r="M2">
        <v>9</v>
      </c>
      <c r="N2">
        <v>0.93256578947368418</v>
      </c>
      <c r="O2">
        <v>402929.1875</v>
      </c>
      <c r="P2">
        <v>303</v>
      </c>
      <c r="Q2">
        <v>2</v>
      </c>
      <c r="R2">
        <v>10</v>
      </c>
      <c r="S2">
        <v>12.120027543831771</v>
      </c>
      <c r="T2">
        <v>0.99420289993286137</v>
      </c>
      <c r="W2">
        <f>Tabela7[[#This Row],[mlp_params]]</f>
        <v>255</v>
      </c>
      <c r="X2">
        <f>Tabela7[[#This Row],[mlp_test_acc]]</f>
        <v>0.91776315789473684</v>
      </c>
      <c r="Y2">
        <f>Tabela7[[#This Row],[kan_val_acc_1]]</f>
        <v>0.99420289993286137</v>
      </c>
      <c r="Z2">
        <f>Tabela7[[#This Row],[no_steps]]</f>
        <v>12.120027543831771</v>
      </c>
    </row>
    <row r="3" spans="1:26" x14ac:dyDescent="0.25">
      <c r="A3" t="s">
        <v>295</v>
      </c>
      <c r="B3">
        <v>3</v>
      </c>
      <c r="C3">
        <v>3</v>
      </c>
      <c r="D3">
        <v>0</v>
      </c>
      <c r="E3" t="s">
        <v>302</v>
      </c>
      <c r="F3">
        <v>195</v>
      </c>
      <c r="G3">
        <v>4233128</v>
      </c>
      <c r="H3">
        <v>0.94407894089818001</v>
      </c>
      <c r="I3">
        <v>0.9391447368421052</v>
      </c>
      <c r="J3">
        <v>259636.9375</v>
      </c>
      <c r="K3">
        <v>303</v>
      </c>
      <c r="L3">
        <v>2</v>
      </c>
      <c r="M3">
        <v>10</v>
      </c>
      <c r="N3">
        <v>0.93421052631578949</v>
      </c>
      <c r="O3">
        <v>303066.625</v>
      </c>
      <c r="P3">
        <v>355</v>
      </c>
      <c r="Q3">
        <v>2</v>
      </c>
      <c r="R3">
        <v>11</v>
      </c>
      <c r="S3">
        <v>12.116168298491665</v>
      </c>
      <c r="T3">
        <v>0.99130434989929195</v>
      </c>
      <c r="W3">
        <f>Tabela7[[#This Row],[mlp_params]]</f>
        <v>303</v>
      </c>
      <c r="X3">
        <f>Tabela7[[#This Row],[mlp_test_acc]]</f>
        <v>0.9391447368421052</v>
      </c>
      <c r="Y3">
        <f>Tabela7[[#This Row],[kan_val_acc_1]]</f>
        <v>0.99130434989929195</v>
      </c>
      <c r="Z3">
        <f>Tabela7[[#This Row],[no_steps]]</f>
        <v>12.116168298491665</v>
      </c>
    </row>
    <row r="4" spans="1:26" x14ac:dyDescent="0.25">
      <c r="A4" t="s">
        <v>295</v>
      </c>
      <c r="B4">
        <v>5</v>
      </c>
      <c r="C4">
        <v>2</v>
      </c>
      <c r="D4">
        <v>0</v>
      </c>
      <c r="E4" t="s">
        <v>302</v>
      </c>
      <c r="F4">
        <v>216</v>
      </c>
      <c r="G4">
        <v>6751700</v>
      </c>
      <c r="H4">
        <v>0.89144736900925636</v>
      </c>
      <c r="I4">
        <v>0.92927631578947367</v>
      </c>
      <c r="J4">
        <v>441734.9375</v>
      </c>
      <c r="K4">
        <v>303</v>
      </c>
      <c r="L4">
        <v>2</v>
      </c>
      <c r="M4">
        <v>10</v>
      </c>
      <c r="N4">
        <v>0.91940789473684204</v>
      </c>
      <c r="O4">
        <v>215495.8125</v>
      </c>
      <c r="P4">
        <v>355</v>
      </c>
      <c r="Q4">
        <v>2</v>
      </c>
      <c r="R4">
        <v>11</v>
      </c>
      <c r="S4">
        <v>11.985856442895388</v>
      </c>
      <c r="T4">
        <v>0.97101449966430664</v>
      </c>
      <c r="W4">
        <f>Tabela7[[#This Row],[mlp_params]]</f>
        <v>303</v>
      </c>
      <c r="X4">
        <f>Tabela7[[#This Row],[mlp_test_acc]]</f>
        <v>0.92927631578947367</v>
      </c>
      <c r="Y4">
        <f>Tabela7[[#This Row],[kan_val_acc_1]]</f>
        <v>0.97101449966430664</v>
      </c>
      <c r="Z4">
        <f>Tabela7[[#This Row],[no_steps]]</f>
        <v>11.985856442895388</v>
      </c>
    </row>
    <row r="5" spans="1:26" x14ac:dyDescent="0.25">
      <c r="A5" t="s">
        <v>295</v>
      </c>
      <c r="B5">
        <v>3</v>
      </c>
      <c r="C5">
        <v>4</v>
      </c>
      <c r="D5">
        <v>0</v>
      </c>
      <c r="E5" t="s">
        <v>302</v>
      </c>
      <c r="F5">
        <v>216</v>
      </c>
      <c r="G5">
        <v>4456724.6875</v>
      </c>
      <c r="H5">
        <v>0.94243421033024788</v>
      </c>
      <c r="I5">
        <v>0.92434210526315785</v>
      </c>
      <c r="J5">
        <v>410754.0625</v>
      </c>
      <c r="K5">
        <v>355</v>
      </c>
      <c r="L5">
        <v>2</v>
      </c>
      <c r="M5">
        <v>11</v>
      </c>
      <c r="N5">
        <v>0.92598684210526316</v>
      </c>
      <c r="O5">
        <v>279542.1875</v>
      </c>
      <c r="P5">
        <v>411</v>
      </c>
      <c r="Q5">
        <v>2</v>
      </c>
      <c r="R5">
        <v>12</v>
      </c>
      <c r="S5">
        <v>12.068767908309455</v>
      </c>
      <c r="T5">
        <v>0.98840579986572263</v>
      </c>
      <c r="W5">
        <f>Tabela7[[#This Row],[mlp_params]]</f>
        <v>355</v>
      </c>
      <c r="X5">
        <f>Tabela7[[#This Row],[mlp_test_acc]]</f>
        <v>0.92434210526315785</v>
      </c>
      <c r="Y5">
        <f>Tabela7[[#This Row],[kan_val_acc_1]]</f>
        <v>0.98840579986572263</v>
      </c>
      <c r="Z5">
        <f>Tabela7[[#This Row],[no_steps]]</f>
        <v>12.068767908309455</v>
      </c>
    </row>
    <row r="6" spans="1:26" x14ac:dyDescent="0.25">
      <c r="A6" t="s">
        <v>295</v>
      </c>
      <c r="B6">
        <v>5</v>
      </c>
      <c r="C6">
        <v>3</v>
      </c>
      <c r="D6">
        <v>0</v>
      </c>
      <c r="E6" t="s">
        <v>302</v>
      </c>
      <c r="F6">
        <v>237</v>
      </c>
      <c r="G6">
        <v>4740221.6875</v>
      </c>
      <c r="H6">
        <v>0.93914474546909332</v>
      </c>
      <c r="I6">
        <v>0.93421052631578949</v>
      </c>
      <c r="J6">
        <v>469221.4375</v>
      </c>
      <c r="K6">
        <v>355</v>
      </c>
      <c r="L6">
        <v>2</v>
      </c>
      <c r="M6">
        <v>11</v>
      </c>
      <c r="N6">
        <v>0.92598684210526316</v>
      </c>
      <c r="O6">
        <v>375221.0625</v>
      </c>
      <c r="P6">
        <v>411</v>
      </c>
      <c r="Q6">
        <v>2</v>
      </c>
      <c r="R6">
        <v>12</v>
      </c>
      <c r="S6">
        <v>11.935011942675159</v>
      </c>
      <c r="T6">
        <v>0.98260869979858401</v>
      </c>
      <c r="W6">
        <f>Tabela7[[#This Row],[mlp_params]]</f>
        <v>355</v>
      </c>
      <c r="X6">
        <f>Tabela7[[#This Row],[mlp_test_acc]]</f>
        <v>0.93421052631578949</v>
      </c>
      <c r="Y6">
        <f>Tabela7[[#This Row],[kan_val_acc_1]]</f>
        <v>0.98260869979858401</v>
      </c>
      <c r="Z6">
        <f>Tabela7[[#This Row],[no_steps]]</f>
        <v>11.935011942675159</v>
      </c>
    </row>
    <row r="7" spans="1:26" x14ac:dyDescent="0.25">
      <c r="A7" t="s">
        <v>295</v>
      </c>
      <c r="B7">
        <v>9</v>
      </c>
      <c r="C7">
        <v>2</v>
      </c>
      <c r="D7">
        <v>0</v>
      </c>
      <c r="E7" t="s">
        <v>302</v>
      </c>
      <c r="F7">
        <v>300</v>
      </c>
      <c r="G7">
        <v>7075078.5</v>
      </c>
      <c r="H7">
        <v>0.69172931781836922</v>
      </c>
      <c r="I7">
        <v>0.9229323308270676</v>
      </c>
      <c r="J7">
        <v>755987</v>
      </c>
      <c r="K7">
        <v>355</v>
      </c>
      <c r="L7">
        <v>2</v>
      </c>
      <c r="M7">
        <v>11</v>
      </c>
      <c r="N7">
        <v>0.93421052631578949</v>
      </c>
      <c r="O7">
        <v>554268.5</v>
      </c>
      <c r="P7">
        <v>411</v>
      </c>
      <c r="Q7">
        <v>2</v>
      </c>
      <c r="R7">
        <v>12</v>
      </c>
      <c r="S7">
        <v>11.810242690617237</v>
      </c>
      <c r="T7">
        <v>0.93311037008578956</v>
      </c>
      <c r="W7">
        <f>Tabela7[[#This Row],[mlp_params]]</f>
        <v>355</v>
      </c>
      <c r="X7">
        <f>Tabela7[[#This Row],[mlp_test_acc]]</f>
        <v>0.9229323308270676</v>
      </c>
      <c r="Y7">
        <f>Tabela7[[#This Row],[kan_val_acc_1]]</f>
        <v>0.93311037008578956</v>
      </c>
      <c r="Z7">
        <f>Tabela7[[#This Row],[no_steps]]</f>
        <v>11.810242690617237</v>
      </c>
    </row>
    <row r="8" spans="1:26" x14ac:dyDescent="0.25">
      <c r="A8" t="s">
        <v>295</v>
      </c>
      <c r="B8">
        <v>3</v>
      </c>
      <c r="C8">
        <v>2</v>
      </c>
      <c r="D8">
        <v>0</v>
      </c>
      <c r="E8" t="s">
        <v>306</v>
      </c>
      <c r="F8">
        <v>288</v>
      </c>
      <c r="G8">
        <v>669556319.28571427</v>
      </c>
      <c r="H8">
        <v>0.53883040802819393</v>
      </c>
      <c r="I8">
        <v>0.94967418546365912</v>
      </c>
      <c r="J8">
        <v>39679388</v>
      </c>
      <c r="K8">
        <v>411</v>
      </c>
      <c r="L8">
        <v>2</v>
      </c>
      <c r="M8">
        <v>12</v>
      </c>
      <c r="N8">
        <v>0.9499916457811195</v>
      </c>
      <c r="O8">
        <v>39729806.714285716</v>
      </c>
      <c r="P8">
        <v>471</v>
      </c>
      <c r="Q8">
        <v>2</v>
      </c>
      <c r="R8">
        <v>13</v>
      </c>
      <c r="S8">
        <v>12.16975856320912</v>
      </c>
      <c r="T8">
        <v>0.79198333333333326</v>
      </c>
      <c r="W8">
        <f>Tabela7[[#This Row],[mlp_params]]</f>
        <v>411</v>
      </c>
      <c r="X8">
        <f>Tabela7[[#This Row],[mlp_test_acc]]</f>
        <v>0.94967418546365912</v>
      </c>
      <c r="Y8">
        <f>Tabela7[[#This Row],[kan_val_acc_1]]</f>
        <v>0.79198333333333326</v>
      </c>
      <c r="Z8">
        <f>Tabela7[[#This Row],[no_steps]]</f>
        <v>12.16975856320912</v>
      </c>
    </row>
    <row r="9" spans="1:26" x14ac:dyDescent="0.25">
      <c r="A9" t="s">
        <v>295</v>
      </c>
      <c r="B9">
        <v>3</v>
      </c>
      <c r="C9">
        <v>5</v>
      </c>
      <c r="D9">
        <v>0</v>
      </c>
      <c r="E9" t="s">
        <v>302</v>
      </c>
      <c r="F9">
        <v>237</v>
      </c>
      <c r="G9">
        <v>5560443.125</v>
      </c>
      <c r="H9">
        <v>0.89473685622215271</v>
      </c>
      <c r="I9">
        <v>0.92434210526315785</v>
      </c>
      <c r="J9">
        <v>363579.8125</v>
      </c>
      <c r="K9">
        <v>411</v>
      </c>
      <c r="L9">
        <v>2</v>
      </c>
      <c r="M9">
        <v>12</v>
      </c>
      <c r="N9">
        <v>0.92598684210526316</v>
      </c>
      <c r="O9">
        <v>343306.4375</v>
      </c>
      <c r="P9">
        <v>471</v>
      </c>
      <c r="Q9">
        <v>2</v>
      </c>
      <c r="R9">
        <v>13</v>
      </c>
      <c r="S9">
        <v>12.028417542959733</v>
      </c>
      <c r="T9">
        <v>0.98550724983215332</v>
      </c>
      <c r="W9">
        <f>Tabela7[[#This Row],[mlp_params]]</f>
        <v>411</v>
      </c>
      <c r="X9">
        <f>Tabela7[[#This Row],[mlp_test_acc]]</f>
        <v>0.92434210526315785</v>
      </c>
      <c r="Y9">
        <f>Tabela7[[#This Row],[kan_val_acc_1]]</f>
        <v>0.98550724983215332</v>
      </c>
      <c r="Z9">
        <f>Tabela7[[#This Row],[no_steps]]</f>
        <v>12.028417542959733</v>
      </c>
    </row>
    <row r="10" spans="1:26" x14ac:dyDescent="0.25">
      <c r="A10" t="s">
        <v>295</v>
      </c>
      <c r="B10">
        <v>5</v>
      </c>
      <c r="C10">
        <v>4</v>
      </c>
      <c r="D10">
        <v>0</v>
      </c>
      <c r="E10" t="s">
        <v>302</v>
      </c>
      <c r="F10">
        <v>258</v>
      </c>
      <c r="G10">
        <v>5742609.8125</v>
      </c>
      <c r="H10">
        <v>0.9375000037252903</v>
      </c>
      <c r="I10">
        <v>0.92434210526315785</v>
      </c>
      <c r="J10">
        <v>412643.5625</v>
      </c>
      <c r="K10">
        <v>411</v>
      </c>
      <c r="L10">
        <v>2</v>
      </c>
      <c r="M10">
        <v>12</v>
      </c>
      <c r="N10">
        <v>0.92434210526315785</v>
      </c>
      <c r="O10">
        <v>255173.6875</v>
      </c>
      <c r="P10">
        <v>471</v>
      </c>
      <c r="Q10">
        <v>2</v>
      </c>
      <c r="R10">
        <v>13</v>
      </c>
      <c r="S10">
        <v>11.886742498529124</v>
      </c>
      <c r="T10">
        <v>0.98550724983215332</v>
      </c>
      <c r="W10">
        <f>Tabela7[[#This Row],[mlp_params]]</f>
        <v>411</v>
      </c>
      <c r="X10">
        <f>Tabela7[[#This Row],[mlp_test_acc]]</f>
        <v>0.92434210526315785</v>
      </c>
      <c r="Y10">
        <f>Tabela7[[#This Row],[kan_val_acc_1]]</f>
        <v>0.98550724983215332</v>
      </c>
      <c r="Z10">
        <f>Tabela7[[#This Row],[no_steps]]</f>
        <v>11.886742498529124</v>
      </c>
    </row>
    <row r="11" spans="1:26" x14ac:dyDescent="0.25">
      <c r="A11" t="s">
        <v>295</v>
      </c>
      <c r="B11">
        <v>9</v>
      </c>
      <c r="C11">
        <v>3</v>
      </c>
      <c r="D11">
        <v>0</v>
      </c>
      <c r="E11" t="s">
        <v>302</v>
      </c>
      <c r="F11">
        <v>321</v>
      </c>
      <c r="G11">
        <v>5387495.2857142854</v>
      </c>
      <c r="H11">
        <v>0.9041353421551841</v>
      </c>
      <c r="I11">
        <v>0.91729323308270672</v>
      </c>
      <c r="J11">
        <v>693250.92857142852</v>
      </c>
      <c r="K11">
        <v>411</v>
      </c>
      <c r="L11">
        <v>2</v>
      </c>
      <c r="M11">
        <v>12</v>
      </c>
      <c r="N11">
        <v>0.91541353383458646</v>
      </c>
      <c r="O11">
        <v>729457.35714285716</v>
      </c>
      <c r="P11">
        <v>471</v>
      </c>
      <c r="Q11">
        <v>2</v>
      </c>
      <c r="R11">
        <v>13</v>
      </c>
      <c r="S11">
        <v>11.776917995659149</v>
      </c>
      <c r="T11">
        <v>0.95652174491148734</v>
      </c>
      <c r="W11">
        <f>Tabela7[[#This Row],[mlp_params]]</f>
        <v>411</v>
      </c>
      <c r="X11">
        <f>Tabela7[[#This Row],[mlp_test_acc]]</f>
        <v>0.91729323308270672</v>
      </c>
      <c r="Y11">
        <f>Tabela7[[#This Row],[kan_val_acc_1]]</f>
        <v>0.95652174491148734</v>
      </c>
      <c r="Z11">
        <f>Tabela7[[#This Row],[no_steps]]</f>
        <v>11.776917995659149</v>
      </c>
    </row>
    <row r="12" spans="1:26" x14ac:dyDescent="0.25">
      <c r="A12" t="s">
        <v>295</v>
      </c>
      <c r="B12">
        <v>5</v>
      </c>
      <c r="C12">
        <v>2</v>
      </c>
      <c r="D12">
        <v>0</v>
      </c>
      <c r="E12" t="s">
        <v>306</v>
      </c>
      <c r="F12">
        <v>358</v>
      </c>
      <c r="G12">
        <v>2701933.4375</v>
      </c>
      <c r="H12">
        <v>0.92598684877157211</v>
      </c>
      <c r="I12">
        <v>0.94407894736842102</v>
      </c>
      <c r="J12">
        <v>580283.8125</v>
      </c>
      <c r="K12">
        <v>471</v>
      </c>
      <c r="L12">
        <v>2</v>
      </c>
      <c r="M12">
        <v>13</v>
      </c>
      <c r="N12">
        <v>0.91282894736842102</v>
      </c>
      <c r="O12">
        <v>549391.75</v>
      </c>
      <c r="P12">
        <v>535</v>
      </c>
      <c r="Q12">
        <v>2</v>
      </c>
      <c r="R12">
        <v>14</v>
      </c>
      <c r="S12">
        <v>11.982183414929592</v>
      </c>
      <c r="T12">
        <v>0.96231884956359859</v>
      </c>
      <c r="W12">
        <f>Tabela7[[#This Row],[mlp_params]]</f>
        <v>471</v>
      </c>
      <c r="X12">
        <f>Tabela7[[#This Row],[mlp_test_acc]]</f>
        <v>0.94407894736842102</v>
      </c>
      <c r="Y12">
        <f>Tabela7[[#This Row],[kan_val_acc_1]]</f>
        <v>0.96231884956359859</v>
      </c>
      <c r="Z12">
        <f>Tabela7[[#This Row],[no_steps]]</f>
        <v>11.982183414929592</v>
      </c>
    </row>
    <row r="13" spans="1:26" x14ac:dyDescent="0.25">
      <c r="A13" t="s">
        <v>295</v>
      </c>
      <c r="B13">
        <v>5</v>
      </c>
      <c r="C13">
        <v>5</v>
      </c>
      <c r="D13">
        <v>0</v>
      </c>
      <c r="E13" t="s">
        <v>302</v>
      </c>
      <c r="F13">
        <v>279</v>
      </c>
      <c r="G13">
        <v>6873780.9285714282</v>
      </c>
      <c r="H13">
        <v>0.86654135584831238</v>
      </c>
      <c r="I13">
        <v>0.9285714285714286</v>
      </c>
      <c r="J13">
        <v>544593.21428571432</v>
      </c>
      <c r="K13">
        <v>471</v>
      </c>
      <c r="L13">
        <v>2</v>
      </c>
      <c r="M13">
        <v>13</v>
      </c>
      <c r="N13">
        <v>0.92669172932330823</v>
      </c>
      <c r="O13">
        <v>306582.5</v>
      </c>
      <c r="P13">
        <v>535</v>
      </c>
      <c r="Q13">
        <v>2</v>
      </c>
      <c r="R13">
        <v>14</v>
      </c>
      <c r="S13">
        <v>11.847798742138364</v>
      </c>
      <c r="T13">
        <v>0.96655519192035377</v>
      </c>
      <c r="W13">
        <f>Tabela7[[#This Row],[mlp_params]]</f>
        <v>471</v>
      </c>
      <c r="X13">
        <f>Tabela7[[#This Row],[mlp_test_acc]]</f>
        <v>0.9285714285714286</v>
      </c>
      <c r="Y13">
        <f>Tabela7[[#This Row],[kan_val_acc_1]]</f>
        <v>0.96655519192035377</v>
      </c>
      <c r="Z13">
        <f>Tabela7[[#This Row],[no_steps]]</f>
        <v>11.847798742138364</v>
      </c>
    </row>
    <row r="14" spans="1:26" x14ac:dyDescent="0.25">
      <c r="A14" t="s">
        <v>295</v>
      </c>
      <c r="B14">
        <v>9</v>
      </c>
      <c r="C14">
        <v>4</v>
      </c>
      <c r="D14">
        <v>0</v>
      </c>
      <c r="E14" t="s">
        <v>302</v>
      </c>
      <c r="F14">
        <v>342</v>
      </c>
      <c r="G14">
        <v>6621360.7142857146</v>
      </c>
      <c r="H14">
        <v>0.90977444393294193</v>
      </c>
      <c r="I14">
        <v>0.92857142857142849</v>
      </c>
      <c r="J14">
        <v>903741.5</v>
      </c>
      <c r="K14">
        <v>471</v>
      </c>
      <c r="L14">
        <v>2</v>
      </c>
      <c r="M14">
        <v>13</v>
      </c>
      <c r="N14">
        <v>0.9135338345864662</v>
      </c>
      <c r="O14">
        <v>728256.71428571432</v>
      </c>
      <c r="P14">
        <v>535</v>
      </c>
      <c r="Q14">
        <v>2</v>
      </c>
      <c r="R14">
        <v>14</v>
      </c>
      <c r="S14">
        <v>11.748159194705938</v>
      </c>
      <c r="T14">
        <v>0.9565217403265146</v>
      </c>
      <c r="W14">
        <f>Tabela7[[#This Row],[mlp_params]]</f>
        <v>471</v>
      </c>
      <c r="X14">
        <f>Tabela7[[#This Row],[mlp_test_acc]]</f>
        <v>0.92857142857142849</v>
      </c>
      <c r="Y14">
        <f>Tabela7[[#This Row],[kan_val_acc_1]]</f>
        <v>0.9565217403265146</v>
      </c>
      <c r="Z14">
        <f>Tabela7[[#This Row],[no_steps]]</f>
        <v>11.748159194705938</v>
      </c>
    </row>
    <row r="15" spans="1:26" x14ac:dyDescent="0.25">
      <c r="A15" t="s">
        <v>295</v>
      </c>
      <c r="B15">
        <v>3</v>
      </c>
      <c r="C15">
        <v>2</v>
      </c>
      <c r="D15">
        <v>0</v>
      </c>
      <c r="E15" t="s">
        <v>303</v>
      </c>
      <c r="F15">
        <v>363</v>
      </c>
      <c r="G15">
        <v>2313665.875</v>
      </c>
      <c r="H15">
        <v>0.92763159051537514</v>
      </c>
      <c r="I15">
        <v>0.91611842105263153</v>
      </c>
      <c r="J15">
        <v>264998.25</v>
      </c>
      <c r="K15">
        <v>535</v>
      </c>
      <c r="L15">
        <v>2</v>
      </c>
      <c r="M15">
        <v>14</v>
      </c>
      <c r="N15">
        <v>0.93256578947368418</v>
      </c>
      <c r="O15">
        <v>239706.25</v>
      </c>
      <c r="P15">
        <v>603</v>
      </c>
      <c r="Q15">
        <v>2</v>
      </c>
      <c r="R15">
        <v>15</v>
      </c>
      <c r="S15">
        <v>12.16622790522753</v>
      </c>
      <c r="T15">
        <v>0.98840579986572263</v>
      </c>
      <c r="W15">
        <f>Tabela7[[#This Row],[mlp_params]]</f>
        <v>535</v>
      </c>
      <c r="X15">
        <f>Tabela7[[#This Row],[mlp_test_acc]]</f>
        <v>0.91611842105263153</v>
      </c>
      <c r="Y15">
        <f>Tabela7[[#This Row],[kan_val_acc_1]]</f>
        <v>0.98840579986572263</v>
      </c>
      <c r="Z15">
        <f>Tabela7[[#This Row],[no_steps]]</f>
        <v>12.16622790522753</v>
      </c>
    </row>
    <row r="16" spans="1:26" x14ac:dyDescent="0.25">
      <c r="A16" t="s">
        <v>295</v>
      </c>
      <c r="B16">
        <v>3</v>
      </c>
      <c r="C16">
        <v>3</v>
      </c>
      <c r="D16">
        <v>0</v>
      </c>
      <c r="E16" t="s">
        <v>306</v>
      </c>
      <c r="F16">
        <v>323</v>
      </c>
      <c r="G16">
        <v>2637130.1875</v>
      </c>
      <c r="H16">
        <v>0.94736841693520546</v>
      </c>
      <c r="I16">
        <v>0.95394736842105265</v>
      </c>
      <c r="J16">
        <v>233243.8125</v>
      </c>
      <c r="K16">
        <v>535</v>
      </c>
      <c r="L16">
        <v>2</v>
      </c>
      <c r="M16">
        <v>14</v>
      </c>
      <c r="N16">
        <v>0.92269736842105265</v>
      </c>
      <c r="O16">
        <v>189709</v>
      </c>
      <c r="P16">
        <v>603</v>
      </c>
      <c r="Q16">
        <v>2</v>
      </c>
      <c r="R16">
        <v>15</v>
      </c>
      <c r="S16">
        <v>12.11273861773571</v>
      </c>
      <c r="T16">
        <v>0.99420289993286137</v>
      </c>
      <c r="W16">
        <f>Tabela7[[#This Row],[mlp_params]]</f>
        <v>535</v>
      </c>
      <c r="X16">
        <f>Tabela7[[#This Row],[mlp_test_acc]]</f>
        <v>0.95394736842105265</v>
      </c>
      <c r="Y16">
        <f>Tabela7[[#This Row],[kan_val_acc_1]]</f>
        <v>0.99420289993286137</v>
      </c>
      <c r="Z16">
        <f>Tabela7[[#This Row],[no_steps]]</f>
        <v>12.11273861773571</v>
      </c>
    </row>
    <row r="17" spans="1:26" x14ac:dyDescent="0.25">
      <c r="A17" t="s">
        <v>295</v>
      </c>
      <c r="B17">
        <v>9</v>
      </c>
      <c r="C17">
        <v>5</v>
      </c>
      <c r="D17">
        <v>0</v>
      </c>
      <c r="E17" t="s">
        <v>302</v>
      </c>
      <c r="F17">
        <v>363</v>
      </c>
      <c r="G17">
        <v>7697758.2142857146</v>
      </c>
      <c r="H17">
        <v>0.81203007698059082</v>
      </c>
      <c r="I17">
        <v>0.93045112781954886</v>
      </c>
      <c r="J17">
        <v>997964.78571428568</v>
      </c>
      <c r="K17">
        <v>535</v>
      </c>
      <c r="L17">
        <v>2</v>
      </c>
      <c r="M17">
        <v>14</v>
      </c>
      <c r="N17">
        <v>0.91729323308270672</v>
      </c>
      <c r="O17">
        <v>916958.14285714284</v>
      </c>
      <c r="P17">
        <v>603</v>
      </c>
      <c r="Q17">
        <v>2</v>
      </c>
      <c r="R17">
        <v>15</v>
      </c>
      <c r="S17">
        <v>11.713950276243095</v>
      </c>
      <c r="T17">
        <v>0.94314382167962885</v>
      </c>
      <c r="W17">
        <f>Tabela7[[#This Row],[mlp_params]]</f>
        <v>535</v>
      </c>
      <c r="X17">
        <f>Tabela7[[#This Row],[mlp_test_acc]]</f>
        <v>0.93045112781954886</v>
      </c>
      <c r="Y17">
        <f>Tabela7[[#This Row],[kan_val_acc_1]]</f>
        <v>0.94314382167962885</v>
      </c>
      <c r="Z17">
        <f>Tabela7[[#This Row],[no_steps]]</f>
        <v>11.713950276243095</v>
      </c>
    </row>
    <row r="18" spans="1:26" x14ac:dyDescent="0.25">
      <c r="A18" t="s">
        <v>295</v>
      </c>
      <c r="B18">
        <v>3</v>
      </c>
      <c r="C18">
        <v>2</v>
      </c>
      <c r="D18">
        <v>0</v>
      </c>
      <c r="E18" t="s">
        <v>310</v>
      </c>
      <c r="F18">
        <v>402</v>
      </c>
      <c r="G18">
        <v>3352241.125</v>
      </c>
      <c r="H18">
        <v>0.9440789557993412</v>
      </c>
      <c r="I18">
        <v>0.91940789473684215</v>
      </c>
      <c r="J18">
        <v>191267.75</v>
      </c>
      <c r="K18">
        <v>603</v>
      </c>
      <c r="L18">
        <v>2</v>
      </c>
      <c r="M18">
        <v>15</v>
      </c>
      <c r="N18">
        <v>0.92763157894736836</v>
      </c>
      <c r="O18">
        <v>125963.75</v>
      </c>
      <c r="P18">
        <v>675</v>
      </c>
      <c r="Q18">
        <v>2</v>
      </c>
      <c r="R18">
        <v>16</v>
      </c>
      <c r="S18">
        <v>12.162918031026894</v>
      </c>
      <c r="T18">
        <v>0.99420289993286137</v>
      </c>
      <c r="W18">
        <f>Tabela7[[#This Row],[mlp_params]]</f>
        <v>603</v>
      </c>
      <c r="X18">
        <f>Tabela7[[#This Row],[mlp_test_acc]]</f>
        <v>0.91940789473684215</v>
      </c>
      <c r="Y18">
        <f>Tabela7[[#This Row],[kan_val_acc_1]]</f>
        <v>0.99420289993286137</v>
      </c>
      <c r="Z18">
        <f>Tabela7[[#This Row],[no_steps]]</f>
        <v>12.162918031026894</v>
      </c>
    </row>
    <row r="19" spans="1:26" x14ac:dyDescent="0.25">
      <c r="A19" t="s">
        <v>295</v>
      </c>
      <c r="B19">
        <v>3</v>
      </c>
      <c r="C19">
        <v>4</v>
      </c>
      <c r="D19">
        <v>0</v>
      </c>
      <c r="E19" t="s">
        <v>306</v>
      </c>
      <c r="F19">
        <v>358</v>
      </c>
      <c r="G19">
        <v>3405056.625</v>
      </c>
      <c r="H19">
        <v>0.94243421778082848</v>
      </c>
      <c r="I19">
        <v>0.93092105263157898</v>
      </c>
      <c r="J19">
        <v>225293.5</v>
      </c>
      <c r="K19">
        <v>603</v>
      </c>
      <c r="L19">
        <v>2</v>
      </c>
      <c r="M19">
        <v>15</v>
      </c>
      <c r="N19">
        <v>0.92927631578947367</v>
      </c>
      <c r="O19">
        <v>239364.6875</v>
      </c>
      <c r="P19">
        <v>675</v>
      </c>
      <c r="Q19">
        <v>2</v>
      </c>
      <c r="R19">
        <v>16</v>
      </c>
      <c r="S19">
        <v>12.066107958981833</v>
      </c>
      <c r="T19">
        <v>0.97391304969787595</v>
      </c>
      <c r="W19">
        <f>Tabela7[[#This Row],[mlp_params]]</f>
        <v>603</v>
      </c>
      <c r="X19">
        <f>Tabela7[[#This Row],[mlp_test_acc]]</f>
        <v>0.93092105263157898</v>
      </c>
      <c r="Y19">
        <f>Tabela7[[#This Row],[kan_val_acc_1]]</f>
        <v>0.97391304969787595</v>
      </c>
      <c r="Z19">
        <f>Tabela7[[#This Row],[no_steps]]</f>
        <v>12.066107958981833</v>
      </c>
    </row>
    <row r="20" spans="1:26" x14ac:dyDescent="0.25">
      <c r="A20" t="s">
        <v>295</v>
      </c>
      <c r="B20">
        <v>5</v>
      </c>
      <c r="C20">
        <v>2</v>
      </c>
      <c r="D20">
        <v>0</v>
      </c>
      <c r="E20" t="s">
        <v>303</v>
      </c>
      <c r="F20">
        <v>451</v>
      </c>
      <c r="G20">
        <v>3127148.0625</v>
      </c>
      <c r="H20">
        <v>0.93585527315735817</v>
      </c>
      <c r="I20">
        <v>0.93421052631578949</v>
      </c>
      <c r="J20">
        <v>334576.75</v>
      </c>
      <c r="K20">
        <v>603</v>
      </c>
      <c r="L20">
        <v>2</v>
      </c>
      <c r="M20">
        <v>15</v>
      </c>
      <c r="N20">
        <v>0.92763157894736836</v>
      </c>
      <c r="O20">
        <v>422990.6875</v>
      </c>
      <c r="P20">
        <v>675</v>
      </c>
      <c r="Q20">
        <v>2</v>
      </c>
      <c r="R20">
        <v>16</v>
      </c>
      <c r="S20">
        <v>11.97912148872863</v>
      </c>
      <c r="T20">
        <v>0.98260869979858401</v>
      </c>
      <c r="W20">
        <f>Tabela7[[#This Row],[mlp_params]]</f>
        <v>603</v>
      </c>
      <c r="X20">
        <f>Tabela7[[#This Row],[mlp_test_acc]]</f>
        <v>0.93421052631578949</v>
      </c>
      <c r="Y20">
        <f>Tabela7[[#This Row],[kan_val_acc_1]]</f>
        <v>0.98260869979858401</v>
      </c>
      <c r="Z20">
        <f>Tabela7[[#This Row],[no_steps]]</f>
        <v>11.97912148872863</v>
      </c>
    </row>
    <row r="21" spans="1:26" x14ac:dyDescent="0.25">
      <c r="A21" t="s">
        <v>295</v>
      </c>
      <c r="B21">
        <v>5</v>
      </c>
      <c r="C21">
        <v>3</v>
      </c>
      <c r="D21">
        <v>0</v>
      </c>
      <c r="E21" t="s">
        <v>306</v>
      </c>
      <c r="F21">
        <v>393</v>
      </c>
      <c r="G21">
        <v>3354201.4375</v>
      </c>
      <c r="H21">
        <v>0.93092105910181999</v>
      </c>
      <c r="I21">
        <v>0.94243421052631582</v>
      </c>
      <c r="J21">
        <v>735071.375</v>
      </c>
      <c r="K21">
        <v>603</v>
      </c>
      <c r="L21">
        <v>2</v>
      </c>
      <c r="M21">
        <v>15</v>
      </c>
      <c r="N21">
        <v>0.92598684210526316</v>
      </c>
      <c r="O21">
        <v>468717.375</v>
      </c>
      <c r="P21">
        <v>675</v>
      </c>
      <c r="Q21">
        <v>2</v>
      </c>
      <c r="R21">
        <v>16</v>
      </c>
      <c r="S21">
        <v>11.932428400954654</v>
      </c>
      <c r="T21">
        <v>0.97101449966430664</v>
      </c>
      <c r="W21">
        <f>Tabela7[[#This Row],[mlp_params]]</f>
        <v>603</v>
      </c>
      <c r="X21">
        <f>Tabela7[[#This Row],[mlp_test_acc]]</f>
        <v>0.94243421052631582</v>
      </c>
      <c r="Y21">
        <f>Tabela7[[#This Row],[kan_val_acc_1]]</f>
        <v>0.97101449966430664</v>
      </c>
      <c r="Z21">
        <f>Tabela7[[#This Row],[no_steps]]</f>
        <v>11.932428400954654</v>
      </c>
    </row>
    <row r="22" spans="1:26" x14ac:dyDescent="0.25">
      <c r="A22" t="s">
        <v>295</v>
      </c>
      <c r="B22">
        <v>9</v>
      </c>
      <c r="C22">
        <v>2</v>
      </c>
      <c r="D22">
        <v>0</v>
      </c>
      <c r="E22" t="s">
        <v>306</v>
      </c>
      <c r="F22">
        <v>498</v>
      </c>
      <c r="G22">
        <v>2971516.7142857141</v>
      </c>
      <c r="H22">
        <v>0.92293233530861996</v>
      </c>
      <c r="I22">
        <v>0.90413533834586468</v>
      </c>
      <c r="J22">
        <v>458643.57142857142</v>
      </c>
      <c r="K22">
        <v>603</v>
      </c>
      <c r="L22">
        <v>2</v>
      </c>
      <c r="M22">
        <v>15</v>
      </c>
      <c r="N22">
        <v>0.92481203007518797</v>
      </c>
      <c r="O22">
        <v>549196.92857142852</v>
      </c>
      <c r="P22">
        <v>675</v>
      </c>
      <c r="Q22">
        <v>2</v>
      </c>
      <c r="R22">
        <v>16</v>
      </c>
      <c r="S22">
        <v>11.808555332760431</v>
      </c>
      <c r="T22">
        <v>0.94314381709465611</v>
      </c>
      <c r="W22">
        <f>Tabela7[[#This Row],[mlp_params]]</f>
        <v>603</v>
      </c>
      <c r="X22">
        <f>Tabela7[[#This Row],[mlp_test_acc]]</f>
        <v>0.90413533834586468</v>
      </c>
      <c r="Y22">
        <f>Tabela7[[#This Row],[kan_val_acc_1]]</f>
        <v>0.94314381709465611</v>
      </c>
      <c r="Z22">
        <f>Tabela7[[#This Row],[no_steps]]</f>
        <v>11.808555332760431</v>
      </c>
    </row>
    <row r="23" spans="1:26" x14ac:dyDescent="0.25">
      <c r="A23" t="s">
        <v>295</v>
      </c>
      <c r="B23">
        <v>3</v>
      </c>
      <c r="C23">
        <v>3</v>
      </c>
      <c r="D23">
        <v>0</v>
      </c>
      <c r="E23" t="s">
        <v>303</v>
      </c>
      <c r="F23">
        <v>407</v>
      </c>
      <c r="G23">
        <v>2748040.5</v>
      </c>
      <c r="H23">
        <v>0.94901315867900848</v>
      </c>
      <c r="I23">
        <v>0.93914473684210531</v>
      </c>
      <c r="J23">
        <v>222216.125</v>
      </c>
      <c r="K23">
        <v>675</v>
      </c>
      <c r="L23">
        <v>2</v>
      </c>
      <c r="M23">
        <v>16</v>
      </c>
      <c r="N23">
        <v>0.93256578947368418</v>
      </c>
      <c r="O23">
        <v>121231.9375</v>
      </c>
      <c r="P23">
        <v>751</v>
      </c>
      <c r="Q23">
        <v>2</v>
      </c>
      <c r="R23">
        <v>17</v>
      </c>
      <c r="S23">
        <v>12.109473239287789</v>
      </c>
      <c r="T23">
        <v>0.99420289993286137</v>
      </c>
      <c r="W23">
        <f>Tabela7[[#This Row],[mlp_params]]</f>
        <v>675</v>
      </c>
      <c r="X23">
        <f>Tabela7[[#This Row],[mlp_test_acc]]</f>
        <v>0.93914473684210531</v>
      </c>
      <c r="Y23">
        <f>Tabela7[[#This Row],[kan_val_acc_1]]</f>
        <v>0.99420289993286137</v>
      </c>
      <c r="Z23">
        <f>Tabela7[[#This Row],[no_steps]]</f>
        <v>12.109473239287789</v>
      </c>
    </row>
    <row r="24" spans="1:26" x14ac:dyDescent="0.25">
      <c r="A24" t="s">
        <v>295</v>
      </c>
      <c r="B24">
        <v>5</v>
      </c>
      <c r="C24">
        <v>2</v>
      </c>
      <c r="D24">
        <v>0</v>
      </c>
      <c r="E24" t="s">
        <v>310</v>
      </c>
      <c r="F24">
        <v>500</v>
      </c>
      <c r="G24">
        <v>4767924.5</v>
      </c>
      <c r="H24">
        <v>0.93585526198148727</v>
      </c>
      <c r="I24">
        <v>0.93092105263157898</v>
      </c>
      <c r="J24">
        <v>434596.875</v>
      </c>
      <c r="K24">
        <v>675</v>
      </c>
      <c r="L24">
        <v>2</v>
      </c>
      <c r="M24">
        <v>16</v>
      </c>
      <c r="N24">
        <v>0.92434210526315785</v>
      </c>
      <c r="O24">
        <v>283280.0625</v>
      </c>
      <c r="P24">
        <v>751</v>
      </c>
      <c r="Q24">
        <v>2</v>
      </c>
      <c r="R24">
        <v>17</v>
      </c>
      <c r="S24">
        <v>11.977072310405644</v>
      </c>
      <c r="T24">
        <v>0.98260869979858401</v>
      </c>
      <c r="W24">
        <f>Tabela7[[#This Row],[mlp_params]]</f>
        <v>675</v>
      </c>
      <c r="X24">
        <f>Tabela7[[#This Row],[mlp_test_acc]]</f>
        <v>0.93092105263157898</v>
      </c>
      <c r="Y24">
        <f>Tabela7[[#This Row],[kan_val_acc_1]]</f>
        <v>0.98260869979858401</v>
      </c>
      <c r="Z24">
        <f>Tabela7[[#This Row],[no_steps]]</f>
        <v>11.977072310405644</v>
      </c>
    </row>
    <row r="25" spans="1:26" x14ac:dyDescent="0.25">
      <c r="A25" t="s">
        <v>295</v>
      </c>
      <c r="B25">
        <v>5</v>
      </c>
      <c r="C25">
        <v>4</v>
      </c>
      <c r="D25">
        <v>0</v>
      </c>
      <c r="E25" t="s">
        <v>306</v>
      </c>
      <c r="F25">
        <v>428</v>
      </c>
      <c r="G25">
        <v>3077684.5625</v>
      </c>
      <c r="H25">
        <v>0.92927632108330727</v>
      </c>
      <c r="I25">
        <v>0.91447368421052633</v>
      </c>
      <c r="J25">
        <v>463354.75</v>
      </c>
      <c r="K25">
        <v>675</v>
      </c>
      <c r="L25">
        <v>2</v>
      </c>
      <c r="M25">
        <v>16</v>
      </c>
      <c r="N25">
        <v>0.93256578947368418</v>
      </c>
      <c r="O25">
        <v>453576.5625</v>
      </c>
      <c r="P25">
        <v>751</v>
      </c>
      <c r="Q25">
        <v>2</v>
      </c>
      <c r="R25">
        <v>17</v>
      </c>
      <c r="S25">
        <v>11.883450911228689</v>
      </c>
      <c r="T25">
        <v>0.99130434989929195</v>
      </c>
      <c r="W25">
        <f>Tabela7[[#This Row],[mlp_params]]</f>
        <v>675</v>
      </c>
      <c r="X25">
        <f>Tabela7[[#This Row],[mlp_test_acc]]</f>
        <v>0.91447368421052633</v>
      </c>
      <c r="Y25">
        <f>Tabela7[[#This Row],[kan_val_acc_1]]</f>
        <v>0.99130434989929195</v>
      </c>
      <c r="Z25">
        <f>Tabela7[[#This Row],[no_steps]]</f>
        <v>11.883450911228689</v>
      </c>
    </row>
    <row r="26" spans="1:26" x14ac:dyDescent="0.25">
      <c r="A26" t="s">
        <v>295</v>
      </c>
      <c r="B26">
        <v>3</v>
      </c>
      <c r="C26">
        <v>2</v>
      </c>
      <c r="D26">
        <v>0</v>
      </c>
      <c r="E26" t="s">
        <v>313</v>
      </c>
      <c r="F26">
        <v>516</v>
      </c>
      <c r="G26">
        <v>1935514.6875</v>
      </c>
      <c r="H26">
        <v>0.94407894462347031</v>
      </c>
      <c r="I26">
        <v>0.94078947368421051</v>
      </c>
      <c r="J26">
        <v>164293.5</v>
      </c>
      <c r="K26">
        <v>751</v>
      </c>
      <c r="L26">
        <v>2</v>
      </c>
      <c r="M26">
        <v>17</v>
      </c>
      <c r="N26">
        <v>0.95723684210526316</v>
      </c>
      <c r="O26">
        <v>219605</v>
      </c>
      <c r="P26">
        <v>831</v>
      </c>
      <c r="Q26">
        <v>2</v>
      </c>
      <c r="R26">
        <v>18</v>
      </c>
      <c r="S26">
        <v>12.159184768034326</v>
      </c>
      <c r="T26">
        <v>0.99420289993286137</v>
      </c>
      <c r="W26">
        <f>Tabela7[[#This Row],[mlp_params]]</f>
        <v>751</v>
      </c>
      <c r="X26">
        <f>Tabela7[[#This Row],[mlp_test_acc]]</f>
        <v>0.94078947368421051</v>
      </c>
      <c r="Y26">
        <f>Tabela7[[#This Row],[kan_val_acc_1]]</f>
        <v>0.99420289993286137</v>
      </c>
      <c r="Z26">
        <f>Tabela7[[#This Row],[no_steps]]</f>
        <v>12.159184768034326</v>
      </c>
    </row>
    <row r="27" spans="1:26" x14ac:dyDescent="0.25">
      <c r="A27" t="s">
        <v>295</v>
      </c>
      <c r="B27">
        <v>3</v>
      </c>
      <c r="C27">
        <v>3</v>
      </c>
      <c r="D27">
        <v>0</v>
      </c>
      <c r="E27" t="s">
        <v>310</v>
      </c>
      <c r="F27">
        <v>451</v>
      </c>
      <c r="G27">
        <v>4233058.6875</v>
      </c>
      <c r="H27">
        <v>0.9440789557993412</v>
      </c>
      <c r="I27">
        <v>0.92927631578947367</v>
      </c>
      <c r="J27">
        <v>303322.125</v>
      </c>
      <c r="K27">
        <v>751</v>
      </c>
      <c r="L27">
        <v>2</v>
      </c>
      <c r="M27">
        <v>17</v>
      </c>
      <c r="N27">
        <v>0.91776315789473684</v>
      </c>
      <c r="O27">
        <v>305395.6875</v>
      </c>
      <c r="P27">
        <v>831</v>
      </c>
      <c r="Q27">
        <v>2</v>
      </c>
      <c r="R27">
        <v>18</v>
      </c>
      <c r="S27">
        <v>12.1064245367682</v>
      </c>
      <c r="T27">
        <v>0.98840579986572263</v>
      </c>
      <c r="W27">
        <f>Tabela7[[#This Row],[mlp_params]]</f>
        <v>751</v>
      </c>
      <c r="X27">
        <f>Tabela7[[#This Row],[mlp_test_acc]]</f>
        <v>0.92927631578947367</v>
      </c>
      <c r="Y27">
        <f>Tabela7[[#This Row],[kan_val_acc_1]]</f>
        <v>0.98840579986572263</v>
      </c>
      <c r="Z27">
        <f>Tabela7[[#This Row],[no_steps]]</f>
        <v>12.1064245367682</v>
      </c>
    </row>
    <row r="28" spans="1:26" x14ac:dyDescent="0.25">
      <c r="A28" t="s">
        <v>295</v>
      </c>
      <c r="B28">
        <v>3</v>
      </c>
      <c r="C28">
        <v>5</v>
      </c>
      <c r="D28">
        <v>0</v>
      </c>
      <c r="E28" t="s">
        <v>306</v>
      </c>
      <c r="F28">
        <v>393</v>
      </c>
      <c r="G28">
        <v>3417765.0625</v>
      </c>
      <c r="H28">
        <v>0.9375</v>
      </c>
      <c r="I28">
        <v>0.92434210526315785</v>
      </c>
      <c r="J28">
        <v>323189.625</v>
      </c>
      <c r="K28">
        <v>751</v>
      </c>
      <c r="L28">
        <v>2</v>
      </c>
      <c r="M28">
        <v>17</v>
      </c>
      <c r="N28">
        <v>0.9391447368421052</v>
      </c>
      <c r="O28">
        <v>310065.8125</v>
      </c>
      <c r="P28">
        <v>831</v>
      </c>
      <c r="Q28">
        <v>2</v>
      </c>
      <c r="R28">
        <v>18</v>
      </c>
      <c r="S28">
        <v>12.025216544513352</v>
      </c>
      <c r="T28">
        <v>0.97681159973144527</v>
      </c>
      <c r="W28">
        <f>Tabela7[[#This Row],[mlp_params]]</f>
        <v>751</v>
      </c>
      <c r="X28">
        <f>Tabela7[[#This Row],[mlp_test_acc]]</f>
        <v>0.92434210526315785</v>
      </c>
      <c r="Y28">
        <f>Tabela7[[#This Row],[kan_val_acc_1]]</f>
        <v>0.97681159973144527</v>
      </c>
      <c r="Z28">
        <f>Tabela7[[#This Row],[no_steps]]</f>
        <v>12.025216544513352</v>
      </c>
    </row>
    <row r="29" spans="1:26" x14ac:dyDescent="0.25">
      <c r="A29" t="s">
        <v>295</v>
      </c>
      <c r="B29">
        <v>5</v>
      </c>
      <c r="C29">
        <v>3</v>
      </c>
      <c r="D29">
        <v>0</v>
      </c>
      <c r="E29" t="s">
        <v>303</v>
      </c>
      <c r="F29">
        <v>495</v>
      </c>
      <c r="G29">
        <v>3003959.875</v>
      </c>
      <c r="H29">
        <v>0.90131579712033272</v>
      </c>
      <c r="I29">
        <v>0.93421052631578949</v>
      </c>
      <c r="J29">
        <v>645492.375</v>
      </c>
      <c r="K29">
        <v>751</v>
      </c>
      <c r="L29">
        <v>2</v>
      </c>
      <c r="M29">
        <v>17</v>
      </c>
      <c r="N29">
        <v>0.94243421052631582</v>
      </c>
      <c r="O29">
        <v>659355.375</v>
      </c>
      <c r="P29">
        <v>831</v>
      </c>
      <c r="Q29">
        <v>2</v>
      </c>
      <c r="R29">
        <v>18</v>
      </c>
      <c r="S29">
        <v>11.929352146263911</v>
      </c>
      <c r="T29">
        <v>0.97971014976501469</v>
      </c>
      <c r="W29">
        <f>Tabela7[[#This Row],[mlp_params]]</f>
        <v>751</v>
      </c>
      <c r="X29">
        <f>Tabela7[[#This Row],[mlp_test_acc]]</f>
        <v>0.93421052631578949</v>
      </c>
      <c r="Y29">
        <f>Tabela7[[#This Row],[kan_val_acc_1]]</f>
        <v>0.97971014976501469</v>
      </c>
      <c r="Z29">
        <f>Tabela7[[#This Row],[no_steps]]</f>
        <v>11.929352146263911</v>
      </c>
    </row>
    <row r="30" spans="1:26" x14ac:dyDescent="0.25">
      <c r="A30" t="s">
        <v>295</v>
      </c>
      <c r="B30">
        <v>9</v>
      </c>
      <c r="C30">
        <v>3</v>
      </c>
      <c r="D30">
        <v>0</v>
      </c>
      <c r="E30" t="s">
        <v>306</v>
      </c>
      <c r="F30">
        <v>533</v>
      </c>
      <c r="G30">
        <v>4156259.9285714286</v>
      </c>
      <c r="H30">
        <v>0.87406015821865624</v>
      </c>
      <c r="I30">
        <v>0.91729323308270672</v>
      </c>
      <c r="J30">
        <v>767429</v>
      </c>
      <c r="K30">
        <v>751</v>
      </c>
      <c r="L30">
        <v>2</v>
      </c>
      <c r="M30">
        <v>17</v>
      </c>
      <c r="N30">
        <v>0.92857142857142849</v>
      </c>
      <c r="O30">
        <v>558123.42857142852</v>
      </c>
      <c r="P30">
        <v>831</v>
      </c>
      <c r="Q30">
        <v>2</v>
      </c>
      <c r="R30">
        <v>18</v>
      </c>
      <c r="S30">
        <v>11.775462089777443</v>
      </c>
      <c r="T30">
        <v>0.94648830248759341</v>
      </c>
      <c r="W30">
        <f>Tabela7[[#This Row],[mlp_params]]</f>
        <v>751</v>
      </c>
      <c r="X30">
        <f>Tabela7[[#This Row],[mlp_test_acc]]</f>
        <v>0.91729323308270672</v>
      </c>
      <c r="Y30">
        <f>Tabela7[[#This Row],[kan_val_acc_1]]</f>
        <v>0.94648830248759341</v>
      </c>
      <c r="Z30">
        <f>Tabela7[[#This Row],[no_steps]]</f>
        <v>11.775462089777443</v>
      </c>
    </row>
    <row r="31" spans="1:26" x14ac:dyDescent="0.25">
      <c r="A31" t="s">
        <v>295</v>
      </c>
      <c r="B31">
        <v>3</v>
      </c>
      <c r="C31">
        <v>4</v>
      </c>
      <c r="D31">
        <v>0</v>
      </c>
      <c r="E31" t="s">
        <v>303</v>
      </c>
      <c r="F31">
        <v>451</v>
      </c>
      <c r="G31">
        <v>3032159.8125</v>
      </c>
      <c r="H31">
        <v>0.92598684877157211</v>
      </c>
      <c r="I31">
        <v>0.93256578947368418</v>
      </c>
      <c r="J31">
        <v>267208.4375</v>
      </c>
      <c r="K31">
        <v>831</v>
      </c>
      <c r="L31">
        <v>2</v>
      </c>
      <c r="M31">
        <v>18</v>
      </c>
      <c r="N31">
        <v>0.9375</v>
      </c>
      <c r="O31">
        <v>292253.5625</v>
      </c>
      <c r="P31">
        <v>915</v>
      </c>
      <c r="Q31">
        <v>2</v>
      </c>
      <c r="R31">
        <v>19</v>
      </c>
      <c r="S31">
        <v>12.062204192021635</v>
      </c>
      <c r="T31">
        <v>0.97681159973144527</v>
      </c>
      <c r="W31">
        <f>Tabela7[[#This Row],[mlp_params]]</f>
        <v>831</v>
      </c>
      <c r="X31">
        <f>Tabela7[[#This Row],[mlp_test_acc]]</f>
        <v>0.93256578947368418</v>
      </c>
      <c r="Y31">
        <f>Tabela7[[#This Row],[kan_val_acc_1]]</f>
        <v>0.97681159973144527</v>
      </c>
      <c r="Z31">
        <f>Tabela7[[#This Row],[no_steps]]</f>
        <v>12.062204192021635</v>
      </c>
    </row>
    <row r="32" spans="1:26" x14ac:dyDescent="0.25">
      <c r="A32" t="s">
        <v>295</v>
      </c>
      <c r="B32">
        <v>5</v>
      </c>
      <c r="C32">
        <v>2</v>
      </c>
      <c r="D32">
        <v>0</v>
      </c>
      <c r="E32" t="s">
        <v>304</v>
      </c>
      <c r="F32">
        <v>593</v>
      </c>
      <c r="G32">
        <v>3140808.4375</v>
      </c>
      <c r="H32">
        <v>0.92763158679008484</v>
      </c>
      <c r="I32">
        <v>0.91776315789473684</v>
      </c>
      <c r="J32">
        <v>465788.875</v>
      </c>
      <c r="K32">
        <v>831</v>
      </c>
      <c r="L32">
        <v>2</v>
      </c>
      <c r="M32">
        <v>18</v>
      </c>
      <c r="N32">
        <v>0.92434210526315785</v>
      </c>
      <c r="O32">
        <v>377193.625</v>
      </c>
      <c r="P32">
        <v>915</v>
      </c>
      <c r="Q32">
        <v>2</v>
      </c>
      <c r="R32">
        <v>19</v>
      </c>
      <c r="S32">
        <v>11.973767685413625</v>
      </c>
      <c r="T32">
        <v>0.98550724983215332</v>
      </c>
      <c r="W32">
        <f>Tabela7[[#This Row],[mlp_params]]</f>
        <v>831</v>
      </c>
      <c r="X32">
        <f>Tabela7[[#This Row],[mlp_test_acc]]</f>
        <v>0.91776315789473684</v>
      </c>
      <c r="Y32">
        <f>Tabela7[[#This Row],[kan_val_acc_1]]</f>
        <v>0.98550724983215332</v>
      </c>
      <c r="Z32">
        <f>Tabela7[[#This Row],[no_steps]]</f>
        <v>11.973767685413625</v>
      </c>
    </row>
    <row r="33" spans="1:26" x14ac:dyDescent="0.25">
      <c r="A33" t="s">
        <v>295</v>
      </c>
      <c r="B33">
        <v>5</v>
      </c>
      <c r="C33">
        <v>3</v>
      </c>
      <c r="D33">
        <v>0</v>
      </c>
      <c r="E33" t="s">
        <v>310</v>
      </c>
      <c r="F33">
        <v>549</v>
      </c>
      <c r="G33">
        <v>5484862.625</v>
      </c>
      <c r="H33">
        <v>0.90789473801851273</v>
      </c>
      <c r="I33">
        <v>0.92434210526315785</v>
      </c>
      <c r="J33">
        <v>522657.625</v>
      </c>
      <c r="K33">
        <v>831</v>
      </c>
      <c r="L33">
        <v>2</v>
      </c>
      <c r="M33">
        <v>18</v>
      </c>
      <c r="N33">
        <v>0.93092105263157887</v>
      </c>
      <c r="O33">
        <v>426781.9375</v>
      </c>
      <c r="P33">
        <v>915</v>
      </c>
      <c r="Q33">
        <v>2</v>
      </c>
      <c r="R33">
        <v>19</v>
      </c>
      <c r="S33">
        <v>11.927323272438443</v>
      </c>
      <c r="T33">
        <v>0.96811594168345139</v>
      </c>
      <c r="W33">
        <f>Tabela7[[#This Row],[mlp_params]]</f>
        <v>831</v>
      </c>
      <c r="X33">
        <f>Tabela7[[#This Row],[mlp_test_acc]]</f>
        <v>0.92434210526315785</v>
      </c>
      <c r="Y33">
        <f>Tabela7[[#This Row],[kan_val_acc_1]]</f>
        <v>0.96811594168345139</v>
      </c>
      <c r="Z33">
        <f>Tabela7[[#This Row],[no_steps]]</f>
        <v>11.927323272438443</v>
      </c>
    </row>
    <row r="34" spans="1:26" x14ac:dyDescent="0.25">
      <c r="A34" t="s">
        <v>295</v>
      </c>
      <c r="B34">
        <v>5</v>
      </c>
      <c r="C34">
        <v>5</v>
      </c>
      <c r="D34">
        <v>0</v>
      </c>
      <c r="E34" t="s">
        <v>306</v>
      </c>
      <c r="F34">
        <v>463</v>
      </c>
      <c r="G34">
        <v>3542231.3571428573</v>
      </c>
      <c r="H34">
        <v>0.95112782716751099</v>
      </c>
      <c r="I34">
        <v>0.92669172932330823</v>
      </c>
      <c r="J34">
        <v>472065.21428571426</v>
      </c>
      <c r="K34">
        <v>831</v>
      </c>
      <c r="L34">
        <v>2</v>
      </c>
      <c r="M34">
        <v>18</v>
      </c>
      <c r="N34">
        <v>0.92105263157894735</v>
      </c>
      <c r="O34">
        <v>398827.71428571426</v>
      </c>
      <c r="P34">
        <v>915</v>
      </c>
      <c r="Q34">
        <v>2</v>
      </c>
      <c r="R34">
        <v>19</v>
      </c>
      <c r="S34">
        <v>11.844710887642622</v>
      </c>
      <c r="T34">
        <v>0.98327759596017694</v>
      </c>
      <c r="W34">
        <f>Tabela7[[#This Row],[mlp_params]]</f>
        <v>831</v>
      </c>
      <c r="X34">
        <f>Tabela7[[#This Row],[mlp_test_acc]]</f>
        <v>0.92669172932330823</v>
      </c>
      <c r="Y34">
        <f>Tabela7[[#This Row],[kan_val_acc_1]]</f>
        <v>0.98327759596017694</v>
      </c>
      <c r="Z34">
        <f>Tabela7[[#This Row],[no_steps]]</f>
        <v>11.844710887642622</v>
      </c>
    </row>
    <row r="35" spans="1:26" x14ac:dyDescent="0.25">
      <c r="A35" t="s">
        <v>295</v>
      </c>
      <c r="B35">
        <v>9</v>
      </c>
      <c r="C35">
        <v>2</v>
      </c>
      <c r="D35">
        <v>0</v>
      </c>
      <c r="E35" t="s">
        <v>303</v>
      </c>
      <c r="F35">
        <v>627</v>
      </c>
      <c r="G35">
        <v>3854726.6428571427</v>
      </c>
      <c r="H35">
        <v>0.95112782716751099</v>
      </c>
      <c r="I35">
        <v>0.93045112781954886</v>
      </c>
      <c r="J35">
        <v>847431.14285714284</v>
      </c>
      <c r="K35">
        <v>831</v>
      </c>
      <c r="L35">
        <v>2</v>
      </c>
      <c r="M35">
        <v>18</v>
      </c>
      <c r="N35">
        <v>0.9229323308270676</v>
      </c>
      <c r="O35">
        <v>1053018.5</v>
      </c>
      <c r="P35">
        <v>915</v>
      </c>
      <c r="Q35">
        <v>2</v>
      </c>
      <c r="R35">
        <v>19</v>
      </c>
      <c r="S35">
        <v>11.807347328244274</v>
      </c>
      <c r="T35">
        <v>0.94983277871058536</v>
      </c>
      <c r="W35">
        <f>Tabela7[[#This Row],[mlp_params]]</f>
        <v>831</v>
      </c>
      <c r="X35">
        <f>Tabela7[[#This Row],[mlp_test_acc]]</f>
        <v>0.93045112781954886</v>
      </c>
      <c r="Y35">
        <f>Tabela7[[#This Row],[kan_val_acc_1]]</f>
        <v>0.94983277871058536</v>
      </c>
      <c r="Z35">
        <f>Tabela7[[#This Row],[no_steps]]</f>
        <v>11.807347328244274</v>
      </c>
    </row>
    <row r="36" spans="1:26" x14ac:dyDescent="0.25">
      <c r="A36" t="s">
        <v>295</v>
      </c>
      <c r="B36">
        <v>9</v>
      </c>
      <c r="C36">
        <v>4</v>
      </c>
      <c r="D36">
        <v>0</v>
      </c>
      <c r="E36" t="s">
        <v>306</v>
      </c>
      <c r="F36">
        <v>568</v>
      </c>
      <c r="G36">
        <v>4403818</v>
      </c>
      <c r="H36">
        <v>0.89097745077950619</v>
      </c>
      <c r="I36">
        <v>0.93984962406015038</v>
      </c>
      <c r="J36">
        <v>602554.5</v>
      </c>
      <c r="K36">
        <v>831</v>
      </c>
      <c r="L36">
        <v>2</v>
      </c>
      <c r="M36">
        <v>18</v>
      </c>
      <c r="N36">
        <v>0.91729323308270672</v>
      </c>
      <c r="O36">
        <v>764845.35714285716</v>
      </c>
      <c r="P36">
        <v>915</v>
      </c>
      <c r="Q36">
        <v>2</v>
      </c>
      <c r="R36">
        <v>19</v>
      </c>
      <c r="S36">
        <v>11.746553651266765</v>
      </c>
      <c r="T36">
        <v>0.94648830707256615</v>
      </c>
      <c r="W36">
        <f>Tabela7[[#This Row],[mlp_params]]</f>
        <v>831</v>
      </c>
      <c r="X36">
        <f>Tabela7[[#This Row],[mlp_test_acc]]</f>
        <v>0.93984962406015038</v>
      </c>
      <c r="Y36">
        <f>Tabela7[[#This Row],[kan_val_acc_1]]</f>
        <v>0.94648830707256615</v>
      </c>
      <c r="Z36">
        <f>Tabela7[[#This Row],[no_steps]]</f>
        <v>11.746553651266765</v>
      </c>
    </row>
    <row r="37" spans="1:26" x14ac:dyDescent="0.25">
      <c r="A37" t="s">
        <v>295</v>
      </c>
      <c r="B37">
        <v>3</v>
      </c>
      <c r="C37">
        <v>2</v>
      </c>
      <c r="D37">
        <v>0</v>
      </c>
      <c r="E37" t="s">
        <v>305</v>
      </c>
      <c r="F37">
        <v>591</v>
      </c>
      <c r="G37">
        <v>3187194.1739130435</v>
      </c>
      <c r="H37">
        <v>0.9399313525013302</v>
      </c>
      <c r="I37">
        <v>0.92448512585812359</v>
      </c>
      <c r="J37">
        <v>211769.13043478262</v>
      </c>
      <c r="K37">
        <v>915</v>
      </c>
      <c r="L37">
        <v>2</v>
      </c>
      <c r="M37">
        <v>19</v>
      </c>
      <c r="N37">
        <v>0.93478260869565211</v>
      </c>
      <c r="O37">
        <v>261351.02173913043</v>
      </c>
      <c r="P37">
        <v>1003</v>
      </c>
      <c r="Q37">
        <v>2</v>
      </c>
      <c r="R37">
        <v>20</v>
      </c>
      <c r="S37">
        <v>12.150179230645765</v>
      </c>
      <c r="T37">
        <v>0.99227053324381509</v>
      </c>
      <c r="W37">
        <f>Tabela7[[#This Row],[mlp_params]]</f>
        <v>915</v>
      </c>
      <c r="X37">
        <f>Tabela7[[#This Row],[mlp_test_acc]]</f>
        <v>0.92448512585812359</v>
      </c>
      <c r="Y37">
        <f>Tabela7[[#This Row],[kan_val_acc_1]]</f>
        <v>0.99227053324381509</v>
      </c>
      <c r="Z37">
        <f>Tabela7[[#This Row],[no_steps]]</f>
        <v>12.150179230645765</v>
      </c>
    </row>
    <row r="38" spans="1:26" x14ac:dyDescent="0.25">
      <c r="A38" t="s">
        <v>295</v>
      </c>
      <c r="B38">
        <v>3</v>
      </c>
      <c r="C38">
        <v>3</v>
      </c>
      <c r="D38">
        <v>0</v>
      </c>
      <c r="E38" t="s">
        <v>304</v>
      </c>
      <c r="F38">
        <v>535</v>
      </c>
      <c r="G38">
        <v>3065257.4375</v>
      </c>
      <c r="H38">
        <v>0.95230263099074364</v>
      </c>
      <c r="I38">
        <v>0.92598684210526316</v>
      </c>
      <c r="J38">
        <v>297171.875</v>
      </c>
      <c r="K38">
        <v>915</v>
      </c>
      <c r="L38">
        <v>2</v>
      </c>
      <c r="M38">
        <v>19</v>
      </c>
      <c r="N38">
        <v>0.92927631578947367</v>
      </c>
      <c r="O38">
        <v>277433.0625</v>
      </c>
      <c r="P38">
        <v>1003</v>
      </c>
      <c r="Q38">
        <v>2</v>
      </c>
      <c r="R38">
        <v>20</v>
      </c>
      <c r="S38">
        <v>12.10332823461153</v>
      </c>
      <c r="T38">
        <v>0.99130434989929195</v>
      </c>
      <c r="W38">
        <f>Tabela7[[#This Row],[mlp_params]]</f>
        <v>915</v>
      </c>
      <c r="X38">
        <f>Tabela7[[#This Row],[mlp_test_acc]]</f>
        <v>0.92598684210526316</v>
      </c>
      <c r="Y38">
        <f>Tabela7[[#This Row],[kan_val_acc_1]]</f>
        <v>0.99130434989929195</v>
      </c>
      <c r="Z38">
        <f>Tabela7[[#This Row],[no_steps]]</f>
        <v>12.10332823461153</v>
      </c>
    </row>
    <row r="39" spans="1:26" x14ac:dyDescent="0.25">
      <c r="A39" t="s">
        <v>295</v>
      </c>
      <c r="B39">
        <v>3</v>
      </c>
      <c r="C39">
        <v>4</v>
      </c>
      <c r="D39">
        <v>0</v>
      </c>
      <c r="E39" t="s">
        <v>310</v>
      </c>
      <c r="F39">
        <v>500</v>
      </c>
      <c r="G39">
        <v>5263062.3125</v>
      </c>
      <c r="H39">
        <v>0.91447368636727333</v>
      </c>
      <c r="I39">
        <v>0.92434210526315785</v>
      </c>
      <c r="J39">
        <v>273431.6875</v>
      </c>
      <c r="K39">
        <v>915</v>
      </c>
      <c r="L39">
        <v>2</v>
      </c>
      <c r="M39">
        <v>19</v>
      </c>
      <c r="N39">
        <v>0.93421052631578949</v>
      </c>
      <c r="O39">
        <v>253398.375</v>
      </c>
      <c r="P39">
        <v>1003</v>
      </c>
      <c r="Q39">
        <v>2</v>
      </c>
      <c r="R39">
        <v>20</v>
      </c>
      <c r="S39">
        <v>12.06017772696565</v>
      </c>
      <c r="T39">
        <v>0.98840579986572263</v>
      </c>
      <c r="W39">
        <f>Tabela7[[#This Row],[mlp_params]]</f>
        <v>915</v>
      </c>
      <c r="X39">
        <f>Tabela7[[#This Row],[mlp_test_acc]]</f>
        <v>0.92434210526315785</v>
      </c>
      <c r="Y39">
        <f>Tabela7[[#This Row],[kan_val_acc_1]]</f>
        <v>0.98840579986572263</v>
      </c>
      <c r="Z39">
        <f>Tabela7[[#This Row],[no_steps]]</f>
        <v>12.06017772696565</v>
      </c>
    </row>
    <row r="40" spans="1:26" x14ac:dyDescent="0.25">
      <c r="A40" t="s">
        <v>295</v>
      </c>
      <c r="B40">
        <v>3</v>
      </c>
      <c r="C40">
        <v>5</v>
      </c>
      <c r="D40">
        <v>0</v>
      </c>
      <c r="E40" t="s">
        <v>303</v>
      </c>
      <c r="F40">
        <v>495</v>
      </c>
      <c r="G40">
        <v>3505568.625</v>
      </c>
      <c r="H40">
        <v>0.94078947603702545</v>
      </c>
      <c r="I40">
        <v>0.92763157894736836</v>
      </c>
      <c r="J40">
        <v>352038.25</v>
      </c>
      <c r="K40">
        <v>915</v>
      </c>
      <c r="L40">
        <v>2</v>
      </c>
      <c r="M40">
        <v>19</v>
      </c>
      <c r="N40">
        <v>0.93421052631578949</v>
      </c>
      <c r="O40">
        <v>441949.125</v>
      </c>
      <c r="P40">
        <v>1003</v>
      </c>
      <c r="Q40">
        <v>2</v>
      </c>
      <c r="R40">
        <v>20</v>
      </c>
      <c r="S40">
        <v>12.022225636298458</v>
      </c>
      <c r="T40">
        <v>0.98840579986572263</v>
      </c>
      <c r="W40">
        <f>Tabela7[[#This Row],[mlp_params]]</f>
        <v>915</v>
      </c>
      <c r="X40">
        <f>Tabela7[[#This Row],[mlp_test_acc]]</f>
        <v>0.92763157894736836</v>
      </c>
      <c r="Y40">
        <f>Tabela7[[#This Row],[kan_val_acc_1]]</f>
        <v>0.98840579986572263</v>
      </c>
      <c r="Z40">
        <f>Tabela7[[#This Row],[no_steps]]</f>
        <v>12.022225636298458</v>
      </c>
    </row>
    <row r="41" spans="1:26" x14ac:dyDescent="0.25">
      <c r="A41" t="s">
        <v>295</v>
      </c>
      <c r="B41">
        <v>5</v>
      </c>
      <c r="C41">
        <v>2</v>
      </c>
      <c r="D41">
        <v>0</v>
      </c>
      <c r="E41" t="s">
        <v>313</v>
      </c>
      <c r="F41">
        <v>642</v>
      </c>
      <c r="G41">
        <v>4484858.6774193551</v>
      </c>
      <c r="H41">
        <v>0.93463497969412035</v>
      </c>
      <c r="I41">
        <v>0.91850594227504245</v>
      </c>
      <c r="J41">
        <v>388973.32258064515</v>
      </c>
      <c r="K41">
        <v>915</v>
      </c>
      <c r="L41">
        <v>2</v>
      </c>
      <c r="M41">
        <v>19</v>
      </c>
      <c r="N41">
        <v>0.93718166383701185</v>
      </c>
      <c r="O41">
        <v>280855.12903225806</v>
      </c>
      <c r="P41">
        <v>1003</v>
      </c>
      <c r="Q41">
        <v>2</v>
      </c>
      <c r="R41">
        <v>20</v>
      </c>
      <c r="S41">
        <v>11.968731148200282</v>
      </c>
      <c r="T41">
        <v>0.97971014777819321</v>
      </c>
      <c r="W41">
        <f>Tabela7[[#This Row],[mlp_params]]</f>
        <v>915</v>
      </c>
      <c r="X41">
        <f>Tabela7[[#This Row],[mlp_test_acc]]</f>
        <v>0.91850594227504245</v>
      </c>
      <c r="Y41">
        <f>Tabela7[[#This Row],[kan_val_acc_1]]</f>
        <v>0.97971014777819321</v>
      </c>
      <c r="Z41">
        <f>Tabela7[[#This Row],[no_steps]]</f>
        <v>11.968731148200282</v>
      </c>
    </row>
    <row r="42" spans="1:26" x14ac:dyDescent="0.25">
      <c r="A42" t="s">
        <v>295</v>
      </c>
      <c r="B42">
        <v>5</v>
      </c>
      <c r="C42">
        <v>4</v>
      </c>
      <c r="D42">
        <v>0</v>
      </c>
      <c r="E42" t="s">
        <v>303</v>
      </c>
      <c r="F42">
        <v>539</v>
      </c>
      <c r="G42">
        <v>3205941.25</v>
      </c>
      <c r="H42">
        <v>0.8470394741743803</v>
      </c>
      <c r="I42">
        <v>0.92269736842105265</v>
      </c>
      <c r="J42">
        <v>688277.5</v>
      </c>
      <c r="K42">
        <v>915</v>
      </c>
      <c r="L42">
        <v>2</v>
      </c>
      <c r="M42">
        <v>19</v>
      </c>
      <c r="N42">
        <v>0.92434210526315785</v>
      </c>
      <c r="O42">
        <v>598046.1875</v>
      </c>
      <c r="P42">
        <v>1003</v>
      </c>
      <c r="Q42">
        <v>2</v>
      </c>
      <c r="R42">
        <v>20</v>
      </c>
      <c r="S42">
        <v>11.880311337380066</v>
      </c>
      <c r="T42">
        <v>0.97971014976501469</v>
      </c>
      <c r="W42">
        <f>Tabela7[[#This Row],[mlp_params]]</f>
        <v>915</v>
      </c>
      <c r="X42">
        <f>Tabela7[[#This Row],[mlp_test_acc]]</f>
        <v>0.92269736842105265</v>
      </c>
      <c r="Y42">
        <f>Tabela7[[#This Row],[kan_val_acc_1]]</f>
        <v>0.97971014976501469</v>
      </c>
      <c r="Z42">
        <f>Tabela7[[#This Row],[no_steps]]</f>
        <v>11.880311337380066</v>
      </c>
    </row>
    <row r="43" spans="1:26" x14ac:dyDescent="0.25">
      <c r="A43" t="s">
        <v>295</v>
      </c>
      <c r="B43">
        <v>9</v>
      </c>
      <c r="C43">
        <v>2</v>
      </c>
      <c r="D43">
        <v>0</v>
      </c>
      <c r="E43" t="s">
        <v>310</v>
      </c>
      <c r="F43">
        <v>696</v>
      </c>
      <c r="G43">
        <v>5027743.2142857146</v>
      </c>
      <c r="H43">
        <v>0.92481203590120586</v>
      </c>
      <c r="I43">
        <v>0.91541353383458646</v>
      </c>
      <c r="J43">
        <v>911451</v>
      </c>
      <c r="K43">
        <v>915</v>
      </c>
      <c r="L43">
        <v>2</v>
      </c>
      <c r="M43">
        <v>19</v>
      </c>
      <c r="N43">
        <v>0.93984962406015038</v>
      </c>
      <c r="O43">
        <v>879630.28571428568</v>
      </c>
      <c r="P43">
        <v>1003</v>
      </c>
      <c r="Q43">
        <v>2</v>
      </c>
      <c r="R43">
        <v>20</v>
      </c>
      <c r="S43">
        <v>11.805235052922667</v>
      </c>
      <c r="T43">
        <v>0.97324415353628302</v>
      </c>
      <c r="W43">
        <f>Tabela7[[#This Row],[mlp_params]]</f>
        <v>915</v>
      </c>
      <c r="X43">
        <f>Tabela7[[#This Row],[mlp_test_acc]]</f>
        <v>0.91541353383458646</v>
      </c>
      <c r="Y43">
        <f>Tabela7[[#This Row],[kan_val_acc_1]]</f>
        <v>0.97324415353628302</v>
      </c>
      <c r="Z43">
        <f>Tabela7[[#This Row],[no_steps]]</f>
        <v>11.805235052922667</v>
      </c>
    </row>
    <row r="44" spans="1:26" x14ac:dyDescent="0.25">
      <c r="A44" t="s">
        <v>295</v>
      </c>
      <c r="B44">
        <v>9</v>
      </c>
      <c r="C44">
        <v>3</v>
      </c>
      <c r="D44">
        <v>0</v>
      </c>
      <c r="E44" t="s">
        <v>303</v>
      </c>
      <c r="F44">
        <v>671</v>
      </c>
      <c r="G44">
        <v>4059183.8571428573</v>
      </c>
      <c r="H44">
        <v>0.91729323353086201</v>
      </c>
      <c r="I44">
        <v>0.93421052631578949</v>
      </c>
      <c r="J44">
        <v>959329.85714285716</v>
      </c>
      <c r="K44">
        <v>915</v>
      </c>
      <c r="L44">
        <v>2</v>
      </c>
      <c r="M44">
        <v>19</v>
      </c>
      <c r="N44">
        <v>0.93233082706766912</v>
      </c>
      <c r="O44">
        <v>718985.57142857148</v>
      </c>
      <c r="P44">
        <v>1003</v>
      </c>
      <c r="Q44">
        <v>2</v>
      </c>
      <c r="R44">
        <v>20</v>
      </c>
      <c r="S44">
        <v>11.774055225709169</v>
      </c>
      <c r="T44">
        <v>0.94314382167962885</v>
      </c>
      <c r="W44">
        <f>Tabela7[[#This Row],[mlp_params]]</f>
        <v>915</v>
      </c>
      <c r="X44">
        <f>Tabela7[[#This Row],[mlp_test_acc]]</f>
        <v>0.93421052631578949</v>
      </c>
      <c r="Y44">
        <f>Tabela7[[#This Row],[kan_val_acc_1]]</f>
        <v>0.94314382167962885</v>
      </c>
      <c r="Z44">
        <f>Tabela7[[#This Row],[no_steps]]</f>
        <v>11.774055225709169</v>
      </c>
    </row>
    <row r="45" spans="1:26" x14ac:dyDescent="0.25">
      <c r="A45" t="s">
        <v>295</v>
      </c>
      <c r="B45">
        <v>9</v>
      </c>
      <c r="C45">
        <v>5</v>
      </c>
      <c r="D45">
        <v>0</v>
      </c>
      <c r="E45" t="s">
        <v>306</v>
      </c>
      <c r="F45">
        <v>603</v>
      </c>
      <c r="G45">
        <v>4571604.2142857146</v>
      </c>
      <c r="H45">
        <v>0.87406016247613094</v>
      </c>
      <c r="I45">
        <v>0.90977443609022557</v>
      </c>
      <c r="J45">
        <v>400955.92857142858</v>
      </c>
      <c r="K45">
        <v>915</v>
      </c>
      <c r="L45">
        <v>2</v>
      </c>
      <c r="M45">
        <v>19</v>
      </c>
      <c r="N45">
        <v>0.92105263157894735</v>
      </c>
      <c r="O45">
        <v>424053.71428571426</v>
      </c>
      <c r="P45">
        <v>1003</v>
      </c>
      <c r="Q45">
        <v>2</v>
      </c>
      <c r="R45">
        <v>20</v>
      </c>
      <c r="S45">
        <v>11.711972025397994</v>
      </c>
      <c r="T45">
        <v>0.98662207676814151</v>
      </c>
      <c r="W45">
        <f>Tabela7[[#This Row],[mlp_params]]</f>
        <v>915</v>
      </c>
      <c r="X45">
        <f>Tabela7[[#This Row],[mlp_test_acc]]</f>
        <v>0.90977443609022557</v>
      </c>
      <c r="Y45">
        <f>Tabela7[[#This Row],[kan_val_acc_1]]</f>
        <v>0.98662207676814151</v>
      </c>
      <c r="Z45">
        <f>Tabela7[[#This Row],[no_steps]]</f>
        <v>11.711972025397994</v>
      </c>
    </row>
    <row r="46" spans="1:26" x14ac:dyDescent="0.25">
      <c r="A46" t="s">
        <v>295</v>
      </c>
      <c r="B46">
        <v>3</v>
      </c>
      <c r="C46">
        <v>2</v>
      </c>
      <c r="D46">
        <v>0</v>
      </c>
      <c r="E46" t="s">
        <v>308</v>
      </c>
      <c r="F46">
        <v>639</v>
      </c>
      <c r="G46">
        <v>4602889.064516129</v>
      </c>
      <c r="H46">
        <v>0.93972836194499842</v>
      </c>
      <c r="I46">
        <v>0.9303904923599321</v>
      </c>
      <c r="J46">
        <v>226021.96774193548</v>
      </c>
      <c r="K46">
        <v>1003</v>
      </c>
      <c r="L46">
        <v>2</v>
      </c>
      <c r="M46">
        <v>20</v>
      </c>
      <c r="N46">
        <v>0.93208828522920206</v>
      </c>
      <c r="O46">
        <v>229749.74193548388</v>
      </c>
      <c r="P46">
        <v>1095</v>
      </c>
      <c r="Q46">
        <v>2</v>
      </c>
      <c r="R46">
        <v>21</v>
      </c>
      <c r="S46">
        <v>12.148007691485953</v>
      </c>
      <c r="T46">
        <v>0.99275362491607666</v>
      </c>
      <c r="W46">
        <f>Tabela7[[#This Row],[mlp_params]]</f>
        <v>1003</v>
      </c>
      <c r="X46">
        <f>Tabela7[[#This Row],[mlp_test_acc]]</f>
        <v>0.9303904923599321</v>
      </c>
      <c r="Y46">
        <f>Tabela7[[#This Row],[kan_val_acc_1]]</f>
        <v>0.99275362491607666</v>
      </c>
      <c r="Z46">
        <f>Tabela7[[#This Row],[no_steps]]</f>
        <v>12.148007691485953</v>
      </c>
    </row>
    <row r="47" spans="1:26" x14ac:dyDescent="0.25">
      <c r="A47" t="s">
        <v>295</v>
      </c>
      <c r="B47">
        <v>3</v>
      </c>
      <c r="C47">
        <v>3</v>
      </c>
      <c r="D47">
        <v>0</v>
      </c>
      <c r="E47" t="s">
        <v>313</v>
      </c>
      <c r="F47">
        <v>579</v>
      </c>
      <c r="G47">
        <v>4402301.3225806449</v>
      </c>
      <c r="H47">
        <v>0.95076400618399348</v>
      </c>
      <c r="I47">
        <v>0.92444821731748728</v>
      </c>
      <c r="J47">
        <v>249555.90322580645</v>
      </c>
      <c r="K47">
        <v>1003</v>
      </c>
      <c r="L47">
        <v>2</v>
      </c>
      <c r="M47">
        <v>20</v>
      </c>
      <c r="N47">
        <v>0.93293718166383699</v>
      </c>
      <c r="O47">
        <v>236226.80645161291</v>
      </c>
      <c r="P47">
        <v>1095</v>
      </c>
      <c r="Q47">
        <v>2</v>
      </c>
      <c r="R47">
        <v>21</v>
      </c>
      <c r="S47">
        <v>12.098367561874671</v>
      </c>
      <c r="T47">
        <v>0.99130434989929195</v>
      </c>
      <c r="W47">
        <f>Tabela7[[#This Row],[mlp_params]]</f>
        <v>1003</v>
      </c>
      <c r="X47">
        <f>Tabela7[[#This Row],[mlp_test_acc]]</f>
        <v>0.92444821731748728</v>
      </c>
      <c r="Y47">
        <f>Tabela7[[#This Row],[kan_val_acc_1]]</f>
        <v>0.99130434989929195</v>
      </c>
      <c r="Z47">
        <f>Tabela7[[#This Row],[no_steps]]</f>
        <v>12.098367561874671</v>
      </c>
    </row>
    <row r="48" spans="1:26" x14ac:dyDescent="0.25">
      <c r="A48" t="s">
        <v>295</v>
      </c>
      <c r="B48">
        <v>3</v>
      </c>
      <c r="C48">
        <v>5</v>
      </c>
      <c r="D48">
        <v>0</v>
      </c>
      <c r="E48" t="s">
        <v>310</v>
      </c>
      <c r="F48">
        <v>549</v>
      </c>
      <c r="G48">
        <v>5725875.5</v>
      </c>
      <c r="H48">
        <v>0.81743421219289303</v>
      </c>
      <c r="I48">
        <v>0.92763157894736836</v>
      </c>
      <c r="J48">
        <v>335900.25</v>
      </c>
      <c r="K48">
        <v>1003</v>
      </c>
      <c r="L48">
        <v>2</v>
      </c>
      <c r="M48">
        <v>20</v>
      </c>
      <c r="N48">
        <v>0.93256578947368418</v>
      </c>
      <c r="O48">
        <v>314727.875</v>
      </c>
      <c r="P48">
        <v>1095</v>
      </c>
      <c r="Q48">
        <v>2</v>
      </c>
      <c r="R48">
        <v>21</v>
      </c>
      <c r="S48">
        <v>12.01959780995753</v>
      </c>
      <c r="T48">
        <v>0.94202899138132734</v>
      </c>
      <c r="W48">
        <f>Tabela7[[#This Row],[mlp_params]]</f>
        <v>1003</v>
      </c>
      <c r="X48">
        <f>Tabela7[[#This Row],[mlp_test_acc]]</f>
        <v>0.92763157894736836</v>
      </c>
      <c r="Y48">
        <f>Tabela7[[#This Row],[kan_val_acc_1]]</f>
        <v>0.94202899138132734</v>
      </c>
      <c r="Z48">
        <f>Tabela7[[#This Row],[no_steps]]</f>
        <v>12.01959780995753</v>
      </c>
    </row>
    <row r="49" spans="1:26" x14ac:dyDescent="0.25">
      <c r="A49" t="s">
        <v>295</v>
      </c>
      <c r="B49">
        <v>5</v>
      </c>
      <c r="C49">
        <v>2</v>
      </c>
      <c r="D49">
        <v>0</v>
      </c>
      <c r="E49" t="s">
        <v>305</v>
      </c>
      <c r="F49">
        <v>735</v>
      </c>
      <c r="G49">
        <v>3027646.4375</v>
      </c>
      <c r="H49">
        <v>0.93914475291967392</v>
      </c>
      <c r="I49">
        <v>0.91447368421052633</v>
      </c>
      <c r="J49">
        <v>588582.8125</v>
      </c>
      <c r="K49">
        <v>1003</v>
      </c>
      <c r="L49">
        <v>2</v>
      </c>
      <c r="M49">
        <v>20</v>
      </c>
      <c r="N49">
        <v>0.93092105263157887</v>
      </c>
      <c r="O49">
        <v>414271.25</v>
      </c>
      <c r="P49">
        <v>1095</v>
      </c>
      <c r="Q49">
        <v>2</v>
      </c>
      <c r="R49">
        <v>21</v>
      </c>
      <c r="S49">
        <v>11.965089411291943</v>
      </c>
      <c r="T49">
        <v>0.97971014976501469</v>
      </c>
      <c r="W49">
        <f>Tabela7[[#This Row],[mlp_params]]</f>
        <v>1003</v>
      </c>
      <c r="X49">
        <f>Tabela7[[#This Row],[mlp_test_acc]]</f>
        <v>0.91447368421052633</v>
      </c>
      <c r="Y49">
        <f>Tabela7[[#This Row],[kan_val_acc_1]]</f>
        <v>0.97971014976501469</v>
      </c>
      <c r="Z49">
        <f>Tabela7[[#This Row],[no_steps]]</f>
        <v>11.965089411291943</v>
      </c>
    </row>
    <row r="50" spans="1:26" x14ac:dyDescent="0.25">
      <c r="A50" t="s">
        <v>295</v>
      </c>
      <c r="B50">
        <v>5</v>
      </c>
      <c r="C50">
        <v>3</v>
      </c>
      <c r="D50">
        <v>0</v>
      </c>
      <c r="E50" t="s">
        <v>304</v>
      </c>
      <c r="F50">
        <v>651</v>
      </c>
      <c r="G50">
        <v>3027350.25</v>
      </c>
      <c r="H50">
        <v>0.88651315867900848</v>
      </c>
      <c r="I50">
        <v>0.91447368421052633</v>
      </c>
      <c r="J50">
        <v>472616.625</v>
      </c>
      <c r="K50">
        <v>1003</v>
      </c>
      <c r="L50">
        <v>2</v>
      </c>
      <c r="M50">
        <v>20</v>
      </c>
      <c r="N50">
        <v>0.93914473684210531</v>
      </c>
      <c r="O50">
        <v>403610.8125</v>
      </c>
      <c r="P50">
        <v>1095</v>
      </c>
      <c r="Q50">
        <v>2</v>
      </c>
      <c r="R50">
        <v>21</v>
      </c>
      <c r="S50">
        <v>11.923908730158731</v>
      </c>
      <c r="T50">
        <v>0.98550724983215332</v>
      </c>
      <c r="W50">
        <f>Tabela7[[#This Row],[mlp_params]]</f>
        <v>1003</v>
      </c>
      <c r="X50">
        <f>Tabela7[[#This Row],[mlp_test_acc]]</f>
        <v>0.91447368421052633</v>
      </c>
      <c r="Y50">
        <f>Tabela7[[#This Row],[kan_val_acc_1]]</f>
        <v>0.98550724983215332</v>
      </c>
      <c r="Z50">
        <f>Tabela7[[#This Row],[no_steps]]</f>
        <v>11.923908730158731</v>
      </c>
    </row>
    <row r="51" spans="1:26" x14ac:dyDescent="0.25">
      <c r="A51" t="s">
        <v>295</v>
      </c>
      <c r="B51">
        <v>5</v>
      </c>
      <c r="C51">
        <v>4</v>
      </c>
      <c r="D51">
        <v>0</v>
      </c>
      <c r="E51" t="s">
        <v>310</v>
      </c>
      <c r="F51">
        <v>598</v>
      </c>
      <c r="G51">
        <v>5941663.8125</v>
      </c>
      <c r="H51">
        <v>0.86019737645983696</v>
      </c>
      <c r="I51">
        <v>0.91940789473684204</v>
      </c>
      <c r="J51">
        <v>521359.125</v>
      </c>
      <c r="K51">
        <v>1003</v>
      </c>
      <c r="L51">
        <v>2</v>
      </c>
      <c r="M51">
        <v>20</v>
      </c>
      <c r="N51">
        <v>0.93092105263157887</v>
      </c>
      <c r="O51">
        <v>505751.875</v>
      </c>
      <c r="P51">
        <v>1095</v>
      </c>
      <c r="Q51">
        <v>2</v>
      </c>
      <c r="R51">
        <v>21</v>
      </c>
      <c r="S51">
        <v>11.877812561142633</v>
      </c>
      <c r="T51">
        <v>0.97101449569066367</v>
      </c>
      <c r="W51">
        <f>Tabela7[[#This Row],[mlp_params]]</f>
        <v>1003</v>
      </c>
      <c r="X51">
        <f>Tabela7[[#This Row],[mlp_test_acc]]</f>
        <v>0.91940789473684204</v>
      </c>
      <c r="Y51">
        <f>Tabela7[[#This Row],[kan_val_acc_1]]</f>
        <v>0.97101449569066367</v>
      </c>
      <c r="Z51">
        <f>Tabela7[[#This Row],[no_steps]]</f>
        <v>11.877812561142633</v>
      </c>
    </row>
    <row r="52" spans="1:26" x14ac:dyDescent="0.25">
      <c r="A52" t="s">
        <v>295</v>
      </c>
      <c r="B52">
        <v>5</v>
      </c>
      <c r="C52">
        <v>5</v>
      </c>
      <c r="D52">
        <v>0</v>
      </c>
      <c r="E52" t="s">
        <v>303</v>
      </c>
      <c r="F52">
        <v>583</v>
      </c>
      <c r="G52">
        <v>4464765.8571428573</v>
      </c>
      <c r="H52">
        <v>0.93233082975660053</v>
      </c>
      <c r="I52">
        <v>0.92105263157894735</v>
      </c>
      <c r="J52">
        <v>662784.07142857148</v>
      </c>
      <c r="K52">
        <v>1003</v>
      </c>
      <c r="L52">
        <v>2</v>
      </c>
      <c r="M52">
        <v>20</v>
      </c>
      <c r="N52">
        <v>0.93233082706766912</v>
      </c>
      <c r="O52">
        <v>494040.07142857142</v>
      </c>
      <c r="P52">
        <v>1095</v>
      </c>
      <c r="Q52">
        <v>2</v>
      </c>
      <c r="R52">
        <v>21</v>
      </c>
      <c r="S52">
        <v>11.842641801140207</v>
      </c>
      <c r="T52">
        <v>0.98662207676814151</v>
      </c>
      <c r="W52">
        <f>Tabela7[[#This Row],[mlp_params]]</f>
        <v>1003</v>
      </c>
      <c r="X52">
        <f>Tabela7[[#This Row],[mlp_test_acc]]</f>
        <v>0.92105263157894735</v>
      </c>
      <c r="Y52">
        <f>Tabela7[[#This Row],[kan_val_acc_1]]</f>
        <v>0.98662207676814151</v>
      </c>
      <c r="Z52">
        <f>Tabela7[[#This Row],[no_steps]]</f>
        <v>11.842641801140207</v>
      </c>
    </row>
    <row r="53" spans="1:26" x14ac:dyDescent="0.25">
      <c r="A53" t="s">
        <v>295</v>
      </c>
      <c r="B53">
        <v>9</v>
      </c>
      <c r="C53">
        <v>3</v>
      </c>
      <c r="D53">
        <v>0</v>
      </c>
      <c r="E53" t="s">
        <v>310</v>
      </c>
      <c r="F53">
        <v>745</v>
      </c>
      <c r="G53">
        <v>4975026.2142857146</v>
      </c>
      <c r="H53">
        <v>0.90789474334035603</v>
      </c>
      <c r="I53">
        <v>0.91917293233082709</v>
      </c>
      <c r="J53">
        <v>1065638.7142857143</v>
      </c>
      <c r="K53">
        <v>1003</v>
      </c>
      <c r="L53">
        <v>2</v>
      </c>
      <c r="M53">
        <v>20</v>
      </c>
      <c r="N53">
        <v>0.92857142857142849</v>
      </c>
      <c r="O53">
        <v>655017.14285714284</v>
      </c>
      <c r="P53">
        <v>1095</v>
      </c>
      <c r="Q53">
        <v>2</v>
      </c>
      <c r="R53">
        <v>21</v>
      </c>
      <c r="S53">
        <v>11.771567150122433</v>
      </c>
      <c r="T53">
        <v>0.97324415353628302</v>
      </c>
      <c r="W53">
        <f>Tabela7[[#This Row],[mlp_params]]</f>
        <v>1003</v>
      </c>
      <c r="X53">
        <f>Tabela7[[#This Row],[mlp_test_acc]]</f>
        <v>0.91917293233082709</v>
      </c>
      <c r="Y53">
        <f>Tabela7[[#This Row],[kan_val_acc_1]]</f>
        <v>0.97324415353628302</v>
      </c>
      <c r="Z53">
        <f>Tabela7[[#This Row],[no_steps]]</f>
        <v>11.771567150122433</v>
      </c>
    </row>
    <row r="54" spans="1:26" x14ac:dyDescent="0.25">
      <c r="A54" t="s">
        <v>295</v>
      </c>
      <c r="B54">
        <v>3</v>
      </c>
      <c r="C54">
        <v>3</v>
      </c>
      <c r="D54">
        <v>0</v>
      </c>
      <c r="E54" t="s">
        <v>305</v>
      </c>
      <c r="F54">
        <v>663</v>
      </c>
      <c r="G54">
        <v>2757853.8125</v>
      </c>
      <c r="H54">
        <v>0.93585525080561638</v>
      </c>
      <c r="I54">
        <v>0.91611842105263153</v>
      </c>
      <c r="J54">
        <v>271135</v>
      </c>
      <c r="K54">
        <v>1095</v>
      </c>
      <c r="L54">
        <v>2</v>
      </c>
      <c r="M54">
        <v>21</v>
      </c>
      <c r="N54">
        <v>0.92105263157894735</v>
      </c>
      <c r="O54">
        <v>277256.9375</v>
      </c>
      <c r="P54">
        <v>1191</v>
      </c>
      <c r="Q54">
        <v>2</v>
      </c>
      <c r="R54">
        <v>22</v>
      </c>
      <c r="S54">
        <v>12.09428601494265</v>
      </c>
      <c r="T54">
        <v>0.99420289993286137</v>
      </c>
      <c r="W54">
        <f>Tabela7[[#This Row],[mlp_params]]</f>
        <v>1095</v>
      </c>
      <c r="X54">
        <f>Tabela7[[#This Row],[mlp_test_acc]]</f>
        <v>0.91611842105263153</v>
      </c>
      <c r="Y54">
        <f>Tabela7[[#This Row],[kan_val_acc_1]]</f>
        <v>0.99420289993286137</v>
      </c>
      <c r="Z54">
        <f>Tabela7[[#This Row],[no_steps]]</f>
        <v>12.09428601494265</v>
      </c>
    </row>
    <row r="55" spans="1:26" x14ac:dyDescent="0.25">
      <c r="A55" t="s">
        <v>295</v>
      </c>
      <c r="B55">
        <v>3</v>
      </c>
      <c r="C55">
        <v>4</v>
      </c>
      <c r="D55">
        <v>0</v>
      </c>
      <c r="E55" t="s">
        <v>304</v>
      </c>
      <c r="F55">
        <v>593</v>
      </c>
      <c r="G55">
        <v>3465385.875</v>
      </c>
      <c r="H55">
        <v>0.95230263844132423</v>
      </c>
      <c r="I55">
        <v>0.91611842105263153</v>
      </c>
      <c r="J55">
        <v>402783.625</v>
      </c>
      <c r="K55">
        <v>1095</v>
      </c>
      <c r="L55">
        <v>2</v>
      </c>
      <c r="M55">
        <v>21</v>
      </c>
      <c r="N55">
        <v>0.94078947368421051</v>
      </c>
      <c r="O55">
        <v>290451.9375</v>
      </c>
      <c r="P55">
        <v>1191</v>
      </c>
      <c r="Q55">
        <v>2</v>
      </c>
      <c r="R55">
        <v>22</v>
      </c>
      <c r="S55">
        <v>12.057116153486682</v>
      </c>
      <c r="T55">
        <v>0.99420289993286137</v>
      </c>
      <c r="W55">
        <f>Tabela7[[#This Row],[mlp_params]]</f>
        <v>1095</v>
      </c>
      <c r="X55">
        <f>Tabela7[[#This Row],[mlp_test_acc]]</f>
        <v>0.91611842105263153</v>
      </c>
      <c r="Y55">
        <f>Tabela7[[#This Row],[kan_val_acc_1]]</f>
        <v>0.99420289993286137</v>
      </c>
      <c r="Z55">
        <f>Tabela7[[#This Row],[no_steps]]</f>
        <v>12.057116153486682</v>
      </c>
    </row>
    <row r="56" spans="1:26" x14ac:dyDescent="0.25">
      <c r="A56" t="s">
        <v>295</v>
      </c>
      <c r="B56">
        <v>5</v>
      </c>
      <c r="C56">
        <v>2</v>
      </c>
      <c r="D56">
        <v>0</v>
      </c>
      <c r="E56" t="s">
        <v>308</v>
      </c>
      <c r="F56">
        <v>795</v>
      </c>
      <c r="G56">
        <v>4675073.25</v>
      </c>
      <c r="H56">
        <v>0.95065790042281151</v>
      </c>
      <c r="I56">
        <v>0.92434210526315785</v>
      </c>
      <c r="J56">
        <v>376161.3125</v>
      </c>
      <c r="K56">
        <v>1095</v>
      </c>
      <c r="L56">
        <v>2</v>
      </c>
      <c r="M56">
        <v>21</v>
      </c>
      <c r="N56">
        <v>0.92269736842105265</v>
      </c>
      <c r="O56">
        <v>349620</v>
      </c>
      <c r="P56">
        <v>1191</v>
      </c>
      <c r="Q56">
        <v>2</v>
      </c>
      <c r="R56">
        <v>22</v>
      </c>
      <c r="S56">
        <v>11.962758482232484</v>
      </c>
      <c r="T56">
        <v>0.96811594168345139</v>
      </c>
      <c r="W56">
        <f>Tabela7[[#This Row],[mlp_params]]</f>
        <v>1095</v>
      </c>
      <c r="X56">
        <f>Tabela7[[#This Row],[mlp_test_acc]]</f>
        <v>0.92434210526315785</v>
      </c>
      <c r="Y56">
        <f>Tabela7[[#This Row],[kan_val_acc_1]]</f>
        <v>0.96811594168345139</v>
      </c>
      <c r="Z56">
        <f>Tabela7[[#This Row],[no_steps]]</f>
        <v>11.962758482232484</v>
      </c>
    </row>
    <row r="57" spans="1:26" x14ac:dyDescent="0.25">
      <c r="A57" t="s">
        <v>295</v>
      </c>
      <c r="B57">
        <v>5</v>
      </c>
      <c r="C57">
        <v>3</v>
      </c>
      <c r="D57">
        <v>0</v>
      </c>
      <c r="E57" t="s">
        <v>313</v>
      </c>
      <c r="F57">
        <v>705</v>
      </c>
      <c r="G57">
        <v>5130605.1290322579</v>
      </c>
      <c r="H57">
        <v>0.93293718368776379</v>
      </c>
      <c r="I57">
        <v>0.92020373514431242</v>
      </c>
      <c r="J57">
        <v>474548.6451612903</v>
      </c>
      <c r="K57">
        <v>1095</v>
      </c>
      <c r="L57">
        <v>2</v>
      </c>
      <c r="M57">
        <v>21</v>
      </c>
      <c r="N57">
        <v>0.9252971137521222</v>
      </c>
      <c r="O57">
        <v>313845.06451612903</v>
      </c>
      <c r="P57">
        <v>1191</v>
      </c>
      <c r="Q57">
        <v>2</v>
      </c>
      <c r="R57">
        <v>22</v>
      </c>
      <c r="S57">
        <v>11.918973800208013</v>
      </c>
      <c r="T57">
        <v>0.97971014976501469</v>
      </c>
      <c r="W57">
        <f>Tabela7[[#This Row],[mlp_params]]</f>
        <v>1095</v>
      </c>
      <c r="X57">
        <f>Tabela7[[#This Row],[mlp_test_acc]]</f>
        <v>0.92020373514431242</v>
      </c>
      <c r="Y57">
        <f>Tabela7[[#This Row],[kan_val_acc_1]]</f>
        <v>0.97971014976501469</v>
      </c>
      <c r="Z57">
        <f>Tabela7[[#This Row],[no_steps]]</f>
        <v>11.918973800208013</v>
      </c>
    </row>
    <row r="58" spans="1:26" x14ac:dyDescent="0.25">
      <c r="A58" t="s">
        <v>295</v>
      </c>
      <c r="B58">
        <v>5</v>
      </c>
      <c r="C58">
        <v>5</v>
      </c>
      <c r="D58">
        <v>0</v>
      </c>
      <c r="E58" t="s">
        <v>310</v>
      </c>
      <c r="F58">
        <v>647</v>
      </c>
      <c r="G58">
        <v>6775180.0714285718</v>
      </c>
      <c r="H58">
        <v>0.85150375962257385</v>
      </c>
      <c r="I58">
        <v>0.92105263157894735</v>
      </c>
      <c r="J58">
        <v>542240.28571428568</v>
      </c>
      <c r="K58">
        <v>1095</v>
      </c>
      <c r="L58">
        <v>2</v>
      </c>
      <c r="M58">
        <v>21</v>
      </c>
      <c r="N58">
        <v>0.9135338345864662</v>
      </c>
      <c r="O58">
        <v>606198</v>
      </c>
      <c r="P58">
        <v>1191</v>
      </c>
      <c r="Q58">
        <v>2</v>
      </c>
      <c r="R58">
        <v>22</v>
      </c>
      <c r="S58">
        <v>11.840768636539204</v>
      </c>
      <c r="T58">
        <v>0.96655519192035377</v>
      </c>
      <c r="W58">
        <f>Tabela7[[#This Row],[mlp_params]]</f>
        <v>1095</v>
      </c>
      <c r="X58">
        <f>Tabela7[[#This Row],[mlp_test_acc]]</f>
        <v>0.92105263157894735</v>
      </c>
      <c r="Y58">
        <f>Tabela7[[#This Row],[kan_val_acc_1]]</f>
        <v>0.96655519192035377</v>
      </c>
      <c r="Z58">
        <f>Tabela7[[#This Row],[no_steps]]</f>
        <v>11.840768636539204</v>
      </c>
    </row>
    <row r="59" spans="1:26" x14ac:dyDescent="0.25">
      <c r="A59" t="s">
        <v>295</v>
      </c>
      <c r="B59">
        <v>9</v>
      </c>
      <c r="C59">
        <v>2</v>
      </c>
      <c r="D59">
        <v>0</v>
      </c>
      <c r="E59" t="s">
        <v>304</v>
      </c>
      <c r="F59">
        <v>825</v>
      </c>
      <c r="G59">
        <v>3926538.5</v>
      </c>
      <c r="H59">
        <v>0.89661654404231483</v>
      </c>
      <c r="I59">
        <v>0.93045112781954886</v>
      </c>
      <c r="J59">
        <v>765507.64285714284</v>
      </c>
      <c r="K59">
        <v>1095</v>
      </c>
      <c r="L59">
        <v>2</v>
      </c>
      <c r="M59">
        <v>21</v>
      </c>
      <c r="N59">
        <v>0.93233082706766912</v>
      </c>
      <c r="O59">
        <v>720630.71428571432</v>
      </c>
      <c r="P59">
        <v>1191</v>
      </c>
      <c r="Q59">
        <v>2</v>
      </c>
      <c r="R59">
        <v>22</v>
      </c>
      <c r="S59">
        <v>11.804078521059653</v>
      </c>
      <c r="T59">
        <v>0.96989967272831845</v>
      </c>
      <c r="W59">
        <f>Tabela7[[#This Row],[mlp_params]]</f>
        <v>1095</v>
      </c>
      <c r="X59">
        <f>Tabela7[[#This Row],[mlp_test_acc]]</f>
        <v>0.93045112781954886</v>
      </c>
      <c r="Y59">
        <f>Tabela7[[#This Row],[kan_val_acc_1]]</f>
        <v>0.96989967272831845</v>
      </c>
      <c r="Z59">
        <f>Tabela7[[#This Row],[no_steps]]</f>
        <v>11.804078521059653</v>
      </c>
    </row>
    <row r="60" spans="1:26" x14ac:dyDescent="0.25">
      <c r="A60" t="s">
        <v>295</v>
      </c>
      <c r="B60">
        <v>9</v>
      </c>
      <c r="C60">
        <v>4</v>
      </c>
      <c r="D60">
        <v>0</v>
      </c>
      <c r="E60" t="s">
        <v>303</v>
      </c>
      <c r="F60">
        <v>715</v>
      </c>
      <c r="G60">
        <v>3960156.9285714286</v>
      </c>
      <c r="H60">
        <v>0.84022556458200726</v>
      </c>
      <c r="I60">
        <v>0.92481203007518797</v>
      </c>
      <c r="J60">
        <v>774498.64285714284</v>
      </c>
      <c r="K60">
        <v>1095</v>
      </c>
      <c r="L60">
        <v>2</v>
      </c>
      <c r="M60">
        <v>21</v>
      </c>
      <c r="N60">
        <v>0.93233082706766912</v>
      </c>
      <c r="O60">
        <v>532027.78571428568</v>
      </c>
      <c r="P60">
        <v>1191</v>
      </c>
      <c r="Q60">
        <v>2</v>
      </c>
      <c r="R60">
        <v>22</v>
      </c>
      <c r="S60">
        <v>11.743879735641814</v>
      </c>
      <c r="T60">
        <v>0.97324415353628302</v>
      </c>
      <c r="W60">
        <f>Tabela7[[#This Row],[mlp_params]]</f>
        <v>1095</v>
      </c>
      <c r="X60">
        <f>Tabela7[[#This Row],[mlp_test_acc]]</f>
        <v>0.92481203007518797</v>
      </c>
      <c r="Y60">
        <f>Tabela7[[#This Row],[kan_val_acc_1]]</f>
        <v>0.97324415353628302</v>
      </c>
      <c r="Z60">
        <f>Tabela7[[#This Row],[no_steps]]</f>
        <v>11.743879735641814</v>
      </c>
    </row>
    <row r="61" spans="1:26" x14ac:dyDescent="0.25">
      <c r="A61" t="s">
        <v>295</v>
      </c>
      <c r="B61">
        <v>3</v>
      </c>
      <c r="C61">
        <v>2</v>
      </c>
      <c r="D61">
        <v>0</v>
      </c>
      <c r="E61" t="s">
        <v>309</v>
      </c>
      <c r="F61">
        <v>785</v>
      </c>
      <c r="G61">
        <v>3712561.1875</v>
      </c>
      <c r="H61">
        <v>0.93914474919438362</v>
      </c>
      <c r="I61">
        <v>0.92763157894736836</v>
      </c>
      <c r="J61">
        <v>196321.4375</v>
      </c>
      <c r="K61">
        <v>1191</v>
      </c>
      <c r="L61">
        <v>2</v>
      </c>
      <c r="M61">
        <v>22</v>
      </c>
      <c r="N61">
        <v>0.92763157894736836</v>
      </c>
      <c r="O61">
        <v>221329.625</v>
      </c>
      <c r="P61">
        <v>1291</v>
      </c>
      <c r="Q61">
        <v>2</v>
      </c>
      <c r="R61">
        <v>23</v>
      </c>
      <c r="S61">
        <v>12.144999466325114</v>
      </c>
      <c r="T61">
        <v>0.98840579986572263</v>
      </c>
      <c r="W61">
        <f>Tabela7[[#This Row],[mlp_params]]</f>
        <v>1191</v>
      </c>
      <c r="X61">
        <f>Tabela7[[#This Row],[mlp_test_acc]]</f>
        <v>0.92763157894736836</v>
      </c>
      <c r="Y61">
        <f>Tabela7[[#This Row],[kan_val_acc_1]]</f>
        <v>0.98840579986572263</v>
      </c>
      <c r="Z61">
        <f>Tabela7[[#This Row],[no_steps]]</f>
        <v>12.144999466325114</v>
      </c>
    </row>
    <row r="62" spans="1:26" x14ac:dyDescent="0.25">
      <c r="A62" t="s">
        <v>295</v>
      </c>
      <c r="B62">
        <v>3</v>
      </c>
      <c r="C62">
        <v>3</v>
      </c>
      <c r="D62">
        <v>0</v>
      </c>
      <c r="E62" t="s">
        <v>308</v>
      </c>
      <c r="F62">
        <v>717</v>
      </c>
      <c r="G62">
        <v>4607786.875</v>
      </c>
      <c r="H62">
        <v>0.95394736528396606</v>
      </c>
      <c r="I62">
        <v>0.93256578947368418</v>
      </c>
      <c r="J62">
        <v>241180.1875</v>
      </c>
      <c r="K62">
        <v>1191</v>
      </c>
      <c r="L62">
        <v>2</v>
      </c>
      <c r="M62">
        <v>22</v>
      </c>
      <c r="N62">
        <v>0.91611842105263153</v>
      </c>
      <c r="O62">
        <v>177762.9375</v>
      </c>
      <c r="P62">
        <v>1291</v>
      </c>
      <c r="Q62">
        <v>2</v>
      </c>
      <c r="R62">
        <v>23</v>
      </c>
      <c r="S62">
        <v>12.091525601934602</v>
      </c>
      <c r="T62">
        <v>0.98840579986572263</v>
      </c>
      <c r="W62">
        <f>Tabela7[[#This Row],[mlp_params]]</f>
        <v>1191</v>
      </c>
      <c r="X62">
        <f>Tabela7[[#This Row],[mlp_test_acc]]</f>
        <v>0.93256578947368418</v>
      </c>
      <c r="Y62">
        <f>Tabela7[[#This Row],[kan_val_acc_1]]</f>
        <v>0.98840579986572263</v>
      </c>
      <c r="Z62">
        <f>Tabela7[[#This Row],[no_steps]]</f>
        <v>12.091525601934602</v>
      </c>
    </row>
    <row r="63" spans="1:26" x14ac:dyDescent="0.25">
      <c r="A63" t="s">
        <v>295</v>
      </c>
      <c r="B63">
        <v>3</v>
      </c>
      <c r="C63">
        <v>4</v>
      </c>
      <c r="D63">
        <v>0</v>
      </c>
      <c r="E63" t="s">
        <v>313</v>
      </c>
      <c r="F63">
        <v>642</v>
      </c>
      <c r="G63">
        <v>5036258.4193548383</v>
      </c>
      <c r="H63">
        <v>0.88285229282994426</v>
      </c>
      <c r="I63">
        <v>0.93123938879456702</v>
      </c>
      <c r="J63">
        <v>322611.03225806454</v>
      </c>
      <c r="K63">
        <v>1191</v>
      </c>
      <c r="L63">
        <v>2</v>
      </c>
      <c r="M63">
        <v>22</v>
      </c>
      <c r="N63">
        <v>0.92784380305602709</v>
      </c>
      <c r="O63">
        <v>215335.03225806452</v>
      </c>
      <c r="P63">
        <v>1291</v>
      </c>
      <c r="Q63">
        <v>2</v>
      </c>
      <c r="R63">
        <v>23</v>
      </c>
      <c r="S63">
        <v>12.051995852773457</v>
      </c>
      <c r="T63">
        <v>0.96811594565709436</v>
      </c>
      <c r="W63">
        <f>Tabela7[[#This Row],[mlp_params]]</f>
        <v>1191</v>
      </c>
      <c r="X63">
        <f>Tabela7[[#This Row],[mlp_test_acc]]</f>
        <v>0.93123938879456702</v>
      </c>
      <c r="Y63">
        <f>Tabela7[[#This Row],[kan_val_acc_1]]</f>
        <v>0.96811594565709436</v>
      </c>
      <c r="Z63">
        <f>Tabela7[[#This Row],[no_steps]]</f>
        <v>12.051995852773457</v>
      </c>
    </row>
    <row r="64" spans="1:26" x14ac:dyDescent="0.25">
      <c r="A64" t="s">
        <v>295</v>
      </c>
      <c r="B64">
        <v>3</v>
      </c>
      <c r="C64">
        <v>5</v>
      </c>
      <c r="D64">
        <v>0</v>
      </c>
      <c r="E64" t="s">
        <v>304</v>
      </c>
      <c r="F64">
        <v>651</v>
      </c>
      <c r="G64">
        <v>3546302.1875</v>
      </c>
      <c r="H64">
        <v>0.88815790042281151</v>
      </c>
      <c r="I64">
        <v>0.91611842105263153</v>
      </c>
      <c r="J64">
        <v>289017</v>
      </c>
      <c r="K64">
        <v>1191</v>
      </c>
      <c r="L64">
        <v>2</v>
      </c>
      <c r="M64">
        <v>22</v>
      </c>
      <c r="N64">
        <v>0.91611842105263153</v>
      </c>
      <c r="O64">
        <v>300736.25</v>
      </c>
      <c r="P64">
        <v>1291</v>
      </c>
      <c r="Q64">
        <v>2</v>
      </c>
      <c r="R64">
        <v>23</v>
      </c>
      <c r="S64">
        <v>12.015696098982566</v>
      </c>
      <c r="T64">
        <v>0.99130434989929195</v>
      </c>
      <c r="W64">
        <f>Tabela7[[#This Row],[mlp_params]]</f>
        <v>1191</v>
      </c>
      <c r="X64">
        <f>Tabela7[[#This Row],[mlp_test_acc]]</f>
        <v>0.91611842105263153</v>
      </c>
      <c r="Y64">
        <f>Tabela7[[#This Row],[kan_val_acc_1]]</f>
        <v>0.99130434989929195</v>
      </c>
      <c r="Z64">
        <f>Tabela7[[#This Row],[no_steps]]</f>
        <v>12.015696098982566</v>
      </c>
    </row>
    <row r="65" spans="1:26" x14ac:dyDescent="0.25">
      <c r="A65" t="s">
        <v>295</v>
      </c>
      <c r="B65">
        <v>5</v>
      </c>
      <c r="C65">
        <v>4</v>
      </c>
      <c r="D65">
        <v>0</v>
      </c>
      <c r="E65" t="s">
        <v>304</v>
      </c>
      <c r="F65">
        <v>709</v>
      </c>
      <c r="G65">
        <v>4196615.625</v>
      </c>
      <c r="H65">
        <v>0.89638157933950424</v>
      </c>
      <c r="I65">
        <v>0.92269736842105265</v>
      </c>
      <c r="J65">
        <v>594553.25</v>
      </c>
      <c r="K65">
        <v>1191</v>
      </c>
      <c r="L65">
        <v>2</v>
      </c>
      <c r="M65">
        <v>22</v>
      </c>
      <c r="N65">
        <v>0.91611842105263153</v>
      </c>
      <c r="O65">
        <v>769954.4375</v>
      </c>
      <c r="P65">
        <v>1291</v>
      </c>
      <c r="Q65">
        <v>2</v>
      </c>
      <c r="R65">
        <v>23</v>
      </c>
      <c r="S65">
        <v>11.875415444770283</v>
      </c>
      <c r="T65">
        <v>0.98260869979858401</v>
      </c>
      <c r="W65">
        <f>Tabela7[[#This Row],[mlp_params]]</f>
        <v>1191</v>
      </c>
      <c r="X65">
        <f>Tabela7[[#This Row],[mlp_test_acc]]</f>
        <v>0.92269736842105265</v>
      </c>
      <c r="Y65">
        <f>Tabela7[[#This Row],[kan_val_acc_1]]</f>
        <v>0.98260869979858401</v>
      </c>
      <c r="Z65">
        <f>Tabela7[[#This Row],[no_steps]]</f>
        <v>11.875415444770283</v>
      </c>
    </row>
    <row r="66" spans="1:26" x14ac:dyDescent="0.25">
      <c r="A66" t="s">
        <v>295</v>
      </c>
      <c r="B66">
        <v>9</v>
      </c>
      <c r="C66">
        <v>2</v>
      </c>
      <c r="D66">
        <v>0</v>
      </c>
      <c r="E66" t="s">
        <v>313</v>
      </c>
      <c r="F66">
        <v>894</v>
      </c>
      <c r="G66">
        <v>6062734.111111111</v>
      </c>
      <c r="H66">
        <v>0.90545808827435526</v>
      </c>
      <c r="I66">
        <v>0.9307992202729044</v>
      </c>
      <c r="J66">
        <v>730132.4444444445</v>
      </c>
      <c r="K66">
        <v>1191</v>
      </c>
      <c r="L66">
        <v>2</v>
      </c>
      <c r="M66">
        <v>22</v>
      </c>
      <c r="N66">
        <v>0.92300194931773882</v>
      </c>
      <c r="O66">
        <v>689187.4444444445</v>
      </c>
      <c r="P66">
        <v>1291</v>
      </c>
      <c r="Q66">
        <v>2</v>
      </c>
      <c r="R66">
        <v>23</v>
      </c>
      <c r="S66">
        <v>11.802569593147751</v>
      </c>
      <c r="T66">
        <v>0.93812709588270926</v>
      </c>
      <c r="W66">
        <f>Tabela7[[#This Row],[mlp_params]]</f>
        <v>1191</v>
      </c>
      <c r="X66">
        <f>Tabela7[[#This Row],[mlp_test_acc]]</f>
        <v>0.9307992202729044</v>
      </c>
      <c r="Y66">
        <f>Tabela7[[#This Row],[kan_val_acc_1]]</f>
        <v>0.93812709588270926</v>
      </c>
      <c r="Z66">
        <f>Tabela7[[#This Row],[no_steps]]</f>
        <v>11.802569593147751</v>
      </c>
    </row>
    <row r="67" spans="1:26" x14ac:dyDescent="0.25">
      <c r="A67" t="s">
        <v>295</v>
      </c>
      <c r="B67">
        <v>9</v>
      </c>
      <c r="C67">
        <v>3</v>
      </c>
      <c r="D67">
        <v>0</v>
      </c>
      <c r="E67" t="s">
        <v>304</v>
      </c>
      <c r="F67">
        <v>883</v>
      </c>
      <c r="G67">
        <v>3667355.2142857141</v>
      </c>
      <c r="H67">
        <v>0.90789474334035603</v>
      </c>
      <c r="I67">
        <v>0.9135338345864662</v>
      </c>
      <c r="J67">
        <v>661233.85714285716</v>
      </c>
      <c r="K67">
        <v>1191</v>
      </c>
      <c r="L67">
        <v>2</v>
      </c>
      <c r="M67">
        <v>22</v>
      </c>
      <c r="N67">
        <v>0.91165413533834583</v>
      </c>
      <c r="O67">
        <v>851067</v>
      </c>
      <c r="P67">
        <v>1291</v>
      </c>
      <c r="Q67">
        <v>2</v>
      </c>
      <c r="R67">
        <v>23</v>
      </c>
      <c r="S67">
        <v>11.769129411764705</v>
      </c>
      <c r="T67">
        <v>0.98996655757610619</v>
      </c>
      <c r="W67">
        <f>Tabela7[[#This Row],[mlp_params]]</f>
        <v>1191</v>
      </c>
      <c r="X67">
        <f>Tabela7[[#This Row],[mlp_test_acc]]</f>
        <v>0.9135338345864662</v>
      </c>
      <c r="Y67">
        <f>Tabela7[[#This Row],[kan_val_acc_1]]</f>
        <v>0.98996655757610619</v>
      </c>
      <c r="Z67">
        <f>Tabela7[[#This Row],[no_steps]]</f>
        <v>11.769129411764705</v>
      </c>
    </row>
    <row r="68" spans="1:26" x14ac:dyDescent="0.25">
      <c r="A68" t="s">
        <v>295</v>
      </c>
      <c r="B68">
        <v>9</v>
      </c>
      <c r="C68">
        <v>4</v>
      </c>
      <c r="D68">
        <v>0</v>
      </c>
      <c r="E68" t="s">
        <v>310</v>
      </c>
      <c r="F68">
        <v>794</v>
      </c>
      <c r="G68">
        <v>6758313.2857142854</v>
      </c>
      <c r="H68">
        <v>0.80263157401766094</v>
      </c>
      <c r="I68">
        <v>0.93421052631578938</v>
      </c>
      <c r="J68">
        <v>1042561</v>
      </c>
      <c r="K68">
        <v>1191</v>
      </c>
      <c r="L68">
        <v>2</v>
      </c>
      <c r="M68">
        <v>22</v>
      </c>
      <c r="N68">
        <v>0.92669172932330823</v>
      </c>
      <c r="O68">
        <v>483616.92857142858</v>
      </c>
      <c r="P68">
        <v>1291</v>
      </c>
      <c r="Q68">
        <v>2</v>
      </c>
      <c r="R68">
        <v>23</v>
      </c>
      <c r="S68">
        <v>11.742465116279069</v>
      </c>
      <c r="T68">
        <v>0.96655518733538115</v>
      </c>
      <c r="W68">
        <f>Tabela7[[#This Row],[mlp_params]]</f>
        <v>1191</v>
      </c>
      <c r="X68">
        <f>Tabela7[[#This Row],[mlp_test_acc]]</f>
        <v>0.93421052631578938</v>
      </c>
      <c r="Y68">
        <f>Tabela7[[#This Row],[kan_val_acc_1]]</f>
        <v>0.96655518733538115</v>
      </c>
      <c r="Z68">
        <f>Tabela7[[#This Row],[no_steps]]</f>
        <v>11.742465116279069</v>
      </c>
    </row>
    <row r="69" spans="1:26" x14ac:dyDescent="0.25">
      <c r="A69" t="s">
        <v>295</v>
      </c>
      <c r="B69">
        <v>9</v>
      </c>
      <c r="C69">
        <v>5</v>
      </c>
      <c r="D69">
        <v>0</v>
      </c>
      <c r="E69" t="s">
        <v>303</v>
      </c>
      <c r="F69">
        <v>759</v>
      </c>
      <c r="G69">
        <v>4910195.0714285718</v>
      </c>
      <c r="H69">
        <v>0.7857142857142857</v>
      </c>
      <c r="I69">
        <v>0.92669172932330823</v>
      </c>
      <c r="J69">
        <v>805087.35714285716</v>
      </c>
      <c r="K69">
        <v>1191</v>
      </c>
      <c r="L69">
        <v>2</v>
      </c>
      <c r="M69">
        <v>22</v>
      </c>
      <c r="N69">
        <v>0.92857142857142849</v>
      </c>
      <c r="O69">
        <v>771448.35714285716</v>
      </c>
      <c r="P69">
        <v>1291</v>
      </c>
      <c r="Q69">
        <v>2</v>
      </c>
      <c r="R69">
        <v>23</v>
      </c>
      <c r="S69">
        <v>11.709950340261173</v>
      </c>
      <c r="T69">
        <v>0.96655518733538115</v>
      </c>
      <c r="W69">
        <f>Tabela7[[#This Row],[mlp_params]]</f>
        <v>1191</v>
      </c>
      <c r="X69">
        <f>Tabela7[[#This Row],[mlp_test_acc]]</f>
        <v>0.92669172932330823</v>
      </c>
      <c r="Y69">
        <f>Tabela7[[#This Row],[kan_val_acc_1]]</f>
        <v>0.96655518733538115</v>
      </c>
      <c r="Z69">
        <f>Tabela7[[#This Row],[no_steps]]</f>
        <v>11.709950340261173</v>
      </c>
    </row>
    <row r="70" spans="1:26" x14ac:dyDescent="0.25">
      <c r="A70" t="s">
        <v>295</v>
      </c>
      <c r="B70">
        <v>3</v>
      </c>
      <c r="C70">
        <v>4</v>
      </c>
      <c r="D70">
        <v>0</v>
      </c>
      <c r="E70" t="s">
        <v>305</v>
      </c>
      <c r="F70">
        <v>735</v>
      </c>
      <c r="G70">
        <v>3383375.75</v>
      </c>
      <c r="H70">
        <v>0.9375000111758709</v>
      </c>
      <c r="I70">
        <v>0.93256578947368418</v>
      </c>
      <c r="J70">
        <v>346050.0625</v>
      </c>
      <c r="K70">
        <v>1291</v>
      </c>
      <c r="L70">
        <v>2</v>
      </c>
      <c r="M70">
        <v>23</v>
      </c>
      <c r="N70">
        <v>0.93256578947368418</v>
      </c>
      <c r="O70">
        <v>254330.625</v>
      </c>
      <c r="P70">
        <v>1395</v>
      </c>
      <c r="Q70">
        <v>2</v>
      </c>
      <c r="R70">
        <v>24</v>
      </c>
      <c r="S70">
        <v>12.048482337097276</v>
      </c>
      <c r="T70">
        <v>0.99420289993286137</v>
      </c>
      <c r="W70">
        <f>Tabela7[[#This Row],[mlp_params]]</f>
        <v>1291</v>
      </c>
      <c r="X70">
        <f>Tabela7[[#This Row],[mlp_test_acc]]</f>
        <v>0.93256578947368418</v>
      </c>
      <c r="Y70">
        <f>Tabela7[[#This Row],[kan_val_acc_1]]</f>
        <v>0.99420289993286137</v>
      </c>
      <c r="Z70">
        <f>Tabela7[[#This Row],[no_steps]]</f>
        <v>12.048482337097276</v>
      </c>
    </row>
    <row r="71" spans="1:26" x14ac:dyDescent="0.25">
      <c r="A71" t="s">
        <v>295</v>
      </c>
      <c r="B71">
        <v>3</v>
      </c>
      <c r="C71">
        <v>5</v>
      </c>
      <c r="D71">
        <v>0</v>
      </c>
      <c r="E71" t="s">
        <v>307</v>
      </c>
      <c r="F71">
        <v>673</v>
      </c>
      <c r="G71">
        <v>5712334.6875</v>
      </c>
      <c r="H71">
        <v>0.86184211075305939</v>
      </c>
      <c r="I71">
        <v>0.92598684210526316</v>
      </c>
      <c r="J71">
        <v>337634.25</v>
      </c>
      <c r="K71">
        <v>1291</v>
      </c>
      <c r="L71">
        <v>2</v>
      </c>
      <c r="M71">
        <v>23</v>
      </c>
      <c r="N71">
        <v>0.93092105263157898</v>
      </c>
      <c r="O71">
        <v>238630.4375</v>
      </c>
      <c r="P71">
        <v>1395</v>
      </c>
      <c r="Q71">
        <v>2</v>
      </c>
      <c r="R71">
        <v>24</v>
      </c>
      <c r="S71">
        <v>12.012618135376757</v>
      </c>
      <c r="T71">
        <v>0.97101449569066367</v>
      </c>
      <c r="W71">
        <f>Tabela7[[#This Row],[mlp_params]]</f>
        <v>1291</v>
      </c>
      <c r="X71">
        <f>Tabela7[[#This Row],[mlp_test_acc]]</f>
        <v>0.92598684210526316</v>
      </c>
      <c r="Y71">
        <f>Tabela7[[#This Row],[kan_val_acc_1]]</f>
        <v>0.97101449569066367</v>
      </c>
      <c r="Z71">
        <f>Tabela7[[#This Row],[no_steps]]</f>
        <v>12.012618135376757</v>
      </c>
    </row>
    <row r="72" spans="1:26" x14ac:dyDescent="0.25">
      <c r="A72" t="s">
        <v>295</v>
      </c>
      <c r="B72">
        <v>5</v>
      </c>
      <c r="C72">
        <v>3</v>
      </c>
      <c r="D72">
        <v>0</v>
      </c>
      <c r="E72" t="s">
        <v>305</v>
      </c>
      <c r="F72">
        <v>807</v>
      </c>
      <c r="G72">
        <v>3346474.375</v>
      </c>
      <c r="H72">
        <v>0.92598684877157211</v>
      </c>
      <c r="I72">
        <v>0.9391447368421052</v>
      </c>
      <c r="J72">
        <v>464152.8125</v>
      </c>
      <c r="K72">
        <v>1291</v>
      </c>
      <c r="L72">
        <v>2</v>
      </c>
      <c r="M72">
        <v>23</v>
      </c>
      <c r="N72">
        <v>0.92434210526315785</v>
      </c>
      <c r="O72">
        <v>494908.25</v>
      </c>
      <c r="P72">
        <v>1395</v>
      </c>
      <c r="Q72">
        <v>2</v>
      </c>
      <c r="R72">
        <v>24</v>
      </c>
      <c r="S72">
        <v>11.915375859850547</v>
      </c>
      <c r="T72">
        <v>0.95942029953002927</v>
      </c>
      <c r="W72">
        <f>Tabela7[[#This Row],[mlp_params]]</f>
        <v>1291</v>
      </c>
      <c r="X72">
        <f>Tabela7[[#This Row],[mlp_test_acc]]</f>
        <v>0.9391447368421052</v>
      </c>
      <c r="Y72">
        <f>Tabela7[[#This Row],[kan_val_acc_1]]</f>
        <v>0.95942029953002927</v>
      </c>
      <c r="Z72">
        <f>Tabela7[[#This Row],[no_steps]]</f>
        <v>11.915375859850547</v>
      </c>
    </row>
    <row r="73" spans="1:26" x14ac:dyDescent="0.25">
      <c r="A73" t="s">
        <v>295</v>
      </c>
      <c r="B73">
        <v>5</v>
      </c>
      <c r="C73">
        <v>4</v>
      </c>
      <c r="D73">
        <v>0</v>
      </c>
      <c r="E73" t="s">
        <v>313</v>
      </c>
      <c r="F73">
        <v>768</v>
      </c>
      <c r="G73">
        <v>7249199.5</v>
      </c>
      <c r="H73">
        <v>0.83176692043031963</v>
      </c>
      <c r="I73">
        <v>0.93045112781954886</v>
      </c>
      <c r="J73">
        <v>561545.82142857148</v>
      </c>
      <c r="K73">
        <v>1291</v>
      </c>
      <c r="L73">
        <v>2</v>
      </c>
      <c r="M73">
        <v>23</v>
      </c>
      <c r="N73">
        <v>0.92011278195488722</v>
      </c>
      <c r="O73">
        <v>416510.64285714284</v>
      </c>
      <c r="P73">
        <v>1395</v>
      </c>
      <c r="Q73">
        <v>2</v>
      </c>
      <c r="R73">
        <v>24</v>
      </c>
      <c r="S73">
        <v>11.873682155408044</v>
      </c>
      <c r="T73">
        <v>0.97423510860513762</v>
      </c>
      <c r="W73">
        <f>Tabela7[[#This Row],[mlp_params]]</f>
        <v>1291</v>
      </c>
      <c r="X73">
        <f>Tabela7[[#This Row],[mlp_test_acc]]</f>
        <v>0.93045112781954886</v>
      </c>
      <c r="Y73">
        <f>Tabela7[[#This Row],[kan_val_acc_1]]</f>
        <v>0.97423510860513762</v>
      </c>
      <c r="Z73">
        <f>Tabela7[[#This Row],[no_steps]]</f>
        <v>11.873682155408044</v>
      </c>
    </row>
    <row r="74" spans="1:26" x14ac:dyDescent="0.25">
      <c r="A74" t="s">
        <v>295</v>
      </c>
      <c r="B74">
        <v>9</v>
      </c>
      <c r="C74">
        <v>2</v>
      </c>
      <c r="D74">
        <v>0</v>
      </c>
      <c r="E74" t="s">
        <v>305</v>
      </c>
      <c r="F74">
        <v>1023</v>
      </c>
      <c r="G74">
        <v>3967559</v>
      </c>
      <c r="H74">
        <v>0.94548871261732914</v>
      </c>
      <c r="I74">
        <v>0.92481203007518797</v>
      </c>
      <c r="J74">
        <v>631721.28571428568</v>
      </c>
      <c r="K74">
        <v>1291</v>
      </c>
      <c r="L74">
        <v>2</v>
      </c>
      <c r="M74">
        <v>23</v>
      </c>
      <c r="N74">
        <v>0.91541353383458646</v>
      </c>
      <c r="O74">
        <v>754269.35714285716</v>
      </c>
      <c r="P74">
        <v>1395</v>
      </c>
      <c r="Q74">
        <v>2</v>
      </c>
      <c r="R74">
        <v>24</v>
      </c>
      <c r="S74">
        <v>11.801417090684293</v>
      </c>
      <c r="T74">
        <v>0.92307692766189575</v>
      </c>
      <c r="W74">
        <f>Tabela7[[#This Row],[mlp_params]]</f>
        <v>1291</v>
      </c>
      <c r="X74">
        <f>Tabela7[[#This Row],[mlp_test_acc]]</f>
        <v>0.92481203007518797</v>
      </c>
      <c r="Y74">
        <f>Tabela7[[#This Row],[kan_val_acc_1]]</f>
        <v>0.92307692766189575</v>
      </c>
      <c r="Z74">
        <f>Tabela7[[#This Row],[no_steps]]</f>
        <v>11.801417090684293</v>
      </c>
    </row>
    <row r="75" spans="1:26" x14ac:dyDescent="0.25">
      <c r="A75" t="s">
        <v>295</v>
      </c>
      <c r="B75">
        <v>9</v>
      </c>
      <c r="C75">
        <v>3</v>
      </c>
      <c r="D75">
        <v>0</v>
      </c>
      <c r="E75" t="s">
        <v>307</v>
      </c>
      <c r="F75">
        <v>913</v>
      </c>
      <c r="G75">
        <v>5361859.6428571427</v>
      </c>
      <c r="H75">
        <v>0.91541353719575069</v>
      </c>
      <c r="I75">
        <v>0.92669172932330823</v>
      </c>
      <c r="J75">
        <v>829944.64285714284</v>
      </c>
      <c r="K75">
        <v>1291</v>
      </c>
      <c r="L75">
        <v>2</v>
      </c>
      <c r="M75">
        <v>23</v>
      </c>
      <c r="N75">
        <v>0.9285714285714286</v>
      </c>
      <c r="O75">
        <v>879273</v>
      </c>
      <c r="P75">
        <v>1395</v>
      </c>
      <c r="Q75">
        <v>2</v>
      </c>
      <c r="R75">
        <v>24</v>
      </c>
      <c r="S75">
        <v>11.766647855530474</v>
      </c>
      <c r="T75">
        <v>0.96989967272831845</v>
      </c>
      <c r="W75">
        <f>Tabela7[[#This Row],[mlp_params]]</f>
        <v>1291</v>
      </c>
      <c r="X75">
        <f>Tabela7[[#This Row],[mlp_test_acc]]</f>
        <v>0.92669172932330823</v>
      </c>
      <c r="Y75">
        <f>Tabela7[[#This Row],[kan_val_acc_1]]</f>
        <v>0.96989967272831845</v>
      </c>
      <c r="Z75">
        <f>Tabela7[[#This Row],[no_steps]]</f>
        <v>11.766647855530474</v>
      </c>
    </row>
    <row r="76" spans="1:26" x14ac:dyDescent="0.25">
      <c r="A76" t="s">
        <v>295</v>
      </c>
      <c r="B76">
        <v>9</v>
      </c>
      <c r="C76">
        <v>5</v>
      </c>
      <c r="D76">
        <v>0</v>
      </c>
      <c r="E76" t="s">
        <v>310</v>
      </c>
      <c r="F76">
        <v>843</v>
      </c>
      <c r="G76">
        <v>7021003.2857142854</v>
      </c>
      <c r="H76">
        <v>0.68421053460666115</v>
      </c>
      <c r="I76">
        <v>0.93233082706766912</v>
      </c>
      <c r="J76">
        <v>732899.78571428568</v>
      </c>
      <c r="K76">
        <v>1291</v>
      </c>
      <c r="L76">
        <v>2</v>
      </c>
      <c r="M76">
        <v>23</v>
      </c>
      <c r="N76">
        <v>0.9229323308270676</v>
      </c>
      <c r="O76">
        <v>720204</v>
      </c>
      <c r="P76">
        <v>1395</v>
      </c>
      <c r="Q76">
        <v>2</v>
      </c>
      <c r="R76">
        <v>24</v>
      </c>
      <c r="S76">
        <v>11.708161014612628</v>
      </c>
      <c r="T76">
        <v>0.93311037925573492</v>
      </c>
      <c r="W76">
        <f>Tabela7[[#This Row],[mlp_params]]</f>
        <v>1291</v>
      </c>
      <c r="X76">
        <f>Tabela7[[#This Row],[mlp_test_acc]]</f>
        <v>0.93233082706766912</v>
      </c>
      <c r="Y76">
        <f>Tabela7[[#This Row],[kan_val_acc_1]]</f>
        <v>0.93311037925573492</v>
      </c>
      <c r="Z76">
        <f>Tabela7[[#This Row],[no_steps]]</f>
        <v>11.708161014612628</v>
      </c>
    </row>
    <row r="77" spans="1:26" x14ac:dyDescent="0.25">
      <c r="A77" t="s">
        <v>295</v>
      </c>
      <c r="B77">
        <v>3</v>
      </c>
      <c r="C77">
        <v>2</v>
      </c>
      <c r="D77">
        <v>0</v>
      </c>
      <c r="E77" t="s">
        <v>299</v>
      </c>
      <c r="F77">
        <v>883</v>
      </c>
      <c r="G77">
        <v>3951175.1086956523</v>
      </c>
      <c r="H77">
        <v>0.93020595934080041</v>
      </c>
      <c r="I77">
        <v>0.93135011441647597</v>
      </c>
      <c r="J77">
        <v>293284.10869565216</v>
      </c>
      <c r="K77">
        <v>1395</v>
      </c>
      <c r="L77">
        <v>2</v>
      </c>
      <c r="M77">
        <v>24</v>
      </c>
      <c r="N77">
        <v>0.92906178489702518</v>
      </c>
      <c r="O77">
        <v>273337.4347826087</v>
      </c>
      <c r="P77">
        <v>1503</v>
      </c>
      <c r="Q77">
        <v>2</v>
      </c>
      <c r="R77">
        <v>25</v>
      </c>
      <c r="S77">
        <v>12.136871805792163</v>
      </c>
      <c r="T77">
        <v>0.97874396244684858</v>
      </c>
      <c r="W77">
        <f>Tabela7[[#This Row],[mlp_params]]</f>
        <v>1395</v>
      </c>
      <c r="X77">
        <f>Tabela7[[#This Row],[mlp_test_acc]]</f>
        <v>0.93135011441647597</v>
      </c>
      <c r="Y77">
        <f>Tabela7[[#This Row],[kan_val_acc_1]]</f>
        <v>0.97874396244684858</v>
      </c>
      <c r="Z77">
        <f>Tabela7[[#This Row],[no_steps]]</f>
        <v>12.136871805792163</v>
      </c>
    </row>
    <row r="78" spans="1:26" x14ac:dyDescent="0.25">
      <c r="A78" t="s">
        <v>295</v>
      </c>
      <c r="B78">
        <v>3</v>
      </c>
      <c r="C78">
        <v>3</v>
      </c>
      <c r="D78">
        <v>0</v>
      </c>
      <c r="E78" t="s">
        <v>296</v>
      </c>
      <c r="F78">
        <v>845</v>
      </c>
      <c r="G78">
        <v>5558819.4838709673</v>
      </c>
      <c r="H78">
        <v>0.93463497200319845</v>
      </c>
      <c r="I78">
        <v>0.93548387096774188</v>
      </c>
      <c r="J78">
        <v>235061.4193548387</v>
      </c>
      <c r="K78">
        <v>1395</v>
      </c>
      <c r="L78">
        <v>2</v>
      </c>
      <c r="M78">
        <v>24</v>
      </c>
      <c r="N78">
        <v>0.92444821731748728</v>
      </c>
      <c r="O78">
        <v>247205.45161290321</v>
      </c>
      <c r="P78">
        <v>1503</v>
      </c>
      <c r="Q78">
        <v>2</v>
      </c>
      <c r="R78">
        <v>25</v>
      </c>
      <c r="S78">
        <v>12.089277279168634</v>
      </c>
      <c r="T78">
        <v>0.99130434989929195</v>
      </c>
      <c r="W78">
        <f>Tabela7[[#This Row],[mlp_params]]</f>
        <v>1395</v>
      </c>
      <c r="X78">
        <f>Tabela7[[#This Row],[mlp_test_acc]]</f>
        <v>0.93548387096774188</v>
      </c>
      <c r="Y78">
        <f>Tabela7[[#This Row],[kan_val_acc_1]]</f>
        <v>0.99130434989929195</v>
      </c>
      <c r="Z78">
        <f>Tabela7[[#This Row],[no_steps]]</f>
        <v>12.089277279168634</v>
      </c>
    </row>
    <row r="79" spans="1:26" x14ac:dyDescent="0.25">
      <c r="A79" t="s">
        <v>295</v>
      </c>
      <c r="B79">
        <v>3</v>
      </c>
      <c r="C79">
        <v>4</v>
      </c>
      <c r="D79">
        <v>0</v>
      </c>
      <c r="E79" t="s">
        <v>308</v>
      </c>
      <c r="F79">
        <v>795</v>
      </c>
      <c r="G79">
        <v>6130131.9375</v>
      </c>
      <c r="H79">
        <v>0.92927632108330727</v>
      </c>
      <c r="I79">
        <v>0.93256578947368418</v>
      </c>
      <c r="J79">
        <v>348700.0625</v>
      </c>
      <c r="K79">
        <v>1395</v>
      </c>
      <c r="L79">
        <v>2</v>
      </c>
      <c r="M79">
        <v>24</v>
      </c>
      <c r="N79">
        <v>0.93092105263157887</v>
      </c>
      <c r="O79">
        <v>339503.0625</v>
      </c>
      <c r="P79">
        <v>1503</v>
      </c>
      <c r="Q79">
        <v>2</v>
      </c>
      <c r="R79">
        <v>25</v>
      </c>
      <c r="S79">
        <v>12.046993064900114</v>
      </c>
      <c r="T79">
        <v>0.97101449569066367</v>
      </c>
      <c r="W79">
        <f>Tabela7[[#This Row],[mlp_params]]</f>
        <v>1395</v>
      </c>
      <c r="X79">
        <f>Tabela7[[#This Row],[mlp_test_acc]]</f>
        <v>0.93256578947368418</v>
      </c>
      <c r="Y79">
        <f>Tabela7[[#This Row],[kan_val_acc_1]]</f>
        <v>0.97101449569066367</v>
      </c>
      <c r="Z79">
        <f>Tabela7[[#This Row],[no_steps]]</f>
        <v>12.046993064900114</v>
      </c>
    </row>
    <row r="80" spans="1:26" x14ac:dyDescent="0.25">
      <c r="A80" t="s">
        <v>295</v>
      </c>
      <c r="B80">
        <v>3</v>
      </c>
      <c r="C80">
        <v>5</v>
      </c>
      <c r="D80">
        <v>0</v>
      </c>
      <c r="E80" t="s">
        <v>313</v>
      </c>
      <c r="F80">
        <v>705</v>
      </c>
      <c r="G80">
        <v>6359480.25</v>
      </c>
      <c r="H80">
        <v>0.87335527315735817</v>
      </c>
      <c r="I80">
        <v>0.92763157894736836</v>
      </c>
      <c r="J80">
        <v>378337.25</v>
      </c>
      <c r="K80">
        <v>1395</v>
      </c>
      <c r="L80">
        <v>2</v>
      </c>
      <c r="M80">
        <v>24</v>
      </c>
      <c r="N80">
        <v>0.92598684210526316</v>
      </c>
      <c r="O80">
        <v>374186.6875</v>
      </c>
      <c r="P80">
        <v>1503</v>
      </c>
      <c r="Q80">
        <v>2</v>
      </c>
      <c r="R80">
        <v>25</v>
      </c>
      <c r="S80">
        <v>12.010872339339492</v>
      </c>
      <c r="T80">
        <v>0.95652174154917402</v>
      </c>
      <c r="W80">
        <f>Tabela7[[#This Row],[mlp_params]]</f>
        <v>1395</v>
      </c>
      <c r="X80">
        <f>Tabela7[[#This Row],[mlp_test_acc]]</f>
        <v>0.92763157894736836</v>
      </c>
      <c r="Y80">
        <f>Tabela7[[#This Row],[kan_val_acc_1]]</f>
        <v>0.95652174154917402</v>
      </c>
      <c r="Z80">
        <f>Tabela7[[#This Row],[no_steps]]</f>
        <v>12.010872339339492</v>
      </c>
    </row>
    <row r="81" spans="1:26" x14ac:dyDescent="0.25">
      <c r="A81" t="s">
        <v>295</v>
      </c>
      <c r="B81">
        <v>5</v>
      </c>
      <c r="C81">
        <v>2</v>
      </c>
      <c r="D81">
        <v>0</v>
      </c>
      <c r="E81" t="s">
        <v>309</v>
      </c>
      <c r="F81">
        <v>977</v>
      </c>
      <c r="G81">
        <v>6066817.0967741935</v>
      </c>
      <c r="H81">
        <v>0.93972835425407653</v>
      </c>
      <c r="I81">
        <v>0.9252971137521222</v>
      </c>
      <c r="J81">
        <v>412313.12903225806</v>
      </c>
      <c r="K81">
        <v>1395</v>
      </c>
      <c r="L81">
        <v>2</v>
      </c>
      <c r="M81">
        <v>24</v>
      </c>
      <c r="N81">
        <v>0.92444821731748728</v>
      </c>
      <c r="O81">
        <v>297556.61290322582</v>
      </c>
      <c r="P81">
        <v>1503</v>
      </c>
      <c r="Q81">
        <v>2</v>
      </c>
      <c r="R81">
        <v>25</v>
      </c>
      <c r="S81">
        <v>11.962064645452267</v>
      </c>
      <c r="T81">
        <v>0.97826087474822998</v>
      </c>
      <c r="W81">
        <f>Tabela7[[#This Row],[mlp_params]]</f>
        <v>1395</v>
      </c>
      <c r="X81">
        <f>Tabela7[[#This Row],[mlp_test_acc]]</f>
        <v>0.9252971137521222</v>
      </c>
      <c r="Y81">
        <f>Tabela7[[#This Row],[kan_val_acc_1]]</f>
        <v>0.97826087474822998</v>
      </c>
      <c r="Z81">
        <f>Tabela7[[#This Row],[no_steps]]</f>
        <v>11.962064645452267</v>
      </c>
    </row>
    <row r="82" spans="1:26" x14ac:dyDescent="0.25">
      <c r="A82" t="s">
        <v>295</v>
      </c>
      <c r="B82">
        <v>5</v>
      </c>
      <c r="C82">
        <v>3</v>
      </c>
      <c r="D82">
        <v>0</v>
      </c>
      <c r="E82" t="s">
        <v>308</v>
      </c>
      <c r="F82">
        <v>873</v>
      </c>
      <c r="G82">
        <v>5182986.2258064514</v>
      </c>
      <c r="H82">
        <v>0.92699490824053365</v>
      </c>
      <c r="I82">
        <v>0.92444821731748728</v>
      </c>
      <c r="J82">
        <v>460189.22580645164</v>
      </c>
      <c r="K82">
        <v>1395</v>
      </c>
      <c r="L82">
        <v>2</v>
      </c>
      <c r="M82">
        <v>24</v>
      </c>
      <c r="N82">
        <v>0.92190152801358227</v>
      </c>
      <c r="O82">
        <v>364496</v>
      </c>
      <c r="P82">
        <v>1503</v>
      </c>
      <c r="Q82">
        <v>2</v>
      </c>
      <c r="R82">
        <v>25</v>
      </c>
      <c r="S82">
        <v>11.910416049016701</v>
      </c>
      <c r="T82">
        <v>0.98115942478179929</v>
      </c>
      <c r="W82">
        <f>Tabela7[[#This Row],[mlp_params]]</f>
        <v>1395</v>
      </c>
      <c r="X82">
        <f>Tabela7[[#This Row],[mlp_test_acc]]</f>
        <v>0.92444821731748728</v>
      </c>
      <c r="Y82">
        <f>Tabela7[[#This Row],[kan_val_acc_1]]</f>
        <v>0.98115942478179929</v>
      </c>
      <c r="Z82">
        <f>Tabela7[[#This Row],[no_steps]]</f>
        <v>11.910416049016701</v>
      </c>
    </row>
    <row r="83" spans="1:26" x14ac:dyDescent="0.25">
      <c r="A83" t="s">
        <v>295</v>
      </c>
      <c r="B83">
        <v>5</v>
      </c>
      <c r="C83">
        <v>5</v>
      </c>
      <c r="D83">
        <v>0</v>
      </c>
      <c r="E83" t="s">
        <v>304</v>
      </c>
      <c r="F83">
        <v>767</v>
      </c>
      <c r="G83">
        <v>4031583</v>
      </c>
      <c r="H83">
        <v>0.90601504274777001</v>
      </c>
      <c r="I83">
        <v>0.93609022556390975</v>
      </c>
      <c r="J83">
        <v>529807.5</v>
      </c>
      <c r="K83">
        <v>1395</v>
      </c>
      <c r="L83">
        <v>2</v>
      </c>
      <c r="M83">
        <v>24</v>
      </c>
      <c r="N83">
        <v>0.91917293233082709</v>
      </c>
      <c r="O83">
        <v>527919.57142857148</v>
      </c>
      <c r="P83">
        <v>1503</v>
      </c>
      <c r="Q83">
        <v>2</v>
      </c>
      <c r="R83">
        <v>25</v>
      </c>
      <c r="S83">
        <v>11.838029528128921</v>
      </c>
      <c r="T83">
        <v>0.97993311056723964</v>
      </c>
      <c r="W83">
        <f>Tabela7[[#This Row],[mlp_params]]</f>
        <v>1395</v>
      </c>
      <c r="X83">
        <f>Tabela7[[#This Row],[mlp_test_acc]]</f>
        <v>0.93609022556390975</v>
      </c>
      <c r="Y83">
        <f>Tabela7[[#This Row],[kan_val_acc_1]]</f>
        <v>0.97993311056723964</v>
      </c>
      <c r="Z83">
        <f>Tabela7[[#This Row],[no_steps]]</f>
        <v>11.838029528128921</v>
      </c>
    </row>
    <row r="84" spans="1:26" x14ac:dyDescent="0.25">
      <c r="A84" t="s">
        <v>295</v>
      </c>
      <c r="B84">
        <v>9</v>
      </c>
      <c r="C84">
        <v>2</v>
      </c>
      <c r="D84">
        <v>0</v>
      </c>
      <c r="E84" t="s">
        <v>308</v>
      </c>
      <c r="F84">
        <v>1107</v>
      </c>
      <c r="G84">
        <v>5032446.9285714282</v>
      </c>
      <c r="H84">
        <v>0.9285714243139539</v>
      </c>
      <c r="I84">
        <v>0.92481203007518797</v>
      </c>
      <c r="J84">
        <v>734880.5</v>
      </c>
      <c r="K84">
        <v>1395</v>
      </c>
      <c r="L84">
        <v>2</v>
      </c>
      <c r="M84">
        <v>24</v>
      </c>
      <c r="N84">
        <v>0.92481203007518797</v>
      </c>
      <c r="O84">
        <v>850464.14285714284</v>
      </c>
      <c r="P84">
        <v>1503</v>
      </c>
      <c r="Q84">
        <v>2</v>
      </c>
      <c r="R84">
        <v>25</v>
      </c>
      <c r="S84">
        <v>11.799220643444375</v>
      </c>
      <c r="T84">
        <v>0.9765886343442477</v>
      </c>
      <c r="W84">
        <f>Tabela7[[#This Row],[mlp_params]]</f>
        <v>1395</v>
      </c>
      <c r="X84">
        <f>Tabela7[[#This Row],[mlp_test_acc]]</f>
        <v>0.92481203007518797</v>
      </c>
      <c r="Y84">
        <f>Tabela7[[#This Row],[kan_val_acc_1]]</f>
        <v>0.9765886343442477</v>
      </c>
      <c r="Z84">
        <f>Tabela7[[#This Row],[no_steps]]</f>
        <v>11.799220643444375</v>
      </c>
    </row>
    <row r="85" spans="1:26" x14ac:dyDescent="0.25">
      <c r="A85" t="s">
        <v>295</v>
      </c>
      <c r="B85">
        <v>9</v>
      </c>
      <c r="C85">
        <v>3</v>
      </c>
      <c r="D85">
        <v>0</v>
      </c>
      <c r="E85" t="s">
        <v>313</v>
      </c>
      <c r="F85">
        <v>957</v>
      </c>
      <c r="G85">
        <v>7644427.8571428573</v>
      </c>
      <c r="H85">
        <v>0.85150376388004845</v>
      </c>
      <c r="I85">
        <v>0.92105263157894735</v>
      </c>
      <c r="J85">
        <v>959839.64285714284</v>
      </c>
      <c r="K85">
        <v>1395</v>
      </c>
      <c r="L85">
        <v>2</v>
      </c>
      <c r="M85">
        <v>24</v>
      </c>
      <c r="N85">
        <v>0.9229323308270676</v>
      </c>
      <c r="O85">
        <v>913686.85714285716</v>
      </c>
      <c r="P85">
        <v>1503</v>
      </c>
      <c r="Q85">
        <v>2</v>
      </c>
      <c r="R85">
        <v>25</v>
      </c>
      <c r="S85">
        <v>11.766848388006391</v>
      </c>
      <c r="T85">
        <v>0.89966554825122536</v>
      </c>
      <c r="W85">
        <f>Tabela7[[#This Row],[mlp_params]]</f>
        <v>1395</v>
      </c>
      <c r="X85">
        <f>Tabela7[[#This Row],[mlp_test_acc]]</f>
        <v>0.92105263157894735</v>
      </c>
      <c r="Y85">
        <f>Tabela7[[#This Row],[kan_val_acc_1]]</f>
        <v>0.89966554825122536</v>
      </c>
      <c r="Z85">
        <f>Tabela7[[#This Row],[no_steps]]</f>
        <v>11.766848388006391</v>
      </c>
    </row>
    <row r="86" spans="1:26" x14ac:dyDescent="0.25">
      <c r="A86" t="s">
        <v>295</v>
      </c>
      <c r="B86">
        <v>9</v>
      </c>
      <c r="C86">
        <v>4</v>
      </c>
      <c r="D86">
        <v>0</v>
      </c>
      <c r="E86" t="s">
        <v>304</v>
      </c>
      <c r="F86">
        <v>941</v>
      </c>
      <c r="G86">
        <v>4297963.9285714282</v>
      </c>
      <c r="H86">
        <v>0.85526316080774578</v>
      </c>
      <c r="I86">
        <v>0.92481203007518797</v>
      </c>
      <c r="J86">
        <v>777865.21428571432</v>
      </c>
      <c r="K86">
        <v>1395</v>
      </c>
      <c r="L86">
        <v>2</v>
      </c>
      <c r="M86">
        <v>24</v>
      </c>
      <c r="N86">
        <v>0.92669172932330823</v>
      </c>
      <c r="O86">
        <v>759555.07142857148</v>
      </c>
      <c r="P86">
        <v>1503</v>
      </c>
      <c r="Q86">
        <v>2</v>
      </c>
      <c r="R86">
        <v>25</v>
      </c>
      <c r="S86">
        <v>11.740634005763688</v>
      </c>
      <c r="T86">
        <v>0.94983278329555809</v>
      </c>
      <c r="W86">
        <f>Tabela7[[#This Row],[mlp_params]]</f>
        <v>1395</v>
      </c>
      <c r="X86">
        <f>Tabela7[[#This Row],[mlp_test_acc]]</f>
        <v>0.92481203007518797</v>
      </c>
      <c r="Y86">
        <f>Tabela7[[#This Row],[kan_val_acc_1]]</f>
        <v>0.94983278329555809</v>
      </c>
      <c r="Z86">
        <f>Tabela7[[#This Row],[no_steps]]</f>
        <v>11.740634005763688</v>
      </c>
    </row>
    <row r="87" spans="1:26" x14ac:dyDescent="0.25">
      <c r="A87" t="s">
        <v>295</v>
      </c>
      <c r="B87">
        <v>3</v>
      </c>
      <c r="C87">
        <v>2</v>
      </c>
      <c r="D87">
        <v>0</v>
      </c>
      <c r="E87" t="s">
        <v>312</v>
      </c>
      <c r="F87">
        <v>979</v>
      </c>
      <c r="G87">
        <v>3938141.4375</v>
      </c>
      <c r="H87">
        <v>0.93914474546909332</v>
      </c>
      <c r="I87">
        <v>0.92269736842105265</v>
      </c>
      <c r="J87">
        <v>216653.6875</v>
      </c>
      <c r="K87">
        <v>1503</v>
      </c>
      <c r="L87">
        <v>2</v>
      </c>
      <c r="M87">
        <v>25</v>
      </c>
      <c r="N87">
        <v>0.93256578947368418</v>
      </c>
      <c r="O87">
        <v>316396.75</v>
      </c>
      <c r="P87">
        <v>1615</v>
      </c>
      <c r="Q87">
        <v>2</v>
      </c>
      <c r="R87">
        <v>26</v>
      </c>
      <c r="S87">
        <v>12.133829787234042</v>
      </c>
      <c r="T87">
        <v>0.99130434989929195</v>
      </c>
      <c r="W87">
        <f>Tabela7[[#This Row],[mlp_params]]</f>
        <v>1503</v>
      </c>
      <c r="X87">
        <f>Tabela7[[#This Row],[mlp_test_acc]]</f>
        <v>0.92269736842105265</v>
      </c>
      <c r="Y87">
        <f>Tabela7[[#This Row],[kan_val_acc_1]]</f>
        <v>0.99130434989929195</v>
      </c>
      <c r="Z87">
        <f>Tabela7[[#This Row],[no_steps]]</f>
        <v>12.133829787234042</v>
      </c>
    </row>
    <row r="88" spans="1:26" x14ac:dyDescent="0.25">
      <c r="A88" t="s">
        <v>295</v>
      </c>
      <c r="B88">
        <v>3</v>
      </c>
      <c r="C88">
        <v>3</v>
      </c>
      <c r="D88">
        <v>0</v>
      </c>
      <c r="E88" t="s">
        <v>309</v>
      </c>
      <c r="F88">
        <v>881</v>
      </c>
      <c r="G88">
        <v>4820212.3125</v>
      </c>
      <c r="H88">
        <v>0.92763159051537514</v>
      </c>
      <c r="I88">
        <v>0.92269736842105265</v>
      </c>
      <c r="J88">
        <v>190667.6875</v>
      </c>
      <c r="K88">
        <v>1503</v>
      </c>
      <c r="L88">
        <v>2</v>
      </c>
      <c r="M88">
        <v>25</v>
      </c>
      <c r="N88">
        <v>0.93585526315789469</v>
      </c>
      <c r="O88">
        <v>309437.9375</v>
      </c>
      <c r="P88">
        <v>1615</v>
      </c>
      <c r="Q88">
        <v>2</v>
      </c>
      <c r="R88">
        <v>26</v>
      </c>
      <c r="S88">
        <v>12.086737637002464</v>
      </c>
      <c r="T88">
        <v>0.98260869979858401</v>
      </c>
      <c r="W88">
        <f>Tabela7[[#This Row],[mlp_params]]</f>
        <v>1503</v>
      </c>
      <c r="X88">
        <f>Tabela7[[#This Row],[mlp_test_acc]]</f>
        <v>0.92269736842105265</v>
      </c>
      <c r="Y88">
        <f>Tabela7[[#This Row],[kan_val_acc_1]]</f>
        <v>0.98260869979858401</v>
      </c>
      <c r="Z88">
        <f>Tabela7[[#This Row],[no_steps]]</f>
        <v>12.086737637002464</v>
      </c>
    </row>
    <row r="89" spans="1:26" x14ac:dyDescent="0.25">
      <c r="A89" t="s">
        <v>295</v>
      </c>
      <c r="B89">
        <v>3</v>
      </c>
      <c r="C89">
        <v>5</v>
      </c>
      <c r="D89">
        <v>0</v>
      </c>
      <c r="E89" t="s">
        <v>305</v>
      </c>
      <c r="F89">
        <v>807</v>
      </c>
      <c r="G89">
        <v>3905791</v>
      </c>
      <c r="H89">
        <v>0.94736843183636665</v>
      </c>
      <c r="I89">
        <v>0.93914473684210531</v>
      </c>
      <c r="J89">
        <v>421393.375</v>
      </c>
      <c r="K89">
        <v>1503</v>
      </c>
      <c r="L89">
        <v>2</v>
      </c>
      <c r="M89">
        <v>25</v>
      </c>
      <c r="N89">
        <v>0.91776315789473684</v>
      </c>
      <c r="O89">
        <v>332712.375</v>
      </c>
      <c r="P89">
        <v>1615</v>
      </c>
      <c r="Q89">
        <v>2</v>
      </c>
      <c r="R89">
        <v>26</v>
      </c>
      <c r="S89">
        <v>12.007701331157239</v>
      </c>
      <c r="T89">
        <v>0.99420289993286137</v>
      </c>
      <c r="W89">
        <f>Tabela7[[#This Row],[mlp_params]]</f>
        <v>1503</v>
      </c>
      <c r="X89">
        <f>Tabela7[[#This Row],[mlp_test_acc]]</f>
        <v>0.93914473684210531</v>
      </c>
      <c r="Y89">
        <f>Tabela7[[#This Row],[kan_val_acc_1]]</f>
        <v>0.99420289993286137</v>
      </c>
      <c r="Z89">
        <f>Tabela7[[#This Row],[no_steps]]</f>
        <v>12.007701331157239</v>
      </c>
    </row>
    <row r="90" spans="1:26" x14ac:dyDescent="0.25">
      <c r="A90" t="s">
        <v>295</v>
      </c>
      <c r="B90">
        <v>5</v>
      </c>
      <c r="C90">
        <v>4</v>
      </c>
      <c r="D90">
        <v>0</v>
      </c>
      <c r="E90" t="s">
        <v>305</v>
      </c>
      <c r="F90">
        <v>879</v>
      </c>
      <c r="G90">
        <v>3479025.5625</v>
      </c>
      <c r="H90">
        <v>0.91611842438578606</v>
      </c>
      <c r="I90">
        <v>0.9375</v>
      </c>
      <c r="J90">
        <v>960327.25</v>
      </c>
      <c r="K90">
        <v>1503</v>
      </c>
      <c r="L90">
        <v>2</v>
      </c>
      <c r="M90">
        <v>25</v>
      </c>
      <c r="N90">
        <v>0.91118421052631582</v>
      </c>
      <c r="O90">
        <v>321325.9375</v>
      </c>
      <c r="P90">
        <v>1615</v>
      </c>
      <c r="Q90">
        <v>2</v>
      </c>
      <c r="R90">
        <v>26</v>
      </c>
      <c r="S90">
        <v>11.870171673819742</v>
      </c>
      <c r="T90">
        <v>0.98550724983215332</v>
      </c>
      <c r="W90">
        <f>Tabela7[[#This Row],[mlp_params]]</f>
        <v>1503</v>
      </c>
      <c r="X90">
        <f>Tabela7[[#This Row],[mlp_test_acc]]</f>
        <v>0.9375</v>
      </c>
      <c r="Y90">
        <f>Tabela7[[#This Row],[kan_val_acc_1]]</f>
        <v>0.98550724983215332</v>
      </c>
      <c r="Z90">
        <f>Tabela7[[#This Row],[no_steps]]</f>
        <v>11.870171673819742</v>
      </c>
    </row>
    <row r="91" spans="1:26" x14ac:dyDescent="0.25">
      <c r="A91" t="s">
        <v>295</v>
      </c>
      <c r="B91">
        <v>5</v>
      </c>
      <c r="C91">
        <v>5</v>
      </c>
      <c r="D91">
        <v>0</v>
      </c>
      <c r="E91" t="s">
        <v>313</v>
      </c>
      <c r="F91">
        <v>831</v>
      </c>
      <c r="G91">
        <v>7132959.3703703703</v>
      </c>
      <c r="H91">
        <v>0.74366472054410859</v>
      </c>
      <c r="I91">
        <v>0.93079922027290452</v>
      </c>
      <c r="J91">
        <v>552600.8518518518</v>
      </c>
      <c r="K91">
        <v>1503</v>
      </c>
      <c r="L91">
        <v>2</v>
      </c>
      <c r="M91">
        <v>25</v>
      </c>
      <c r="N91">
        <v>0.9171539961013645</v>
      </c>
      <c r="O91">
        <v>672789.25925925921</v>
      </c>
      <c r="P91">
        <v>1615</v>
      </c>
      <c r="Q91">
        <v>2</v>
      </c>
      <c r="R91">
        <v>26</v>
      </c>
      <c r="S91">
        <v>11.834819062304245</v>
      </c>
      <c r="T91">
        <v>0.93478261278225827</v>
      </c>
      <c r="W91">
        <f>Tabela7[[#This Row],[mlp_params]]</f>
        <v>1503</v>
      </c>
      <c r="X91">
        <f>Tabela7[[#This Row],[mlp_test_acc]]</f>
        <v>0.93079922027290452</v>
      </c>
      <c r="Y91">
        <f>Tabela7[[#This Row],[kan_val_acc_1]]</f>
        <v>0.93478261278225827</v>
      </c>
      <c r="Z91">
        <f>Tabela7[[#This Row],[no_steps]]</f>
        <v>11.834819062304245</v>
      </c>
    </row>
    <row r="92" spans="1:26" x14ac:dyDescent="0.25">
      <c r="A92" t="s">
        <v>295</v>
      </c>
      <c r="B92">
        <v>9</v>
      </c>
      <c r="C92">
        <v>3</v>
      </c>
      <c r="D92">
        <v>0</v>
      </c>
      <c r="E92" t="s">
        <v>305</v>
      </c>
      <c r="F92">
        <v>1095</v>
      </c>
      <c r="G92">
        <v>4609401.7142857146</v>
      </c>
      <c r="H92">
        <v>0.91917294263839722</v>
      </c>
      <c r="I92">
        <v>0.92481203007518797</v>
      </c>
      <c r="J92">
        <v>538195.42857142852</v>
      </c>
      <c r="K92">
        <v>1503</v>
      </c>
      <c r="L92">
        <v>2</v>
      </c>
      <c r="M92">
        <v>25</v>
      </c>
      <c r="N92">
        <v>0.92481203007518797</v>
      </c>
      <c r="O92">
        <v>787282.71428571432</v>
      </c>
      <c r="P92">
        <v>1615</v>
      </c>
      <c r="Q92">
        <v>2</v>
      </c>
      <c r="R92">
        <v>26</v>
      </c>
      <c r="S92">
        <v>11.765780574863799</v>
      </c>
      <c r="T92">
        <v>0.94983278788053072</v>
      </c>
      <c r="W92">
        <f>Tabela7[[#This Row],[mlp_params]]</f>
        <v>1503</v>
      </c>
      <c r="X92">
        <f>Tabela7[[#This Row],[mlp_test_acc]]</f>
        <v>0.92481203007518797</v>
      </c>
      <c r="Y92">
        <f>Tabela7[[#This Row],[kan_val_acc_1]]</f>
        <v>0.94983278788053072</v>
      </c>
      <c r="Z92">
        <f>Tabela7[[#This Row],[no_steps]]</f>
        <v>11.765780574863799</v>
      </c>
    </row>
    <row r="93" spans="1:26" x14ac:dyDescent="0.25">
      <c r="A93" t="s">
        <v>295</v>
      </c>
      <c r="B93">
        <v>9</v>
      </c>
      <c r="C93">
        <v>4</v>
      </c>
      <c r="D93">
        <v>0</v>
      </c>
      <c r="E93" t="s">
        <v>313</v>
      </c>
      <c r="F93">
        <v>1020</v>
      </c>
      <c r="G93">
        <v>5971899.6428571427</v>
      </c>
      <c r="H93">
        <v>0.87593985029629295</v>
      </c>
      <c r="I93">
        <v>0.92481203007518797</v>
      </c>
      <c r="J93">
        <v>898590.57142857148</v>
      </c>
      <c r="K93">
        <v>1503</v>
      </c>
      <c r="L93">
        <v>2</v>
      </c>
      <c r="M93">
        <v>25</v>
      </c>
      <c r="N93">
        <v>0.92481203007518797</v>
      </c>
      <c r="O93">
        <v>936740</v>
      </c>
      <c r="P93">
        <v>1615</v>
      </c>
      <c r="Q93">
        <v>2</v>
      </c>
      <c r="R93">
        <v>26</v>
      </c>
      <c r="S93">
        <v>11.738294314381271</v>
      </c>
      <c r="T93">
        <v>0.95652174491148734</v>
      </c>
      <c r="W93">
        <f>Tabela7[[#This Row],[mlp_params]]</f>
        <v>1503</v>
      </c>
      <c r="X93">
        <f>Tabela7[[#This Row],[mlp_test_acc]]</f>
        <v>0.92481203007518797</v>
      </c>
      <c r="Y93">
        <f>Tabela7[[#This Row],[kan_val_acc_1]]</f>
        <v>0.95652174491148734</v>
      </c>
      <c r="Z93">
        <f>Tabela7[[#This Row],[no_steps]]</f>
        <v>11.738294314381271</v>
      </c>
    </row>
    <row r="94" spans="1:26" x14ac:dyDescent="0.25">
      <c r="A94" t="s">
        <v>295</v>
      </c>
      <c r="B94">
        <v>3</v>
      </c>
      <c r="C94">
        <v>5</v>
      </c>
      <c r="D94">
        <v>0</v>
      </c>
      <c r="E94" t="s">
        <v>308</v>
      </c>
      <c r="F94">
        <v>873</v>
      </c>
      <c r="G94">
        <v>6094729.625</v>
      </c>
      <c r="H94">
        <v>0.88980262912809849</v>
      </c>
      <c r="I94">
        <v>0.92763157894736836</v>
      </c>
      <c r="J94">
        <v>485425.625</v>
      </c>
      <c r="K94">
        <v>1615</v>
      </c>
      <c r="L94">
        <v>2</v>
      </c>
      <c r="M94">
        <v>26</v>
      </c>
      <c r="N94">
        <v>0.92105263157894735</v>
      </c>
      <c r="O94">
        <v>356998.75</v>
      </c>
      <c r="P94">
        <v>1731</v>
      </c>
      <c r="Q94">
        <v>2</v>
      </c>
      <c r="R94">
        <v>27</v>
      </c>
      <c r="S94">
        <v>12.005096060745045</v>
      </c>
      <c r="T94">
        <v>0.97971014976501469</v>
      </c>
      <c r="W94">
        <f>Tabela7[[#This Row],[mlp_params]]</f>
        <v>1615</v>
      </c>
      <c r="X94">
        <f>Tabela7[[#This Row],[mlp_test_acc]]</f>
        <v>0.92763157894736836</v>
      </c>
      <c r="Y94">
        <f>Tabela7[[#This Row],[kan_val_acc_1]]</f>
        <v>0.97971014976501469</v>
      </c>
      <c r="Z94">
        <f>Tabela7[[#This Row],[no_steps]]</f>
        <v>12.005096060745045</v>
      </c>
    </row>
    <row r="95" spans="1:26" x14ac:dyDescent="0.25">
      <c r="A95" t="s">
        <v>295</v>
      </c>
      <c r="B95">
        <v>5</v>
      </c>
      <c r="C95">
        <v>2</v>
      </c>
      <c r="D95">
        <v>0</v>
      </c>
      <c r="E95" t="s">
        <v>299</v>
      </c>
      <c r="F95">
        <v>1099</v>
      </c>
      <c r="G95">
        <v>4460789.2826086953</v>
      </c>
      <c r="H95">
        <v>0.9393592710080354</v>
      </c>
      <c r="I95">
        <v>0.93363844393592677</v>
      </c>
      <c r="J95">
        <v>483869.41304347827</v>
      </c>
      <c r="K95">
        <v>1615</v>
      </c>
      <c r="L95">
        <v>2</v>
      </c>
      <c r="M95">
        <v>26</v>
      </c>
      <c r="N95">
        <v>0.92276887871853541</v>
      </c>
      <c r="O95">
        <v>411660.67391304346</v>
      </c>
      <c r="P95">
        <v>1731</v>
      </c>
      <c r="Q95">
        <v>2</v>
      </c>
      <c r="R95">
        <v>27</v>
      </c>
      <c r="S95">
        <v>11.95345232738363</v>
      </c>
      <c r="T95">
        <v>0.98550724983215332</v>
      </c>
      <c r="W95">
        <f>Tabela7[[#This Row],[mlp_params]]</f>
        <v>1615</v>
      </c>
      <c r="X95">
        <f>Tabela7[[#This Row],[mlp_test_acc]]</f>
        <v>0.93363844393592677</v>
      </c>
      <c r="Y95">
        <f>Tabela7[[#This Row],[kan_val_acc_1]]</f>
        <v>0.98550724983215332</v>
      </c>
      <c r="Z95">
        <f>Tabela7[[#This Row],[no_steps]]</f>
        <v>11.95345232738363</v>
      </c>
    </row>
    <row r="96" spans="1:26" x14ac:dyDescent="0.25">
      <c r="A96" t="s">
        <v>295</v>
      </c>
      <c r="B96">
        <v>5</v>
      </c>
      <c r="C96">
        <v>3</v>
      </c>
      <c r="D96">
        <v>0</v>
      </c>
      <c r="E96" t="s">
        <v>296</v>
      </c>
      <c r="F96">
        <v>1029</v>
      </c>
      <c r="G96">
        <v>5939934.125</v>
      </c>
      <c r="H96">
        <v>0.90460526570677757</v>
      </c>
      <c r="I96">
        <v>0.93421052631578949</v>
      </c>
      <c r="J96">
        <v>362659.5</v>
      </c>
      <c r="K96">
        <v>1615</v>
      </c>
      <c r="L96">
        <v>2</v>
      </c>
      <c r="M96">
        <v>26</v>
      </c>
      <c r="N96">
        <v>0.91776315789473684</v>
      </c>
      <c r="O96">
        <v>401507.0625</v>
      </c>
      <c r="P96">
        <v>1731</v>
      </c>
      <c r="Q96">
        <v>2</v>
      </c>
      <c r="R96">
        <v>27</v>
      </c>
      <c r="S96">
        <v>11.908857509627728</v>
      </c>
      <c r="T96">
        <v>0.96521739562352493</v>
      </c>
      <c r="W96">
        <f>Tabela7[[#This Row],[mlp_params]]</f>
        <v>1615</v>
      </c>
      <c r="X96">
        <f>Tabela7[[#This Row],[mlp_test_acc]]</f>
        <v>0.93421052631578949</v>
      </c>
      <c r="Y96">
        <f>Tabela7[[#This Row],[kan_val_acc_1]]</f>
        <v>0.96521739562352493</v>
      </c>
      <c r="Z96">
        <f>Tabela7[[#This Row],[no_steps]]</f>
        <v>11.908857509627728</v>
      </c>
    </row>
    <row r="97" spans="1:26" x14ac:dyDescent="0.25">
      <c r="A97" t="s">
        <v>295</v>
      </c>
      <c r="B97">
        <v>5</v>
      </c>
      <c r="C97">
        <v>4</v>
      </c>
      <c r="D97">
        <v>0</v>
      </c>
      <c r="E97" t="s">
        <v>308</v>
      </c>
      <c r="F97">
        <v>951</v>
      </c>
      <c r="G97">
        <v>6377958</v>
      </c>
      <c r="H97">
        <v>0.83528265412207003</v>
      </c>
      <c r="I97">
        <v>0.92690058479532167</v>
      </c>
      <c r="J97">
        <v>657066.8518518518</v>
      </c>
      <c r="K97">
        <v>1615</v>
      </c>
      <c r="L97">
        <v>2</v>
      </c>
      <c r="M97">
        <v>26</v>
      </c>
      <c r="N97">
        <v>0.92007797270955161</v>
      </c>
      <c r="O97">
        <v>392753.70370370371</v>
      </c>
      <c r="P97">
        <v>1731</v>
      </c>
      <c r="Q97">
        <v>2</v>
      </c>
      <c r="R97">
        <v>27</v>
      </c>
      <c r="S97">
        <v>11.866494569188058</v>
      </c>
      <c r="T97">
        <v>0.98160535555619455</v>
      </c>
      <c r="W97">
        <f>Tabela7[[#This Row],[mlp_params]]</f>
        <v>1615</v>
      </c>
      <c r="X97">
        <f>Tabela7[[#This Row],[mlp_test_acc]]</f>
        <v>0.92690058479532167</v>
      </c>
      <c r="Y97">
        <f>Tabela7[[#This Row],[kan_val_acc_1]]</f>
        <v>0.98160535555619455</v>
      </c>
      <c r="Z97">
        <f>Tabela7[[#This Row],[no_steps]]</f>
        <v>11.866494569188058</v>
      </c>
    </row>
    <row r="98" spans="1:26" x14ac:dyDescent="0.25">
      <c r="A98" t="s">
        <v>295</v>
      </c>
      <c r="B98">
        <v>9</v>
      </c>
      <c r="C98">
        <v>3</v>
      </c>
      <c r="D98">
        <v>0</v>
      </c>
      <c r="E98" t="s">
        <v>308</v>
      </c>
      <c r="F98">
        <v>1185</v>
      </c>
      <c r="G98">
        <v>6218764.6428571427</v>
      </c>
      <c r="H98">
        <v>0.89473685196467811</v>
      </c>
      <c r="I98">
        <v>0.93045112781954886</v>
      </c>
      <c r="J98">
        <v>817026.78571428568</v>
      </c>
      <c r="K98">
        <v>1615</v>
      </c>
      <c r="L98">
        <v>2</v>
      </c>
      <c r="M98">
        <v>26</v>
      </c>
      <c r="N98">
        <v>0.92105263157894735</v>
      </c>
      <c r="O98">
        <v>581462.42857142852</v>
      </c>
      <c r="P98">
        <v>1731</v>
      </c>
      <c r="Q98">
        <v>2</v>
      </c>
      <c r="R98">
        <v>27</v>
      </c>
      <c r="S98">
        <v>11.764244813667512</v>
      </c>
      <c r="T98">
        <v>0.95652174949645996</v>
      </c>
      <c r="W98">
        <f>Tabela7[[#This Row],[mlp_params]]</f>
        <v>1615</v>
      </c>
      <c r="X98">
        <f>Tabela7[[#This Row],[mlp_test_acc]]</f>
        <v>0.93045112781954886</v>
      </c>
      <c r="Y98">
        <f>Tabela7[[#This Row],[kan_val_acc_1]]</f>
        <v>0.95652174949645996</v>
      </c>
      <c r="Z98">
        <f>Tabela7[[#This Row],[no_steps]]</f>
        <v>11.764244813667512</v>
      </c>
    </row>
    <row r="99" spans="1:26" x14ac:dyDescent="0.25">
      <c r="A99" t="s">
        <v>295</v>
      </c>
      <c r="B99">
        <v>9</v>
      </c>
      <c r="C99">
        <v>5</v>
      </c>
      <c r="D99">
        <v>0</v>
      </c>
      <c r="E99" t="s">
        <v>304</v>
      </c>
      <c r="F99">
        <v>999</v>
      </c>
      <c r="G99">
        <v>4754619.6428571427</v>
      </c>
      <c r="H99">
        <v>0.87218045762607033</v>
      </c>
      <c r="I99">
        <v>0.91917293233082709</v>
      </c>
      <c r="J99">
        <v>783664.28571428568</v>
      </c>
      <c r="K99">
        <v>1615</v>
      </c>
      <c r="L99">
        <v>2</v>
      </c>
      <c r="M99">
        <v>26</v>
      </c>
      <c r="N99">
        <v>0.92669172932330823</v>
      </c>
      <c r="O99">
        <v>1066962</v>
      </c>
      <c r="P99">
        <v>1731</v>
      </c>
      <c r="Q99">
        <v>2</v>
      </c>
      <c r="R99">
        <v>27</v>
      </c>
      <c r="S99">
        <v>11.706052534900808</v>
      </c>
      <c r="T99">
        <v>0.93979933628669154</v>
      </c>
      <c r="W99">
        <f>Tabela7[[#This Row],[mlp_params]]</f>
        <v>1615</v>
      </c>
      <c r="X99">
        <f>Tabela7[[#This Row],[mlp_test_acc]]</f>
        <v>0.91917293233082709</v>
      </c>
      <c r="Y99">
        <f>Tabela7[[#This Row],[kan_val_acc_1]]</f>
        <v>0.93979933628669154</v>
      </c>
      <c r="Z99">
        <f>Tabela7[[#This Row],[no_steps]]</f>
        <v>11.706052534900808</v>
      </c>
    </row>
    <row r="100" spans="1:26" x14ac:dyDescent="0.25">
      <c r="A100" t="s">
        <v>295</v>
      </c>
      <c r="B100">
        <v>3</v>
      </c>
      <c r="C100">
        <v>2</v>
      </c>
      <c r="D100">
        <v>0</v>
      </c>
      <c r="E100" t="s">
        <v>300</v>
      </c>
      <c r="F100">
        <v>1125</v>
      </c>
      <c r="G100">
        <v>4452255.8064516131</v>
      </c>
      <c r="H100">
        <v>0.94227505307043757</v>
      </c>
      <c r="I100">
        <v>0.93208828522920206</v>
      </c>
      <c r="J100">
        <v>241370.83870967742</v>
      </c>
      <c r="K100">
        <v>1731</v>
      </c>
      <c r="L100">
        <v>2</v>
      </c>
      <c r="M100">
        <v>27</v>
      </c>
      <c r="N100">
        <v>0.92444821731748728</v>
      </c>
      <c r="O100">
        <v>218838</v>
      </c>
      <c r="P100">
        <v>1851</v>
      </c>
      <c r="Q100">
        <v>2</v>
      </c>
      <c r="R100">
        <v>28</v>
      </c>
      <c r="S100">
        <v>12.129945302957889</v>
      </c>
      <c r="T100">
        <v>0.99275362491607666</v>
      </c>
      <c r="W100">
        <f>Tabela7[[#This Row],[mlp_params]]</f>
        <v>1731</v>
      </c>
      <c r="X100">
        <f>Tabela7[[#This Row],[mlp_test_acc]]</f>
        <v>0.93208828522920206</v>
      </c>
      <c r="Y100">
        <f>Tabela7[[#This Row],[kan_val_acc_1]]</f>
        <v>0.99275362491607666</v>
      </c>
      <c r="Z100">
        <f>Tabela7[[#This Row],[no_steps]]</f>
        <v>12.129945302957889</v>
      </c>
    </row>
    <row r="101" spans="1:26" x14ac:dyDescent="0.25">
      <c r="A101" t="s">
        <v>295</v>
      </c>
      <c r="B101">
        <v>3</v>
      </c>
      <c r="C101">
        <v>3</v>
      </c>
      <c r="D101">
        <v>0</v>
      </c>
      <c r="E101" t="s">
        <v>299</v>
      </c>
      <c r="F101">
        <v>991</v>
      </c>
      <c r="G101">
        <v>5005228.2580645159</v>
      </c>
      <c r="H101">
        <v>0.85908319680921497</v>
      </c>
      <c r="I101">
        <v>0.92954159592529706</v>
      </c>
      <c r="J101">
        <v>294892.41935483873</v>
      </c>
      <c r="K101">
        <v>1731</v>
      </c>
      <c r="L101">
        <v>2</v>
      </c>
      <c r="M101">
        <v>27</v>
      </c>
      <c r="N101">
        <v>0.92105263157894735</v>
      </c>
      <c r="O101">
        <v>295908.87096774194</v>
      </c>
      <c r="P101">
        <v>1851</v>
      </c>
      <c r="Q101">
        <v>2</v>
      </c>
      <c r="R101">
        <v>28</v>
      </c>
      <c r="S101">
        <v>12.082513089005236</v>
      </c>
      <c r="T101">
        <v>0.94202898740768437</v>
      </c>
      <c r="W101">
        <f>Tabela7[[#This Row],[mlp_params]]</f>
        <v>1731</v>
      </c>
      <c r="X101">
        <f>Tabela7[[#This Row],[mlp_test_acc]]</f>
        <v>0.92954159592529706</v>
      </c>
      <c r="Y101">
        <f>Tabela7[[#This Row],[kan_val_acc_1]]</f>
        <v>0.94202898740768437</v>
      </c>
      <c r="Z101">
        <f>Tabela7[[#This Row],[no_steps]]</f>
        <v>12.082513089005236</v>
      </c>
    </row>
    <row r="102" spans="1:26" x14ac:dyDescent="0.25">
      <c r="A102" t="s">
        <v>295</v>
      </c>
      <c r="B102">
        <v>3</v>
      </c>
      <c r="C102">
        <v>4</v>
      </c>
      <c r="D102">
        <v>0</v>
      </c>
      <c r="E102" t="s">
        <v>309</v>
      </c>
      <c r="F102">
        <v>977</v>
      </c>
      <c r="G102">
        <v>7153614.935483871</v>
      </c>
      <c r="H102">
        <v>0.86502546456552321</v>
      </c>
      <c r="I102">
        <v>0.93123938879456702</v>
      </c>
      <c r="J102">
        <v>265917.77419354836</v>
      </c>
      <c r="K102">
        <v>1731</v>
      </c>
      <c r="L102">
        <v>2</v>
      </c>
      <c r="M102">
        <v>27</v>
      </c>
      <c r="N102">
        <v>0.92699490662139217</v>
      </c>
      <c r="O102">
        <v>307263.3548387097</v>
      </c>
      <c r="P102">
        <v>1851</v>
      </c>
      <c r="Q102">
        <v>2</v>
      </c>
      <c r="R102">
        <v>28</v>
      </c>
      <c r="S102">
        <v>12.047021133674365</v>
      </c>
      <c r="T102">
        <v>0.96956521868705747</v>
      </c>
      <c r="W102">
        <f>Tabela7[[#This Row],[mlp_params]]</f>
        <v>1731</v>
      </c>
      <c r="X102">
        <f>Tabela7[[#This Row],[mlp_test_acc]]</f>
        <v>0.93123938879456702</v>
      </c>
      <c r="Y102">
        <f>Tabela7[[#This Row],[kan_val_acc_1]]</f>
        <v>0.96956521868705747</v>
      </c>
      <c r="Z102">
        <f>Tabela7[[#This Row],[no_steps]]</f>
        <v>12.047021133674365</v>
      </c>
    </row>
    <row r="103" spans="1:26" x14ac:dyDescent="0.25">
      <c r="A103" t="s">
        <v>295</v>
      </c>
      <c r="B103">
        <v>5</v>
      </c>
      <c r="C103">
        <v>2</v>
      </c>
      <c r="D103">
        <v>0</v>
      </c>
      <c r="E103" t="s">
        <v>312</v>
      </c>
      <c r="F103">
        <v>1219</v>
      </c>
      <c r="G103">
        <v>4642230.6875</v>
      </c>
      <c r="H103">
        <v>0.93585526943206787</v>
      </c>
      <c r="I103">
        <v>0.92105263157894735</v>
      </c>
      <c r="J103">
        <v>399297.5625</v>
      </c>
      <c r="K103">
        <v>1731</v>
      </c>
      <c r="L103">
        <v>2</v>
      </c>
      <c r="M103">
        <v>27</v>
      </c>
      <c r="N103">
        <v>0.92598684210526316</v>
      </c>
      <c r="O103">
        <v>323439.4375</v>
      </c>
      <c r="P103">
        <v>1851</v>
      </c>
      <c r="Q103">
        <v>2</v>
      </c>
      <c r="R103">
        <v>28</v>
      </c>
      <c r="S103">
        <v>11.950442124194435</v>
      </c>
      <c r="T103">
        <v>0.96521739959716801</v>
      </c>
      <c r="W103">
        <f>Tabela7[[#This Row],[mlp_params]]</f>
        <v>1731</v>
      </c>
      <c r="X103">
        <f>Tabela7[[#This Row],[mlp_test_acc]]</f>
        <v>0.92105263157894735</v>
      </c>
      <c r="Y103">
        <f>Tabela7[[#This Row],[kan_val_acc_1]]</f>
        <v>0.96521739959716801</v>
      </c>
      <c r="Z103">
        <f>Tabela7[[#This Row],[no_steps]]</f>
        <v>11.950442124194435</v>
      </c>
    </row>
    <row r="104" spans="1:26" x14ac:dyDescent="0.25">
      <c r="A104" t="s">
        <v>295</v>
      </c>
      <c r="B104">
        <v>5</v>
      </c>
      <c r="C104">
        <v>3</v>
      </c>
      <c r="D104">
        <v>0</v>
      </c>
      <c r="E104" t="s">
        <v>309</v>
      </c>
      <c r="F104">
        <v>1073</v>
      </c>
      <c r="G104">
        <v>5367524.75</v>
      </c>
      <c r="H104">
        <v>0.94572368636727333</v>
      </c>
      <c r="I104">
        <v>0.91940789473684204</v>
      </c>
      <c r="J104">
        <v>432242.75</v>
      </c>
      <c r="K104">
        <v>1731</v>
      </c>
      <c r="L104">
        <v>2</v>
      </c>
      <c r="M104">
        <v>27</v>
      </c>
      <c r="N104">
        <v>0.92434210526315785</v>
      </c>
      <c r="O104">
        <v>367329.375</v>
      </c>
      <c r="P104">
        <v>1851</v>
      </c>
      <c r="Q104">
        <v>2</v>
      </c>
      <c r="R104">
        <v>28</v>
      </c>
      <c r="S104">
        <v>11.906117414898866</v>
      </c>
      <c r="T104">
        <v>0.97971014976501469</v>
      </c>
      <c r="W104">
        <f>Tabela7[[#This Row],[mlp_params]]</f>
        <v>1731</v>
      </c>
      <c r="X104">
        <f>Tabela7[[#This Row],[mlp_test_acc]]</f>
        <v>0.91940789473684204</v>
      </c>
      <c r="Y104">
        <f>Tabela7[[#This Row],[kan_val_acc_1]]</f>
        <v>0.97971014976501469</v>
      </c>
      <c r="Z104">
        <f>Tabela7[[#This Row],[no_steps]]</f>
        <v>11.906117414898866</v>
      </c>
    </row>
    <row r="105" spans="1:26" x14ac:dyDescent="0.25">
      <c r="A105" t="s">
        <v>295</v>
      </c>
      <c r="B105">
        <v>5</v>
      </c>
      <c r="C105">
        <v>5</v>
      </c>
      <c r="D105">
        <v>0</v>
      </c>
      <c r="E105" t="s">
        <v>305</v>
      </c>
      <c r="F105">
        <v>951</v>
      </c>
      <c r="G105">
        <v>5104246.5</v>
      </c>
      <c r="H105">
        <v>0.81954887722219738</v>
      </c>
      <c r="I105">
        <v>0.92481203007518797</v>
      </c>
      <c r="J105">
        <v>662578</v>
      </c>
      <c r="K105">
        <v>1731</v>
      </c>
      <c r="L105">
        <v>2</v>
      </c>
      <c r="M105">
        <v>27</v>
      </c>
      <c r="N105">
        <v>0.92481203007518797</v>
      </c>
      <c r="O105">
        <v>703716.71428571432</v>
      </c>
      <c r="P105">
        <v>1851</v>
      </c>
      <c r="Q105">
        <v>2</v>
      </c>
      <c r="R105">
        <v>28</v>
      </c>
      <c r="S105">
        <v>11.832811672364809</v>
      </c>
      <c r="T105">
        <v>0.98327759596017694</v>
      </c>
      <c r="W105">
        <f>Tabela7[[#This Row],[mlp_params]]</f>
        <v>1731</v>
      </c>
      <c r="X105">
        <f>Tabela7[[#This Row],[mlp_test_acc]]</f>
        <v>0.92481203007518797</v>
      </c>
      <c r="Y105">
        <f>Tabela7[[#This Row],[kan_val_acc_1]]</f>
        <v>0.98327759596017694</v>
      </c>
      <c r="Z105">
        <f>Tabela7[[#This Row],[no_steps]]</f>
        <v>11.832811672364809</v>
      </c>
    </row>
    <row r="106" spans="1:26" x14ac:dyDescent="0.25">
      <c r="A106" t="s">
        <v>295</v>
      </c>
      <c r="B106">
        <v>9</v>
      </c>
      <c r="C106">
        <v>2</v>
      </c>
      <c r="D106">
        <v>0</v>
      </c>
      <c r="E106" t="s">
        <v>309</v>
      </c>
      <c r="F106">
        <v>1361</v>
      </c>
      <c r="G106">
        <v>5501072.4814814813</v>
      </c>
      <c r="H106">
        <v>0.90838207138909233</v>
      </c>
      <c r="I106">
        <v>0.92495126705653019</v>
      </c>
      <c r="J106">
        <v>735860.4444444445</v>
      </c>
      <c r="K106">
        <v>1731</v>
      </c>
      <c r="L106">
        <v>2</v>
      </c>
      <c r="M106">
        <v>27</v>
      </c>
      <c r="N106">
        <v>0.92397660818713445</v>
      </c>
      <c r="O106">
        <v>810966.8518518518</v>
      </c>
      <c r="P106">
        <v>1851</v>
      </c>
      <c r="Q106">
        <v>2</v>
      </c>
      <c r="R106">
        <v>28</v>
      </c>
      <c r="S106">
        <v>11.795823445657332</v>
      </c>
      <c r="T106">
        <v>0.93812709588270926</v>
      </c>
      <c r="W106">
        <f>Tabela7[[#This Row],[mlp_params]]</f>
        <v>1731</v>
      </c>
      <c r="X106">
        <f>Tabela7[[#This Row],[mlp_test_acc]]</f>
        <v>0.92495126705653019</v>
      </c>
      <c r="Y106">
        <f>Tabela7[[#This Row],[kan_val_acc_1]]</f>
        <v>0.93812709588270926</v>
      </c>
      <c r="Z106">
        <f>Tabela7[[#This Row],[no_steps]]</f>
        <v>11.795823445657332</v>
      </c>
    </row>
    <row r="107" spans="1:26" x14ac:dyDescent="0.25">
      <c r="A107" t="s">
        <v>295</v>
      </c>
      <c r="B107">
        <v>9</v>
      </c>
      <c r="C107">
        <v>4</v>
      </c>
      <c r="D107">
        <v>0</v>
      </c>
      <c r="E107" t="s">
        <v>305</v>
      </c>
      <c r="F107">
        <v>1167</v>
      </c>
      <c r="G107">
        <v>5642374.7037037034</v>
      </c>
      <c r="H107">
        <v>0.86257310487605909</v>
      </c>
      <c r="I107">
        <v>0.92397660818713445</v>
      </c>
      <c r="J107">
        <v>996072.8518518518</v>
      </c>
      <c r="K107">
        <v>1731</v>
      </c>
      <c r="L107">
        <v>2</v>
      </c>
      <c r="M107">
        <v>27</v>
      </c>
      <c r="N107">
        <v>0.91423001949317739</v>
      </c>
      <c r="O107">
        <v>845156.81481481483</v>
      </c>
      <c r="P107">
        <v>1851</v>
      </c>
      <c r="Q107">
        <v>2</v>
      </c>
      <c r="R107">
        <v>28</v>
      </c>
      <c r="S107">
        <v>11.735328230109024</v>
      </c>
      <c r="T107">
        <v>0.94816053830660307</v>
      </c>
      <c r="W107">
        <f>Tabela7[[#This Row],[mlp_params]]</f>
        <v>1731</v>
      </c>
      <c r="X107">
        <f>Tabela7[[#This Row],[mlp_test_acc]]</f>
        <v>0.92397660818713445</v>
      </c>
      <c r="Y107">
        <f>Tabela7[[#This Row],[kan_val_acc_1]]</f>
        <v>0.94816053830660307</v>
      </c>
      <c r="Z107">
        <f>Tabela7[[#This Row],[no_steps]]</f>
        <v>11.735328230109024</v>
      </c>
    </row>
    <row r="108" spans="1:26" x14ac:dyDescent="0.25">
      <c r="A108" t="s">
        <v>295</v>
      </c>
      <c r="B108">
        <v>9</v>
      </c>
      <c r="C108">
        <v>5</v>
      </c>
      <c r="D108">
        <v>0</v>
      </c>
      <c r="E108" t="s">
        <v>313</v>
      </c>
      <c r="F108">
        <v>1083</v>
      </c>
      <c r="G108">
        <v>6996759.3703703703</v>
      </c>
      <c r="H108">
        <v>0.81871345308091903</v>
      </c>
      <c r="I108">
        <v>0.91910331384015598</v>
      </c>
      <c r="J108">
        <v>528889.59259259258</v>
      </c>
      <c r="K108">
        <v>1731</v>
      </c>
      <c r="L108">
        <v>2</v>
      </c>
      <c r="M108">
        <v>27</v>
      </c>
      <c r="N108">
        <v>0.92397660818713445</v>
      </c>
      <c r="O108">
        <v>685216.03703703708</v>
      </c>
      <c r="P108">
        <v>1851</v>
      </c>
      <c r="Q108">
        <v>2</v>
      </c>
      <c r="R108">
        <v>28</v>
      </c>
      <c r="S108">
        <v>11.702059349630785</v>
      </c>
      <c r="T108">
        <v>0.93979933857917786</v>
      </c>
      <c r="W108">
        <f>Tabela7[[#This Row],[mlp_params]]</f>
        <v>1731</v>
      </c>
      <c r="X108">
        <f>Tabela7[[#This Row],[mlp_test_acc]]</f>
        <v>0.91910331384015598</v>
      </c>
      <c r="Y108">
        <f>Tabela7[[#This Row],[kan_val_acc_1]]</f>
        <v>0.93979933857917786</v>
      </c>
      <c r="Z108">
        <f>Tabela7[[#This Row],[no_steps]]</f>
        <v>11.702059349630785</v>
      </c>
    </row>
    <row r="109" spans="1:26" x14ac:dyDescent="0.25">
      <c r="A109" t="s">
        <v>295</v>
      </c>
      <c r="B109">
        <v>3</v>
      </c>
      <c r="C109">
        <v>2</v>
      </c>
      <c r="D109">
        <v>0</v>
      </c>
      <c r="E109" t="s">
        <v>298</v>
      </c>
      <c r="F109">
        <v>1173</v>
      </c>
      <c r="G109">
        <v>3993334.125</v>
      </c>
      <c r="H109">
        <v>0.94243422150611877</v>
      </c>
      <c r="I109">
        <v>0.93092105263157887</v>
      </c>
      <c r="J109">
        <v>401794.3125</v>
      </c>
      <c r="K109">
        <v>1851</v>
      </c>
      <c r="L109">
        <v>2</v>
      </c>
      <c r="M109">
        <v>28</v>
      </c>
      <c r="N109">
        <v>0.93585526315789469</v>
      </c>
      <c r="O109">
        <v>300533.75</v>
      </c>
      <c r="P109">
        <v>1975</v>
      </c>
      <c r="Q109">
        <v>2</v>
      </c>
      <c r="R109">
        <v>29</v>
      </c>
      <c r="S109">
        <v>12.126757574149732</v>
      </c>
      <c r="T109">
        <v>0.99420289993286137</v>
      </c>
      <c r="W109">
        <f>Tabela7[[#This Row],[mlp_params]]</f>
        <v>1851</v>
      </c>
      <c r="X109">
        <f>Tabela7[[#This Row],[mlp_test_acc]]</f>
        <v>0.93092105263157887</v>
      </c>
      <c r="Y109">
        <f>Tabela7[[#This Row],[kan_val_acc_1]]</f>
        <v>0.99420289993286137</v>
      </c>
      <c r="Z109">
        <f>Tabela7[[#This Row],[no_steps]]</f>
        <v>12.126757574149732</v>
      </c>
    </row>
    <row r="110" spans="1:26" x14ac:dyDescent="0.25">
      <c r="A110" t="s">
        <v>295</v>
      </c>
      <c r="B110">
        <v>3</v>
      </c>
      <c r="C110">
        <v>3</v>
      </c>
      <c r="D110">
        <v>0</v>
      </c>
      <c r="E110" t="s">
        <v>312</v>
      </c>
      <c r="F110">
        <v>1099</v>
      </c>
      <c r="G110">
        <v>6132275.5625</v>
      </c>
      <c r="H110">
        <v>0.95394737273454666</v>
      </c>
      <c r="I110">
        <v>0.92763157894736836</v>
      </c>
      <c r="J110">
        <v>359123.6875</v>
      </c>
      <c r="K110">
        <v>1851</v>
      </c>
      <c r="L110">
        <v>2</v>
      </c>
      <c r="M110">
        <v>28</v>
      </c>
      <c r="N110">
        <v>0.92434210526315785</v>
      </c>
      <c r="O110">
        <v>375689.5</v>
      </c>
      <c r="P110">
        <v>1975</v>
      </c>
      <c r="Q110">
        <v>2</v>
      </c>
      <c r="R110">
        <v>29</v>
      </c>
      <c r="S110">
        <v>12.081920903954803</v>
      </c>
      <c r="T110">
        <v>0.99130434989929195</v>
      </c>
      <c r="W110">
        <f>Tabela7[[#This Row],[mlp_params]]</f>
        <v>1851</v>
      </c>
      <c r="X110">
        <f>Tabela7[[#This Row],[mlp_test_acc]]</f>
        <v>0.92763157894736836</v>
      </c>
      <c r="Y110">
        <f>Tabela7[[#This Row],[kan_val_acc_1]]</f>
        <v>0.99130434989929195</v>
      </c>
      <c r="Z110">
        <f>Tabela7[[#This Row],[no_steps]]</f>
        <v>12.081920903954803</v>
      </c>
    </row>
    <row r="111" spans="1:26" x14ac:dyDescent="0.25">
      <c r="A111" t="s">
        <v>295</v>
      </c>
      <c r="B111">
        <v>3</v>
      </c>
      <c r="C111">
        <v>4</v>
      </c>
      <c r="D111">
        <v>0</v>
      </c>
      <c r="E111" t="s">
        <v>311</v>
      </c>
      <c r="F111">
        <v>997</v>
      </c>
      <c r="G111">
        <v>5800931.5806451617</v>
      </c>
      <c r="H111">
        <v>0.90322581414253478</v>
      </c>
      <c r="I111">
        <v>0.92954159592529706</v>
      </c>
      <c r="J111">
        <v>343174.54838709679</v>
      </c>
      <c r="K111">
        <v>1851</v>
      </c>
      <c r="L111">
        <v>2</v>
      </c>
      <c r="M111">
        <v>28</v>
      </c>
      <c r="N111">
        <v>0.92699490662139217</v>
      </c>
      <c r="O111">
        <v>315522.41935483873</v>
      </c>
      <c r="P111">
        <v>1975</v>
      </c>
      <c r="Q111">
        <v>2</v>
      </c>
      <c r="R111">
        <v>29</v>
      </c>
      <c r="S111">
        <v>12.042921997523731</v>
      </c>
      <c r="T111">
        <v>0.98985507488250735</v>
      </c>
      <c r="W111">
        <f>Tabela7[[#This Row],[mlp_params]]</f>
        <v>1851</v>
      </c>
      <c r="X111">
        <f>Tabela7[[#This Row],[mlp_test_acc]]</f>
        <v>0.92954159592529706</v>
      </c>
      <c r="Y111">
        <f>Tabela7[[#This Row],[kan_val_acc_1]]</f>
        <v>0.98985507488250735</v>
      </c>
      <c r="Z111">
        <f>Tabela7[[#This Row],[no_steps]]</f>
        <v>12.042921997523731</v>
      </c>
    </row>
    <row r="112" spans="1:26" x14ac:dyDescent="0.25">
      <c r="A112" t="s">
        <v>295</v>
      </c>
      <c r="B112">
        <v>5</v>
      </c>
      <c r="C112">
        <v>3</v>
      </c>
      <c r="D112">
        <v>0</v>
      </c>
      <c r="E112" t="s">
        <v>299</v>
      </c>
      <c r="F112">
        <v>1207</v>
      </c>
      <c r="G112">
        <v>5458309.7741935486</v>
      </c>
      <c r="H112">
        <v>0.92444821903782504</v>
      </c>
      <c r="I112">
        <v>0.93208828522920195</v>
      </c>
      <c r="J112">
        <v>541947.51612903224</v>
      </c>
      <c r="K112">
        <v>1851</v>
      </c>
      <c r="L112">
        <v>2</v>
      </c>
      <c r="M112">
        <v>28</v>
      </c>
      <c r="N112">
        <v>0.93208828522920206</v>
      </c>
      <c r="O112">
        <v>415203.93548387097</v>
      </c>
      <c r="P112">
        <v>1975</v>
      </c>
      <c r="Q112">
        <v>2</v>
      </c>
      <c r="R112">
        <v>29</v>
      </c>
      <c r="S112">
        <v>11.901433426924783</v>
      </c>
      <c r="T112">
        <v>0.98405797481536861</v>
      </c>
      <c r="W112">
        <f>Tabela7[[#This Row],[mlp_params]]</f>
        <v>1851</v>
      </c>
      <c r="X112">
        <f>Tabela7[[#This Row],[mlp_test_acc]]</f>
        <v>0.93208828522920195</v>
      </c>
      <c r="Y112">
        <f>Tabela7[[#This Row],[kan_val_acc_1]]</f>
        <v>0.98405797481536861</v>
      </c>
      <c r="Z112">
        <f>Tabela7[[#This Row],[no_steps]]</f>
        <v>11.901433426924783</v>
      </c>
    </row>
    <row r="113" spans="1:26" x14ac:dyDescent="0.25">
      <c r="A113" t="s">
        <v>295</v>
      </c>
      <c r="B113">
        <v>5</v>
      </c>
      <c r="C113">
        <v>4</v>
      </c>
      <c r="D113">
        <v>0</v>
      </c>
      <c r="E113" t="s">
        <v>296</v>
      </c>
      <c r="F113">
        <v>1121</v>
      </c>
      <c r="G113">
        <v>7670718.3571428573</v>
      </c>
      <c r="H113">
        <v>0.87030075277600971</v>
      </c>
      <c r="I113">
        <v>0.91729323308270672</v>
      </c>
      <c r="J113">
        <v>562344.92857142852</v>
      </c>
      <c r="K113">
        <v>1851</v>
      </c>
      <c r="L113">
        <v>2</v>
      </c>
      <c r="M113">
        <v>28</v>
      </c>
      <c r="N113">
        <v>0.92105263157894735</v>
      </c>
      <c r="O113">
        <v>408127.64285714284</v>
      </c>
      <c r="P113">
        <v>1975</v>
      </c>
      <c r="Q113">
        <v>2</v>
      </c>
      <c r="R113">
        <v>29</v>
      </c>
      <c r="S113">
        <v>11.866001460209297</v>
      </c>
      <c r="T113">
        <v>0.98327759596017694</v>
      </c>
      <c r="W113">
        <f>Tabela7[[#This Row],[mlp_params]]</f>
        <v>1851</v>
      </c>
      <c r="X113">
        <f>Tabela7[[#This Row],[mlp_test_acc]]</f>
        <v>0.91729323308270672</v>
      </c>
      <c r="Y113">
        <f>Tabela7[[#This Row],[kan_val_acc_1]]</f>
        <v>0.98327759596017694</v>
      </c>
      <c r="Z113">
        <f>Tabela7[[#This Row],[no_steps]]</f>
        <v>11.866001460209297</v>
      </c>
    </row>
    <row r="114" spans="1:26" x14ac:dyDescent="0.25">
      <c r="A114" t="s">
        <v>295</v>
      </c>
      <c r="B114">
        <v>5</v>
      </c>
      <c r="C114">
        <v>5</v>
      </c>
      <c r="D114">
        <v>0</v>
      </c>
      <c r="E114" t="s">
        <v>308</v>
      </c>
      <c r="F114">
        <v>1029</v>
      </c>
      <c r="G114">
        <v>7307333.6296296297</v>
      </c>
      <c r="H114">
        <v>0.73196881126474456</v>
      </c>
      <c r="I114">
        <v>0.92495126705653019</v>
      </c>
      <c r="J114">
        <v>796774.4444444445</v>
      </c>
      <c r="K114">
        <v>1851</v>
      </c>
      <c r="L114">
        <v>2</v>
      </c>
      <c r="M114">
        <v>28</v>
      </c>
      <c r="N114">
        <v>0.92202729044834308</v>
      </c>
      <c r="O114">
        <v>539296.5555555555</v>
      </c>
      <c r="P114">
        <v>1975</v>
      </c>
      <c r="Q114">
        <v>2</v>
      </c>
      <c r="R114">
        <v>29</v>
      </c>
      <c r="S114">
        <v>11.829037222275657</v>
      </c>
      <c r="T114">
        <v>0.92809364658135629</v>
      </c>
      <c r="W114">
        <f>Tabela7[[#This Row],[mlp_params]]</f>
        <v>1851</v>
      </c>
      <c r="X114">
        <f>Tabela7[[#This Row],[mlp_test_acc]]</f>
        <v>0.92495126705653019</v>
      </c>
      <c r="Y114">
        <f>Tabela7[[#This Row],[kan_val_acc_1]]</f>
        <v>0.92809364658135629</v>
      </c>
      <c r="Z114">
        <f>Tabela7[[#This Row],[no_steps]]</f>
        <v>11.829037222275657</v>
      </c>
    </row>
    <row r="115" spans="1:26" x14ac:dyDescent="0.25">
      <c r="A115" t="s">
        <v>295</v>
      </c>
      <c r="B115">
        <v>9</v>
      </c>
      <c r="C115">
        <v>2</v>
      </c>
      <c r="D115">
        <v>0</v>
      </c>
      <c r="E115" t="s">
        <v>311</v>
      </c>
      <c r="F115">
        <v>1389</v>
      </c>
      <c r="G115">
        <v>4919116.777777778</v>
      </c>
      <c r="H115">
        <v>0.94346979370823614</v>
      </c>
      <c r="I115">
        <v>0.92884990253411304</v>
      </c>
      <c r="J115">
        <v>998445.62962962966</v>
      </c>
      <c r="K115">
        <v>1851</v>
      </c>
      <c r="L115">
        <v>2</v>
      </c>
      <c r="M115">
        <v>28</v>
      </c>
      <c r="N115">
        <v>0.92884990253411304</v>
      </c>
      <c r="O115">
        <v>808487.8518518518</v>
      </c>
      <c r="P115">
        <v>1975</v>
      </c>
      <c r="Q115">
        <v>2</v>
      </c>
      <c r="R115">
        <v>29</v>
      </c>
      <c r="S115">
        <v>11.791107740437029</v>
      </c>
      <c r="T115">
        <v>0.97826087474822998</v>
      </c>
      <c r="W115">
        <f>Tabela7[[#This Row],[mlp_params]]</f>
        <v>1851</v>
      </c>
      <c r="X115">
        <f>Tabela7[[#This Row],[mlp_test_acc]]</f>
        <v>0.92884990253411304</v>
      </c>
      <c r="Y115">
        <f>Tabela7[[#This Row],[kan_val_acc_1]]</f>
        <v>0.97826087474822998</v>
      </c>
      <c r="Z115">
        <f>Tabela7[[#This Row],[no_steps]]</f>
        <v>11.791107740437029</v>
      </c>
    </row>
    <row r="116" spans="1:26" x14ac:dyDescent="0.25">
      <c r="A116" t="s">
        <v>295</v>
      </c>
      <c r="B116">
        <v>9</v>
      </c>
      <c r="C116">
        <v>4</v>
      </c>
      <c r="D116">
        <v>0</v>
      </c>
      <c r="E116" t="s">
        <v>308</v>
      </c>
      <c r="F116">
        <v>1263</v>
      </c>
      <c r="G116">
        <v>7306879.9285714282</v>
      </c>
      <c r="H116">
        <v>0.85338346447263447</v>
      </c>
      <c r="I116">
        <v>0.92669172932330823</v>
      </c>
      <c r="J116">
        <v>680524.07142857148</v>
      </c>
      <c r="K116">
        <v>1851</v>
      </c>
      <c r="L116">
        <v>2</v>
      </c>
      <c r="M116">
        <v>28</v>
      </c>
      <c r="N116">
        <v>0.93233082706766912</v>
      </c>
      <c r="O116">
        <v>631632.71428571432</v>
      </c>
      <c r="P116">
        <v>1975</v>
      </c>
      <c r="Q116">
        <v>2</v>
      </c>
      <c r="R116">
        <v>29</v>
      </c>
      <c r="S116">
        <v>11.733923686772682</v>
      </c>
      <c r="T116">
        <v>0.95317725951855004</v>
      </c>
      <c r="W116">
        <f>Tabela7[[#This Row],[mlp_params]]</f>
        <v>1851</v>
      </c>
      <c r="X116">
        <f>Tabela7[[#This Row],[mlp_test_acc]]</f>
        <v>0.92669172932330823</v>
      </c>
      <c r="Y116">
        <f>Tabela7[[#This Row],[kan_val_acc_1]]</f>
        <v>0.95317725951855004</v>
      </c>
      <c r="Z116">
        <f>Tabela7[[#This Row],[no_steps]]</f>
        <v>11.733923686772682</v>
      </c>
    </row>
    <row r="117" spans="1:26" x14ac:dyDescent="0.25">
      <c r="A117" t="s">
        <v>295</v>
      </c>
      <c r="B117">
        <v>3</v>
      </c>
      <c r="C117">
        <v>4</v>
      </c>
      <c r="D117">
        <v>0</v>
      </c>
      <c r="E117" t="s">
        <v>299</v>
      </c>
      <c r="F117">
        <v>1099</v>
      </c>
      <c r="G117">
        <v>6148104</v>
      </c>
      <c r="H117">
        <v>0.86019736900925636</v>
      </c>
      <c r="I117">
        <v>0.92269736842105265</v>
      </c>
      <c r="J117">
        <v>401591.3125</v>
      </c>
      <c r="K117">
        <v>1975</v>
      </c>
      <c r="L117">
        <v>2</v>
      </c>
      <c r="M117">
        <v>29</v>
      </c>
      <c r="N117">
        <v>0.92269736842105265</v>
      </c>
      <c r="O117">
        <v>379568.25</v>
      </c>
      <c r="P117">
        <v>2103</v>
      </c>
      <c r="Q117">
        <v>2</v>
      </c>
      <c r="R117">
        <v>30</v>
      </c>
      <c r="S117">
        <v>12.041288659793814</v>
      </c>
      <c r="T117">
        <v>0.97971014976501469</v>
      </c>
      <c r="W117">
        <f>Tabela7[[#This Row],[mlp_params]]</f>
        <v>1975</v>
      </c>
      <c r="X117">
        <f>Tabela7[[#This Row],[mlp_test_acc]]</f>
        <v>0.92269736842105265</v>
      </c>
      <c r="Y117">
        <f>Tabela7[[#This Row],[kan_val_acc_1]]</f>
        <v>0.97971014976501469</v>
      </c>
      <c r="Z117">
        <f>Tabela7[[#This Row],[no_steps]]</f>
        <v>12.041288659793814</v>
      </c>
    </row>
    <row r="118" spans="1:26" x14ac:dyDescent="0.25">
      <c r="A118" t="s">
        <v>295</v>
      </c>
      <c r="B118">
        <v>3</v>
      </c>
      <c r="C118">
        <v>5</v>
      </c>
      <c r="D118">
        <v>0</v>
      </c>
      <c r="E118" t="s">
        <v>296</v>
      </c>
      <c r="F118">
        <v>1029</v>
      </c>
      <c r="G118">
        <v>6851140.5161290327</v>
      </c>
      <c r="H118">
        <v>0.87266554178730138</v>
      </c>
      <c r="I118">
        <v>0.9252971137521222</v>
      </c>
      <c r="J118">
        <v>430492.96774193546</v>
      </c>
      <c r="K118">
        <v>1975</v>
      </c>
      <c r="L118">
        <v>2</v>
      </c>
      <c r="M118">
        <v>29</v>
      </c>
      <c r="N118">
        <v>0.92444821731748728</v>
      </c>
      <c r="O118">
        <v>289972.45161290321</v>
      </c>
      <c r="P118">
        <v>2103</v>
      </c>
      <c r="Q118">
        <v>2</v>
      </c>
      <c r="R118">
        <v>30</v>
      </c>
      <c r="S118">
        <v>12.002136969573623</v>
      </c>
      <c r="T118">
        <v>0.97391304969787595</v>
      </c>
      <c r="W118">
        <f>Tabela7[[#This Row],[mlp_params]]</f>
        <v>1975</v>
      </c>
      <c r="X118">
        <f>Tabela7[[#This Row],[mlp_test_acc]]</f>
        <v>0.9252971137521222</v>
      </c>
      <c r="Y118">
        <f>Tabela7[[#This Row],[kan_val_acc_1]]</f>
        <v>0.97391304969787595</v>
      </c>
      <c r="Z118">
        <f>Tabela7[[#This Row],[no_steps]]</f>
        <v>12.002136969573623</v>
      </c>
    </row>
    <row r="119" spans="1:26" x14ac:dyDescent="0.25">
      <c r="A119" t="s">
        <v>295</v>
      </c>
      <c r="B119">
        <v>5</v>
      </c>
      <c r="C119">
        <v>2</v>
      </c>
      <c r="D119">
        <v>0</v>
      </c>
      <c r="E119" t="s">
        <v>300</v>
      </c>
      <c r="F119">
        <v>1401</v>
      </c>
      <c r="G119">
        <v>4229250.7096774196</v>
      </c>
      <c r="H119">
        <v>0.94567063739222867</v>
      </c>
      <c r="I119">
        <v>0.93208828522920195</v>
      </c>
      <c r="J119">
        <v>432097.48387096776</v>
      </c>
      <c r="K119">
        <v>1975</v>
      </c>
      <c r="L119">
        <v>2</v>
      </c>
      <c r="M119">
        <v>29</v>
      </c>
      <c r="N119">
        <v>0.94057724957555178</v>
      </c>
      <c r="O119">
        <v>324256.58064516127</v>
      </c>
      <c r="P119">
        <v>2103</v>
      </c>
      <c r="Q119">
        <v>2</v>
      </c>
      <c r="R119">
        <v>30</v>
      </c>
      <c r="S119">
        <v>11.943934557063049</v>
      </c>
      <c r="T119">
        <v>0.98985507488250735</v>
      </c>
      <c r="W119">
        <f>Tabela7[[#This Row],[mlp_params]]</f>
        <v>1975</v>
      </c>
      <c r="X119">
        <f>Tabela7[[#This Row],[mlp_test_acc]]</f>
        <v>0.93208828522920195</v>
      </c>
      <c r="Y119">
        <f>Tabela7[[#This Row],[kan_val_acc_1]]</f>
        <v>0.98985507488250735</v>
      </c>
      <c r="Z119">
        <f>Tabela7[[#This Row],[no_steps]]</f>
        <v>11.943934557063049</v>
      </c>
    </row>
    <row r="120" spans="1:26" x14ac:dyDescent="0.25">
      <c r="A120" t="s">
        <v>295</v>
      </c>
      <c r="B120">
        <v>5</v>
      </c>
      <c r="C120">
        <v>4</v>
      </c>
      <c r="D120">
        <v>0</v>
      </c>
      <c r="E120" t="s">
        <v>309</v>
      </c>
      <c r="F120">
        <v>1169</v>
      </c>
      <c r="G120">
        <v>6632677.5714285718</v>
      </c>
      <c r="H120">
        <v>0.8214285756860461</v>
      </c>
      <c r="I120">
        <v>0.9229323308270676</v>
      </c>
      <c r="J120">
        <v>574419.78571428568</v>
      </c>
      <c r="K120">
        <v>1975</v>
      </c>
      <c r="L120">
        <v>2</v>
      </c>
      <c r="M120">
        <v>29</v>
      </c>
      <c r="N120">
        <v>0.91729323308270672</v>
      </c>
      <c r="O120">
        <v>320794.92857142858</v>
      </c>
      <c r="P120">
        <v>2103</v>
      </c>
      <c r="Q120">
        <v>2</v>
      </c>
      <c r="R120">
        <v>30</v>
      </c>
      <c r="S120">
        <v>11.864049807870032</v>
      </c>
      <c r="T120">
        <v>0.96655518733538115</v>
      </c>
      <c r="W120">
        <f>Tabela7[[#This Row],[mlp_params]]</f>
        <v>1975</v>
      </c>
      <c r="X120">
        <f>Tabela7[[#This Row],[mlp_test_acc]]</f>
        <v>0.9229323308270676</v>
      </c>
      <c r="Y120">
        <f>Tabela7[[#This Row],[kan_val_acc_1]]</f>
        <v>0.96655518733538115</v>
      </c>
      <c r="Z120">
        <f>Tabela7[[#This Row],[no_steps]]</f>
        <v>11.864049807870032</v>
      </c>
    </row>
    <row r="121" spans="1:26" x14ac:dyDescent="0.25">
      <c r="A121" t="s">
        <v>295</v>
      </c>
      <c r="B121">
        <v>9</v>
      </c>
      <c r="C121">
        <v>2</v>
      </c>
      <c r="D121">
        <v>0</v>
      </c>
      <c r="E121" t="s">
        <v>299</v>
      </c>
      <c r="F121">
        <v>1531</v>
      </c>
      <c r="G121">
        <v>5287076.1428571427</v>
      </c>
      <c r="H121">
        <v>0.9172932420458112</v>
      </c>
      <c r="I121">
        <v>0.9229323308270676</v>
      </c>
      <c r="J121">
        <v>860896.57142857148</v>
      </c>
      <c r="K121">
        <v>1975</v>
      </c>
      <c r="L121">
        <v>2</v>
      </c>
      <c r="M121">
        <v>29</v>
      </c>
      <c r="N121">
        <v>0.91917293233082709</v>
      </c>
      <c r="O121">
        <v>555268.5</v>
      </c>
      <c r="P121">
        <v>2103</v>
      </c>
      <c r="Q121">
        <v>2</v>
      </c>
      <c r="R121">
        <v>30</v>
      </c>
      <c r="S121">
        <v>11.789019942210222</v>
      </c>
      <c r="T121">
        <v>0.97993311515221226</v>
      </c>
      <c r="W121">
        <f>Tabela7[[#This Row],[mlp_params]]</f>
        <v>1975</v>
      </c>
      <c r="X121">
        <f>Tabela7[[#This Row],[mlp_test_acc]]</f>
        <v>0.9229323308270676</v>
      </c>
      <c r="Y121">
        <f>Tabela7[[#This Row],[kan_val_acc_1]]</f>
        <v>0.97993311515221226</v>
      </c>
      <c r="Z121">
        <f>Tabela7[[#This Row],[no_steps]]</f>
        <v>11.789019942210222</v>
      </c>
    </row>
    <row r="122" spans="1:26" x14ac:dyDescent="0.25">
      <c r="A122" t="s">
        <v>295</v>
      </c>
      <c r="B122">
        <v>9</v>
      </c>
      <c r="C122">
        <v>3</v>
      </c>
      <c r="D122">
        <v>0</v>
      </c>
      <c r="E122" t="s">
        <v>296</v>
      </c>
      <c r="F122">
        <v>1397</v>
      </c>
      <c r="G122">
        <v>5989629.0370370373</v>
      </c>
      <c r="H122">
        <v>0.86159844751711245</v>
      </c>
      <c r="I122">
        <v>0.92397660818713445</v>
      </c>
      <c r="J122">
        <v>707861.59259259258</v>
      </c>
      <c r="K122">
        <v>1975</v>
      </c>
      <c r="L122">
        <v>2</v>
      </c>
      <c r="M122">
        <v>29</v>
      </c>
      <c r="N122">
        <v>0.92202729044834308</v>
      </c>
      <c r="O122">
        <v>761265.88888888888</v>
      </c>
      <c r="P122">
        <v>2103</v>
      </c>
      <c r="Q122">
        <v>2</v>
      </c>
      <c r="R122">
        <v>30</v>
      </c>
      <c r="S122">
        <v>11.760558758730605</v>
      </c>
      <c r="T122">
        <v>0.92140468038045442</v>
      </c>
      <c r="W122">
        <f>Tabela7[[#This Row],[mlp_params]]</f>
        <v>1975</v>
      </c>
      <c r="X122">
        <f>Tabela7[[#This Row],[mlp_test_acc]]</f>
        <v>0.92397660818713445</v>
      </c>
      <c r="Y122">
        <f>Tabela7[[#This Row],[kan_val_acc_1]]</f>
        <v>0.92140468038045442</v>
      </c>
      <c r="Z122">
        <f>Tabela7[[#This Row],[no_steps]]</f>
        <v>11.760558758730605</v>
      </c>
    </row>
    <row r="123" spans="1:26" x14ac:dyDescent="0.25">
      <c r="A123" t="s">
        <v>295</v>
      </c>
      <c r="B123">
        <v>9</v>
      </c>
      <c r="C123">
        <v>5</v>
      </c>
      <c r="D123">
        <v>0</v>
      </c>
      <c r="E123" t="s">
        <v>305</v>
      </c>
      <c r="F123">
        <v>1239</v>
      </c>
      <c r="G123">
        <v>4754677.7142857146</v>
      </c>
      <c r="H123">
        <v>0.84962405902998783</v>
      </c>
      <c r="I123">
        <v>0.9229323308270676</v>
      </c>
      <c r="J123">
        <v>1012147.1428571428</v>
      </c>
      <c r="K123">
        <v>1975</v>
      </c>
      <c r="L123">
        <v>2</v>
      </c>
      <c r="M123">
        <v>29</v>
      </c>
      <c r="N123">
        <v>0.9229323308270676</v>
      </c>
      <c r="O123">
        <v>992568.57142857148</v>
      </c>
      <c r="P123">
        <v>2103</v>
      </c>
      <c r="Q123">
        <v>2</v>
      </c>
      <c r="R123">
        <v>30</v>
      </c>
      <c r="S123">
        <v>11.699821240317183</v>
      </c>
      <c r="T123">
        <v>0.95986623030442453</v>
      </c>
      <c r="W123">
        <f>Tabela7[[#This Row],[mlp_params]]</f>
        <v>1975</v>
      </c>
      <c r="X123">
        <f>Tabela7[[#This Row],[mlp_test_acc]]</f>
        <v>0.9229323308270676</v>
      </c>
      <c r="Y123">
        <f>Tabela7[[#This Row],[kan_val_acc_1]]</f>
        <v>0.95986623030442453</v>
      </c>
      <c r="Z123">
        <f>Tabela7[[#This Row],[no_steps]]</f>
        <v>11.699821240317183</v>
      </c>
    </row>
    <row r="124" spans="1:26" x14ac:dyDescent="0.25">
      <c r="A124" t="s">
        <v>295</v>
      </c>
      <c r="B124">
        <v>3</v>
      </c>
      <c r="C124">
        <v>2</v>
      </c>
      <c r="D124">
        <v>0</v>
      </c>
      <c r="E124" t="s">
        <v>301</v>
      </c>
      <c r="F124">
        <v>1367</v>
      </c>
      <c r="G124">
        <v>3875321.3125</v>
      </c>
      <c r="H124">
        <v>0.94078947976231575</v>
      </c>
      <c r="I124">
        <v>0.93256578947368418</v>
      </c>
      <c r="J124">
        <v>334955.25</v>
      </c>
      <c r="K124">
        <v>2103</v>
      </c>
      <c r="L124">
        <v>2</v>
      </c>
      <c r="M124">
        <v>30</v>
      </c>
      <c r="N124">
        <v>0.91776315789473684</v>
      </c>
      <c r="O124">
        <v>298264.4375</v>
      </c>
      <c r="P124">
        <v>2235</v>
      </c>
      <c r="Q124">
        <v>2</v>
      </c>
      <c r="R124">
        <v>31</v>
      </c>
      <c r="S124">
        <v>12.123363197794625</v>
      </c>
      <c r="T124">
        <v>0.99420289993286137</v>
      </c>
      <c r="W124">
        <f>Tabela7[[#This Row],[mlp_params]]</f>
        <v>2103</v>
      </c>
      <c r="X124">
        <f>Tabela7[[#This Row],[mlp_test_acc]]</f>
        <v>0.93256578947368418</v>
      </c>
      <c r="Y124">
        <f>Tabela7[[#This Row],[kan_val_acc_1]]</f>
        <v>0.99420289993286137</v>
      </c>
      <c r="Z124">
        <f>Tabela7[[#This Row],[no_steps]]</f>
        <v>12.123363197794625</v>
      </c>
    </row>
    <row r="125" spans="1:26" x14ac:dyDescent="0.25">
      <c r="A125" t="s">
        <v>295</v>
      </c>
      <c r="B125">
        <v>3</v>
      </c>
      <c r="C125">
        <v>3</v>
      </c>
      <c r="D125">
        <v>0</v>
      </c>
      <c r="E125" t="s">
        <v>300</v>
      </c>
      <c r="F125">
        <v>1263</v>
      </c>
      <c r="G125">
        <v>5285909.3548387093</v>
      </c>
      <c r="H125">
        <v>0.9507640081067239</v>
      </c>
      <c r="I125">
        <v>0.92699490662139217</v>
      </c>
      <c r="J125">
        <v>289692.6451612903</v>
      </c>
      <c r="K125">
        <v>2103</v>
      </c>
      <c r="L125">
        <v>2</v>
      </c>
      <c r="M125">
        <v>30</v>
      </c>
      <c r="N125">
        <v>0.92190152801358238</v>
      </c>
      <c r="O125">
        <v>370171.80645161291</v>
      </c>
      <c r="P125">
        <v>2235</v>
      </c>
      <c r="Q125">
        <v>2</v>
      </c>
      <c r="R125">
        <v>31</v>
      </c>
      <c r="S125">
        <v>12.078027889486604</v>
      </c>
      <c r="T125">
        <v>0.98550724983215332</v>
      </c>
      <c r="W125">
        <f>Tabela7[[#This Row],[mlp_params]]</f>
        <v>2103</v>
      </c>
      <c r="X125">
        <f>Tabela7[[#This Row],[mlp_test_acc]]</f>
        <v>0.92699490662139217</v>
      </c>
      <c r="Y125">
        <f>Tabela7[[#This Row],[kan_val_acc_1]]</f>
        <v>0.98550724983215332</v>
      </c>
      <c r="Z125">
        <f>Tabela7[[#This Row],[no_steps]]</f>
        <v>12.078027889486604</v>
      </c>
    </row>
    <row r="126" spans="1:26" x14ac:dyDescent="0.25">
      <c r="A126" t="s">
        <v>295</v>
      </c>
      <c r="B126">
        <v>3</v>
      </c>
      <c r="C126">
        <v>5</v>
      </c>
      <c r="D126">
        <v>0</v>
      </c>
      <c r="E126" t="s">
        <v>309</v>
      </c>
      <c r="F126">
        <v>1073</v>
      </c>
      <c r="G126">
        <v>6933167.4375</v>
      </c>
      <c r="H126">
        <v>0.82730263471603394</v>
      </c>
      <c r="I126">
        <v>0.93421052631578949</v>
      </c>
      <c r="J126">
        <v>457126.875</v>
      </c>
      <c r="K126">
        <v>2103</v>
      </c>
      <c r="L126">
        <v>2</v>
      </c>
      <c r="M126">
        <v>30</v>
      </c>
      <c r="N126">
        <v>0.92927631578947367</v>
      </c>
      <c r="O126">
        <v>286678.75</v>
      </c>
      <c r="P126">
        <v>2235</v>
      </c>
      <c r="Q126">
        <v>2</v>
      </c>
      <c r="R126">
        <v>31</v>
      </c>
      <c r="S126">
        <v>12.000355871886121</v>
      </c>
      <c r="T126">
        <v>0.96811594565709436</v>
      </c>
      <c r="W126">
        <f>Tabela7[[#This Row],[mlp_params]]</f>
        <v>2103</v>
      </c>
      <c r="X126">
        <f>Tabela7[[#This Row],[mlp_test_acc]]</f>
        <v>0.93421052631578949</v>
      </c>
      <c r="Y126">
        <f>Tabela7[[#This Row],[kan_val_acc_1]]</f>
        <v>0.96811594565709436</v>
      </c>
      <c r="Z126">
        <f>Tabela7[[#This Row],[no_steps]]</f>
        <v>12.000355871886121</v>
      </c>
    </row>
    <row r="127" spans="1:26" x14ac:dyDescent="0.25">
      <c r="A127" t="s">
        <v>295</v>
      </c>
      <c r="B127">
        <v>5</v>
      </c>
      <c r="C127">
        <v>2</v>
      </c>
      <c r="D127">
        <v>0</v>
      </c>
      <c r="E127" t="s">
        <v>298</v>
      </c>
      <c r="F127">
        <v>1461</v>
      </c>
      <c r="G127">
        <v>4693209.875</v>
      </c>
      <c r="H127">
        <v>0.95888157933950424</v>
      </c>
      <c r="I127">
        <v>0.93092105263157898</v>
      </c>
      <c r="J127">
        <v>519088.875</v>
      </c>
      <c r="K127">
        <v>2103</v>
      </c>
      <c r="L127">
        <v>2</v>
      </c>
      <c r="M127">
        <v>30</v>
      </c>
      <c r="N127">
        <v>0.91940789473684204</v>
      </c>
      <c r="O127">
        <v>295522.8125</v>
      </c>
      <c r="P127">
        <v>2235</v>
      </c>
      <c r="Q127">
        <v>2</v>
      </c>
      <c r="R127">
        <v>31</v>
      </c>
      <c r="S127">
        <v>11.94093899521531</v>
      </c>
      <c r="T127">
        <v>0.99130434989929195</v>
      </c>
      <c r="W127">
        <f>Tabela7[[#This Row],[mlp_params]]</f>
        <v>2103</v>
      </c>
      <c r="X127">
        <f>Tabela7[[#This Row],[mlp_test_acc]]</f>
        <v>0.93092105263157898</v>
      </c>
      <c r="Y127">
        <f>Tabela7[[#This Row],[kan_val_acc_1]]</f>
        <v>0.99130434989929195</v>
      </c>
      <c r="Z127">
        <f>Tabela7[[#This Row],[no_steps]]</f>
        <v>11.94093899521531</v>
      </c>
    </row>
    <row r="128" spans="1:26" x14ac:dyDescent="0.25">
      <c r="A128" t="s">
        <v>295</v>
      </c>
      <c r="B128">
        <v>5</v>
      </c>
      <c r="C128">
        <v>3</v>
      </c>
      <c r="D128">
        <v>0</v>
      </c>
      <c r="E128" t="s">
        <v>312</v>
      </c>
      <c r="F128">
        <v>1339</v>
      </c>
      <c r="G128">
        <v>5792583.125</v>
      </c>
      <c r="H128">
        <v>0.91611843183636665</v>
      </c>
      <c r="I128">
        <v>0.92763157894736836</v>
      </c>
      <c r="J128">
        <v>390297.3125</v>
      </c>
      <c r="K128">
        <v>2103</v>
      </c>
      <c r="L128">
        <v>2</v>
      </c>
      <c r="M128">
        <v>30</v>
      </c>
      <c r="N128">
        <v>0.91940789473684204</v>
      </c>
      <c r="O128">
        <v>297087.25</v>
      </c>
      <c r="P128">
        <v>2235</v>
      </c>
      <c r="Q128">
        <v>2</v>
      </c>
      <c r="R128">
        <v>31</v>
      </c>
      <c r="S128">
        <v>11.89934537579367</v>
      </c>
      <c r="T128">
        <v>0.98260869979858401</v>
      </c>
      <c r="W128">
        <f>Tabela7[[#This Row],[mlp_params]]</f>
        <v>2103</v>
      </c>
      <c r="X128">
        <f>Tabela7[[#This Row],[mlp_test_acc]]</f>
        <v>0.92763157894736836</v>
      </c>
      <c r="Y128">
        <f>Tabela7[[#This Row],[kan_val_acc_1]]</f>
        <v>0.98260869979858401</v>
      </c>
      <c r="Z128">
        <f>Tabela7[[#This Row],[no_steps]]</f>
        <v>11.89934537579367</v>
      </c>
    </row>
    <row r="129" spans="1:26" x14ac:dyDescent="0.25">
      <c r="A129" t="s">
        <v>295</v>
      </c>
      <c r="B129">
        <v>5</v>
      </c>
      <c r="C129">
        <v>5</v>
      </c>
      <c r="D129">
        <v>0</v>
      </c>
      <c r="E129" t="s">
        <v>296</v>
      </c>
      <c r="F129">
        <v>1213</v>
      </c>
      <c r="G129">
        <v>8090045.7142857146</v>
      </c>
      <c r="H129">
        <v>0.77631579126630512</v>
      </c>
      <c r="I129">
        <v>0.92105263157894735</v>
      </c>
      <c r="J129">
        <v>653996.35714285716</v>
      </c>
      <c r="K129">
        <v>2103</v>
      </c>
      <c r="L129">
        <v>2</v>
      </c>
      <c r="M129">
        <v>30</v>
      </c>
      <c r="N129">
        <v>0.9135338345864662</v>
      </c>
      <c r="O129">
        <v>405695.14285714284</v>
      </c>
      <c r="P129">
        <v>2235</v>
      </c>
      <c r="Q129">
        <v>2</v>
      </c>
      <c r="R129">
        <v>31</v>
      </c>
      <c r="S129">
        <v>11.827758554402154</v>
      </c>
      <c r="T129">
        <v>0.94314381250968349</v>
      </c>
      <c r="W129">
        <f>Tabela7[[#This Row],[mlp_params]]</f>
        <v>2103</v>
      </c>
      <c r="X129">
        <f>Tabela7[[#This Row],[mlp_test_acc]]</f>
        <v>0.92105263157894735</v>
      </c>
      <c r="Y129">
        <f>Tabela7[[#This Row],[kan_val_acc_1]]</f>
        <v>0.94314381250968349</v>
      </c>
      <c r="Z129">
        <f>Tabela7[[#This Row],[no_steps]]</f>
        <v>11.827758554402154</v>
      </c>
    </row>
    <row r="130" spans="1:26" x14ac:dyDescent="0.25">
      <c r="A130" t="s">
        <v>295</v>
      </c>
      <c r="B130">
        <v>9</v>
      </c>
      <c r="C130">
        <v>3</v>
      </c>
      <c r="D130">
        <v>0</v>
      </c>
      <c r="E130" t="s">
        <v>309</v>
      </c>
      <c r="F130">
        <v>1457</v>
      </c>
      <c r="G130">
        <v>7798828.4285714282</v>
      </c>
      <c r="H130">
        <v>0.85902255773544312</v>
      </c>
      <c r="I130">
        <v>0.92105263157894735</v>
      </c>
      <c r="J130">
        <v>732309.5</v>
      </c>
      <c r="K130">
        <v>2103</v>
      </c>
      <c r="L130">
        <v>2</v>
      </c>
      <c r="M130">
        <v>30</v>
      </c>
      <c r="N130">
        <v>0.91541353383458646</v>
      </c>
      <c r="O130">
        <v>871454.42857142852</v>
      </c>
      <c r="P130">
        <v>2235</v>
      </c>
      <c r="Q130">
        <v>2</v>
      </c>
      <c r="R130">
        <v>31</v>
      </c>
      <c r="S130">
        <v>11.760434721506535</v>
      </c>
      <c r="T130">
        <v>0.95986622113447928</v>
      </c>
      <c r="W130">
        <f>Tabela7[[#This Row],[mlp_params]]</f>
        <v>2103</v>
      </c>
      <c r="X130">
        <f>Tabela7[[#This Row],[mlp_test_acc]]</f>
        <v>0.92105263157894735</v>
      </c>
      <c r="Y130">
        <f>Tabela7[[#This Row],[kan_val_acc_1]]</f>
        <v>0.95986622113447928</v>
      </c>
      <c r="Z130">
        <f>Tabela7[[#This Row],[no_steps]]</f>
        <v>11.760434721506535</v>
      </c>
    </row>
    <row r="131" spans="1:26" x14ac:dyDescent="0.25">
      <c r="A131" t="s">
        <v>295</v>
      </c>
      <c r="B131">
        <v>9</v>
      </c>
      <c r="C131">
        <v>5</v>
      </c>
      <c r="D131">
        <v>0</v>
      </c>
      <c r="E131" t="s">
        <v>308</v>
      </c>
      <c r="F131">
        <v>1341</v>
      </c>
      <c r="G131">
        <v>8366993.9285714282</v>
      </c>
      <c r="H131">
        <v>0.7387218070881707</v>
      </c>
      <c r="I131">
        <v>0.91541353383458646</v>
      </c>
      <c r="J131">
        <v>787229</v>
      </c>
      <c r="K131">
        <v>2103</v>
      </c>
      <c r="L131">
        <v>2</v>
      </c>
      <c r="M131">
        <v>30</v>
      </c>
      <c r="N131">
        <v>0.91729323308270672</v>
      </c>
      <c r="O131">
        <v>891615.78571428568</v>
      </c>
      <c r="P131">
        <v>2235</v>
      </c>
      <c r="Q131">
        <v>2</v>
      </c>
      <c r="R131">
        <v>31</v>
      </c>
      <c r="S131">
        <v>11.698593742842746</v>
      </c>
      <c r="T131">
        <v>0.89966555283619809</v>
      </c>
      <c r="W131">
        <f>Tabela7[[#This Row],[mlp_params]]</f>
        <v>2103</v>
      </c>
      <c r="X131">
        <f>Tabela7[[#This Row],[mlp_test_acc]]</f>
        <v>0.91541353383458646</v>
      </c>
      <c r="Y131">
        <f>Tabela7[[#This Row],[kan_val_acc_1]]</f>
        <v>0.89966555283619809</v>
      </c>
      <c r="Z131">
        <f>Tabela7[[#This Row],[no_steps]]</f>
        <v>11.698593742842746</v>
      </c>
    </row>
    <row r="132" spans="1:26" x14ac:dyDescent="0.25">
      <c r="A132" t="s">
        <v>295</v>
      </c>
      <c r="B132">
        <v>3</v>
      </c>
      <c r="C132">
        <v>3</v>
      </c>
      <c r="D132">
        <v>0</v>
      </c>
      <c r="E132" t="s">
        <v>298</v>
      </c>
      <c r="F132">
        <v>1317</v>
      </c>
      <c r="G132">
        <v>4822713.6875</v>
      </c>
      <c r="H132">
        <v>0.93914473801851273</v>
      </c>
      <c r="I132">
        <v>0.91447368421052633</v>
      </c>
      <c r="J132">
        <v>380939.6875</v>
      </c>
      <c r="K132">
        <v>2235</v>
      </c>
      <c r="L132">
        <v>2</v>
      </c>
      <c r="M132">
        <v>31</v>
      </c>
      <c r="N132">
        <v>0.92434210526315785</v>
      </c>
      <c r="O132">
        <v>401390.125</v>
      </c>
      <c r="P132">
        <v>2371</v>
      </c>
      <c r="Q132">
        <v>2</v>
      </c>
      <c r="R132">
        <v>32</v>
      </c>
      <c r="S132">
        <v>12.07493607472734</v>
      </c>
      <c r="T132">
        <v>0.99130434989929195</v>
      </c>
      <c r="W132">
        <f>Tabela7[[#This Row],[mlp_params]]</f>
        <v>2235</v>
      </c>
      <c r="X132">
        <f>Tabela7[[#This Row],[mlp_test_acc]]</f>
        <v>0.91447368421052633</v>
      </c>
      <c r="Y132">
        <f>Tabela7[[#This Row],[kan_val_acc_1]]</f>
        <v>0.99130434989929195</v>
      </c>
      <c r="Z132">
        <f>Tabela7[[#This Row],[no_steps]]</f>
        <v>12.07493607472734</v>
      </c>
    </row>
    <row r="133" spans="1:26" x14ac:dyDescent="0.25">
      <c r="A133" t="s">
        <v>295</v>
      </c>
      <c r="B133">
        <v>3</v>
      </c>
      <c r="C133">
        <v>4</v>
      </c>
      <c r="D133">
        <v>0</v>
      </c>
      <c r="E133" t="s">
        <v>312</v>
      </c>
      <c r="F133">
        <v>1219</v>
      </c>
      <c r="G133">
        <v>6436545.3125</v>
      </c>
      <c r="H133">
        <v>0.89309211075305939</v>
      </c>
      <c r="I133">
        <v>0.92434210526315785</v>
      </c>
      <c r="J133">
        <v>379715.8125</v>
      </c>
      <c r="K133">
        <v>2235</v>
      </c>
      <c r="L133">
        <v>2</v>
      </c>
      <c r="M133">
        <v>31</v>
      </c>
      <c r="N133">
        <v>0.92105263157894735</v>
      </c>
      <c r="O133">
        <v>374510.875</v>
      </c>
      <c r="P133">
        <v>2371</v>
      </c>
      <c r="Q133">
        <v>2</v>
      </c>
      <c r="R133">
        <v>32</v>
      </c>
      <c r="S133">
        <v>12.039555006180469</v>
      </c>
      <c r="T133">
        <v>0.97681159973144527</v>
      </c>
      <c r="W133">
        <f>Tabela7[[#This Row],[mlp_params]]</f>
        <v>2235</v>
      </c>
      <c r="X133">
        <f>Tabela7[[#This Row],[mlp_test_acc]]</f>
        <v>0.92434210526315785</v>
      </c>
      <c r="Y133">
        <f>Tabela7[[#This Row],[kan_val_acc_1]]</f>
        <v>0.97681159973144527</v>
      </c>
      <c r="Z133">
        <f>Tabela7[[#This Row],[no_steps]]</f>
        <v>12.039555006180469</v>
      </c>
    </row>
    <row r="134" spans="1:26" x14ac:dyDescent="0.25">
      <c r="A134" t="s">
        <v>295</v>
      </c>
      <c r="B134">
        <v>5</v>
      </c>
      <c r="C134">
        <v>4</v>
      </c>
      <c r="D134">
        <v>0</v>
      </c>
      <c r="E134" t="s">
        <v>299</v>
      </c>
      <c r="F134">
        <v>1315</v>
      </c>
      <c r="G134">
        <v>5892871.666666667</v>
      </c>
      <c r="H134">
        <v>0.90448343312298807</v>
      </c>
      <c r="I134">
        <v>0.92495126705653019</v>
      </c>
      <c r="J134">
        <v>659320.18518518517</v>
      </c>
      <c r="K134">
        <v>2235</v>
      </c>
      <c r="L134">
        <v>2</v>
      </c>
      <c r="M134">
        <v>31</v>
      </c>
      <c r="N134">
        <v>0.91520467836257313</v>
      </c>
      <c r="O134">
        <v>383334.44444444444</v>
      </c>
      <c r="P134">
        <v>2371</v>
      </c>
      <c r="Q134">
        <v>2</v>
      </c>
      <c r="R134">
        <v>32</v>
      </c>
      <c r="S134">
        <v>11.859370445934131</v>
      </c>
      <c r="T134">
        <v>0.96989967272831845</v>
      </c>
      <c r="W134">
        <f>Tabela7[[#This Row],[mlp_params]]</f>
        <v>2235</v>
      </c>
      <c r="X134">
        <f>Tabela7[[#This Row],[mlp_test_acc]]</f>
        <v>0.92495126705653019</v>
      </c>
      <c r="Y134">
        <f>Tabela7[[#This Row],[kan_val_acc_1]]</f>
        <v>0.96989967272831845</v>
      </c>
      <c r="Z134">
        <f>Tabela7[[#This Row],[no_steps]]</f>
        <v>11.859370445934131</v>
      </c>
    </row>
    <row r="135" spans="1:26" x14ac:dyDescent="0.25">
      <c r="A135" t="s">
        <v>295</v>
      </c>
      <c r="B135">
        <v>5</v>
      </c>
      <c r="C135">
        <v>5</v>
      </c>
      <c r="D135">
        <v>0</v>
      </c>
      <c r="E135" t="s">
        <v>309</v>
      </c>
      <c r="F135">
        <v>1265</v>
      </c>
      <c r="G135">
        <v>7072754.5</v>
      </c>
      <c r="H135">
        <v>0.76315789137567791</v>
      </c>
      <c r="I135">
        <v>0.91917293233082709</v>
      </c>
      <c r="J135">
        <v>539896.71428571432</v>
      </c>
      <c r="K135">
        <v>2235</v>
      </c>
      <c r="L135">
        <v>2</v>
      </c>
      <c r="M135">
        <v>31</v>
      </c>
      <c r="N135">
        <v>0.92669172932330823</v>
      </c>
      <c r="O135">
        <v>504240.42857142858</v>
      </c>
      <c r="P135">
        <v>2371</v>
      </c>
      <c r="Q135">
        <v>2</v>
      </c>
      <c r="R135">
        <v>32</v>
      </c>
      <c r="S135">
        <v>11.825713187974259</v>
      </c>
      <c r="T135">
        <v>0.93311036550081694</v>
      </c>
      <c r="W135">
        <f>Tabela7[[#This Row],[mlp_params]]</f>
        <v>2235</v>
      </c>
      <c r="X135">
        <f>Tabela7[[#This Row],[mlp_test_acc]]</f>
        <v>0.91917293233082709</v>
      </c>
      <c r="Y135">
        <f>Tabela7[[#This Row],[kan_val_acc_1]]</f>
        <v>0.93311036550081694</v>
      </c>
      <c r="Z135">
        <f>Tabela7[[#This Row],[no_steps]]</f>
        <v>11.825713187974259</v>
      </c>
    </row>
    <row r="136" spans="1:26" x14ac:dyDescent="0.25">
      <c r="A136" t="s">
        <v>295</v>
      </c>
      <c r="B136">
        <v>9</v>
      </c>
      <c r="C136">
        <v>2</v>
      </c>
      <c r="D136">
        <v>0</v>
      </c>
      <c r="E136" t="s">
        <v>312</v>
      </c>
      <c r="F136">
        <v>1699</v>
      </c>
      <c r="G136">
        <v>6159145.4285714282</v>
      </c>
      <c r="H136">
        <v>0.87218044485364643</v>
      </c>
      <c r="I136">
        <v>0.9285714285714286</v>
      </c>
      <c r="J136">
        <v>873558.42857142852</v>
      </c>
      <c r="K136">
        <v>2235</v>
      </c>
      <c r="L136">
        <v>2</v>
      </c>
      <c r="M136">
        <v>31</v>
      </c>
      <c r="N136">
        <v>0.9135338345864662</v>
      </c>
      <c r="O136">
        <v>685187.92857142852</v>
      </c>
      <c r="P136">
        <v>2371</v>
      </c>
      <c r="Q136">
        <v>2</v>
      </c>
      <c r="R136">
        <v>32</v>
      </c>
      <c r="S136">
        <v>11.787739644970415</v>
      </c>
      <c r="T136">
        <v>0.9531772549335773</v>
      </c>
      <c r="W136">
        <f>Tabela7[[#This Row],[mlp_params]]</f>
        <v>2235</v>
      </c>
      <c r="X136">
        <f>Tabela7[[#This Row],[mlp_test_acc]]</f>
        <v>0.9285714285714286</v>
      </c>
      <c r="Y136">
        <f>Tabela7[[#This Row],[kan_val_acc_1]]</f>
        <v>0.9531772549335773</v>
      </c>
      <c r="Z136">
        <f>Tabela7[[#This Row],[no_steps]]</f>
        <v>11.787739644970415</v>
      </c>
    </row>
    <row r="137" spans="1:26" x14ac:dyDescent="0.25">
      <c r="A137" t="s">
        <v>295</v>
      </c>
      <c r="B137">
        <v>9</v>
      </c>
      <c r="C137">
        <v>4</v>
      </c>
      <c r="D137">
        <v>0</v>
      </c>
      <c r="E137" t="s">
        <v>296</v>
      </c>
      <c r="F137">
        <v>1489</v>
      </c>
      <c r="G137">
        <v>6610582.333333333</v>
      </c>
      <c r="H137">
        <v>0.84307992237585561</v>
      </c>
      <c r="I137">
        <v>0.92690058479532156</v>
      </c>
      <c r="J137">
        <v>719051.37037037034</v>
      </c>
      <c r="K137">
        <v>2235</v>
      </c>
      <c r="L137">
        <v>2</v>
      </c>
      <c r="M137">
        <v>31</v>
      </c>
      <c r="N137">
        <v>0.91617933723196876</v>
      </c>
      <c r="O137">
        <v>670119.07407407404</v>
      </c>
      <c r="P137">
        <v>2371</v>
      </c>
      <c r="Q137">
        <v>2</v>
      </c>
      <c r="R137">
        <v>32</v>
      </c>
      <c r="S137">
        <v>11.730135210224116</v>
      </c>
      <c r="T137">
        <v>0.95317726410352266</v>
      </c>
      <c r="W137">
        <f>Tabela7[[#This Row],[mlp_params]]</f>
        <v>2235</v>
      </c>
      <c r="X137">
        <f>Tabela7[[#This Row],[mlp_test_acc]]</f>
        <v>0.92690058479532156</v>
      </c>
      <c r="Y137">
        <f>Tabela7[[#This Row],[kan_val_acc_1]]</f>
        <v>0.95317726410352266</v>
      </c>
      <c r="Z137">
        <f>Tabela7[[#This Row],[no_steps]]</f>
        <v>11.730135210224116</v>
      </c>
    </row>
    <row r="138" spans="1:26" x14ac:dyDescent="0.25">
      <c r="A138" t="s">
        <v>295</v>
      </c>
      <c r="B138">
        <v>3</v>
      </c>
      <c r="C138">
        <v>5</v>
      </c>
      <c r="D138">
        <v>0</v>
      </c>
      <c r="E138" t="s">
        <v>299</v>
      </c>
      <c r="F138">
        <v>1207</v>
      </c>
      <c r="G138">
        <v>7097488.2903225804</v>
      </c>
      <c r="H138">
        <v>0.85059423408200663</v>
      </c>
      <c r="I138">
        <v>0.92190152801358227</v>
      </c>
      <c r="J138">
        <v>461507.22580645164</v>
      </c>
      <c r="K138">
        <v>2371</v>
      </c>
      <c r="L138">
        <v>2</v>
      </c>
      <c r="M138">
        <v>32</v>
      </c>
      <c r="N138">
        <v>0.9303904923599321</v>
      </c>
      <c r="O138">
        <v>397065.77419354836</v>
      </c>
      <c r="P138">
        <v>2511</v>
      </c>
      <c r="Q138">
        <v>2</v>
      </c>
      <c r="R138">
        <v>33</v>
      </c>
      <c r="S138">
        <v>11.997715851987209</v>
      </c>
      <c r="T138">
        <v>0.94202898939450586</v>
      </c>
      <c r="W138">
        <f>Tabela7[[#This Row],[mlp_params]]</f>
        <v>2371</v>
      </c>
      <c r="X138">
        <f>Tabela7[[#This Row],[mlp_test_acc]]</f>
        <v>0.92190152801358227</v>
      </c>
      <c r="Y138">
        <f>Tabela7[[#This Row],[kan_val_acc_1]]</f>
        <v>0.94202898939450586</v>
      </c>
      <c r="Z138">
        <f>Tabela7[[#This Row],[no_steps]]</f>
        <v>11.997715851987209</v>
      </c>
    </row>
    <row r="139" spans="1:26" x14ac:dyDescent="0.25">
      <c r="A139" t="s">
        <v>295</v>
      </c>
      <c r="B139">
        <v>5</v>
      </c>
      <c r="C139">
        <v>3</v>
      </c>
      <c r="D139">
        <v>0</v>
      </c>
      <c r="E139" t="s">
        <v>300</v>
      </c>
      <c r="F139">
        <v>1539</v>
      </c>
      <c r="G139">
        <v>5284662.3225806449</v>
      </c>
      <c r="H139">
        <v>0.93208829241414226</v>
      </c>
      <c r="I139">
        <v>0.92614601018675724</v>
      </c>
      <c r="J139">
        <v>434191.87096774194</v>
      </c>
      <c r="K139">
        <v>2371</v>
      </c>
      <c r="L139">
        <v>2</v>
      </c>
      <c r="M139">
        <v>32</v>
      </c>
      <c r="N139">
        <v>0.93208828522920206</v>
      </c>
      <c r="O139">
        <v>398374.09677419357</v>
      </c>
      <c r="P139">
        <v>2511</v>
      </c>
      <c r="Q139">
        <v>2</v>
      </c>
      <c r="R139">
        <v>33</v>
      </c>
      <c r="S139">
        <v>11.893945350894437</v>
      </c>
      <c r="T139">
        <v>0.98260869979858401</v>
      </c>
      <c r="W139">
        <f>Tabela7[[#This Row],[mlp_params]]</f>
        <v>2371</v>
      </c>
      <c r="X139">
        <f>Tabela7[[#This Row],[mlp_test_acc]]</f>
        <v>0.92614601018675724</v>
      </c>
      <c r="Y139">
        <f>Tabela7[[#This Row],[kan_val_acc_1]]</f>
        <v>0.98260869979858401</v>
      </c>
      <c r="Z139">
        <f>Tabela7[[#This Row],[no_steps]]</f>
        <v>11.893945350894437</v>
      </c>
    </row>
    <row r="140" spans="1:26" x14ac:dyDescent="0.25">
      <c r="A140" t="s">
        <v>295</v>
      </c>
      <c r="B140">
        <v>5</v>
      </c>
      <c r="C140">
        <v>4</v>
      </c>
      <c r="D140">
        <v>0</v>
      </c>
      <c r="E140" t="s">
        <v>297</v>
      </c>
      <c r="F140">
        <v>1435</v>
      </c>
      <c r="G140">
        <v>5769123.2142857146</v>
      </c>
      <c r="H140">
        <v>0.91165414026805336</v>
      </c>
      <c r="I140">
        <v>0.92669172932330823</v>
      </c>
      <c r="J140">
        <v>564870.57142857148</v>
      </c>
      <c r="K140">
        <v>2371</v>
      </c>
      <c r="L140">
        <v>2</v>
      </c>
      <c r="M140">
        <v>32</v>
      </c>
      <c r="N140">
        <v>0.9285714285714286</v>
      </c>
      <c r="O140">
        <v>418793.5</v>
      </c>
      <c r="P140">
        <v>2511</v>
      </c>
      <c r="Q140">
        <v>2</v>
      </c>
      <c r="R140">
        <v>33</v>
      </c>
      <c r="S140">
        <v>11.856699029126213</v>
      </c>
      <c r="T140">
        <v>0.95317725951855004</v>
      </c>
      <c r="W140">
        <f>Tabela7[[#This Row],[mlp_params]]</f>
        <v>2371</v>
      </c>
      <c r="X140">
        <f>Tabela7[[#This Row],[mlp_test_acc]]</f>
        <v>0.92669172932330823</v>
      </c>
      <c r="Y140">
        <f>Tabela7[[#This Row],[kan_val_acc_1]]</f>
        <v>0.95317725951855004</v>
      </c>
      <c r="Z140">
        <f>Tabela7[[#This Row],[no_steps]]</f>
        <v>11.856699029126213</v>
      </c>
    </row>
    <row r="141" spans="1:26" x14ac:dyDescent="0.25">
      <c r="A141" t="s">
        <v>295</v>
      </c>
      <c r="B141">
        <v>9</v>
      </c>
      <c r="C141">
        <v>3</v>
      </c>
      <c r="D141">
        <v>0</v>
      </c>
      <c r="E141" t="s">
        <v>299</v>
      </c>
      <c r="F141">
        <v>1639</v>
      </c>
      <c r="G141">
        <v>6592910.777777778</v>
      </c>
      <c r="H141">
        <v>0.90058480368720162</v>
      </c>
      <c r="I141">
        <v>0.91812865497076024</v>
      </c>
      <c r="J141">
        <v>1054173.4444444445</v>
      </c>
      <c r="K141">
        <v>2371</v>
      </c>
      <c r="L141">
        <v>2</v>
      </c>
      <c r="M141">
        <v>32</v>
      </c>
      <c r="N141">
        <v>0.92495126705653019</v>
      </c>
      <c r="O141">
        <v>821699.48148148146</v>
      </c>
      <c r="P141">
        <v>2511</v>
      </c>
      <c r="Q141">
        <v>2</v>
      </c>
      <c r="R141">
        <v>33</v>
      </c>
      <c r="S141">
        <v>11.757649480677459</v>
      </c>
      <c r="T141">
        <v>0.95150501682208133</v>
      </c>
      <c r="W141">
        <f>Tabela7[[#This Row],[mlp_params]]</f>
        <v>2371</v>
      </c>
      <c r="X141">
        <f>Tabela7[[#This Row],[mlp_test_acc]]</f>
        <v>0.91812865497076024</v>
      </c>
      <c r="Y141">
        <f>Tabela7[[#This Row],[kan_val_acc_1]]</f>
        <v>0.95150501682208133</v>
      </c>
      <c r="Z141">
        <f>Tabela7[[#This Row],[no_steps]]</f>
        <v>11.757649480677459</v>
      </c>
    </row>
    <row r="142" spans="1:26" x14ac:dyDescent="0.25">
      <c r="A142" t="s">
        <v>295</v>
      </c>
      <c r="B142">
        <v>9</v>
      </c>
      <c r="C142">
        <v>4</v>
      </c>
      <c r="D142">
        <v>0</v>
      </c>
      <c r="E142" t="s">
        <v>309</v>
      </c>
      <c r="F142">
        <v>1553</v>
      </c>
      <c r="G142">
        <v>6560599.1428571427</v>
      </c>
      <c r="H142">
        <v>0.82706767320632935</v>
      </c>
      <c r="I142">
        <v>0.92481203007518797</v>
      </c>
      <c r="J142">
        <v>923624.85714285716</v>
      </c>
      <c r="K142">
        <v>2371</v>
      </c>
      <c r="L142">
        <v>2</v>
      </c>
      <c r="M142">
        <v>32</v>
      </c>
      <c r="N142">
        <v>0.92481203007518797</v>
      </c>
      <c r="O142">
        <v>698279.21428571432</v>
      </c>
      <c r="P142">
        <v>2511</v>
      </c>
      <c r="Q142">
        <v>2</v>
      </c>
      <c r="R142">
        <v>33</v>
      </c>
      <c r="S142">
        <v>11.727950023137437</v>
      </c>
      <c r="T142">
        <v>0.96655519192035377</v>
      </c>
      <c r="W142">
        <f>Tabela7[[#This Row],[mlp_params]]</f>
        <v>2371</v>
      </c>
      <c r="X142">
        <f>Tabela7[[#This Row],[mlp_test_acc]]</f>
        <v>0.92481203007518797</v>
      </c>
      <c r="Y142">
        <f>Tabela7[[#This Row],[kan_val_acc_1]]</f>
        <v>0.96655519192035377</v>
      </c>
      <c r="Z142">
        <f>Tabela7[[#This Row],[no_steps]]</f>
        <v>11.727950023137437</v>
      </c>
    </row>
    <row r="143" spans="1:26" x14ac:dyDescent="0.25">
      <c r="A143" t="s">
        <v>295</v>
      </c>
      <c r="B143">
        <v>3</v>
      </c>
      <c r="C143">
        <v>4</v>
      </c>
      <c r="D143">
        <v>0</v>
      </c>
      <c r="E143" t="s">
        <v>300</v>
      </c>
      <c r="F143">
        <v>1401</v>
      </c>
      <c r="G143">
        <v>5819603</v>
      </c>
      <c r="H143">
        <v>0.89643463684666547</v>
      </c>
      <c r="I143">
        <v>0.9252971137521222</v>
      </c>
      <c r="J143">
        <v>423554.22580645164</v>
      </c>
      <c r="K143">
        <v>2511</v>
      </c>
      <c r="L143">
        <v>2</v>
      </c>
      <c r="M143">
        <v>33</v>
      </c>
      <c r="N143">
        <v>0.93123938879456702</v>
      </c>
      <c r="O143">
        <v>301547.54838709679</v>
      </c>
      <c r="P143">
        <v>2655</v>
      </c>
      <c r="Q143">
        <v>2</v>
      </c>
      <c r="R143">
        <v>34</v>
      </c>
      <c r="S143">
        <v>12.035121098369929</v>
      </c>
      <c r="T143">
        <v>0.99275362491607666</v>
      </c>
      <c r="W143">
        <f>Tabela7[[#This Row],[mlp_params]]</f>
        <v>2511</v>
      </c>
      <c r="X143">
        <f>Tabela7[[#This Row],[mlp_test_acc]]</f>
        <v>0.9252971137521222</v>
      </c>
      <c r="Y143">
        <f>Tabela7[[#This Row],[kan_val_acc_1]]</f>
        <v>0.99275362491607666</v>
      </c>
      <c r="Z143">
        <f>Tabela7[[#This Row],[no_steps]]</f>
        <v>12.035121098369929</v>
      </c>
    </row>
    <row r="144" spans="1:26" x14ac:dyDescent="0.25">
      <c r="A144" t="s">
        <v>295</v>
      </c>
      <c r="B144">
        <v>3</v>
      </c>
      <c r="C144">
        <v>5</v>
      </c>
      <c r="D144">
        <v>0</v>
      </c>
      <c r="E144" t="s">
        <v>297</v>
      </c>
      <c r="F144">
        <v>1317</v>
      </c>
      <c r="G144">
        <v>6579960.875</v>
      </c>
      <c r="H144">
        <v>0.86184210982173681</v>
      </c>
      <c r="I144">
        <v>0.92763157894736836</v>
      </c>
      <c r="J144">
        <v>429217.5625</v>
      </c>
      <c r="K144">
        <v>2511</v>
      </c>
      <c r="L144">
        <v>2</v>
      </c>
      <c r="M144">
        <v>33</v>
      </c>
      <c r="N144">
        <v>0.92105263157894735</v>
      </c>
      <c r="O144">
        <v>345864.375</v>
      </c>
      <c r="P144">
        <v>2655</v>
      </c>
      <c r="Q144">
        <v>2</v>
      </c>
      <c r="R144">
        <v>34</v>
      </c>
      <c r="S144">
        <v>11.995435411066593</v>
      </c>
      <c r="T144">
        <v>0.97681159973144527</v>
      </c>
      <c r="W144">
        <f>Tabela7[[#This Row],[mlp_params]]</f>
        <v>2511</v>
      </c>
      <c r="X144">
        <f>Tabela7[[#This Row],[mlp_test_acc]]</f>
        <v>0.92763157894736836</v>
      </c>
      <c r="Y144">
        <f>Tabela7[[#This Row],[kan_val_acc_1]]</f>
        <v>0.97681159973144527</v>
      </c>
      <c r="Z144">
        <f>Tabela7[[#This Row],[no_steps]]</f>
        <v>11.995435411066593</v>
      </c>
    </row>
    <row r="145" spans="1:26" x14ac:dyDescent="0.25">
      <c r="A145" t="s">
        <v>295</v>
      </c>
      <c r="B145">
        <v>5</v>
      </c>
      <c r="C145">
        <v>2</v>
      </c>
      <c r="D145">
        <v>0</v>
      </c>
      <c r="E145" t="s">
        <v>301</v>
      </c>
      <c r="F145">
        <v>1703</v>
      </c>
      <c r="G145">
        <v>4575225.0625</v>
      </c>
      <c r="H145">
        <v>0.94736842811107635</v>
      </c>
      <c r="I145">
        <v>0.91776315789473684</v>
      </c>
      <c r="J145">
        <v>430990</v>
      </c>
      <c r="K145">
        <v>2511</v>
      </c>
      <c r="L145">
        <v>2</v>
      </c>
      <c r="M145">
        <v>33</v>
      </c>
      <c r="N145">
        <v>0.92598684210526316</v>
      </c>
      <c r="O145">
        <v>375047.25</v>
      </c>
      <c r="P145">
        <v>2655</v>
      </c>
      <c r="Q145">
        <v>2</v>
      </c>
      <c r="R145">
        <v>34</v>
      </c>
      <c r="S145">
        <v>11.93784860557769</v>
      </c>
      <c r="T145">
        <v>0.98550724983215332</v>
      </c>
      <c r="W145">
        <f>Tabela7[[#This Row],[mlp_params]]</f>
        <v>2511</v>
      </c>
      <c r="X145">
        <f>Tabela7[[#This Row],[mlp_test_acc]]</f>
        <v>0.91776315789473684</v>
      </c>
      <c r="Y145">
        <f>Tabela7[[#This Row],[kan_val_acc_1]]</f>
        <v>0.98550724983215332</v>
      </c>
      <c r="Z145">
        <f>Tabela7[[#This Row],[no_steps]]</f>
        <v>11.93784860557769</v>
      </c>
    </row>
    <row r="146" spans="1:26" x14ac:dyDescent="0.25">
      <c r="A146" t="s">
        <v>295</v>
      </c>
      <c r="B146">
        <v>5</v>
      </c>
      <c r="C146">
        <v>3</v>
      </c>
      <c r="D146">
        <v>0</v>
      </c>
      <c r="E146" t="s">
        <v>298</v>
      </c>
      <c r="F146">
        <v>1605</v>
      </c>
      <c r="G146">
        <v>5951395.625</v>
      </c>
      <c r="H146">
        <v>0.94901315867900848</v>
      </c>
      <c r="I146">
        <v>0.92269736842105265</v>
      </c>
      <c r="J146">
        <v>493338.875</v>
      </c>
      <c r="K146">
        <v>2511</v>
      </c>
      <c r="L146">
        <v>2</v>
      </c>
      <c r="M146">
        <v>33</v>
      </c>
      <c r="N146">
        <v>0.92434210526315785</v>
      </c>
      <c r="O146">
        <v>454522.75</v>
      </c>
      <c r="P146">
        <v>2655</v>
      </c>
      <c r="Q146">
        <v>2</v>
      </c>
      <c r="R146">
        <v>34</v>
      </c>
      <c r="S146">
        <v>11.891720683559223</v>
      </c>
      <c r="T146">
        <v>0.98260869979858401</v>
      </c>
      <c r="W146">
        <f>Tabela7[[#This Row],[mlp_params]]</f>
        <v>2511</v>
      </c>
      <c r="X146">
        <f>Tabela7[[#This Row],[mlp_test_acc]]</f>
        <v>0.92269736842105265</v>
      </c>
      <c r="Y146">
        <f>Tabela7[[#This Row],[kan_val_acc_1]]</f>
        <v>0.98260869979858401</v>
      </c>
      <c r="Z146">
        <f>Tabela7[[#This Row],[no_steps]]</f>
        <v>11.891720683559223</v>
      </c>
    </row>
    <row r="147" spans="1:26" x14ac:dyDescent="0.25">
      <c r="A147" t="s">
        <v>295</v>
      </c>
      <c r="B147">
        <v>5</v>
      </c>
      <c r="C147">
        <v>4</v>
      </c>
      <c r="D147">
        <v>0</v>
      </c>
      <c r="E147" t="s">
        <v>312</v>
      </c>
      <c r="F147">
        <v>1459</v>
      </c>
      <c r="G147">
        <v>5775831.6428571427</v>
      </c>
      <c r="H147">
        <v>0.87030075277600971</v>
      </c>
      <c r="I147">
        <v>0.9229323308270676</v>
      </c>
      <c r="J147">
        <v>539087</v>
      </c>
      <c r="K147">
        <v>2511</v>
      </c>
      <c r="L147">
        <v>2</v>
      </c>
      <c r="M147">
        <v>33</v>
      </c>
      <c r="N147">
        <v>0.92105263157894735</v>
      </c>
      <c r="O147">
        <v>399707.21428571426</v>
      </c>
      <c r="P147">
        <v>2655</v>
      </c>
      <c r="Q147">
        <v>2</v>
      </c>
      <c r="R147">
        <v>34</v>
      </c>
      <c r="S147">
        <v>11.854079751625109</v>
      </c>
      <c r="T147">
        <v>0.98327759596017694</v>
      </c>
      <c r="W147">
        <f>Tabela7[[#This Row],[mlp_params]]</f>
        <v>2511</v>
      </c>
      <c r="X147">
        <f>Tabela7[[#This Row],[mlp_test_acc]]</f>
        <v>0.9229323308270676</v>
      </c>
      <c r="Y147">
        <f>Tabela7[[#This Row],[kan_val_acc_1]]</f>
        <v>0.98327759596017694</v>
      </c>
      <c r="Z147">
        <f>Tabela7[[#This Row],[no_steps]]</f>
        <v>11.854079751625109</v>
      </c>
    </row>
    <row r="148" spans="1:26" x14ac:dyDescent="0.25">
      <c r="A148" t="s">
        <v>295</v>
      </c>
      <c r="B148">
        <v>5</v>
      </c>
      <c r="C148">
        <v>5</v>
      </c>
      <c r="D148">
        <v>0</v>
      </c>
      <c r="E148" t="s">
        <v>299</v>
      </c>
      <c r="F148">
        <v>1423</v>
      </c>
      <c r="G148">
        <v>7783392.666666667</v>
      </c>
      <c r="H148">
        <v>0.73586745118653329</v>
      </c>
      <c r="I148">
        <v>0.92105263157894735</v>
      </c>
      <c r="J148">
        <v>729550.4444444445</v>
      </c>
      <c r="K148">
        <v>2511</v>
      </c>
      <c r="L148">
        <v>2</v>
      </c>
      <c r="M148">
        <v>33</v>
      </c>
      <c r="N148">
        <v>0.93177387914230014</v>
      </c>
      <c r="O148">
        <v>488761.62962962961</v>
      </c>
      <c r="P148">
        <v>2655</v>
      </c>
      <c r="Q148">
        <v>2</v>
      </c>
      <c r="R148">
        <v>34</v>
      </c>
      <c r="S148">
        <v>11.822773274497578</v>
      </c>
      <c r="T148">
        <v>0.94983277871058536</v>
      </c>
      <c r="W148">
        <f>Tabela7[[#This Row],[mlp_params]]</f>
        <v>2511</v>
      </c>
      <c r="X148">
        <f>Tabela7[[#This Row],[mlp_test_acc]]</f>
        <v>0.92105263157894735</v>
      </c>
      <c r="Y148">
        <f>Tabela7[[#This Row],[kan_val_acc_1]]</f>
        <v>0.94983277871058536</v>
      </c>
      <c r="Z148">
        <f>Tabela7[[#This Row],[no_steps]]</f>
        <v>11.822773274497578</v>
      </c>
    </row>
    <row r="149" spans="1:26" x14ac:dyDescent="0.25">
      <c r="A149" t="s">
        <v>295</v>
      </c>
      <c r="B149">
        <v>9</v>
      </c>
      <c r="C149">
        <v>2</v>
      </c>
      <c r="D149">
        <v>0</v>
      </c>
      <c r="E149" t="s">
        <v>300</v>
      </c>
      <c r="F149">
        <v>1953</v>
      </c>
      <c r="G149">
        <v>4976471.7037037034</v>
      </c>
      <c r="H149">
        <v>0.91228070965519659</v>
      </c>
      <c r="I149">
        <v>0.92592592592592593</v>
      </c>
      <c r="J149">
        <v>867861.33333333337</v>
      </c>
      <c r="K149">
        <v>2511</v>
      </c>
      <c r="L149">
        <v>2</v>
      </c>
      <c r="M149">
        <v>33</v>
      </c>
      <c r="N149">
        <v>0.9278752436647173</v>
      </c>
      <c r="O149">
        <v>798243.74074074079</v>
      </c>
      <c r="P149">
        <v>2655</v>
      </c>
      <c r="Q149">
        <v>2</v>
      </c>
      <c r="R149">
        <v>34</v>
      </c>
      <c r="S149">
        <v>11.782951966717095</v>
      </c>
      <c r="T149">
        <v>0.97826087245574367</v>
      </c>
      <c r="W149">
        <f>Tabela7[[#This Row],[mlp_params]]</f>
        <v>2511</v>
      </c>
      <c r="X149">
        <f>Tabela7[[#This Row],[mlp_test_acc]]</f>
        <v>0.92592592592592593</v>
      </c>
      <c r="Y149">
        <f>Tabela7[[#This Row],[kan_val_acc_1]]</f>
        <v>0.97826087245574367</v>
      </c>
      <c r="Z149">
        <f>Tabela7[[#This Row],[no_steps]]</f>
        <v>11.782951966717095</v>
      </c>
    </row>
    <row r="150" spans="1:26" x14ac:dyDescent="0.25">
      <c r="A150" t="s">
        <v>295</v>
      </c>
      <c r="B150">
        <v>9</v>
      </c>
      <c r="C150">
        <v>3</v>
      </c>
      <c r="D150">
        <v>0</v>
      </c>
      <c r="E150" t="s">
        <v>297</v>
      </c>
      <c r="F150">
        <v>1789</v>
      </c>
      <c r="G150">
        <v>7185976.3571428573</v>
      </c>
      <c r="H150">
        <v>0.87406015396118164</v>
      </c>
      <c r="I150">
        <v>0.91729323308270672</v>
      </c>
      <c r="J150">
        <v>775512.57142857148</v>
      </c>
      <c r="K150">
        <v>2511</v>
      </c>
      <c r="L150">
        <v>2</v>
      </c>
      <c r="M150">
        <v>33</v>
      </c>
      <c r="N150">
        <v>0.91729323308270672</v>
      </c>
      <c r="O150">
        <v>869244.14285714284</v>
      </c>
      <c r="P150">
        <v>2655</v>
      </c>
      <c r="Q150">
        <v>2</v>
      </c>
      <c r="R150">
        <v>34</v>
      </c>
      <c r="S150">
        <v>11.75654572657565</v>
      </c>
      <c r="T150">
        <v>0.94983278329555809</v>
      </c>
      <c r="W150">
        <f>Tabela7[[#This Row],[mlp_params]]</f>
        <v>2511</v>
      </c>
      <c r="X150">
        <f>Tabela7[[#This Row],[mlp_test_acc]]</f>
        <v>0.91729323308270672</v>
      </c>
      <c r="Y150">
        <f>Tabela7[[#This Row],[kan_val_acc_1]]</f>
        <v>0.94983278329555809</v>
      </c>
      <c r="Z150">
        <f>Tabela7[[#This Row],[no_steps]]</f>
        <v>11.75654572657565</v>
      </c>
    </row>
    <row r="151" spans="1:26" x14ac:dyDescent="0.25">
      <c r="A151" t="s">
        <v>295</v>
      </c>
      <c r="B151">
        <v>9</v>
      </c>
      <c r="C151">
        <v>5</v>
      </c>
      <c r="D151">
        <v>0</v>
      </c>
      <c r="E151" t="s">
        <v>296</v>
      </c>
      <c r="F151">
        <v>1581</v>
      </c>
      <c r="G151">
        <v>6950274.777777778</v>
      </c>
      <c r="H151">
        <v>0.68128655078234501</v>
      </c>
      <c r="I151">
        <v>0.92007797270955161</v>
      </c>
      <c r="J151">
        <v>833233</v>
      </c>
      <c r="K151">
        <v>2511</v>
      </c>
      <c r="L151">
        <v>2</v>
      </c>
      <c r="M151">
        <v>33</v>
      </c>
      <c r="N151">
        <v>0.92592592592592593</v>
      </c>
      <c r="O151">
        <v>870574.18518518517</v>
      </c>
      <c r="P151">
        <v>2655</v>
      </c>
      <c r="Q151">
        <v>2</v>
      </c>
      <c r="R151">
        <v>34</v>
      </c>
      <c r="S151">
        <v>11.694802818190137</v>
      </c>
      <c r="T151">
        <v>0.87290969720253575</v>
      </c>
      <c r="W151">
        <f>Tabela7[[#This Row],[mlp_params]]</f>
        <v>2511</v>
      </c>
      <c r="X151">
        <f>Tabela7[[#This Row],[mlp_test_acc]]</f>
        <v>0.92007797270955161</v>
      </c>
      <c r="Y151">
        <f>Tabela7[[#This Row],[kan_val_acc_1]]</f>
        <v>0.87290969720253575</v>
      </c>
      <c r="Z151">
        <f>Tabela7[[#This Row],[no_steps]]</f>
        <v>11.694802818190137</v>
      </c>
    </row>
    <row r="152" spans="1:26" x14ac:dyDescent="0.25">
      <c r="A152" t="s">
        <v>295</v>
      </c>
      <c r="B152">
        <v>3</v>
      </c>
      <c r="C152">
        <v>3</v>
      </c>
      <c r="D152">
        <v>0</v>
      </c>
      <c r="E152" t="s">
        <v>301</v>
      </c>
      <c r="F152">
        <v>1535</v>
      </c>
      <c r="G152">
        <v>4896631.5</v>
      </c>
      <c r="H152">
        <v>0.94736842066049576</v>
      </c>
      <c r="I152">
        <v>0.92598684210526316</v>
      </c>
      <c r="J152">
        <v>269360.6875</v>
      </c>
      <c r="K152">
        <v>2655</v>
      </c>
      <c r="L152">
        <v>2</v>
      </c>
      <c r="M152">
        <v>34</v>
      </c>
      <c r="N152">
        <v>0.93421052631578949</v>
      </c>
      <c r="O152">
        <v>274745.5</v>
      </c>
      <c r="P152">
        <v>2803</v>
      </c>
      <c r="Q152">
        <v>2</v>
      </c>
      <c r="R152">
        <v>35</v>
      </c>
      <c r="S152">
        <v>12.072266541529798</v>
      </c>
      <c r="T152">
        <v>0.98550724983215332</v>
      </c>
      <c r="W152">
        <f>Tabela7[[#This Row],[mlp_params]]</f>
        <v>2655</v>
      </c>
      <c r="X152">
        <f>Tabela7[[#This Row],[mlp_test_acc]]</f>
        <v>0.92598684210526316</v>
      </c>
      <c r="Y152">
        <f>Tabela7[[#This Row],[kan_val_acc_1]]</f>
        <v>0.98550724983215332</v>
      </c>
      <c r="Z152">
        <f>Tabela7[[#This Row],[no_steps]]</f>
        <v>12.072266541529798</v>
      </c>
    </row>
    <row r="153" spans="1:26" x14ac:dyDescent="0.25">
      <c r="A153" t="s">
        <v>295</v>
      </c>
      <c r="B153">
        <v>3</v>
      </c>
      <c r="C153">
        <v>4</v>
      </c>
      <c r="D153">
        <v>0</v>
      </c>
      <c r="E153" t="s">
        <v>298</v>
      </c>
      <c r="F153">
        <v>1461</v>
      </c>
      <c r="G153">
        <v>5593623.3125</v>
      </c>
      <c r="H153">
        <v>0.91940790042281151</v>
      </c>
      <c r="I153">
        <v>0.93092105263157898</v>
      </c>
      <c r="J153">
        <v>392657</v>
      </c>
      <c r="K153">
        <v>2655</v>
      </c>
      <c r="L153">
        <v>2</v>
      </c>
      <c r="M153">
        <v>34</v>
      </c>
      <c r="N153">
        <v>0.92927631578947367</v>
      </c>
      <c r="O153">
        <v>270529</v>
      </c>
      <c r="P153">
        <v>2803</v>
      </c>
      <c r="Q153">
        <v>2</v>
      </c>
      <c r="R153">
        <v>35</v>
      </c>
      <c r="S153">
        <v>12.03236911062015</v>
      </c>
      <c r="T153">
        <v>0.97681159973144527</v>
      </c>
      <c r="W153">
        <f>Tabela7[[#This Row],[mlp_params]]</f>
        <v>2655</v>
      </c>
      <c r="X153">
        <f>Tabela7[[#This Row],[mlp_test_acc]]</f>
        <v>0.93092105263157898</v>
      </c>
      <c r="Y153">
        <f>Tabela7[[#This Row],[kan_val_acc_1]]</f>
        <v>0.97681159973144527</v>
      </c>
      <c r="Z153">
        <f>Tabela7[[#This Row],[no_steps]]</f>
        <v>12.03236911062015</v>
      </c>
    </row>
    <row r="154" spans="1:26" x14ac:dyDescent="0.25">
      <c r="A154" t="s">
        <v>295</v>
      </c>
      <c r="B154">
        <v>3</v>
      </c>
      <c r="C154">
        <v>5</v>
      </c>
      <c r="D154">
        <v>0</v>
      </c>
      <c r="E154" t="s">
        <v>312</v>
      </c>
      <c r="F154">
        <v>1339</v>
      </c>
      <c r="G154">
        <v>6307101.8125</v>
      </c>
      <c r="H154">
        <v>0.92105263471603394</v>
      </c>
      <c r="I154">
        <v>0.92598684210526316</v>
      </c>
      <c r="J154">
        <v>440611.1875</v>
      </c>
      <c r="K154">
        <v>2655</v>
      </c>
      <c r="L154">
        <v>2</v>
      </c>
      <c r="M154">
        <v>34</v>
      </c>
      <c r="N154">
        <v>0.92598684210526316</v>
      </c>
      <c r="O154">
        <v>301618.875</v>
      </c>
      <c r="P154">
        <v>2803</v>
      </c>
      <c r="Q154">
        <v>2</v>
      </c>
      <c r="R154">
        <v>35</v>
      </c>
      <c r="S154">
        <v>11.992905285562257</v>
      </c>
      <c r="T154">
        <v>0.97971014976501469</v>
      </c>
      <c r="W154">
        <f>Tabela7[[#This Row],[mlp_params]]</f>
        <v>2655</v>
      </c>
      <c r="X154">
        <f>Tabela7[[#This Row],[mlp_test_acc]]</f>
        <v>0.92598684210526316</v>
      </c>
      <c r="Y154">
        <f>Tabela7[[#This Row],[kan_val_acc_1]]</f>
        <v>0.97971014976501469</v>
      </c>
      <c r="Z154">
        <f>Tabela7[[#This Row],[no_steps]]</f>
        <v>11.992905285562257</v>
      </c>
    </row>
    <row r="155" spans="1:26" x14ac:dyDescent="0.25">
      <c r="A155" t="s">
        <v>295</v>
      </c>
      <c r="B155">
        <v>9</v>
      </c>
      <c r="C155">
        <v>2</v>
      </c>
      <c r="D155">
        <v>0</v>
      </c>
      <c r="E155" t="s">
        <v>298</v>
      </c>
      <c r="F155">
        <v>2037</v>
      </c>
      <c r="G155">
        <v>5667441.5</v>
      </c>
      <c r="H155">
        <v>0.90413534641265869</v>
      </c>
      <c r="I155">
        <v>0.92481203007518797</v>
      </c>
      <c r="J155">
        <v>713622.57142857148</v>
      </c>
      <c r="K155">
        <v>2655</v>
      </c>
      <c r="L155">
        <v>2</v>
      </c>
      <c r="M155">
        <v>34</v>
      </c>
      <c r="N155">
        <v>0.92481203007518797</v>
      </c>
      <c r="O155">
        <v>638158.5</v>
      </c>
      <c r="P155">
        <v>2803</v>
      </c>
      <c r="Q155">
        <v>2</v>
      </c>
      <c r="R155">
        <v>35</v>
      </c>
      <c r="S155">
        <v>11.781016724936219</v>
      </c>
      <c r="T155">
        <v>0.9598662257194519</v>
      </c>
      <c r="W155">
        <f>Tabela7[[#This Row],[mlp_params]]</f>
        <v>2655</v>
      </c>
      <c r="X155">
        <f>Tabela7[[#This Row],[mlp_test_acc]]</f>
        <v>0.92481203007518797</v>
      </c>
      <c r="Y155">
        <f>Tabela7[[#This Row],[kan_val_acc_1]]</f>
        <v>0.9598662257194519</v>
      </c>
      <c r="Z155">
        <f>Tabela7[[#This Row],[no_steps]]</f>
        <v>11.781016724936219</v>
      </c>
    </row>
    <row r="156" spans="1:26" x14ac:dyDescent="0.25">
      <c r="A156" t="s">
        <v>295</v>
      </c>
      <c r="B156">
        <v>9</v>
      </c>
      <c r="C156">
        <v>3</v>
      </c>
      <c r="D156">
        <v>0</v>
      </c>
      <c r="E156" t="s">
        <v>312</v>
      </c>
      <c r="F156">
        <v>1819</v>
      </c>
      <c r="G156">
        <v>6500564.0714285718</v>
      </c>
      <c r="H156">
        <v>0.90037594948496136</v>
      </c>
      <c r="I156">
        <v>0.92481203007518797</v>
      </c>
      <c r="J156">
        <v>770519.42857142852</v>
      </c>
      <c r="K156">
        <v>2655</v>
      </c>
      <c r="L156">
        <v>2</v>
      </c>
      <c r="M156">
        <v>34</v>
      </c>
      <c r="N156">
        <v>0.92481203007518797</v>
      </c>
      <c r="O156">
        <v>669177.85714285716</v>
      </c>
      <c r="P156">
        <v>2803</v>
      </c>
      <c r="Q156">
        <v>2</v>
      </c>
      <c r="R156">
        <v>35</v>
      </c>
      <c r="S156">
        <v>11.754789272030651</v>
      </c>
      <c r="T156">
        <v>0.98327759596017694</v>
      </c>
      <c r="W156">
        <f>Tabela7[[#This Row],[mlp_params]]</f>
        <v>2655</v>
      </c>
      <c r="X156">
        <f>Tabela7[[#This Row],[mlp_test_acc]]</f>
        <v>0.92481203007518797</v>
      </c>
      <c r="Y156">
        <f>Tabela7[[#This Row],[kan_val_acc_1]]</f>
        <v>0.98327759596017694</v>
      </c>
      <c r="Z156">
        <f>Tabela7[[#This Row],[no_steps]]</f>
        <v>11.754789272030651</v>
      </c>
    </row>
    <row r="157" spans="1:26" x14ac:dyDescent="0.25">
      <c r="A157" t="s">
        <v>295</v>
      </c>
      <c r="B157">
        <v>9</v>
      </c>
      <c r="C157">
        <v>4</v>
      </c>
      <c r="D157">
        <v>0</v>
      </c>
      <c r="E157" t="s">
        <v>299</v>
      </c>
      <c r="F157">
        <v>1747</v>
      </c>
      <c r="G157">
        <v>6643985.0740740737</v>
      </c>
      <c r="H157">
        <v>0.83235868038954564</v>
      </c>
      <c r="I157">
        <v>0.92007797270955161</v>
      </c>
      <c r="J157">
        <v>859000.07407407404</v>
      </c>
      <c r="K157">
        <v>2655</v>
      </c>
      <c r="L157">
        <v>2</v>
      </c>
      <c r="M157">
        <v>34</v>
      </c>
      <c r="N157">
        <v>0.92007797270955161</v>
      </c>
      <c r="O157">
        <v>919612.07407407404</v>
      </c>
      <c r="P157">
        <v>2803</v>
      </c>
      <c r="Q157">
        <v>2</v>
      </c>
      <c r="R157">
        <v>35</v>
      </c>
      <c r="S157">
        <v>11.723852659795721</v>
      </c>
      <c r="T157">
        <v>0.97157191313230074</v>
      </c>
      <c r="W157">
        <f>Tabela7[[#This Row],[mlp_params]]</f>
        <v>2655</v>
      </c>
      <c r="X157">
        <f>Tabela7[[#This Row],[mlp_test_acc]]</f>
        <v>0.92007797270955161</v>
      </c>
      <c r="Y157">
        <f>Tabela7[[#This Row],[kan_val_acc_1]]</f>
        <v>0.97157191313230074</v>
      </c>
      <c r="Z157">
        <f>Tabela7[[#This Row],[no_steps]]</f>
        <v>11.723852659795721</v>
      </c>
    </row>
    <row r="158" spans="1:26" x14ac:dyDescent="0.25">
      <c r="A158" t="s">
        <v>295</v>
      </c>
      <c r="B158">
        <v>9</v>
      </c>
      <c r="C158">
        <v>5</v>
      </c>
      <c r="D158">
        <v>0</v>
      </c>
      <c r="E158" t="s">
        <v>309</v>
      </c>
      <c r="F158">
        <v>1649</v>
      </c>
      <c r="G158">
        <v>7428717.2142857146</v>
      </c>
      <c r="H158">
        <v>0.77255639220987049</v>
      </c>
      <c r="I158">
        <v>0.92481203007518797</v>
      </c>
      <c r="J158">
        <v>893081.42857142852</v>
      </c>
      <c r="K158">
        <v>2655</v>
      </c>
      <c r="L158">
        <v>2</v>
      </c>
      <c r="M158">
        <v>34</v>
      </c>
      <c r="N158">
        <v>0.92105263157894735</v>
      </c>
      <c r="O158">
        <v>847330.42857142852</v>
      </c>
      <c r="P158">
        <v>2803</v>
      </c>
      <c r="Q158">
        <v>2</v>
      </c>
      <c r="R158">
        <v>35</v>
      </c>
      <c r="S158">
        <v>11.692803584491587</v>
      </c>
      <c r="T158">
        <v>0.93311037008578956</v>
      </c>
      <c r="W158">
        <f>Tabela7[[#This Row],[mlp_params]]</f>
        <v>2655</v>
      </c>
      <c r="X158">
        <f>Tabela7[[#This Row],[mlp_test_acc]]</f>
        <v>0.92481203007518797</v>
      </c>
      <c r="Y158">
        <f>Tabela7[[#This Row],[kan_val_acc_1]]</f>
        <v>0.93311037008578956</v>
      </c>
      <c r="Z158">
        <f>Tabela7[[#This Row],[no_steps]]</f>
        <v>11.692803584491587</v>
      </c>
    </row>
    <row r="159" spans="1:26" x14ac:dyDescent="0.25">
      <c r="A159" t="s">
        <v>295</v>
      </c>
      <c r="B159">
        <v>5</v>
      </c>
      <c r="C159">
        <v>4</v>
      </c>
      <c r="D159">
        <v>0</v>
      </c>
      <c r="E159" t="s">
        <v>300</v>
      </c>
      <c r="F159">
        <v>1677</v>
      </c>
      <c r="G159">
        <v>6281031.0714285718</v>
      </c>
      <c r="H159">
        <v>0.85902255347796852</v>
      </c>
      <c r="I159">
        <v>0.9285714285714286</v>
      </c>
      <c r="J159">
        <v>565083.42857142852</v>
      </c>
      <c r="K159">
        <v>2803</v>
      </c>
      <c r="L159">
        <v>2</v>
      </c>
      <c r="M159">
        <v>35</v>
      </c>
      <c r="N159">
        <v>0.92481203007518797</v>
      </c>
      <c r="O159">
        <v>384816.14285714284</v>
      </c>
      <c r="P159">
        <v>2955</v>
      </c>
      <c r="Q159">
        <v>2</v>
      </c>
      <c r="R159">
        <v>36</v>
      </c>
      <c r="S159">
        <v>11.851851851851851</v>
      </c>
      <c r="T159">
        <v>0.97324414895131039</v>
      </c>
      <c r="W159">
        <f>Tabela7[[#This Row],[mlp_params]]</f>
        <v>2803</v>
      </c>
      <c r="X159">
        <f>Tabela7[[#This Row],[mlp_test_acc]]</f>
        <v>0.9285714285714286</v>
      </c>
      <c r="Y159">
        <f>Tabela7[[#This Row],[kan_val_acc_1]]</f>
        <v>0.97324414895131039</v>
      </c>
      <c r="Z159">
        <f>Tabela7[[#This Row],[no_steps]]</f>
        <v>11.851851851851851</v>
      </c>
    </row>
    <row r="160" spans="1:26" x14ac:dyDescent="0.25">
      <c r="A160" t="s">
        <v>295</v>
      </c>
      <c r="B160">
        <v>5</v>
      </c>
      <c r="C160">
        <v>5</v>
      </c>
      <c r="D160">
        <v>0</v>
      </c>
      <c r="E160" t="s">
        <v>312</v>
      </c>
      <c r="F160">
        <v>1579</v>
      </c>
      <c r="G160">
        <v>7278287.5</v>
      </c>
      <c r="H160">
        <v>0.81203007698059082</v>
      </c>
      <c r="I160">
        <v>0.93233082706766912</v>
      </c>
      <c r="J160">
        <v>535190.14285714284</v>
      </c>
      <c r="K160">
        <v>2803</v>
      </c>
      <c r="L160">
        <v>2</v>
      </c>
      <c r="M160">
        <v>35</v>
      </c>
      <c r="N160">
        <v>0.92481203007518797</v>
      </c>
      <c r="O160">
        <v>329926.14285714284</v>
      </c>
      <c r="P160">
        <v>2955</v>
      </c>
      <c r="Q160">
        <v>2</v>
      </c>
      <c r="R160">
        <v>36</v>
      </c>
      <c r="S160">
        <v>11.820831136461679</v>
      </c>
      <c r="T160">
        <v>0.98327759596017694</v>
      </c>
      <c r="W160">
        <f>Tabela7[[#This Row],[mlp_params]]</f>
        <v>2803</v>
      </c>
      <c r="X160">
        <f>Tabela7[[#This Row],[mlp_test_acc]]</f>
        <v>0.93233082706766912</v>
      </c>
      <c r="Y160">
        <f>Tabela7[[#This Row],[kan_val_acc_1]]</f>
        <v>0.98327759596017694</v>
      </c>
      <c r="Z160">
        <f>Tabela7[[#This Row],[no_steps]]</f>
        <v>11.820831136461679</v>
      </c>
    </row>
    <row r="161" spans="1:26" x14ac:dyDescent="0.25">
      <c r="A161" t="s">
        <v>295</v>
      </c>
      <c r="B161">
        <v>3</v>
      </c>
      <c r="C161">
        <v>5</v>
      </c>
      <c r="D161">
        <v>0</v>
      </c>
      <c r="E161" t="s">
        <v>300</v>
      </c>
      <c r="F161">
        <v>1539</v>
      </c>
      <c r="G161">
        <v>8066324.5</v>
      </c>
      <c r="H161">
        <v>0.91447369381785393</v>
      </c>
      <c r="I161">
        <v>0.92598684210526316</v>
      </c>
      <c r="J161">
        <v>491874</v>
      </c>
      <c r="K161">
        <v>2955</v>
      </c>
      <c r="L161">
        <v>2</v>
      </c>
      <c r="M161">
        <v>36</v>
      </c>
      <c r="N161">
        <v>0.92763157894736836</v>
      </c>
      <c r="O161">
        <v>440189.3125</v>
      </c>
      <c r="P161">
        <v>3111</v>
      </c>
      <c r="Q161">
        <v>2</v>
      </c>
      <c r="R161">
        <v>37</v>
      </c>
      <c r="S161">
        <v>11.992505949668338</v>
      </c>
      <c r="T161">
        <v>0.97971014976501469</v>
      </c>
      <c r="W161">
        <f>Tabela7[[#This Row],[mlp_params]]</f>
        <v>2955</v>
      </c>
      <c r="X161">
        <f>Tabela7[[#This Row],[mlp_test_acc]]</f>
        <v>0.92598684210526316</v>
      </c>
      <c r="Y161">
        <f>Tabela7[[#This Row],[kan_val_acc_1]]</f>
        <v>0.97971014976501469</v>
      </c>
      <c r="Z161">
        <f>Tabela7[[#This Row],[no_steps]]</f>
        <v>11.992505949668338</v>
      </c>
    </row>
    <row r="162" spans="1:26" x14ac:dyDescent="0.25">
      <c r="A162" t="s">
        <v>295</v>
      </c>
      <c r="B162">
        <v>5</v>
      </c>
      <c r="C162">
        <v>3</v>
      </c>
      <c r="D162">
        <v>0</v>
      </c>
      <c r="E162" t="s">
        <v>301</v>
      </c>
      <c r="F162">
        <v>1871</v>
      </c>
      <c r="G162">
        <v>5532933.8125</v>
      </c>
      <c r="H162">
        <v>0.92763159424066544</v>
      </c>
      <c r="I162">
        <v>0.9375</v>
      </c>
      <c r="J162">
        <v>474185.25</v>
      </c>
      <c r="K162">
        <v>2955</v>
      </c>
      <c r="L162">
        <v>2</v>
      </c>
      <c r="M162">
        <v>36</v>
      </c>
      <c r="N162">
        <v>0.92598684210526316</v>
      </c>
      <c r="O162">
        <v>330030.25</v>
      </c>
      <c r="P162">
        <v>3111</v>
      </c>
      <c r="Q162">
        <v>2</v>
      </c>
      <c r="R162">
        <v>37</v>
      </c>
      <c r="S162">
        <v>11.889156035328753</v>
      </c>
      <c r="T162">
        <v>0.97681159973144527</v>
      </c>
      <c r="W162">
        <f>Tabela7[[#This Row],[mlp_params]]</f>
        <v>2955</v>
      </c>
      <c r="X162">
        <f>Tabela7[[#This Row],[mlp_test_acc]]</f>
        <v>0.9375</v>
      </c>
      <c r="Y162">
        <f>Tabela7[[#This Row],[kan_val_acc_1]]</f>
        <v>0.97681159973144527</v>
      </c>
      <c r="Z162">
        <f>Tabela7[[#This Row],[no_steps]]</f>
        <v>11.889156035328753</v>
      </c>
    </row>
    <row r="163" spans="1:26" x14ac:dyDescent="0.25">
      <c r="A163" t="s">
        <v>295</v>
      </c>
      <c r="B163">
        <v>5</v>
      </c>
      <c r="C163">
        <v>4</v>
      </c>
      <c r="D163">
        <v>0</v>
      </c>
      <c r="E163" t="s">
        <v>298</v>
      </c>
      <c r="F163">
        <v>1749</v>
      </c>
      <c r="G163">
        <v>8179051.6428571427</v>
      </c>
      <c r="H163">
        <v>0.82894736954144066</v>
      </c>
      <c r="I163">
        <v>0.92481203007518797</v>
      </c>
      <c r="J163">
        <v>554722.14285714284</v>
      </c>
      <c r="K163">
        <v>2955</v>
      </c>
      <c r="L163">
        <v>2</v>
      </c>
      <c r="M163">
        <v>36</v>
      </c>
      <c r="N163">
        <v>0.9229323308270676</v>
      </c>
      <c r="O163">
        <v>476765.92857142858</v>
      </c>
      <c r="P163">
        <v>3111</v>
      </c>
      <c r="Q163">
        <v>2</v>
      </c>
      <c r="R163">
        <v>37</v>
      </c>
      <c r="S163">
        <v>11.850983431837999</v>
      </c>
      <c r="T163">
        <v>0.94314381250968349</v>
      </c>
      <c r="W163">
        <f>Tabela7[[#This Row],[mlp_params]]</f>
        <v>2955</v>
      </c>
      <c r="X163">
        <f>Tabela7[[#This Row],[mlp_test_acc]]</f>
        <v>0.92481203007518797</v>
      </c>
      <c r="Y163">
        <f>Tabela7[[#This Row],[kan_val_acc_1]]</f>
        <v>0.94314381250968349</v>
      </c>
      <c r="Z163">
        <f>Tabela7[[#This Row],[no_steps]]</f>
        <v>11.850983431837999</v>
      </c>
    </row>
    <row r="164" spans="1:26" x14ac:dyDescent="0.25">
      <c r="A164" t="s">
        <v>295</v>
      </c>
      <c r="B164">
        <v>9</v>
      </c>
      <c r="C164">
        <v>3</v>
      </c>
      <c r="D164">
        <v>0</v>
      </c>
      <c r="E164" t="s">
        <v>300</v>
      </c>
      <c r="F164">
        <v>2091</v>
      </c>
      <c r="G164">
        <v>6400865.7142857146</v>
      </c>
      <c r="H164">
        <v>0.88721805385180885</v>
      </c>
      <c r="I164">
        <v>0.92105263157894735</v>
      </c>
      <c r="J164">
        <v>691749.78571428568</v>
      </c>
      <c r="K164">
        <v>2955</v>
      </c>
      <c r="L164">
        <v>2</v>
      </c>
      <c r="M164">
        <v>36</v>
      </c>
      <c r="N164">
        <v>0.92105263157894735</v>
      </c>
      <c r="O164">
        <v>631932.64285714284</v>
      </c>
      <c r="P164">
        <v>3111</v>
      </c>
      <c r="Q164">
        <v>2</v>
      </c>
      <c r="R164">
        <v>37</v>
      </c>
      <c r="S164">
        <v>11.753081807994024</v>
      </c>
      <c r="T164">
        <v>0.98327759596017694</v>
      </c>
      <c r="W164">
        <f>Tabela7[[#This Row],[mlp_params]]</f>
        <v>2955</v>
      </c>
      <c r="X164">
        <f>Tabela7[[#This Row],[mlp_test_acc]]</f>
        <v>0.92105263157894735</v>
      </c>
      <c r="Y164">
        <f>Tabela7[[#This Row],[kan_val_acc_1]]</f>
        <v>0.98327759596017694</v>
      </c>
      <c r="Z164">
        <f>Tabela7[[#This Row],[no_steps]]</f>
        <v>11.753081807994024</v>
      </c>
    </row>
    <row r="165" spans="1:26" x14ac:dyDescent="0.25">
      <c r="A165" t="s">
        <v>295</v>
      </c>
      <c r="B165">
        <v>9</v>
      </c>
      <c r="C165">
        <v>4</v>
      </c>
      <c r="D165">
        <v>0</v>
      </c>
      <c r="E165" t="s">
        <v>312</v>
      </c>
      <c r="F165">
        <v>1939</v>
      </c>
      <c r="G165">
        <v>7596454.1428571427</v>
      </c>
      <c r="H165">
        <v>0.74624060307230267</v>
      </c>
      <c r="I165">
        <v>0.91729323308270672</v>
      </c>
      <c r="J165">
        <v>1016089</v>
      </c>
      <c r="K165">
        <v>2955</v>
      </c>
      <c r="L165">
        <v>2</v>
      </c>
      <c r="M165">
        <v>36</v>
      </c>
      <c r="N165">
        <v>0.92105263157894735</v>
      </c>
      <c r="O165">
        <v>616944.85714285716</v>
      </c>
      <c r="P165">
        <v>3111</v>
      </c>
      <c r="Q165">
        <v>2</v>
      </c>
      <c r="R165">
        <v>37</v>
      </c>
      <c r="S165">
        <v>11.722460856311487</v>
      </c>
      <c r="T165">
        <v>0.89297658205032349</v>
      </c>
      <c r="W165">
        <f>Tabela7[[#This Row],[mlp_params]]</f>
        <v>2955</v>
      </c>
      <c r="X165">
        <f>Tabela7[[#This Row],[mlp_test_acc]]</f>
        <v>0.91729323308270672</v>
      </c>
      <c r="Y165">
        <f>Tabela7[[#This Row],[kan_val_acc_1]]</f>
        <v>0.89297658205032349</v>
      </c>
      <c r="Z165">
        <f>Tabela7[[#This Row],[no_steps]]</f>
        <v>11.722460856311487</v>
      </c>
    </row>
    <row r="166" spans="1:26" x14ac:dyDescent="0.25">
      <c r="A166" t="s">
        <v>295</v>
      </c>
      <c r="B166">
        <v>9</v>
      </c>
      <c r="C166">
        <v>5</v>
      </c>
      <c r="D166">
        <v>0</v>
      </c>
      <c r="E166" t="s">
        <v>299</v>
      </c>
      <c r="F166">
        <v>1855</v>
      </c>
      <c r="G166">
        <v>7765843.666666667</v>
      </c>
      <c r="H166">
        <v>0.75438596584178785</v>
      </c>
      <c r="I166">
        <v>0.92300194931773871</v>
      </c>
      <c r="J166">
        <v>954940.07407407404</v>
      </c>
      <c r="K166">
        <v>2955</v>
      </c>
      <c r="L166">
        <v>2</v>
      </c>
      <c r="M166">
        <v>36</v>
      </c>
      <c r="N166">
        <v>0.92105263157894735</v>
      </c>
      <c r="O166">
        <v>1094624.4814814816</v>
      </c>
      <c r="P166">
        <v>3111</v>
      </c>
      <c r="Q166">
        <v>2</v>
      </c>
      <c r="R166">
        <v>37</v>
      </c>
      <c r="S166">
        <v>11.689163888762044</v>
      </c>
      <c r="T166">
        <v>0.93311037237827599</v>
      </c>
      <c r="W166">
        <f>Tabela7[[#This Row],[mlp_params]]</f>
        <v>2955</v>
      </c>
      <c r="X166">
        <f>Tabela7[[#This Row],[mlp_test_acc]]</f>
        <v>0.92300194931773871</v>
      </c>
      <c r="Y166">
        <f>Tabela7[[#This Row],[kan_val_acc_1]]</f>
        <v>0.93311037237827599</v>
      </c>
      <c r="Z166">
        <f>Tabela7[[#This Row],[no_steps]]</f>
        <v>11.689163888762044</v>
      </c>
    </row>
    <row r="167" spans="1:26" x14ac:dyDescent="0.25">
      <c r="A167" t="s">
        <v>295</v>
      </c>
      <c r="B167">
        <v>3</v>
      </c>
      <c r="C167">
        <v>4</v>
      </c>
      <c r="D167">
        <v>0</v>
      </c>
      <c r="E167" t="s">
        <v>301</v>
      </c>
      <c r="F167">
        <v>1703</v>
      </c>
      <c r="G167">
        <v>6799432.5</v>
      </c>
      <c r="H167">
        <v>0.93421052768826485</v>
      </c>
      <c r="I167">
        <v>0.92598684210526316</v>
      </c>
      <c r="J167">
        <v>317709.125</v>
      </c>
      <c r="K167">
        <v>3111</v>
      </c>
      <c r="L167">
        <v>2</v>
      </c>
      <c r="M167">
        <v>37</v>
      </c>
      <c r="N167">
        <v>0.92434210526315785</v>
      </c>
      <c r="O167">
        <v>444564.25</v>
      </c>
      <c r="P167">
        <v>3271</v>
      </c>
      <c r="Q167">
        <v>2</v>
      </c>
      <c r="R167">
        <v>38</v>
      </c>
      <c r="S167">
        <v>12.031264438626213</v>
      </c>
      <c r="T167">
        <v>0.98840579986572263</v>
      </c>
      <c r="W167">
        <f>Tabela7[[#This Row],[mlp_params]]</f>
        <v>3111</v>
      </c>
      <c r="X167">
        <f>Tabela7[[#This Row],[mlp_test_acc]]</f>
        <v>0.92598684210526316</v>
      </c>
      <c r="Y167">
        <f>Tabela7[[#This Row],[kan_val_acc_1]]</f>
        <v>0.98840579986572263</v>
      </c>
      <c r="Z167">
        <f>Tabela7[[#This Row],[no_steps]]</f>
        <v>12.031264438626213</v>
      </c>
    </row>
    <row r="168" spans="1:26" x14ac:dyDescent="0.25">
      <c r="A168" t="s">
        <v>295</v>
      </c>
      <c r="B168">
        <v>3</v>
      </c>
      <c r="C168">
        <v>5</v>
      </c>
      <c r="D168">
        <v>0</v>
      </c>
      <c r="E168" t="s">
        <v>298</v>
      </c>
      <c r="F168">
        <v>1605</v>
      </c>
      <c r="G168">
        <v>6503845.0625</v>
      </c>
      <c r="H168">
        <v>0.87828947231173515</v>
      </c>
      <c r="I168">
        <v>0.92105263157894735</v>
      </c>
      <c r="J168">
        <v>511140.0625</v>
      </c>
      <c r="K168">
        <v>3111</v>
      </c>
      <c r="L168">
        <v>2</v>
      </c>
      <c r="M168">
        <v>37</v>
      </c>
      <c r="N168">
        <v>0.92598684210526316</v>
      </c>
      <c r="O168">
        <v>332976.125</v>
      </c>
      <c r="P168">
        <v>3271</v>
      </c>
      <c r="Q168">
        <v>2</v>
      </c>
      <c r="R168">
        <v>38</v>
      </c>
      <c r="S168">
        <v>11.990184669870985</v>
      </c>
      <c r="T168">
        <v>0.97391304969787595</v>
      </c>
      <c r="W168">
        <f>Tabela7[[#This Row],[mlp_params]]</f>
        <v>3111</v>
      </c>
      <c r="X168">
        <f>Tabela7[[#This Row],[mlp_test_acc]]</f>
        <v>0.92105263157894735</v>
      </c>
      <c r="Y168">
        <f>Tabela7[[#This Row],[kan_val_acc_1]]</f>
        <v>0.97391304969787595</v>
      </c>
      <c r="Z168">
        <f>Tabela7[[#This Row],[no_steps]]</f>
        <v>11.990184669870985</v>
      </c>
    </row>
    <row r="169" spans="1:26" x14ac:dyDescent="0.25">
      <c r="A169" t="s">
        <v>295</v>
      </c>
      <c r="B169">
        <v>9</v>
      </c>
      <c r="C169">
        <v>2</v>
      </c>
      <c r="D169">
        <v>0</v>
      </c>
      <c r="E169" t="s">
        <v>301</v>
      </c>
      <c r="F169">
        <v>2375</v>
      </c>
      <c r="G169">
        <v>5767514.6428571427</v>
      </c>
      <c r="H169">
        <v>0.93421054312161034</v>
      </c>
      <c r="I169">
        <v>0.92105263157894735</v>
      </c>
      <c r="J169">
        <v>886708.42857142852</v>
      </c>
      <c r="K169">
        <v>3111</v>
      </c>
      <c r="L169">
        <v>2</v>
      </c>
      <c r="M169">
        <v>37</v>
      </c>
      <c r="N169">
        <v>0.91917293233082709</v>
      </c>
      <c r="O169">
        <v>724687.35714285716</v>
      </c>
      <c r="P169">
        <v>3271</v>
      </c>
      <c r="Q169">
        <v>2</v>
      </c>
      <c r="R169">
        <v>38</v>
      </c>
      <c r="S169">
        <v>11.77908404154863</v>
      </c>
      <c r="T169">
        <v>0.94983278329555809</v>
      </c>
      <c r="W169">
        <f>Tabela7[[#This Row],[mlp_params]]</f>
        <v>3111</v>
      </c>
      <c r="X169">
        <f>Tabela7[[#This Row],[mlp_test_acc]]</f>
        <v>0.92105263157894735</v>
      </c>
      <c r="Y169">
        <f>Tabela7[[#This Row],[kan_val_acc_1]]</f>
        <v>0.94983278329555809</v>
      </c>
      <c r="Z169">
        <f>Tabela7[[#This Row],[no_steps]]</f>
        <v>11.77908404154863</v>
      </c>
    </row>
    <row r="170" spans="1:26" x14ac:dyDescent="0.25">
      <c r="A170" t="s">
        <v>295</v>
      </c>
      <c r="B170">
        <v>9</v>
      </c>
      <c r="C170">
        <v>3</v>
      </c>
      <c r="D170">
        <v>0</v>
      </c>
      <c r="E170" t="s">
        <v>298</v>
      </c>
      <c r="F170">
        <v>2181</v>
      </c>
      <c r="G170">
        <v>7311648.2142857146</v>
      </c>
      <c r="H170">
        <v>0.90225564156259808</v>
      </c>
      <c r="I170">
        <v>0.92481203007518797</v>
      </c>
      <c r="J170">
        <v>884055.85714285716</v>
      </c>
      <c r="K170">
        <v>3111</v>
      </c>
      <c r="L170">
        <v>2</v>
      </c>
      <c r="M170">
        <v>37</v>
      </c>
      <c r="N170">
        <v>0.92105263157894735</v>
      </c>
      <c r="O170">
        <v>625212.21428571432</v>
      </c>
      <c r="P170">
        <v>3271</v>
      </c>
      <c r="Q170">
        <v>2</v>
      </c>
      <c r="R170">
        <v>38</v>
      </c>
      <c r="S170">
        <v>11.7518898740084</v>
      </c>
      <c r="T170">
        <v>0.96655518733538115</v>
      </c>
      <c r="W170">
        <f>Tabela7[[#This Row],[mlp_params]]</f>
        <v>3111</v>
      </c>
      <c r="X170">
        <f>Tabela7[[#This Row],[mlp_test_acc]]</f>
        <v>0.92481203007518797</v>
      </c>
      <c r="Y170">
        <f>Tabela7[[#This Row],[kan_val_acc_1]]</f>
        <v>0.96655518733538115</v>
      </c>
      <c r="Z170">
        <f>Tabela7[[#This Row],[no_steps]]</f>
        <v>11.7518898740084</v>
      </c>
    </row>
    <row r="171" spans="1:26" x14ac:dyDescent="0.25">
      <c r="A171" t="s">
        <v>295</v>
      </c>
      <c r="B171">
        <v>5</v>
      </c>
      <c r="C171">
        <v>5</v>
      </c>
      <c r="D171">
        <v>0</v>
      </c>
      <c r="E171" t="s">
        <v>300</v>
      </c>
      <c r="F171">
        <v>1815</v>
      </c>
      <c r="G171">
        <v>7128085.6296296297</v>
      </c>
      <c r="H171">
        <v>0.83430799731501826</v>
      </c>
      <c r="I171">
        <v>0.92592592592592593</v>
      </c>
      <c r="J171">
        <v>769617.74074074079</v>
      </c>
      <c r="K171">
        <v>3271</v>
      </c>
      <c r="L171">
        <v>2</v>
      </c>
      <c r="M171">
        <v>38</v>
      </c>
      <c r="N171">
        <v>0.92007797270955161</v>
      </c>
      <c r="O171">
        <v>398502.74074074073</v>
      </c>
      <c r="P171">
        <v>3435</v>
      </c>
      <c r="Q171">
        <v>2</v>
      </c>
      <c r="R171">
        <v>39</v>
      </c>
      <c r="S171">
        <v>11.816467209191</v>
      </c>
      <c r="T171">
        <v>0.97491638935529268</v>
      </c>
      <c r="W171">
        <f>Tabela7[[#This Row],[mlp_params]]</f>
        <v>3271</v>
      </c>
      <c r="X171">
        <f>Tabela7[[#This Row],[mlp_test_acc]]</f>
        <v>0.92592592592592593</v>
      </c>
      <c r="Y171">
        <f>Tabela7[[#This Row],[kan_val_acc_1]]</f>
        <v>0.97491638935529268</v>
      </c>
      <c r="Z171">
        <f>Tabela7[[#This Row],[no_steps]]</f>
        <v>11.816467209191</v>
      </c>
    </row>
    <row r="172" spans="1:26" x14ac:dyDescent="0.25">
      <c r="A172" t="s">
        <v>295</v>
      </c>
      <c r="B172">
        <v>9</v>
      </c>
      <c r="C172">
        <v>5</v>
      </c>
      <c r="D172">
        <v>0</v>
      </c>
      <c r="E172" t="s">
        <v>312</v>
      </c>
      <c r="F172">
        <v>2059</v>
      </c>
      <c r="G172">
        <v>7054971.5714285718</v>
      </c>
      <c r="H172">
        <v>0.72368420873369488</v>
      </c>
      <c r="I172">
        <v>0.91729323308270672</v>
      </c>
      <c r="J172">
        <v>1059747</v>
      </c>
      <c r="K172">
        <v>3271</v>
      </c>
      <c r="L172">
        <v>2</v>
      </c>
      <c r="M172">
        <v>38</v>
      </c>
      <c r="N172">
        <v>0.92105263157894735</v>
      </c>
      <c r="O172">
        <v>820510.78571428568</v>
      </c>
      <c r="P172">
        <v>3435</v>
      </c>
      <c r="Q172">
        <v>2</v>
      </c>
      <c r="R172">
        <v>39</v>
      </c>
      <c r="S172">
        <v>11.686670013234153</v>
      </c>
      <c r="T172">
        <v>0.8628762501936692</v>
      </c>
      <c r="W172">
        <f>Tabela7[[#This Row],[mlp_params]]</f>
        <v>3271</v>
      </c>
      <c r="X172">
        <f>Tabela7[[#This Row],[mlp_test_acc]]</f>
        <v>0.91729323308270672</v>
      </c>
      <c r="Y172">
        <f>Tabela7[[#This Row],[kan_val_acc_1]]</f>
        <v>0.8628762501936692</v>
      </c>
      <c r="Z172">
        <f>Tabela7[[#This Row],[no_steps]]</f>
        <v>11.686670013234153</v>
      </c>
    </row>
    <row r="173" spans="1:26" x14ac:dyDescent="0.25">
      <c r="A173" t="s">
        <v>295</v>
      </c>
      <c r="B173">
        <v>5</v>
      </c>
      <c r="C173">
        <v>4</v>
      </c>
      <c r="D173">
        <v>0</v>
      </c>
      <c r="E173" t="s">
        <v>301</v>
      </c>
      <c r="F173">
        <v>2039</v>
      </c>
      <c r="G173">
        <v>7071186.8571428573</v>
      </c>
      <c r="H173">
        <v>0.87781955088887897</v>
      </c>
      <c r="I173">
        <v>0.9285714285714286</v>
      </c>
      <c r="J173">
        <v>653765.14285714284</v>
      </c>
      <c r="K173">
        <v>3435</v>
      </c>
      <c r="L173">
        <v>2</v>
      </c>
      <c r="M173">
        <v>39</v>
      </c>
      <c r="N173">
        <v>0.92105263157894735</v>
      </c>
      <c r="O173">
        <v>352804.42857142858</v>
      </c>
      <c r="P173">
        <v>3603</v>
      </c>
      <c r="Q173">
        <v>2</v>
      </c>
      <c r="R173">
        <v>40</v>
      </c>
      <c r="S173">
        <v>11.849390007745933</v>
      </c>
      <c r="T173">
        <v>0.97993311515221226</v>
      </c>
      <c r="W173">
        <f>Tabela7[[#This Row],[mlp_params]]</f>
        <v>3435</v>
      </c>
      <c r="X173">
        <f>Tabela7[[#This Row],[mlp_test_acc]]</f>
        <v>0.9285714285714286</v>
      </c>
      <c r="Y173">
        <f>Tabela7[[#This Row],[kan_val_acc_1]]</f>
        <v>0.97993311515221226</v>
      </c>
      <c r="Z173">
        <f>Tabela7[[#This Row],[no_steps]]</f>
        <v>11.849390007745933</v>
      </c>
    </row>
    <row r="174" spans="1:26" x14ac:dyDescent="0.25">
      <c r="A174" t="s">
        <v>295</v>
      </c>
      <c r="B174">
        <v>5</v>
      </c>
      <c r="C174">
        <v>5</v>
      </c>
      <c r="D174">
        <v>0</v>
      </c>
      <c r="E174" t="s">
        <v>298</v>
      </c>
      <c r="F174">
        <v>1893</v>
      </c>
      <c r="G174">
        <v>8268035.3571428573</v>
      </c>
      <c r="H174">
        <v>0.8082706715379443</v>
      </c>
      <c r="I174">
        <v>0.91917293233082709</v>
      </c>
      <c r="J174">
        <v>742172.78571428568</v>
      </c>
      <c r="K174">
        <v>3435</v>
      </c>
      <c r="L174">
        <v>2</v>
      </c>
      <c r="M174">
        <v>39</v>
      </c>
      <c r="N174">
        <v>0.91917293233082709</v>
      </c>
      <c r="O174">
        <v>375944.5</v>
      </c>
      <c r="P174">
        <v>3603</v>
      </c>
      <c r="Q174">
        <v>2</v>
      </c>
      <c r="R174">
        <v>40</v>
      </c>
      <c r="S174">
        <v>11.815059318790663</v>
      </c>
      <c r="T174">
        <v>0.96321071111238921</v>
      </c>
      <c r="W174">
        <f>Tabela7[[#This Row],[mlp_params]]</f>
        <v>3435</v>
      </c>
      <c r="X174">
        <f>Tabela7[[#This Row],[mlp_test_acc]]</f>
        <v>0.91917293233082709</v>
      </c>
      <c r="Y174">
        <f>Tabela7[[#This Row],[kan_val_acc_1]]</f>
        <v>0.96321071111238921</v>
      </c>
      <c r="Z174">
        <f>Tabela7[[#This Row],[no_steps]]</f>
        <v>11.815059318790663</v>
      </c>
    </row>
    <row r="175" spans="1:26" x14ac:dyDescent="0.25">
      <c r="A175" t="s">
        <v>295</v>
      </c>
      <c r="B175">
        <v>9</v>
      </c>
      <c r="C175">
        <v>4</v>
      </c>
      <c r="D175">
        <v>0</v>
      </c>
      <c r="E175" t="s">
        <v>300</v>
      </c>
      <c r="F175">
        <v>2229</v>
      </c>
      <c r="G175">
        <v>7473143</v>
      </c>
      <c r="H175">
        <v>0.81286550230450105</v>
      </c>
      <c r="I175">
        <v>0.92105263157894735</v>
      </c>
      <c r="J175">
        <v>994133.07407407404</v>
      </c>
      <c r="K175">
        <v>3435</v>
      </c>
      <c r="L175">
        <v>2</v>
      </c>
      <c r="M175">
        <v>39</v>
      </c>
      <c r="N175">
        <v>0.92397660818713445</v>
      </c>
      <c r="O175">
        <v>603463.8518518518</v>
      </c>
      <c r="P175">
        <v>3603</v>
      </c>
      <c r="Q175">
        <v>2</v>
      </c>
      <c r="R175">
        <v>40</v>
      </c>
      <c r="S175">
        <v>11.719162284343573</v>
      </c>
      <c r="T175">
        <v>0.96488294922388518</v>
      </c>
      <c r="W175">
        <f>Tabela7[[#This Row],[mlp_params]]</f>
        <v>3435</v>
      </c>
      <c r="X175">
        <f>Tabela7[[#This Row],[mlp_test_acc]]</f>
        <v>0.92105263157894735</v>
      </c>
      <c r="Y175">
        <f>Tabela7[[#This Row],[kan_val_acc_1]]</f>
        <v>0.96488294922388518</v>
      </c>
      <c r="Z175">
        <f>Tabela7[[#This Row],[no_steps]]</f>
        <v>11.719162284343573</v>
      </c>
    </row>
    <row r="176" spans="1:26" x14ac:dyDescent="0.25">
      <c r="A176" t="s">
        <v>295</v>
      </c>
      <c r="B176">
        <v>3</v>
      </c>
      <c r="C176">
        <v>5</v>
      </c>
      <c r="D176">
        <v>0</v>
      </c>
      <c r="E176" t="s">
        <v>301</v>
      </c>
      <c r="F176">
        <v>1871</v>
      </c>
      <c r="G176">
        <v>6732681.1875</v>
      </c>
      <c r="H176">
        <v>0.86513158679008484</v>
      </c>
      <c r="I176">
        <v>0.92105263157894735</v>
      </c>
      <c r="J176">
        <v>380690.375</v>
      </c>
      <c r="K176">
        <v>3603</v>
      </c>
      <c r="L176">
        <v>2</v>
      </c>
      <c r="M176">
        <v>40</v>
      </c>
      <c r="N176">
        <v>0.92763157894736836</v>
      </c>
      <c r="O176">
        <v>268511.5</v>
      </c>
      <c r="P176">
        <v>3775</v>
      </c>
      <c r="Q176">
        <v>2</v>
      </c>
      <c r="R176">
        <v>41</v>
      </c>
      <c r="S176">
        <v>11.98791769880188</v>
      </c>
      <c r="T176">
        <v>0.97101449966430664</v>
      </c>
      <c r="W176">
        <f>Tabela7[[#This Row],[mlp_params]]</f>
        <v>3603</v>
      </c>
      <c r="X176">
        <f>Tabela7[[#This Row],[mlp_test_acc]]</f>
        <v>0.92105263157894735</v>
      </c>
      <c r="Y176">
        <f>Tabela7[[#This Row],[kan_val_acc_1]]</f>
        <v>0.97101449966430664</v>
      </c>
      <c r="Z176">
        <f>Tabela7[[#This Row],[no_steps]]</f>
        <v>11.98791769880188</v>
      </c>
    </row>
    <row r="177" spans="1:26" x14ac:dyDescent="0.25">
      <c r="A177" t="s">
        <v>295</v>
      </c>
      <c r="B177">
        <v>9</v>
      </c>
      <c r="C177">
        <v>3</v>
      </c>
      <c r="D177">
        <v>0</v>
      </c>
      <c r="E177" t="s">
        <v>301</v>
      </c>
      <c r="F177">
        <v>2543</v>
      </c>
      <c r="G177">
        <v>6059427.8571428573</v>
      </c>
      <c r="H177">
        <v>0.90601503849029541</v>
      </c>
      <c r="I177">
        <v>0.92105263157894735</v>
      </c>
      <c r="J177">
        <v>734411.57142857148</v>
      </c>
      <c r="K177">
        <v>3603</v>
      </c>
      <c r="L177">
        <v>2</v>
      </c>
      <c r="M177">
        <v>40</v>
      </c>
      <c r="N177">
        <v>0.9229323308270676</v>
      </c>
      <c r="O177">
        <v>474819.85714285716</v>
      </c>
      <c r="P177">
        <v>3775</v>
      </c>
      <c r="Q177">
        <v>2</v>
      </c>
      <c r="R177">
        <v>41</v>
      </c>
      <c r="S177">
        <v>11.749720201454952</v>
      </c>
      <c r="T177">
        <v>0.97658862975927496</v>
      </c>
      <c r="W177">
        <f>Tabela7[[#This Row],[mlp_params]]</f>
        <v>3603</v>
      </c>
      <c r="X177">
        <f>Tabela7[[#This Row],[mlp_test_acc]]</f>
        <v>0.92105263157894735</v>
      </c>
      <c r="Y177">
        <f>Tabela7[[#This Row],[kan_val_acc_1]]</f>
        <v>0.97658862975927496</v>
      </c>
      <c r="Z177">
        <f>Tabela7[[#This Row],[no_steps]]</f>
        <v>11.749720201454952</v>
      </c>
    </row>
    <row r="178" spans="1:26" x14ac:dyDescent="0.25">
      <c r="A178" t="s">
        <v>295</v>
      </c>
      <c r="B178">
        <v>9</v>
      </c>
      <c r="C178">
        <v>4</v>
      </c>
      <c r="D178">
        <v>0</v>
      </c>
      <c r="E178" t="s">
        <v>298</v>
      </c>
      <c r="F178">
        <v>2325</v>
      </c>
      <c r="G178">
        <v>7279560.7857142854</v>
      </c>
      <c r="H178">
        <v>0.87030075703348431</v>
      </c>
      <c r="I178">
        <v>0.92857142857142849</v>
      </c>
      <c r="J178">
        <v>732388.14285714284</v>
      </c>
      <c r="K178">
        <v>3603</v>
      </c>
      <c r="L178">
        <v>2</v>
      </c>
      <c r="M178">
        <v>40</v>
      </c>
      <c r="N178">
        <v>0.93609022556390975</v>
      </c>
      <c r="O178">
        <v>511578.57142857142</v>
      </c>
      <c r="P178">
        <v>3775</v>
      </c>
      <c r="Q178">
        <v>2</v>
      </c>
      <c r="R178">
        <v>41</v>
      </c>
      <c r="S178">
        <v>11.717222939332473</v>
      </c>
      <c r="T178">
        <v>0.96321070652741647</v>
      </c>
      <c r="W178">
        <f>Tabela7[[#This Row],[mlp_params]]</f>
        <v>3603</v>
      </c>
      <c r="X178">
        <f>Tabela7[[#This Row],[mlp_test_acc]]</f>
        <v>0.92857142857142849</v>
      </c>
      <c r="Y178">
        <f>Tabela7[[#This Row],[kan_val_acc_1]]</f>
        <v>0.96321070652741647</v>
      </c>
      <c r="Z178">
        <f>Tabela7[[#This Row],[no_steps]]</f>
        <v>11.717222939332473</v>
      </c>
    </row>
    <row r="179" spans="1:26" x14ac:dyDescent="0.25">
      <c r="A179" t="s">
        <v>295</v>
      </c>
      <c r="B179">
        <v>9</v>
      </c>
      <c r="C179">
        <v>5</v>
      </c>
      <c r="D179">
        <v>0</v>
      </c>
      <c r="E179" t="s">
        <v>300</v>
      </c>
      <c r="F179">
        <v>2367</v>
      </c>
      <c r="G179">
        <v>8075951.2962962966</v>
      </c>
      <c r="H179">
        <v>0.76608187677683659</v>
      </c>
      <c r="I179">
        <v>0.91423001949317739</v>
      </c>
      <c r="J179">
        <v>857892.18518518517</v>
      </c>
      <c r="K179">
        <v>3775</v>
      </c>
      <c r="L179">
        <v>2</v>
      </c>
      <c r="M179">
        <v>41</v>
      </c>
      <c r="N179">
        <v>0.92495126705653019</v>
      </c>
      <c r="O179">
        <v>925325.74074074079</v>
      </c>
      <c r="P179">
        <v>3951</v>
      </c>
      <c r="Q179">
        <v>2</v>
      </c>
      <c r="R179">
        <v>42</v>
      </c>
      <c r="S179">
        <v>11.683272561531449</v>
      </c>
      <c r="T179">
        <v>0.93812709588270926</v>
      </c>
      <c r="W179">
        <f>Tabela7[[#This Row],[mlp_params]]</f>
        <v>3775</v>
      </c>
      <c r="X179">
        <f>Tabela7[[#This Row],[mlp_test_acc]]</f>
        <v>0.91423001949317739</v>
      </c>
      <c r="Y179">
        <f>Tabela7[[#This Row],[kan_val_acc_1]]</f>
        <v>0.93812709588270926</v>
      </c>
      <c r="Z179">
        <f>Tabela7[[#This Row],[no_steps]]</f>
        <v>11.683272561531449</v>
      </c>
    </row>
    <row r="180" spans="1:26" x14ac:dyDescent="0.25">
      <c r="A180" t="s">
        <v>295</v>
      </c>
      <c r="B180">
        <v>5</v>
      </c>
      <c r="C180">
        <v>5</v>
      </c>
      <c r="D180">
        <v>0</v>
      </c>
      <c r="E180" t="s">
        <v>301</v>
      </c>
      <c r="F180">
        <v>2207</v>
      </c>
      <c r="G180">
        <v>6730601.3571428573</v>
      </c>
      <c r="H180">
        <v>0.85902255560670582</v>
      </c>
      <c r="I180">
        <v>0.93045112781954886</v>
      </c>
      <c r="J180">
        <v>593021.28571428568</v>
      </c>
      <c r="K180">
        <v>3951</v>
      </c>
      <c r="L180">
        <v>2</v>
      </c>
      <c r="M180">
        <v>42</v>
      </c>
      <c r="N180">
        <v>0.93984962406015038</v>
      </c>
      <c r="O180">
        <v>409833.78571428574</v>
      </c>
      <c r="P180">
        <v>4131</v>
      </c>
      <c r="Q180">
        <v>2</v>
      </c>
      <c r="R180">
        <v>43</v>
      </c>
      <c r="S180">
        <v>11.812553781432259</v>
      </c>
      <c r="T180">
        <v>0.9765886343442477</v>
      </c>
      <c r="W180">
        <f>Tabela7[[#This Row],[mlp_params]]</f>
        <v>3951</v>
      </c>
      <c r="X180">
        <f>Tabela7[[#This Row],[mlp_test_acc]]</f>
        <v>0.93045112781954886</v>
      </c>
      <c r="Y180">
        <f>Tabela7[[#This Row],[kan_val_acc_1]]</f>
        <v>0.9765886343442477</v>
      </c>
      <c r="Z180">
        <f>Tabela7[[#This Row],[no_steps]]</f>
        <v>11.812553781432259</v>
      </c>
    </row>
    <row r="181" spans="1:26" x14ac:dyDescent="0.25">
      <c r="A181" t="s">
        <v>295</v>
      </c>
      <c r="B181">
        <v>9</v>
      </c>
      <c r="C181">
        <v>5</v>
      </c>
      <c r="D181">
        <v>0</v>
      </c>
      <c r="E181" t="s">
        <v>298</v>
      </c>
      <c r="F181">
        <v>2469</v>
      </c>
      <c r="G181">
        <v>8382755.5714285718</v>
      </c>
      <c r="H181">
        <v>0.74060150342328213</v>
      </c>
      <c r="I181">
        <v>0.93045112781954886</v>
      </c>
      <c r="J181">
        <v>935471.21428571432</v>
      </c>
      <c r="K181">
        <v>3951</v>
      </c>
      <c r="L181">
        <v>2</v>
      </c>
      <c r="M181">
        <v>42</v>
      </c>
      <c r="N181">
        <v>0.92105263157894735</v>
      </c>
      <c r="O181">
        <v>887412.07142857148</v>
      </c>
      <c r="P181">
        <v>4131</v>
      </c>
      <c r="Q181">
        <v>2</v>
      </c>
      <c r="R181">
        <v>43</v>
      </c>
      <c r="S181">
        <v>11.681470347089368</v>
      </c>
      <c r="T181">
        <v>0.89966555283619809</v>
      </c>
      <c r="W181">
        <f>Tabela7[[#This Row],[mlp_params]]</f>
        <v>3951</v>
      </c>
      <c r="X181">
        <f>Tabela7[[#This Row],[mlp_test_acc]]</f>
        <v>0.93045112781954886</v>
      </c>
      <c r="Y181">
        <f>Tabela7[[#This Row],[kan_val_acc_1]]</f>
        <v>0.89966555283619809</v>
      </c>
      <c r="Z181">
        <f>Tabela7[[#This Row],[no_steps]]</f>
        <v>11.681470347089368</v>
      </c>
    </row>
    <row r="182" spans="1:26" x14ac:dyDescent="0.25">
      <c r="A182" t="s">
        <v>295</v>
      </c>
      <c r="B182">
        <v>9</v>
      </c>
      <c r="C182">
        <v>4</v>
      </c>
      <c r="D182">
        <v>0</v>
      </c>
      <c r="E182" t="s">
        <v>301</v>
      </c>
      <c r="F182">
        <v>2711</v>
      </c>
      <c r="G182">
        <v>7749605.0714285718</v>
      </c>
      <c r="H182">
        <v>0.83458647131919861</v>
      </c>
      <c r="I182">
        <v>0.93233082706766912</v>
      </c>
      <c r="J182">
        <v>1135739.0714285714</v>
      </c>
      <c r="K182">
        <v>4131</v>
      </c>
      <c r="L182">
        <v>2</v>
      </c>
      <c r="M182">
        <v>43</v>
      </c>
      <c r="N182">
        <v>0.91917293233082709</v>
      </c>
      <c r="O182">
        <v>945107.07142857148</v>
      </c>
      <c r="P182">
        <v>4315</v>
      </c>
      <c r="Q182">
        <v>2</v>
      </c>
      <c r="R182">
        <v>44</v>
      </c>
      <c r="S182">
        <v>11.715654657698332</v>
      </c>
      <c r="T182">
        <v>0.94314381709465611</v>
      </c>
      <c r="W182">
        <f>Tabela7[[#This Row],[mlp_params]]</f>
        <v>4131</v>
      </c>
      <c r="X182">
        <f>Tabela7[[#This Row],[mlp_test_acc]]</f>
        <v>0.93233082706766912</v>
      </c>
      <c r="Y182">
        <f>Tabela7[[#This Row],[kan_val_acc_1]]</f>
        <v>0.94314381709465611</v>
      </c>
      <c r="Z182">
        <f>Tabela7[[#This Row],[no_steps]]</f>
        <v>11.715654657698332</v>
      </c>
    </row>
    <row r="183" spans="1:26" x14ac:dyDescent="0.25">
      <c r="A183" t="s">
        <v>295</v>
      </c>
      <c r="B183">
        <v>9</v>
      </c>
      <c r="C183">
        <v>5</v>
      </c>
      <c r="D183">
        <v>0</v>
      </c>
      <c r="E183" t="s">
        <v>301</v>
      </c>
      <c r="F183">
        <v>2879</v>
      </c>
      <c r="G183">
        <v>7433270.7142857146</v>
      </c>
      <c r="H183">
        <v>0.79699249352727619</v>
      </c>
      <c r="I183">
        <v>0.93045112781954886</v>
      </c>
      <c r="J183">
        <v>919749.07142857148</v>
      </c>
      <c r="K183">
        <v>4695</v>
      </c>
      <c r="L183">
        <v>2</v>
      </c>
      <c r="M183">
        <v>46</v>
      </c>
      <c r="N183">
        <v>0.92669172932330823</v>
      </c>
      <c r="O183">
        <v>666139.5</v>
      </c>
      <c r="P183">
        <v>4891</v>
      </c>
      <c r="Q183">
        <v>2</v>
      </c>
      <c r="R183">
        <v>47</v>
      </c>
      <c r="S183">
        <v>11.679306263656228</v>
      </c>
      <c r="T183">
        <v>0.9565217403265146</v>
      </c>
      <c r="W183">
        <f>Tabela7[[#This Row],[mlp_params]]</f>
        <v>4695</v>
      </c>
      <c r="X183">
        <f>Tabela7[[#This Row],[mlp_test_acc]]</f>
        <v>0.93045112781954886</v>
      </c>
      <c r="Y183">
        <f>Tabela7[[#This Row],[kan_val_acc_1]]</f>
        <v>0.9565217403265146</v>
      </c>
      <c r="Z183">
        <f>Tabela7[[#This Row],[no_steps]]</f>
        <v>11.679306263656228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A3885-F54C-4349-B22F-9726FCA51B77}">
  <dimension ref="A1:AF425"/>
  <sheetViews>
    <sheetView topLeftCell="L1" zoomScaleNormal="100" workbookViewId="0">
      <selection activeCell="AE1" sqref="AE1:AF421"/>
    </sheetView>
  </sheetViews>
  <sheetFormatPr defaultRowHeight="15" x14ac:dyDescent="0.25"/>
  <cols>
    <col min="1" max="1" width="15.5703125" customWidth="1"/>
    <col min="2" max="2" width="27.5703125" customWidth="1"/>
    <col min="3" max="3" width="13.28515625" customWidth="1"/>
    <col min="4" max="4" width="10.42578125" customWidth="1"/>
    <col min="5" max="5" width="12.140625" bestFit="1" customWidth="1"/>
    <col min="6" max="6" width="13.7109375" customWidth="1"/>
    <col min="7" max="7" width="20.5703125" customWidth="1"/>
    <col min="8" max="9" width="14.85546875" customWidth="1"/>
    <col min="10" max="10" width="20.5703125" customWidth="1"/>
    <col min="11" max="11" width="13.7109375" customWidth="1"/>
    <col min="12" max="12" width="15.5703125" customWidth="1"/>
    <col min="13" max="13" width="18.140625" customWidth="1"/>
    <col min="14" max="14" width="15.85546875" customWidth="1"/>
    <col min="15" max="15" width="21.5703125" customWidth="1"/>
    <col min="16" max="16" width="14.85546875" customWidth="1"/>
    <col min="17" max="17" width="12.7109375" customWidth="1"/>
    <col min="18" max="18" width="15.28515625" customWidth="1"/>
    <col min="19" max="19" width="12" bestFit="1" customWidth="1"/>
    <col min="20" max="20" width="15.5703125" customWidth="1"/>
    <col min="23" max="23" width="10" bestFit="1" customWidth="1"/>
    <col min="24" max="24" width="12" bestFit="1" customWidth="1"/>
    <col min="25" max="25" width="11.28515625" bestFit="1" customWidth="1"/>
  </cols>
  <sheetData>
    <row r="1" spans="1:32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361</v>
      </c>
      <c r="T1" s="3" t="s">
        <v>362</v>
      </c>
      <c r="W1" t="s">
        <v>363</v>
      </c>
      <c r="X1" t="s">
        <v>367</v>
      </c>
      <c r="Y1" t="s">
        <v>368</v>
      </c>
      <c r="Z1" t="s">
        <v>369</v>
      </c>
      <c r="AB1" t="str">
        <f>W1</f>
        <v>parametry</v>
      </c>
      <c r="AC1" t="s">
        <v>370</v>
      </c>
      <c r="AE1" t="s">
        <v>363</v>
      </c>
      <c r="AF1" t="s">
        <v>370</v>
      </c>
    </row>
    <row r="2" spans="1:32" hidden="1" x14ac:dyDescent="0.25">
      <c r="A2" t="s">
        <v>314</v>
      </c>
      <c r="B2">
        <v>3</v>
      </c>
      <c r="C2">
        <v>2</v>
      </c>
      <c r="D2">
        <v>0</v>
      </c>
      <c r="E2" t="s">
        <v>360</v>
      </c>
      <c r="F2">
        <v>1164</v>
      </c>
      <c r="G2">
        <v>7933622</v>
      </c>
      <c r="H2">
        <v>0.80697577340262272</v>
      </c>
      <c r="I2">
        <v>0.9028822055137844</v>
      </c>
      <c r="J2">
        <v>1083406.142857143</v>
      </c>
      <c r="K2">
        <v>1849</v>
      </c>
      <c r="L2">
        <v>2</v>
      </c>
      <c r="M2">
        <v>26</v>
      </c>
      <c r="N2">
        <v>0.92815371762740184</v>
      </c>
      <c r="O2">
        <v>1017511</v>
      </c>
      <c r="P2">
        <v>1974</v>
      </c>
      <c r="Q2">
        <v>2</v>
      </c>
      <c r="R2">
        <v>27</v>
      </c>
      <c r="S2">
        <v>11.677281412064417</v>
      </c>
      <c r="T2">
        <v>0.95751270422568691</v>
      </c>
      <c r="W2">
        <f>Tabela2[[#This Row],[mlp_params]]</f>
        <v>1849</v>
      </c>
      <c r="X2">
        <f>Tabela2[[#This Row],[kan_test_acc]]</f>
        <v>0.80697577340262272</v>
      </c>
      <c r="Y2">
        <f>Tabela2[[#This Row],[kan_val_acc_1]]</f>
        <v>0.95751270422568691</v>
      </c>
      <c r="Z2">
        <f>Tabela2[[#This Row],[no_steps]]</f>
        <v>11.677281412064417</v>
      </c>
      <c r="AB2">
        <f t="shared" ref="AB2:AB23" si="0">W2</f>
        <v>1849</v>
      </c>
      <c r="AE2">
        <v>1849</v>
      </c>
    </row>
    <row r="3" spans="1:32" hidden="1" x14ac:dyDescent="0.25">
      <c r="A3" t="s">
        <v>314</v>
      </c>
      <c r="B3">
        <v>5</v>
      </c>
      <c r="C3">
        <v>2</v>
      </c>
      <c r="D3">
        <v>0</v>
      </c>
      <c r="E3" t="s">
        <v>360</v>
      </c>
      <c r="F3">
        <v>1452</v>
      </c>
      <c r="G3">
        <v>12899540.5</v>
      </c>
      <c r="H3">
        <v>0.74814815819263458</v>
      </c>
      <c r="I3">
        <v>0.74444444444444446</v>
      </c>
      <c r="J3">
        <v>7170118.5</v>
      </c>
      <c r="K3">
        <v>2103</v>
      </c>
      <c r="L3">
        <v>2</v>
      </c>
      <c r="M3">
        <v>28</v>
      </c>
      <c r="N3">
        <v>0.65925925925925921</v>
      </c>
      <c r="O3">
        <v>6283389.5</v>
      </c>
      <c r="P3">
        <v>2236</v>
      </c>
      <c r="Q3">
        <v>2</v>
      </c>
      <c r="R3">
        <v>29</v>
      </c>
      <c r="S3">
        <v>11.678301111543618</v>
      </c>
      <c r="T3">
        <v>0.78518519401550291</v>
      </c>
      <c r="W3">
        <f>Tabela2[[#This Row],[mlp_params]]</f>
        <v>2103</v>
      </c>
      <c r="X3">
        <f>Tabela2[[#This Row],[kan_test_acc]]</f>
        <v>0.74814815819263458</v>
      </c>
      <c r="Y3">
        <f>Tabela2[[#This Row],[kan_val_acc_1]]</f>
        <v>0.78518519401550291</v>
      </c>
      <c r="Z3">
        <f>Tabela2[[#This Row],[no_steps]]</f>
        <v>11.678301111543618</v>
      </c>
      <c r="AB3">
        <f t="shared" si="0"/>
        <v>2103</v>
      </c>
      <c r="AE3">
        <v>2103</v>
      </c>
    </row>
    <row r="4" spans="1:32" hidden="1" x14ac:dyDescent="0.25">
      <c r="A4" t="s">
        <v>314</v>
      </c>
      <c r="B4">
        <v>3</v>
      </c>
      <c r="C4">
        <v>2</v>
      </c>
      <c r="D4">
        <v>0</v>
      </c>
      <c r="E4" t="s">
        <v>315</v>
      </c>
      <c r="F4">
        <v>1422</v>
      </c>
      <c r="G4">
        <v>2985941.1666666665</v>
      </c>
      <c r="H4">
        <v>0.9481481512387594</v>
      </c>
      <c r="I4">
        <v>0.6777777777777777</v>
      </c>
      <c r="J4">
        <v>219239.33333333334</v>
      </c>
      <c r="K4">
        <v>2236</v>
      </c>
      <c r="L4">
        <v>2</v>
      </c>
      <c r="M4">
        <v>29</v>
      </c>
      <c r="N4">
        <v>0.70370370370370372</v>
      </c>
      <c r="O4">
        <v>174499.33333333334</v>
      </c>
      <c r="P4">
        <v>2373</v>
      </c>
      <c r="Q4">
        <v>2</v>
      </c>
      <c r="R4">
        <v>30</v>
      </c>
      <c r="S4">
        <v>11.676687283973076</v>
      </c>
      <c r="T4">
        <v>0.92592591047286987</v>
      </c>
      <c r="W4">
        <f>Tabela2[[#This Row],[mlp_params]]</f>
        <v>2236</v>
      </c>
      <c r="X4">
        <f>Tabela2[[#This Row],[kan_test_acc]]</f>
        <v>0.9481481512387594</v>
      </c>
      <c r="Y4">
        <f>Tabela2[[#This Row],[kan_val_acc_1]]</f>
        <v>0.92592591047286987</v>
      </c>
      <c r="Z4">
        <f>Tabela2[[#This Row],[no_steps]]</f>
        <v>11.676687283973076</v>
      </c>
      <c r="AB4">
        <f t="shared" si="0"/>
        <v>2236</v>
      </c>
      <c r="AE4">
        <v>2236</v>
      </c>
    </row>
    <row r="5" spans="1:32" hidden="1" x14ac:dyDescent="0.25">
      <c r="A5" t="s">
        <v>314</v>
      </c>
      <c r="B5">
        <v>3</v>
      </c>
      <c r="C5">
        <v>3</v>
      </c>
      <c r="D5">
        <v>0</v>
      </c>
      <c r="E5" t="s">
        <v>360</v>
      </c>
      <c r="F5">
        <v>1308</v>
      </c>
      <c r="G5">
        <v>8182401</v>
      </c>
      <c r="H5">
        <v>0.91481481989224755</v>
      </c>
      <c r="I5">
        <v>0.74444444444444446</v>
      </c>
      <c r="J5">
        <v>541786.5</v>
      </c>
      <c r="K5">
        <v>2236</v>
      </c>
      <c r="L5">
        <v>2</v>
      </c>
      <c r="M5">
        <v>29</v>
      </c>
      <c r="N5">
        <v>0.68888888888888888</v>
      </c>
      <c r="O5">
        <v>446829.66666666669</v>
      </c>
      <c r="P5">
        <v>2373</v>
      </c>
      <c r="Q5">
        <v>2</v>
      </c>
      <c r="R5">
        <v>30</v>
      </c>
      <c r="S5">
        <v>11.674316252750707</v>
      </c>
      <c r="T5">
        <v>0.92592592239379878</v>
      </c>
      <c r="W5">
        <f>Tabela2[[#This Row],[mlp_params]]</f>
        <v>2236</v>
      </c>
      <c r="X5">
        <f>Tabela2[[#This Row],[kan_test_acc]]</f>
        <v>0.91481481989224755</v>
      </c>
      <c r="Y5">
        <f>Tabela2[[#This Row],[kan_val_acc_1]]</f>
        <v>0.92592592239379878</v>
      </c>
      <c r="Z5">
        <f>Tabela2[[#This Row],[no_steps]]</f>
        <v>11.674316252750707</v>
      </c>
      <c r="AB5">
        <f t="shared" si="0"/>
        <v>2236</v>
      </c>
      <c r="AE5">
        <v>2236</v>
      </c>
    </row>
    <row r="6" spans="1:32" hidden="1" x14ac:dyDescent="0.25">
      <c r="A6" t="s">
        <v>314</v>
      </c>
      <c r="B6">
        <v>5</v>
      </c>
      <c r="C6">
        <v>2</v>
      </c>
      <c r="D6">
        <v>0</v>
      </c>
      <c r="E6" t="s">
        <v>315</v>
      </c>
      <c r="F6">
        <v>1774</v>
      </c>
      <c r="G6">
        <v>2338809.6666666665</v>
      </c>
      <c r="H6">
        <v>0.9444444477558136</v>
      </c>
      <c r="I6">
        <v>0.73333333333333328</v>
      </c>
      <c r="J6">
        <v>248576.16666666666</v>
      </c>
      <c r="K6">
        <v>2514</v>
      </c>
      <c r="L6">
        <v>2</v>
      </c>
      <c r="M6">
        <v>31</v>
      </c>
      <c r="N6">
        <v>0.6518518518518519</v>
      </c>
      <c r="O6">
        <v>240874.5</v>
      </c>
      <c r="P6">
        <v>2659</v>
      </c>
      <c r="Q6">
        <v>2</v>
      </c>
      <c r="R6">
        <v>32</v>
      </c>
      <c r="S6">
        <v>11.677346824058461</v>
      </c>
      <c r="T6">
        <v>0.93333333730697632</v>
      </c>
      <c r="W6">
        <f>Tabela2[[#This Row],[mlp_params]]</f>
        <v>2514</v>
      </c>
      <c r="X6">
        <f>Tabela2[[#This Row],[kan_test_acc]]</f>
        <v>0.9444444477558136</v>
      </c>
      <c r="Y6">
        <f>Tabela2[[#This Row],[kan_val_acc_1]]</f>
        <v>0.93333333730697632</v>
      </c>
      <c r="Z6">
        <f>Tabela2[[#This Row],[no_steps]]</f>
        <v>11.677346824058461</v>
      </c>
      <c r="AB6">
        <f t="shared" si="0"/>
        <v>2514</v>
      </c>
      <c r="AE6">
        <v>2514</v>
      </c>
    </row>
    <row r="7" spans="1:32" hidden="1" x14ac:dyDescent="0.25">
      <c r="A7" t="s">
        <v>314</v>
      </c>
      <c r="B7">
        <v>5</v>
      </c>
      <c r="C7">
        <v>3</v>
      </c>
      <c r="D7">
        <v>0</v>
      </c>
      <c r="E7" t="s">
        <v>360</v>
      </c>
      <c r="F7">
        <v>1596</v>
      </c>
      <c r="G7">
        <v>13336348.333333334</v>
      </c>
      <c r="H7">
        <v>0.89259259899457299</v>
      </c>
      <c r="I7">
        <v>0.67777777777777781</v>
      </c>
      <c r="J7">
        <v>3425590.5</v>
      </c>
      <c r="K7">
        <v>2514</v>
      </c>
      <c r="L7">
        <v>2</v>
      </c>
      <c r="M7">
        <v>31</v>
      </c>
      <c r="N7">
        <v>0.70370370370370372</v>
      </c>
      <c r="O7">
        <v>2429794.3333333335</v>
      </c>
      <c r="P7">
        <v>2659</v>
      </c>
      <c r="Q7">
        <v>2</v>
      </c>
      <c r="R7">
        <v>32</v>
      </c>
      <c r="S7">
        <v>11.684028371218595</v>
      </c>
      <c r="T7">
        <v>0.89629629850387571</v>
      </c>
      <c r="W7">
        <f>Tabela2[[#This Row],[mlp_params]]</f>
        <v>2514</v>
      </c>
      <c r="X7">
        <f>Tabela2[[#This Row],[kan_test_acc]]</f>
        <v>0.89259259899457299</v>
      </c>
      <c r="Y7">
        <f>Tabela2[[#This Row],[kan_val_acc_1]]</f>
        <v>0.89629629850387571</v>
      </c>
      <c r="Z7">
        <f>Tabela2[[#This Row],[no_steps]]</f>
        <v>11.684028371218595</v>
      </c>
      <c r="AB7">
        <f t="shared" si="0"/>
        <v>2514</v>
      </c>
      <c r="AE7">
        <v>2514</v>
      </c>
    </row>
    <row r="8" spans="1:32" hidden="1" x14ac:dyDescent="0.25">
      <c r="A8" t="s">
        <v>314</v>
      </c>
      <c r="B8">
        <v>3</v>
      </c>
      <c r="C8">
        <v>2</v>
      </c>
      <c r="D8">
        <v>0</v>
      </c>
      <c r="E8" t="s">
        <v>324</v>
      </c>
      <c r="F8">
        <v>1680</v>
      </c>
      <c r="G8">
        <v>4445683</v>
      </c>
      <c r="H8">
        <v>0.90740741292635596</v>
      </c>
      <c r="I8">
        <v>0.71481481481481479</v>
      </c>
      <c r="J8">
        <v>180685</v>
      </c>
      <c r="K8">
        <v>2659</v>
      </c>
      <c r="L8">
        <v>2</v>
      </c>
      <c r="M8">
        <v>32</v>
      </c>
      <c r="N8">
        <v>0.68148148148148147</v>
      </c>
      <c r="O8">
        <v>179754.5</v>
      </c>
      <c r="P8">
        <v>2808</v>
      </c>
      <c r="Q8">
        <v>2</v>
      </c>
      <c r="R8">
        <v>33</v>
      </c>
      <c r="S8">
        <v>11.677048285896154</v>
      </c>
      <c r="T8">
        <v>0.94814815521240237</v>
      </c>
      <c r="W8">
        <f>Tabela2[[#This Row],[mlp_params]]</f>
        <v>2659</v>
      </c>
      <c r="X8">
        <f>Tabela2[[#This Row],[kan_test_acc]]</f>
        <v>0.90740741292635596</v>
      </c>
      <c r="Y8">
        <f>Tabela2[[#This Row],[kan_val_acc_1]]</f>
        <v>0.94814815521240237</v>
      </c>
      <c r="Z8">
        <f>Tabela2[[#This Row],[no_steps]]</f>
        <v>11.677048285896154</v>
      </c>
      <c r="AB8">
        <f t="shared" si="0"/>
        <v>2659</v>
      </c>
      <c r="AE8">
        <v>2659</v>
      </c>
    </row>
    <row r="9" spans="1:32" hidden="1" x14ac:dyDescent="0.25">
      <c r="A9" t="s">
        <v>314</v>
      </c>
      <c r="B9">
        <v>3</v>
      </c>
      <c r="C9">
        <v>4</v>
      </c>
      <c r="D9">
        <v>0</v>
      </c>
      <c r="E9" t="s">
        <v>360</v>
      </c>
      <c r="F9">
        <v>1452</v>
      </c>
      <c r="G9">
        <v>11550908.333333334</v>
      </c>
      <c r="H9">
        <v>0.92222222685813904</v>
      </c>
      <c r="I9">
        <v>0.67037037037037039</v>
      </c>
      <c r="J9">
        <v>1362540</v>
      </c>
      <c r="K9">
        <v>2659</v>
      </c>
      <c r="L9">
        <v>2</v>
      </c>
      <c r="M9">
        <v>32</v>
      </c>
      <c r="N9">
        <v>0.67037037037037039</v>
      </c>
      <c r="O9">
        <v>1150906.6666666667</v>
      </c>
      <c r="P9">
        <v>2808</v>
      </c>
      <c r="Q9">
        <v>2</v>
      </c>
      <c r="R9">
        <v>33</v>
      </c>
      <c r="S9">
        <v>11.676511019466986</v>
      </c>
      <c r="T9">
        <v>0.95555555820465088</v>
      </c>
      <c r="W9">
        <f>Tabela2[[#This Row],[mlp_params]]</f>
        <v>2659</v>
      </c>
      <c r="X9">
        <f>Tabela2[[#This Row],[kan_test_acc]]</f>
        <v>0.92222222685813904</v>
      </c>
      <c r="Y9">
        <f>Tabela2[[#This Row],[kan_val_acc_1]]</f>
        <v>0.95555555820465088</v>
      </c>
      <c r="Z9">
        <f>Tabela2[[#This Row],[no_steps]]</f>
        <v>11.676511019466986</v>
      </c>
      <c r="AB9">
        <f t="shared" si="0"/>
        <v>2659</v>
      </c>
      <c r="AE9">
        <v>2659</v>
      </c>
    </row>
    <row r="10" spans="1:32" hidden="1" x14ac:dyDescent="0.25">
      <c r="A10" t="s">
        <v>314</v>
      </c>
      <c r="B10">
        <v>9</v>
      </c>
      <c r="C10">
        <v>2</v>
      </c>
      <c r="D10">
        <v>0</v>
      </c>
      <c r="E10" t="s">
        <v>360</v>
      </c>
      <c r="F10">
        <v>2028</v>
      </c>
      <c r="G10">
        <v>15661643</v>
      </c>
      <c r="H10">
        <v>0.63333335022131598</v>
      </c>
      <c r="I10">
        <v>0.6962962962962963</v>
      </c>
      <c r="J10">
        <v>16953075.166666668</v>
      </c>
      <c r="K10">
        <v>2659</v>
      </c>
      <c r="L10">
        <v>2</v>
      </c>
      <c r="M10">
        <v>32</v>
      </c>
      <c r="N10">
        <v>0.67407407407407405</v>
      </c>
      <c r="O10">
        <v>18285989.666666668</v>
      </c>
      <c r="P10">
        <v>2808</v>
      </c>
      <c r="Q10">
        <v>2</v>
      </c>
      <c r="R10">
        <v>33</v>
      </c>
      <c r="S10">
        <v>11.656747176654852</v>
      </c>
      <c r="T10">
        <v>0.77037037611007686</v>
      </c>
      <c r="W10">
        <f>Tabela2[[#This Row],[mlp_params]]</f>
        <v>2659</v>
      </c>
      <c r="X10">
        <f>Tabela2[[#This Row],[kan_test_acc]]</f>
        <v>0.63333335022131598</v>
      </c>
      <c r="Y10">
        <f>Tabela2[[#This Row],[kan_val_acc_1]]</f>
        <v>0.77037037611007686</v>
      </c>
      <c r="Z10">
        <f>Tabela2[[#This Row],[no_steps]]</f>
        <v>11.656747176654852</v>
      </c>
      <c r="AB10">
        <f t="shared" si="0"/>
        <v>2659</v>
      </c>
      <c r="AE10">
        <v>2659</v>
      </c>
    </row>
    <row r="11" spans="1:32" hidden="1" x14ac:dyDescent="0.25">
      <c r="A11" t="s">
        <v>314</v>
      </c>
      <c r="B11">
        <v>3</v>
      </c>
      <c r="C11">
        <v>3</v>
      </c>
      <c r="D11">
        <v>0</v>
      </c>
      <c r="E11" t="s">
        <v>315</v>
      </c>
      <c r="F11">
        <v>1598</v>
      </c>
      <c r="G11">
        <v>3196097.1666666665</v>
      </c>
      <c r="H11">
        <v>0.93333333730697632</v>
      </c>
      <c r="I11">
        <v>0.68518518518518512</v>
      </c>
      <c r="J11">
        <v>237112.16666666666</v>
      </c>
      <c r="K11">
        <v>2808</v>
      </c>
      <c r="L11">
        <v>2</v>
      </c>
      <c r="M11">
        <v>33</v>
      </c>
      <c r="N11">
        <v>0.71851851851851856</v>
      </c>
      <c r="O11">
        <v>235476.66666666666</v>
      </c>
      <c r="P11">
        <v>2961</v>
      </c>
      <c r="Q11">
        <v>2</v>
      </c>
      <c r="R11">
        <v>34</v>
      </c>
      <c r="S11">
        <v>11.673461141292147</v>
      </c>
      <c r="T11">
        <v>0.96296296119689939</v>
      </c>
      <c r="W11">
        <f>Tabela2[[#This Row],[mlp_params]]</f>
        <v>2808</v>
      </c>
      <c r="X11">
        <f>Tabela2[[#This Row],[kan_test_acc]]</f>
        <v>0.93333333730697632</v>
      </c>
      <c r="Y11">
        <f>Tabela2[[#This Row],[kan_val_acc_1]]</f>
        <v>0.96296296119689939</v>
      </c>
      <c r="Z11">
        <f>Tabela2[[#This Row],[no_steps]]</f>
        <v>11.673461141292147</v>
      </c>
      <c r="AB11">
        <f t="shared" si="0"/>
        <v>2808</v>
      </c>
      <c r="AE11">
        <v>2808</v>
      </c>
    </row>
    <row r="12" spans="1:32" hidden="1" x14ac:dyDescent="0.25">
      <c r="A12" t="s">
        <v>314</v>
      </c>
      <c r="B12">
        <v>5</v>
      </c>
      <c r="C12">
        <v>4</v>
      </c>
      <c r="D12">
        <v>0</v>
      </c>
      <c r="E12" t="s">
        <v>360</v>
      </c>
      <c r="F12">
        <v>1740</v>
      </c>
      <c r="G12">
        <v>13602718.333333334</v>
      </c>
      <c r="H12">
        <v>0.83703704675038659</v>
      </c>
      <c r="I12">
        <v>0.68518518518518512</v>
      </c>
      <c r="J12">
        <v>3138555.3333333335</v>
      </c>
      <c r="K12">
        <v>2961</v>
      </c>
      <c r="L12">
        <v>2</v>
      </c>
      <c r="M12">
        <v>34</v>
      </c>
      <c r="N12">
        <v>0.64814814814814814</v>
      </c>
      <c r="O12">
        <v>1877957.5</v>
      </c>
      <c r="P12">
        <v>3118</v>
      </c>
      <c r="Q12">
        <v>2</v>
      </c>
      <c r="R12">
        <v>35</v>
      </c>
      <c r="S12">
        <v>11.678331715142049</v>
      </c>
      <c r="T12">
        <v>0.87407407760620115</v>
      </c>
      <c r="W12">
        <f>Tabela2[[#This Row],[mlp_params]]</f>
        <v>2961</v>
      </c>
      <c r="X12">
        <f>Tabela2[[#This Row],[kan_test_acc]]</f>
        <v>0.83703704675038659</v>
      </c>
      <c r="Y12">
        <f>Tabela2[[#This Row],[kan_val_acc_1]]</f>
        <v>0.87407407760620115</v>
      </c>
      <c r="Z12">
        <f>Tabela2[[#This Row],[no_steps]]</f>
        <v>11.678331715142049</v>
      </c>
      <c r="AB12">
        <f t="shared" si="0"/>
        <v>2961</v>
      </c>
      <c r="AE12">
        <v>2961</v>
      </c>
    </row>
    <row r="13" spans="1:32" hidden="1" x14ac:dyDescent="0.25">
      <c r="A13" t="s">
        <v>314</v>
      </c>
      <c r="B13">
        <v>3</v>
      </c>
      <c r="C13">
        <v>2</v>
      </c>
      <c r="D13">
        <v>0</v>
      </c>
      <c r="E13" t="s">
        <v>332</v>
      </c>
      <c r="F13">
        <v>1938</v>
      </c>
      <c r="G13">
        <v>2587454.5</v>
      </c>
      <c r="H13">
        <v>0.93333333730697632</v>
      </c>
      <c r="I13">
        <v>0.76296296296296295</v>
      </c>
      <c r="J13">
        <v>194307.83333333334</v>
      </c>
      <c r="K13">
        <v>3118</v>
      </c>
      <c r="L13">
        <v>2</v>
      </c>
      <c r="M13">
        <v>35</v>
      </c>
      <c r="N13">
        <v>0.66666666666666663</v>
      </c>
      <c r="O13">
        <v>191661.66666666666</v>
      </c>
      <c r="P13">
        <v>3279</v>
      </c>
      <c r="Q13">
        <v>2</v>
      </c>
      <c r="R13">
        <v>36</v>
      </c>
      <c r="S13">
        <v>11.676272727272726</v>
      </c>
      <c r="T13">
        <v>0.97777779102325435</v>
      </c>
      <c r="W13">
        <f>Tabela2[[#This Row],[mlp_params]]</f>
        <v>3118</v>
      </c>
      <c r="X13">
        <f>Tabela2[[#This Row],[kan_test_acc]]</f>
        <v>0.93333333730697632</v>
      </c>
      <c r="Y13">
        <f>Tabela2[[#This Row],[kan_val_acc_1]]</f>
        <v>0.97777779102325435</v>
      </c>
      <c r="Z13">
        <f>Tabela2[[#This Row],[no_steps]]</f>
        <v>11.676272727272726</v>
      </c>
      <c r="AB13">
        <f t="shared" si="0"/>
        <v>3118</v>
      </c>
      <c r="AE13">
        <v>3118</v>
      </c>
    </row>
    <row r="14" spans="1:32" hidden="1" x14ac:dyDescent="0.25">
      <c r="A14" t="s">
        <v>314</v>
      </c>
      <c r="B14">
        <v>3</v>
      </c>
      <c r="C14">
        <v>5</v>
      </c>
      <c r="D14">
        <v>0</v>
      </c>
      <c r="E14" t="s">
        <v>360</v>
      </c>
      <c r="F14">
        <v>1596</v>
      </c>
      <c r="G14">
        <v>12913442</v>
      </c>
      <c r="H14">
        <v>0.76666667560736335</v>
      </c>
      <c r="I14">
        <v>0.71481481481481479</v>
      </c>
      <c r="J14">
        <v>1140479.8333333333</v>
      </c>
      <c r="K14">
        <v>3118</v>
      </c>
      <c r="L14">
        <v>2</v>
      </c>
      <c r="M14">
        <v>35</v>
      </c>
      <c r="N14">
        <v>0.67037037037037028</v>
      </c>
      <c r="O14">
        <v>570368.66666666663</v>
      </c>
      <c r="P14">
        <v>3279</v>
      </c>
      <c r="Q14">
        <v>2</v>
      </c>
      <c r="R14">
        <v>36</v>
      </c>
      <c r="S14">
        <v>11.678476023647908</v>
      </c>
      <c r="T14">
        <v>0.8888888955116272</v>
      </c>
      <c r="W14">
        <f>Tabela2[[#This Row],[mlp_params]]</f>
        <v>3118</v>
      </c>
      <c r="X14">
        <f>Tabela2[[#This Row],[kan_test_acc]]</f>
        <v>0.76666667560736335</v>
      </c>
      <c r="Y14">
        <f>Tabela2[[#This Row],[kan_val_acc_1]]</f>
        <v>0.8888888955116272</v>
      </c>
      <c r="Z14">
        <f>Tabela2[[#This Row],[no_steps]]</f>
        <v>11.678476023647908</v>
      </c>
      <c r="AB14">
        <f t="shared" si="0"/>
        <v>3118</v>
      </c>
      <c r="AE14">
        <v>3118</v>
      </c>
    </row>
    <row r="15" spans="1:32" hidden="1" x14ac:dyDescent="0.25">
      <c r="A15" t="s">
        <v>314</v>
      </c>
      <c r="B15">
        <v>5</v>
      </c>
      <c r="C15">
        <v>2</v>
      </c>
      <c r="D15">
        <v>0</v>
      </c>
      <c r="E15" t="s">
        <v>324</v>
      </c>
      <c r="F15">
        <v>2096</v>
      </c>
      <c r="G15">
        <v>4285256</v>
      </c>
      <c r="H15">
        <v>0.92592593034108484</v>
      </c>
      <c r="I15">
        <v>0.7</v>
      </c>
      <c r="J15">
        <v>277564.16666666669</v>
      </c>
      <c r="K15">
        <v>3118</v>
      </c>
      <c r="L15">
        <v>2</v>
      </c>
      <c r="M15">
        <v>35</v>
      </c>
      <c r="N15">
        <v>0.74444444444444446</v>
      </c>
      <c r="O15">
        <v>245807.66666666666</v>
      </c>
      <c r="P15">
        <v>3279</v>
      </c>
      <c r="Q15">
        <v>2</v>
      </c>
      <c r="R15">
        <v>36</v>
      </c>
      <c r="S15">
        <v>11.676998227640167</v>
      </c>
      <c r="T15">
        <v>0.97777777910232544</v>
      </c>
      <c r="W15">
        <f>Tabela2[[#This Row],[mlp_params]]</f>
        <v>3118</v>
      </c>
      <c r="X15">
        <f>Tabela2[[#This Row],[kan_test_acc]]</f>
        <v>0.92592593034108484</v>
      </c>
      <c r="Y15">
        <f>Tabela2[[#This Row],[kan_val_acc_1]]</f>
        <v>0.97777777910232544</v>
      </c>
      <c r="Z15">
        <f>Tabela2[[#This Row],[no_steps]]</f>
        <v>11.676998227640167</v>
      </c>
      <c r="AB15">
        <f t="shared" si="0"/>
        <v>3118</v>
      </c>
      <c r="AE15">
        <v>3118</v>
      </c>
    </row>
    <row r="16" spans="1:32" hidden="1" x14ac:dyDescent="0.25">
      <c r="A16" t="s">
        <v>314</v>
      </c>
      <c r="B16">
        <v>5</v>
      </c>
      <c r="C16">
        <v>3</v>
      </c>
      <c r="D16">
        <v>0</v>
      </c>
      <c r="E16" t="s">
        <v>315</v>
      </c>
      <c r="F16">
        <v>1950</v>
      </c>
      <c r="G16">
        <v>2899510.6666666665</v>
      </c>
      <c r="H16">
        <v>0.91851852337519324</v>
      </c>
      <c r="I16">
        <v>0.70740740740740737</v>
      </c>
      <c r="J16">
        <v>282072.83333333331</v>
      </c>
      <c r="K16">
        <v>3118</v>
      </c>
      <c r="L16">
        <v>2</v>
      </c>
      <c r="M16">
        <v>35</v>
      </c>
      <c r="N16">
        <v>0.78888888888888886</v>
      </c>
      <c r="O16">
        <v>249700.83333333334</v>
      </c>
      <c r="P16">
        <v>3279</v>
      </c>
      <c r="Q16">
        <v>2</v>
      </c>
      <c r="R16">
        <v>36</v>
      </c>
      <c r="S16">
        <v>11.683212302434857</v>
      </c>
      <c r="T16">
        <v>0.95555555820465088</v>
      </c>
      <c r="W16">
        <f>Tabela2[[#This Row],[mlp_params]]</f>
        <v>3118</v>
      </c>
      <c r="X16">
        <f>Tabela2[[#This Row],[kan_test_acc]]</f>
        <v>0.91851852337519324</v>
      </c>
      <c r="Y16">
        <f>Tabela2[[#This Row],[kan_val_acc_1]]</f>
        <v>0.95555555820465088</v>
      </c>
      <c r="Z16">
        <f>Tabela2[[#This Row],[no_steps]]</f>
        <v>11.683212302434857</v>
      </c>
      <c r="AB16">
        <f t="shared" si="0"/>
        <v>3118</v>
      </c>
      <c r="AE16">
        <v>3118</v>
      </c>
    </row>
    <row r="17" spans="1:32" hidden="1" x14ac:dyDescent="0.25">
      <c r="A17" t="s">
        <v>314</v>
      </c>
      <c r="B17">
        <v>9</v>
      </c>
      <c r="C17">
        <v>3</v>
      </c>
      <c r="D17">
        <v>0</v>
      </c>
      <c r="E17" t="s">
        <v>360</v>
      </c>
      <c r="F17">
        <v>2172</v>
      </c>
      <c r="G17">
        <v>13490529.166666666</v>
      </c>
      <c r="H17">
        <v>0.83703704675038659</v>
      </c>
      <c r="I17">
        <v>0.70740740740740737</v>
      </c>
      <c r="J17">
        <v>2580331</v>
      </c>
      <c r="K17">
        <v>3118</v>
      </c>
      <c r="L17">
        <v>2</v>
      </c>
      <c r="M17">
        <v>35</v>
      </c>
      <c r="N17">
        <v>0.71111111111111114</v>
      </c>
      <c r="O17">
        <v>2823621.1666666665</v>
      </c>
      <c r="P17">
        <v>3279</v>
      </c>
      <c r="Q17">
        <v>2</v>
      </c>
      <c r="R17">
        <v>36</v>
      </c>
      <c r="S17">
        <v>11.639289497270431</v>
      </c>
      <c r="T17">
        <v>0.79259258508682251</v>
      </c>
      <c r="W17">
        <f>Tabela2[[#This Row],[mlp_params]]</f>
        <v>3118</v>
      </c>
      <c r="X17">
        <f>Tabela2[[#This Row],[kan_test_acc]]</f>
        <v>0.83703704675038659</v>
      </c>
      <c r="Y17">
        <f>Tabela2[[#This Row],[kan_val_acc_1]]</f>
        <v>0.79259258508682251</v>
      </c>
      <c r="Z17">
        <f>Tabela2[[#This Row],[no_steps]]</f>
        <v>11.639289497270431</v>
      </c>
      <c r="AB17">
        <f t="shared" si="0"/>
        <v>3118</v>
      </c>
      <c r="AE17">
        <v>3118</v>
      </c>
    </row>
    <row r="18" spans="1:32" hidden="1" x14ac:dyDescent="0.25">
      <c r="A18" t="s">
        <v>314</v>
      </c>
      <c r="B18">
        <v>3</v>
      </c>
      <c r="C18">
        <v>3</v>
      </c>
      <c r="D18">
        <v>0</v>
      </c>
      <c r="E18" t="s">
        <v>324</v>
      </c>
      <c r="F18">
        <v>1888</v>
      </c>
      <c r="G18">
        <v>5166722.5</v>
      </c>
      <c r="H18">
        <v>0.91111111640930176</v>
      </c>
      <c r="I18">
        <v>0.72962962962962963</v>
      </c>
      <c r="J18">
        <v>253035.33333333334</v>
      </c>
      <c r="K18">
        <v>3279</v>
      </c>
      <c r="L18">
        <v>2</v>
      </c>
      <c r="M18">
        <v>36</v>
      </c>
      <c r="N18">
        <v>0.75555555555555554</v>
      </c>
      <c r="O18">
        <v>244395.83333333334</v>
      </c>
      <c r="P18">
        <v>3444</v>
      </c>
      <c r="Q18">
        <v>2</v>
      </c>
      <c r="R18">
        <v>37</v>
      </c>
      <c r="S18">
        <v>11.67305534359711</v>
      </c>
      <c r="T18">
        <v>0.94074074029922483</v>
      </c>
      <c r="W18">
        <f>Tabela2[[#This Row],[mlp_params]]</f>
        <v>3279</v>
      </c>
      <c r="X18">
        <f>Tabela2[[#This Row],[kan_test_acc]]</f>
        <v>0.91111111640930176</v>
      </c>
      <c r="Y18">
        <f>Tabela2[[#This Row],[kan_val_acc_1]]</f>
        <v>0.94074074029922483</v>
      </c>
      <c r="Z18">
        <f>Tabela2[[#This Row],[no_steps]]</f>
        <v>11.67305534359711</v>
      </c>
      <c r="AB18">
        <f t="shared" si="0"/>
        <v>3279</v>
      </c>
      <c r="AE18">
        <v>3279</v>
      </c>
    </row>
    <row r="19" spans="1:32" hidden="1" x14ac:dyDescent="0.25">
      <c r="A19" t="s">
        <v>314</v>
      </c>
      <c r="B19">
        <v>3</v>
      </c>
      <c r="C19">
        <v>4</v>
      </c>
      <c r="D19">
        <v>0</v>
      </c>
      <c r="E19" t="s">
        <v>315</v>
      </c>
      <c r="F19">
        <v>1774</v>
      </c>
      <c r="G19">
        <v>2916793</v>
      </c>
      <c r="H19">
        <v>0.92962963382403052</v>
      </c>
      <c r="I19">
        <v>0.7592592592592593</v>
      </c>
      <c r="J19">
        <v>262931.5</v>
      </c>
      <c r="K19">
        <v>3279</v>
      </c>
      <c r="L19">
        <v>2</v>
      </c>
      <c r="M19">
        <v>36</v>
      </c>
      <c r="N19">
        <v>0.7</v>
      </c>
      <c r="O19">
        <v>282212.33333333331</v>
      </c>
      <c r="P19">
        <v>3444</v>
      </c>
      <c r="Q19">
        <v>2</v>
      </c>
      <c r="R19">
        <v>37</v>
      </c>
      <c r="S19">
        <v>11.675621758212529</v>
      </c>
      <c r="T19">
        <v>0.97777779102325435</v>
      </c>
      <c r="W19">
        <f>Tabela2[[#This Row],[mlp_params]]</f>
        <v>3279</v>
      </c>
      <c r="X19">
        <f>Tabela2[[#This Row],[kan_test_acc]]</f>
        <v>0.92962963382403052</v>
      </c>
      <c r="Y19">
        <f>Tabela2[[#This Row],[kan_val_acc_1]]</f>
        <v>0.97777779102325435</v>
      </c>
      <c r="Z19">
        <f>Tabela2[[#This Row],[no_steps]]</f>
        <v>11.675621758212529</v>
      </c>
      <c r="AB19">
        <f t="shared" si="0"/>
        <v>3279</v>
      </c>
      <c r="AE19">
        <v>3279</v>
      </c>
    </row>
    <row r="20" spans="1:32" hidden="1" x14ac:dyDescent="0.25">
      <c r="A20" t="s">
        <v>314</v>
      </c>
      <c r="B20">
        <v>9</v>
      </c>
      <c r="C20">
        <v>2</v>
      </c>
      <c r="D20">
        <v>0</v>
      </c>
      <c r="E20" t="s">
        <v>315</v>
      </c>
      <c r="F20">
        <v>2478</v>
      </c>
      <c r="G20">
        <v>6152006.333333333</v>
      </c>
      <c r="H20">
        <v>0.68518520394961036</v>
      </c>
      <c r="I20">
        <v>0.72592592592592586</v>
      </c>
      <c r="J20">
        <v>270062.83333333331</v>
      </c>
      <c r="K20">
        <v>3279</v>
      </c>
      <c r="L20">
        <v>2</v>
      </c>
      <c r="M20">
        <v>36</v>
      </c>
      <c r="N20">
        <v>0.70740740740740737</v>
      </c>
      <c r="O20">
        <v>233625.66666666666</v>
      </c>
      <c r="P20">
        <v>3444</v>
      </c>
      <c r="Q20">
        <v>2</v>
      </c>
      <c r="R20">
        <v>37</v>
      </c>
      <c r="S20">
        <v>11.657038074831053</v>
      </c>
      <c r="T20">
        <v>0.85925927162170412</v>
      </c>
      <c r="W20">
        <f>Tabela2[[#This Row],[mlp_params]]</f>
        <v>3279</v>
      </c>
      <c r="X20">
        <f>Tabela2[[#This Row],[kan_test_acc]]</f>
        <v>0.68518520394961036</v>
      </c>
      <c r="Y20">
        <f>Tabela2[[#This Row],[kan_val_acc_1]]</f>
        <v>0.85925927162170412</v>
      </c>
      <c r="Z20">
        <f>Tabela2[[#This Row],[no_steps]]</f>
        <v>11.657038074831053</v>
      </c>
      <c r="AB20">
        <f t="shared" si="0"/>
        <v>3279</v>
      </c>
      <c r="AE20">
        <v>3279</v>
      </c>
    </row>
    <row r="21" spans="1:32" hidden="1" x14ac:dyDescent="0.25">
      <c r="A21" t="s">
        <v>314</v>
      </c>
      <c r="B21">
        <v>3</v>
      </c>
      <c r="C21">
        <v>2</v>
      </c>
      <c r="D21">
        <v>0</v>
      </c>
      <c r="E21" t="s">
        <v>339</v>
      </c>
      <c r="F21">
        <v>2196</v>
      </c>
      <c r="G21">
        <v>3530282</v>
      </c>
      <c r="H21">
        <v>0.96296296517054236</v>
      </c>
      <c r="I21">
        <v>0.65925925925925921</v>
      </c>
      <c r="J21">
        <v>197801.5</v>
      </c>
      <c r="K21">
        <v>3444</v>
      </c>
      <c r="L21">
        <v>2</v>
      </c>
      <c r="M21">
        <v>37</v>
      </c>
      <c r="N21">
        <v>0.68888888888888888</v>
      </c>
      <c r="O21">
        <v>174850.33333333334</v>
      </c>
      <c r="P21">
        <v>3613</v>
      </c>
      <c r="Q21">
        <v>2</v>
      </c>
      <c r="R21">
        <v>38</v>
      </c>
      <c r="S21">
        <v>11.675679360174497</v>
      </c>
      <c r="T21">
        <v>0.97037037611007693</v>
      </c>
      <c r="W21">
        <f>Tabela2[[#This Row],[mlp_params]]</f>
        <v>3444</v>
      </c>
      <c r="X21">
        <f>Tabela2[[#This Row],[kan_test_acc]]</f>
        <v>0.96296296517054236</v>
      </c>
      <c r="Y21">
        <f>Tabela2[[#This Row],[kan_val_acc_1]]</f>
        <v>0.97037037611007693</v>
      </c>
      <c r="Z21">
        <f>Tabela2[[#This Row],[no_steps]]</f>
        <v>11.675679360174497</v>
      </c>
      <c r="AB21">
        <f t="shared" si="0"/>
        <v>3444</v>
      </c>
      <c r="AE21">
        <v>3444</v>
      </c>
    </row>
    <row r="22" spans="1:32" hidden="1" x14ac:dyDescent="0.25">
      <c r="A22" t="s">
        <v>314</v>
      </c>
      <c r="B22">
        <v>5</v>
      </c>
      <c r="C22">
        <v>5</v>
      </c>
      <c r="D22">
        <v>0</v>
      </c>
      <c r="E22" t="s">
        <v>360</v>
      </c>
      <c r="F22">
        <v>1884</v>
      </c>
      <c r="G22">
        <v>13749171</v>
      </c>
      <c r="H22">
        <v>0.64814816912015283</v>
      </c>
      <c r="I22">
        <v>0.70740740740740737</v>
      </c>
      <c r="J22">
        <v>15476083.333333334</v>
      </c>
      <c r="K22">
        <v>3444</v>
      </c>
      <c r="L22">
        <v>2</v>
      </c>
      <c r="M22">
        <v>37</v>
      </c>
      <c r="N22">
        <v>0.72222222222222221</v>
      </c>
      <c r="O22">
        <v>17693455.333333332</v>
      </c>
      <c r="P22">
        <v>3613</v>
      </c>
      <c r="Q22">
        <v>2</v>
      </c>
      <c r="R22">
        <v>38</v>
      </c>
      <c r="S22">
        <v>11.673352793994995</v>
      </c>
      <c r="T22">
        <v>0.79999998807907102</v>
      </c>
      <c r="W22">
        <f>Tabela2[[#This Row],[mlp_params]]</f>
        <v>3444</v>
      </c>
      <c r="X22">
        <f>Tabela2[[#This Row],[kan_test_acc]]</f>
        <v>0.64814816912015283</v>
      </c>
      <c r="Y22">
        <f>Tabela2[[#This Row],[kan_val_acc_1]]</f>
        <v>0.79999998807907102</v>
      </c>
      <c r="Z22">
        <f>Tabela2[[#This Row],[no_steps]]</f>
        <v>11.673352793994995</v>
      </c>
      <c r="AB22">
        <f t="shared" si="0"/>
        <v>3444</v>
      </c>
      <c r="AE22">
        <v>3444</v>
      </c>
    </row>
    <row r="23" spans="1:32" x14ac:dyDescent="0.25">
      <c r="A23" t="s">
        <v>314</v>
      </c>
      <c r="B23">
        <v>9</v>
      </c>
      <c r="C23">
        <v>4</v>
      </c>
      <c r="D23">
        <v>0</v>
      </c>
      <c r="E23" t="s">
        <v>360</v>
      </c>
      <c r="F23">
        <v>2316</v>
      </c>
      <c r="G23">
        <v>10308526.333333334</v>
      </c>
      <c r="H23">
        <v>0.68888890246550238</v>
      </c>
      <c r="I23">
        <v>0.7</v>
      </c>
      <c r="J23">
        <v>6341072.666666667</v>
      </c>
      <c r="K23">
        <v>3444</v>
      </c>
      <c r="L23">
        <v>2</v>
      </c>
      <c r="M23">
        <v>37</v>
      </c>
      <c r="N23">
        <v>0.74444444444444446</v>
      </c>
      <c r="O23">
        <v>7663184.333333333</v>
      </c>
      <c r="P23">
        <v>3613</v>
      </c>
      <c r="Q23">
        <v>2</v>
      </c>
      <c r="R23">
        <v>38</v>
      </c>
      <c r="S23">
        <v>11.626016587486916</v>
      </c>
      <c r="T23">
        <v>0.79259259700775142</v>
      </c>
      <c r="W23">
        <f>Tabela2[[#This Row],[mlp_params]]</f>
        <v>3444</v>
      </c>
      <c r="X23">
        <f>Tabela2[[#This Row],[kan_test_acc]]</f>
        <v>0.68888890246550238</v>
      </c>
      <c r="Y23">
        <f>Tabela2[[#This Row],[kan_val_acc_1]]</f>
        <v>0.79259259700775142</v>
      </c>
      <c r="Z23">
        <f>Tabela2[[#This Row],[no_steps]]</f>
        <v>11.626016587486916</v>
      </c>
      <c r="AB23">
        <f t="shared" si="0"/>
        <v>3444</v>
      </c>
      <c r="AC23">
        <f>Tabela2[[#This Row],[kan_time_difference]]/Tabela2[[#This Row],[no_steps]]</f>
        <v>886677.41489620809</v>
      </c>
      <c r="AE23">
        <v>3444</v>
      </c>
      <c r="AF23">
        <v>886677.41489620798</v>
      </c>
    </row>
    <row r="24" spans="1:32" hidden="1" x14ac:dyDescent="0.25">
      <c r="A24" t="s">
        <v>314</v>
      </c>
      <c r="B24">
        <v>5</v>
      </c>
      <c r="C24">
        <v>2</v>
      </c>
      <c r="D24">
        <v>0</v>
      </c>
      <c r="E24" t="s">
        <v>332</v>
      </c>
      <c r="F24">
        <v>2418</v>
      </c>
      <c r="G24">
        <v>5255262</v>
      </c>
      <c r="H24">
        <v>0.89259259899457299</v>
      </c>
      <c r="I24">
        <v>0.66666666666666663</v>
      </c>
      <c r="J24">
        <v>267454.83333333331</v>
      </c>
      <c r="K24">
        <v>3613</v>
      </c>
      <c r="L24">
        <v>2</v>
      </c>
      <c r="M24">
        <v>38</v>
      </c>
      <c r="N24">
        <v>0.66666666666666663</v>
      </c>
      <c r="O24">
        <v>284354</v>
      </c>
      <c r="P24">
        <v>3786</v>
      </c>
      <c r="Q24">
        <v>2</v>
      </c>
      <c r="R24">
        <v>39</v>
      </c>
      <c r="S24">
        <v>11.676952331561433</v>
      </c>
      <c r="T24">
        <v>0.97037038803100584</v>
      </c>
      <c r="W24">
        <f>Tabela2[[#This Row],[mlp_params]]</f>
        <v>3613</v>
      </c>
      <c r="X24">
        <f>Tabela2[[#This Row],[kan_test_acc]]</f>
        <v>0.89259259899457299</v>
      </c>
      <c r="Y24">
        <f>Tabela2[[#This Row],[kan_val_acc_1]]</f>
        <v>0.97037038803100584</v>
      </c>
      <c r="Z24">
        <f>Tabela2[[#This Row],[no_steps]]</f>
        <v>11.676952331561433</v>
      </c>
      <c r="AB24">
        <f t="shared" ref="AB24:AB87" si="1">W24</f>
        <v>3613</v>
      </c>
      <c r="AC24">
        <f>Tabela2[[#This Row],[kan_time_difference]]/Tabela2[[#This Row],[no_steps]]</f>
        <v>450054.24795609066</v>
      </c>
      <c r="AE24">
        <v>3613</v>
      </c>
      <c r="AF24">
        <v>450054.24795609066</v>
      </c>
    </row>
    <row r="25" spans="1:32" hidden="1" x14ac:dyDescent="0.25">
      <c r="A25" t="s">
        <v>314</v>
      </c>
      <c r="B25">
        <v>5</v>
      </c>
      <c r="C25">
        <v>3</v>
      </c>
      <c r="D25">
        <v>0</v>
      </c>
      <c r="E25" t="s">
        <v>324</v>
      </c>
      <c r="F25">
        <v>2304</v>
      </c>
      <c r="G25">
        <v>3296987</v>
      </c>
      <c r="H25">
        <v>0.92962963382403052</v>
      </c>
      <c r="I25">
        <v>0.66666666666666663</v>
      </c>
      <c r="J25">
        <v>274742.83333333331</v>
      </c>
      <c r="K25">
        <v>3613</v>
      </c>
      <c r="L25">
        <v>2</v>
      </c>
      <c r="M25">
        <v>38</v>
      </c>
      <c r="N25">
        <v>0.68888888888888888</v>
      </c>
      <c r="O25">
        <v>284896.16666666669</v>
      </c>
      <c r="P25">
        <v>3786</v>
      </c>
      <c r="Q25">
        <v>2</v>
      </c>
      <c r="R25">
        <v>39</v>
      </c>
      <c r="S25">
        <v>11.682353946019816</v>
      </c>
      <c r="T25">
        <v>0.91851851940155027</v>
      </c>
      <c r="W25">
        <f>Tabela2[[#This Row],[mlp_params]]</f>
        <v>3613</v>
      </c>
      <c r="X25">
        <f>Tabela2[[#This Row],[kan_test_acc]]</f>
        <v>0.92962963382403052</v>
      </c>
      <c r="Y25">
        <f>Tabela2[[#This Row],[kan_val_acc_1]]</f>
        <v>0.91851851940155027</v>
      </c>
      <c r="Z25">
        <f>Tabela2[[#This Row],[no_steps]]</f>
        <v>11.682353946019816</v>
      </c>
      <c r="AB25">
        <f t="shared" si="1"/>
        <v>3613</v>
      </c>
      <c r="AC25">
        <f>Tabela2[[#This Row],[kan_time_difference]]/Tabela2[[#This Row],[no_steps]]</f>
        <v>282219.40674236167</v>
      </c>
      <c r="AE25">
        <v>3613</v>
      </c>
      <c r="AF25">
        <v>282219.40674236167</v>
      </c>
    </row>
    <row r="26" spans="1:32" hidden="1" x14ac:dyDescent="0.25">
      <c r="A26" t="s">
        <v>314</v>
      </c>
      <c r="B26">
        <v>5</v>
      </c>
      <c r="C26">
        <v>4</v>
      </c>
      <c r="D26">
        <v>0</v>
      </c>
      <c r="E26" t="s">
        <v>315</v>
      </c>
      <c r="F26">
        <v>2126</v>
      </c>
      <c r="G26">
        <v>5353384.166666667</v>
      </c>
      <c r="H26">
        <v>0.85185186068216956</v>
      </c>
      <c r="I26">
        <v>0.74814814814814812</v>
      </c>
      <c r="J26">
        <v>269054.33333333331</v>
      </c>
      <c r="K26">
        <v>3613</v>
      </c>
      <c r="L26">
        <v>2</v>
      </c>
      <c r="M26">
        <v>38</v>
      </c>
      <c r="N26">
        <v>0.65555555555555556</v>
      </c>
      <c r="O26">
        <v>269510.83333333331</v>
      </c>
      <c r="P26">
        <v>3786</v>
      </c>
      <c r="Q26">
        <v>2</v>
      </c>
      <c r="R26">
        <v>39</v>
      </c>
      <c r="S26">
        <v>11.677653513399452</v>
      </c>
      <c r="T26">
        <v>0.94814815521240237</v>
      </c>
      <c r="W26">
        <f>Tabela2[[#This Row],[mlp_params]]</f>
        <v>3613</v>
      </c>
      <c r="X26">
        <f>Tabela2[[#This Row],[kan_test_acc]]</f>
        <v>0.85185186068216956</v>
      </c>
      <c r="Y26">
        <f>Tabela2[[#This Row],[kan_val_acc_1]]</f>
        <v>0.94814815521240237</v>
      </c>
      <c r="Z26">
        <f>Tabela2[[#This Row],[no_steps]]</f>
        <v>11.677653513399452</v>
      </c>
      <c r="AB26">
        <f t="shared" si="1"/>
        <v>3613</v>
      </c>
      <c r="AC26">
        <f>Tabela2[[#This Row],[kan_time_difference]]/Tabela2[[#This Row],[no_steps]]</f>
        <v>458429.78304879135</v>
      </c>
      <c r="AE26">
        <v>3613</v>
      </c>
      <c r="AF26">
        <v>458429.78304879135</v>
      </c>
    </row>
    <row r="27" spans="1:32" hidden="1" x14ac:dyDescent="0.25">
      <c r="A27" t="s">
        <v>314</v>
      </c>
      <c r="B27">
        <v>3</v>
      </c>
      <c r="C27">
        <v>3</v>
      </c>
      <c r="D27">
        <v>0</v>
      </c>
      <c r="E27" t="s">
        <v>332</v>
      </c>
      <c r="F27">
        <v>2178</v>
      </c>
      <c r="G27">
        <v>6147869.5</v>
      </c>
      <c r="H27">
        <v>0.85185186068216956</v>
      </c>
      <c r="I27">
        <v>0.78148148148148144</v>
      </c>
      <c r="J27">
        <v>294688.66666666669</v>
      </c>
      <c r="K27">
        <v>3786</v>
      </c>
      <c r="L27">
        <v>2</v>
      </c>
      <c r="M27">
        <v>39</v>
      </c>
      <c r="N27">
        <v>0.71111111111111114</v>
      </c>
      <c r="O27">
        <v>247509</v>
      </c>
      <c r="P27">
        <v>3963</v>
      </c>
      <c r="Q27">
        <v>2</v>
      </c>
      <c r="R27">
        <v>40</v>
      </c>
      <c r="S27">
        <v>11.673188243212923</v>
      </c>
      <c r="T27">
        <v>0.96296296119689939</v>
      </c>
      <c r="W27">
        <f>Tabela2[[#This Row],[mlp_params]]</f>
        <v>3786</v>
      </c>
      <c r="X27">
        <f>Tabela2[[#This Row],[kan_test_acc]]</f>
        <v>0.85185186068216956</v>
      </c>
      <c r="Y27">
        <f>Tabela2[[#This Row],[kan_val_acc_1]]</f>
        <v>0.96296296119689939</v>
      </c>
      <c r="Z27">
        <f>Tabela2[[#This Row],[no_steps]]</f>
        <v>11.673188243212923</v>
      </c>
      <c r="AB27">
        <f t="shared" si="1"/>
        <v>3786</v>
      </c>
      <c r="AC27">
        <f>Tabela2[[#This Row],[kan_time_difference]]/Tabela2[[#This Row],[no_steps]]</f>
        <v>526665.84072046657</v>
      </c>
      <c r="AE27">
        <v>3786</v>
      </c>
      <c r="AF27">
        <v>526665.84072046657</v>
      </c>
    </row>
    <row r="28" spans="1:32" hidden="1" x14ac:dyDescent="0.25">
      <c r="A28" t="s">
        <v>314</v>
      </c>
      <c r="B28">
        <v>3</v>
      </c>
      <c r="C28">
        <v>5</v>
      </c>
      <c r="D28">
        <v>0</v>
      </c>
      <c r="E28" t="s">
        <v>315</v>
      </c>
      <c r="F28">
        <v>1950</v>
      </c>
      <c r="G28">
        <v>4517295.833333333</v>
      </c>
      <c r="H28">
        <v>0.92222222685813904</v>
      </c>
      <c r="I28">
        <v>0.68888888888888888</v>
      </c>
      <c r="J28">
        <v>270153.16666666669</v>
      </c>
      <c r="K28">
        <v>3786</v>
      </c>
      <c r="L28">
        <v>2</v>
      </c>
      <c r="M28">
        <v>39</v>
      </c>
      <c r="N28">
        <v>0.68148148148148147</v>
      </c>
      <c r="O28">
        <v>278180</v>
      </c>
      <c r="P28">
        <v>3963</v>
      </c>
      <c r="Q28">
        <v>2</v>
      </c>
      <c r="R28">
        <v>40</v>
      </c>
      <c r="S28">
        <v>11.677597303095311</v>
      </c>
      <c r="T28">
        <v>0.94814815521240237</v>
      </c>
      <c r="W28">
        <f>Tabela2[[#This Row],[mlp_params]]</f>
        <v>3786</v>
      </c>
      <c r="X28">
        <f>Tabela2[[#This Row],[kan_test_acc]]</f>
        <v>0.92222222685813904</v>
      </c>
      <c r="Y28">
        <f>Tabela2[[#This Row],[kan_val_acc_1]]</f>
        <v>0.94814815521240237</v>
      </c>
      <c r="Z28">
        <f>Tabela2[[#This Row],[no_steps]]</f>
        <v>11.677597303095311</v>
      </c>
      <c r="AB28">
        <f t="shared" si="1"/>
        <v>3786</v>
      </c>
      <c r="AC28">
        <f>Tabela2[[#This Row],[kan_time_difference]]/Tabela2[[#This Row],[no_steps]]</f>
        <v>386834.35608247598</v>
      </c>
      <c r="AE28">
        <v>3786</v>
      </c>
      <c r="AF28">
        <v>386834.35608247598</v>
      </c>
    </row>
    <row r="29" spans="1:32" hidden="1" x14ac:dyDescent="0.25">
      <c r="A29" t="s">
        <v>314</v>
      </c>
      <c r="B29">
        <v>9</v>
      </c>
      <c r="C29">
        <v>3</v>
      </c>
      <c r="D29">
        <v>0</v>
      </c>
      <c r="E29" t="s">
        <v>315</v>
      </c>
      <c r="F29">
        <v>2654</v>
      </c>
      <c r="G29">
        <v>6528929.166666667</v>
      </c>
      <c r="H29">
        <v>0.86666667461395264</v>
      </c>
      <c r="I29">
        <v>0.6333333333333333</v>
      </c>
      <c r="J29">
        <v>247835.33333333334</v>
      </c>
      <c r="K29">
        <v>3786</v>
      </c>
      <c r="L29">
        <v>2</v>
      </c>
      <c r="M29">
        <v>39</v>
      </c>
      <c r="N29">
        <v>0.69259259259259254</v>
      </c>
      <c r="O29">
        <v>284126.5</v>
      </c>
      <c r="P29">
        <v>3963</v>
      </c>
      <c r="Q29">
        <v>2</v>
      </c>
      <c r="R29">
        <v>40</v>
      </c>
      <c r="S29">
        <v>11.639296187683284</v>
      </c>
      <c r="T29">
        <v>0.91111111640930176</v>
      </c>
      <c r="W29">
        <f>Tabela2[[#This Row],[mlp_params]]</f>
        <v>3786</v>
      </c>
      <c r="X29">
        <f>Tabela2[[#This Row],[kan_test_acc]]</f>
        <v>0.86666667461395264</v>
      </c>
      <c r="Y29">
        <f>Tabela2[[#This Row],[kan_val_acc_1]]</f>
        <v>0.91111111640930176</v>
      </c>
      <c r="Z29">
        <f>Tabela2[[#This Row],[no_steps]]</f>
        <v>11.639296187683284</v>
      </c>
      <c r="AB29">
        <f t="shared" si="1"/>
        <v>3786</v>
      </c>
      <c r="AC29">
        <f>Tabela2[[#This Row],[kan_time_difference]]/Tabela2[[#This Row],[no_steps]]</f>
        <v>560938.4847148736</v>
      </c>
      <c r="AE29">
        <v>3786</v>
      </c>
      <c r="AF29">
        <v>560938.4847148736</v>
      </c>
    </row>
    <row r="30" spans="1:32" hidden="1" x14ac:dyDescent="0.25">
      <c r="A30" t="s">
        <v>314</v>
      </c>
      <c r="B30">
        <v>3</v>
      </c>
      <c r="C30">
        <v>2</v>
      </c>
      <c r="D30">
        <v>0</v>
      </c>
      <c r="E30" t="s">
        <v>348</v>
      </c>
      <c r="F30">
        <v>2454</v>
      </c>
      <c r="G30">
        <v>2320719</v>
      </c>
      <c r="H30">
        <v>0.9407407442728678</v>
      </c>
      <c r="I30">
        <v>0.59259259259259256</v>
      </c>
      <c r="J30">
        <v>184668.16666666666</v>
      </c>
      <c r="K30">
        <v>3963</v>
      </c>
      <c r="L30">
        <v>2</v>
      </c>
      <c r="M30">
        <v>40</v>
      </c>
      <c r="N30">
        <v>0.7407407407407407</v>
      </c>
      <c r="O30">
        <v>190337</v>
      </c>
      <c r="P30">
        <v>4144</v>
      </c>
      <c r="Q30">
        <v>2</v>
      </c>
      <c r="R30">
        <v>41</v>
      </c>
      <c r="S30">
        <v>11.674722878429947</v>
      </c>
      <c r="T30">
        <v>0.97037037611007693</v>
      </c>
      <c r="W30">
        <f>Tabela2[[#This Row],[mlp_params]]</f>
        <v>3963</v>
      </c>
      <c r="X30">
        <f>Tabela2[[#This Row],[kan_test_acc]]</f>
        <v>0.9407407442728678</v>
      </c>
      <c r="Y30">
        <f>Tabela2[[#This Row],[kan_val_acc_1]]</f>
        <v>0.97037037611007693</v>
      </c>
      <c r="Z30">
        <f>Tabela2[[#This Row],[no_steps]]</f>
        <v>11.674722878429947</v>
      </c>
      <c r="AB30">
        <f t="shared" si="1"/>
        <v>3963</v>
      </c>
      <c r="AC30">
        <f>Tabela2[[#This Row],[kan_time_difference]]/Tabela2[[#This Row],[no_steps]]</f>
        <v>198781.50635058995</v>
      </c>
      <c r="AE30">
        <v>3963</v>
      </c>
      <c r="AF30">
        <v>198781.50635058995</v>
      </c>
    </row>
    <row r="31" spans="1:32" hidden="1" x14ac:dyDescent="0.25">
      <c r="A31" t="s">
        <v>314</v>
      </c>
      <c r="B31">
        <v>3</v>
      </c>
      <c r="C31">
        <v>4</v>
      </c>
      <c r="D31">
        <v>0</v>
      </c>
      <c r="E31" t="s">
        <v>324</v>
      </c>
      <c r="F31">
        <v>2096</v>
      </c>
      <c r="G31">
        <v>5674666</v>
      </c>
      <c r="H31">
        <v>0.83703704675038659</v>
      </c>
      <c r="I31">
        <v>0.74444444444444446</v>
      </c>
      <c r="J31">
        <v>286125.66666666669</v>
      </c>
      <c r="K31">
        <v>3963</v>
      </c>
      <c r="L31">
        <v>2</v>
      </c>
      <c r="M31">
        <v>40</v>
      </c>
      <c r="N31">
        <v>0.70370370370370372</v>
      </c>
      <c r="O31">
        <v>281193.66666666669</v>
      </c>
      <c r="P31">
        <v>4144</v>
      </c>
      <c r="Q31">
        <v>2</v>
      </c>
      <c r="R31">
        <v>41</v>
      </c>
      <c r="S31">
        <v>11.675131853033728</v>
      </c>
      <c r="T31">
        <v>0.90370371341705324</v>
      </c>
      <c r="W31">
        <f>Tabela2[[#This Row],[mlp_params]]</f>
        <v>3963</v>
      </c>
      <c r="X31">
        <f>Tabela2[[#This Row],[kan_test_acc]]</f>
        <v>0.83703704675038659</v>
      </c>
      <c r="Y31">
        <f>Tabela2[[#This Row],[kan_val_acc_1]]</f>
        <v>0.90370371341705324</v>
      </c>
      <c r="Z31">
        <f>Tabela2[[#This Row],[no_steps]]</f>
        <v>11.675131853033728</v>
      </c>
      <c r="AB31">
        <f t="shared" si="1"/>
        <v>3963</v>
      </c>
      <c r="AC31">
        <f>Tabela2[[#This Row],[kan_time_difference]]/Tabela2[[#This Row],[no_steps]]</f>
        <v>486047.27307858755</v>
      </c>
      <c r="AE31">
        <v>3963</v>
      </c>
      <c r="AF31">
        <v>486047.27307858755</v>
      </c>
    </row>
    <row r="32" spans="1:32" hidden="1" x14ac:dyDescent="0.25">
      <c r="A32" t="s">
        <v>314</v>
      </c>
      <c r="B32">
        <v>5</v>
      </c>
      <c r="C32">
        <v>2</v>
      </c>
      <c r="D32">
        <v>0</v>
      </c>
      <c r="E32" t="s">
        <v>339</v>
      </c>
      <c r="F32">
        <v>2740</v>
      </c>
      <c r="G32">
        <v>2925456.6666666665</v>
      </c>
      <c r="H32">
        <v>0.91481481989224755</v>
      </c>
      <c r="I32">
        <v>0.61111111111111105</v>
      </c>
      <c r="J32">
        <v>277764.16666666669</v>
      </c>
      <c r="K32">
        <v>3963</v>
      </c>
      <c r="L32">
        <v>2</v>
      </c>
      <c r="M32">
        <v>40</v>
      </c>
      <c r="N32">
        <v>0.68518518518518512</v>
      </c>
      <c r="O32">
        <v>304644.83333333331</v>
      </c>
      <c r="P32">
        <v>4144</v>
      </c>
      <c r="Q32">
        <v>2</v>
      </c>
      <c r="R32">
        <v>41</v>
      </c>
      <c r="S32">
        <v>11.67604234175848</v>
      </c>
      <c r="T32">
        <v>0.96296298503875732</v>
      </c>
      <c r="W32">
        <f>Tabela2[[#This Row],[mlp_params]]</f>
        <v>3963</v>
      </c>
      <c r="X32">
        <f>Tabela2[[#This Row],[kan_test_acc]]</f>
        <v>0.91481481989224755</v>
      </c>
      <c r="Y32">
        <f>Tabela2[[#This Row],[kan_val_acc_1]]</f>
        <v>0.96296298503875732</v>
      </c>
      <c r="Z32">
        <f>Tabela2[[#This Row],[no_steps]]</f>
        <v>11.67604234175848</v>
      </c>
      <c r="AB32">
        <f t="shared" si="1"/>
        <v>3963</v>
      </c>
      <c r="AC32">
        <f>Tabela2[[#This Row],[kan_time_difference]]/Tabela2[[#This Row],[no_steps]]</f>
        <v>250552.07758231508</v>
      </c>
      <c r="AE32">
        <v>3963</v>
      </c>
      <c r="AF32">
        <v>250552.07758231508</v>
      </c>
    </row>
    <row r="33" spans="1:32" hidden="1" x14ac:dyDescent="0.25">
      <c r="A33" t="s">
        <v>314</v>
      </c>
      <c r="B33">
        <v>9</v>
      </c>
      <c r="C33">
        <v>2</v>
      </c>
      <c r="D33">
        <v>0</v>
      </c>
      <c r="E33" t="s">
        <v>324</v>
      </c>
      <c r="F33">
        <v>2928</v>
      </c>
      <c r="G33">
        <v>3124115.6666666665</v>
      </c>
      <c r="H33">
        <v>0.92222222685813904</v>
      </c>
      <c r="I33">
        <v>0.78888888888888886</v>
      </c>
      <c r="J33">
        <v>275709.5</v>
      </c>
      <c r="K33">
        <v>3963</v>
      </c>
      <c r="L33">
        <v>2</v>
      </c>
      <c r="M33">
        <v>40</v>
      </c>
      <c r="N33">
        <v>0.6518518518518519</v>
      </c>
      <c r="O33">
        <v>251205</v>
      </c>
      <c r="P33">
        <v>4144</v>
      </c>
      <c r="Q33">
        <v>2</v>
      </c>
      <c r="R33">
        <v>41</v>
      </c>
      <c r="S33">
        <v>11.656381313339375</v>
      </c>
      <c r="T33">
        <v>0.91111111640930176</v>
      </c>
      <c r="W33">
        <f>Tabela2[[#This Row],[mlp_params]]</f>
        <v>3963</v>
      </c>
      <c r="X33">
        <f>Tabela2[[#This Row],[kan_test_acc]]</f>
        <v>0.92222222685813904</v>
      </c>
      <c r="Y33">
        <f>Tabela2[[#This Row],[kan_val_acc_1]]</f>
        <v>0.91111111640930176</v>
      </c>
      <c r="Z33">
        <f>Tabela2[[#This Row],[no_steps]]</f>
        <v>11.656381313339375</v>
      </c>
      <c r="AB33">
        <f t="shared" si="1"/>
        <v>3963</v>
      </c>
      <c r="AC33">
        <f>Tabela2[[#This Row],[kan_time_difference]]/Tabela2[[#This Row],[no_steps]]</f>
        <v>268017.62765700527</v>
      </c>
      <c r="AE33">
        <v>3963</v>
      </c>
      <c r="AF33">
        <v>268017.62765700527</v>
      </c>
    </row>
    <row r="34" spans="1:32" hidden="1" x14ac:dyDescent="0.25">
      <c r="A34" t="s">
        <v>314</v>
      </c>
      <c r="B34">
        <v>9</v>
      </c>
      <c r="C34">
        <v>5</v>
      </c>
      <c r="D34">
        <v>0</v>
      </c>
      <c r="E34" t="s">
        <v>360</v>
      </c>
      <c r="F34">
        <v>2460</v>
      </c>
      <c r="G34">
        <v>8952293.166666666</v>
      </c>
      <c r="H34">
        <v>0.4888888994852702</v>
      </c>
      <c r="I34">
        <v>0.65925925925925921</v>
      </c>
      <c r="J34">
        <v>6620792.5</v>
      </c>
      <c r="K34">
        <v>3963</v>
      </c>
      <c r="L34">
        <v>2</v>
      </c>
      <c r="M34">
        <v>40</v>
      </c>
      <c r="N34">
        <v>0.71851851851851856</v>
      </c>
      <c r="O34">
        <v>5765477.333333333</v>
      </c>
      <c r="P34">
        <v>4144</v>
      </c>
      <c r="Q34">
        <v>2</v>
      </c>
      <c r="R34">
        <v>41</v>
      </c>
      <c r="S34">
        <v>11.590999285657592</v>
      </c>
      <c r="T34">
        <v>0.85185188055038452</v>
      </c>
      <c r="W34">
        <f>Tabela2[[#This Row],[mlp_params]]</f>
        <v>3963</v>
      </c>
      <c r="X34">
        <f>Tabela2[[#This Row],[kan_test_acc]]</f>
        <v>0.4888888994852702</v>
      </c>
      <c r="Y34">
        <f>Tabela2[[#This Row],[kan_val_acc_1]]</f>
        <v>0.85185188055038452</v>
      </c>
      <c r="Z34">
        <f>Tabela2[[#This Row],[no_steps]]</f>
        <v>11.590999285657592</v>
      </c>
      <c r="AB34">
        <f t="shared" si="1"/>
        <v>3963</v>
      </c>
      <c r="AC34">
        <f>Tabela2[[#This Row],[kan_time_difference]]/Tabela2[[#This Row],[no_steps]]</f>
        <v>772348.69453783904</v>
      </c>
      <c r="AE34">
        <v>3963</v>
      </c>
      <c r="AF34">
        <v>772348.69453783904</v>
      </c>
    </row>
    <row r="35" spans="1:32" hidden="1" x14ac:dyDescent="0.25">
      <c r="A35" t="s">
        <v>314</v>
      </c>
      <c r="B35">
        <v>5</v>
      </c>
      <c r="C35">
        <v>5</v>
      </c>
      <c r="D35">
        <v>0</v>
      </c>
      <c r="E35" t="s">
        <v>315</v>
      </c>
      <c r="F35">
        <v>2302</v>
      </c>
      <c r="G35">
        <v>5567240.333333333</v>
      </c>
      <c r="H35">
        <v>0.87777778506278992</v>
      </c>
      <c r="I35">
        <v>0.65555555555555556</v>
      </c>
      <c r="J35">
        <v>268016.16666666669</v>
      </c>
      <c r="K35">
        <v>4144</v>
      </c>
      <c r="L35">
        <v>2</v>
      </c>
      <c r="M35">
        <v>41</v>
      </c>
      <c r="N35">
        <v>0.70370370370370372</v>
      </c>
      <c r="O35">
        <v>280435</v>
      </c>
      <c r="P35">
        <v>4329</v>
      </c>
      <c r="Q35">
        <v>2</v>
      </c>
      <c r="R35">
        <v>42</v>
      </c>
      <c r="S35">
        <v>11.672850829650629</v>
      </c>
      <c r="T35">
        <v>0.93333333730697632</v>
      </c>
      <c r="W35">
        <f>Tabela2[[#This Row],[mlp_params]]</f>
        <v>4144</v>
      </c>
      <c r="X35">
        <f>Tabela2[[#This Row],[kan_test_acc]]</f>
        <v>0.87777778506278992</v>
      </c>
      <c r="Y35">
        <f>Tabela2[[#This Row],[kan_val_acc_1]]</f>
        <v>0.93333333730697632</v>
      </c>
      <c r="Z35">
        <f>Tabela2[[#This Row],[no_steps]]</f>
        <v>11.672850829650629</v>
      </c>
      <c r="AB35">
        <f t="shared" si="1"/>
        <v>4144</v>
      </c>
      <c r="AC35">
        <f>Tabela2[[#This Row],[kan_time_difference]]/Tabela2[[#This Row],[no_steps]]</f>
        <v>476939.21686995134</v>
      </c>
      <c r="AE35">
        <v>4144</v>
      </c>
      <c r="AF35">
        <v>476939.21686995134</v>
      </c>
    </row>
    <row r="36" spans="1:32" hidden="1" x14ac:dyDescent="0.25">
      <c r="A36" t="s">
        <v>314</v>
      </c>
      <c r="B36">
        <v>3</v>
      </c>
      <c r="C36">
        <v>2</v>
      </c>
      <c r="D36">
        <v>0</v>
      </c>
      <c r="E36" t="s">
        <v>356</v>
      </c>
      <c r="F36">
        <v>2712</v>
      </c>
      <c r="G36">
        <v>3664624.8333333335</v>
      </c>
      <c r="H36">
        <v>0.91481481989224755</v>
      </c>
      <c r="I36">
        <v>0.70370370370370372</v>
      </c>
      <c r="J36">
        <v>209242</v>
      </c>
      <c r="K36">
        <v>4329</v>
      </c>
      <c r="L36">
        <v>2</v>
      </c>
      <c r="M36">
        <v>42</v>
      </c>
      <c r="N36">
        <v>0.68148148148148147</v>
      </c>
      <c r="O36">
        <v>187448.66666666666</v>
      </c>
      <c r="P36">
        <v>4518</v>
      </c>
      <c r="Q36">
        <v>2</v>
      </c>
      <c r="R36">
        <v>43</v>
      </c>
      <c r="S36">
        <v>11.674402761377054</v>
      </c>
      <c r="T36">
        <v>0.97037037611007693</v>
      </c>
      <c r="W36">
        <f>Tabela2[[#This Row],[mlp_params]]</f>
        <v>4329</v>
      </c>
      <c r="X36">
        <f>Tabela2[[#This Row],[kan_test_acc]]</f>
        <v>0.91481481989224755</v>
      </c>
      <c r="Y36">
        <f>Tabela2[[#This Row],[kan_val_acc_1]]</f>
        <v>0.97037037611007693</v>
      </c>
      <c r="Z36">
        <f>Tabela2[[#This Row],[no_steps]]</f>
        <v>11.674402761377054</v>
      </c>
      <c r="AB36">
        <f t="shared" si="1"/>
        <v>4329</v>
      </c>
      <c r="AC36">
        <f>Tabela2[[#This Row],[kan_time_difference]]/Tabela2[[#This Row],[no_steps]]</f>
        <v>313902.55315305502</v>
      </c>
      <c r="AE36">
        <v>4329</v>
      </c>
      <c r="AF36">
        <v>313902.55315305502</v>
      </c>
    </row>
    <row r="37" spans="1:32" hidden="1" x14ac:dyDescent="0.25">
      <c r="A37" t="s">
        <v>314</v>
      </c>
      <c r="B37">
        <v>3</v>
      </c>
      <c r="C37">
        <v>3</v>
      </c>
      <c r="D37">
        <v>0</v>
      </c>
      <c r="E37" t="s">
        <v>339</v>
      </c>
      <c r="F37">
        <v>2468</v>
      </c>
      <c r="G37">
        <v>6987112.833333333</v>
      </c>
      <c r="H37">
        <v>0.91851852337519324</v>
      </c>
      <c r="I37">
        <v>0.67407407407407405</v>
      </c>
      <c r="J37">
        <v>296793</v>
      </c>
      <c r="K37">
        <v>4329</v>
      </c>
      <c r="L37">
        <v>2</v>
      </c>
      <c r="M37">
        <v>42</v>
      </c>
      <c r="N37">
        <v>0.6518518518518519</v>
      </c>
      <c r="O37">
        <v>221985.83333333334</v>
      </c>
      <c r="P37">
        <v>4518</v>
      </c>
      <c r="Q37">
        <v>2</v>
      </c>
      <c r="R37">
        <v>43</v>
      </c>
      <c r="S37">
        <v>11.673545377058005</v>
      </c>
      <c r="T37">
        <v>0.96296297311782841</v>
      </c>
      <c r="W37">
        <f>Tabela2[[#This Row],[mlp_params]]</f>
        <v>4329</v>
      </c>
      <c r="X37">
        <f>Tabela2[[#This Row],[kan_test_acc]]</f>
        <v>0.91851852337519324</v>
      </c>
      <c r="Y37">
        <f>Tabela2[[#This Row],[kan_val_acc_1]]</f>
        <v>0.96296297311782841</v>
      </c>
      <c r="Z37">
        <f>Tabela2[[#This Row],[no_steps]]</f>
        <v>11.673545377058005</v>
      </c>
      <c r="AB37">
        <f t="shared" si="1"/>
        <v>4329</v>
      </c>
      <c r="AC37">
        <f>Tabela2[[#This Row],[kan_time_difference]]/Tabela2[[#This Row],[no_steps]]</f>
        <v>598542.48282317829</v>
      </c>
      <c r="AE37">
        <v>4329</v>
      </c>
      <c r="AF37">
        <v>598542.48282317829</v>
      </c>
    </row>
    <row r="38" spans="1:32" hidden="1" x14ac:dyDescent="0.25">
      <c r="A38" t="s">
        <v>314</v>
      </c>
      <c r="B38">
        <v>5</v>
      </c>
      <c r="C38">
        <v>3</v>
      </c>
      <c r="D38">
        <v>0</v>
      </c>
      <c r="E38" t="s">
        <v>332</v>
      </c>
      <c r="F38">
        <v>2658</v>
      </c>
      <c r="G38">
        <v>4622116.333333333</v>
      </c>
      <c r="H38">
        <v>0.91111111640930176</v>
      </c>
      <c r="I38">
        <v>0.64074074074074072</v>
      </c>
      <c r="J38">
        <v>297731.16666666669</v>
      </c>
      <c r="K38">
        <v>4329</v>
      </c>
      <c r="L38">
        <v>2</v>
      </c>
      <c r="M38">
        <v>42</v>
      </c>
      <c r="N38">
        <v>0.7</v>
      </c>
      <c r="O38">
        <v>326391</v>
      </c>
      <c r="P38">
        <v>4518</v>
      </c>
      <c r="Q38">
        <v>2</v>
      </c>
      <c r="R38">
        <v>43</v>
      </c>
      <c r="S38">
        <v>11.681538724276322</v>
      </c>
      <c r="T38">
        <v>0.99259259700775149</v>
      </c>
      <c r="W38">
        <f>Tabela2[[#This Row],[mlp_params]]</f>
        <v>4329</v>
      </c>
      <c r="X38">
        <f>Tabela2[[#This Row],[kan_test_acc]]</f>
        <v>0.91111111640930176</v>
      </c>
      <c r="Y38">
        <f>Tabela2[[#This Row],[kan_val_acc_1]]</f>
        <v>0.99259259700775149</v>
      </c>
      <c r="Z38">
        <f>Tabela2[[#This Row],[no_steps]]</f>
        <v>11.681538724276322</v>
      </c>
      <c r="AB38">
        <f t="shared" si="1"/>
        <v>4329</v>
      </c>
      <c r="AC38">
        <f>Tabela2[[#This Row],[kan_time_difference]]/Tabela2[[#This Row],[no_steps]]</f>
        <v>395677.01160188345</v>
      </c>
      <c r="AE38">
        <v>4329</v>
      </c>
      <c r="AF38">
        <v>395677.01160188345</v>
      </c>
    </row>
    <row r="39" spans="1:32" hidden="1" x14ac:dyDescent="0.25">
      <c r="A39" t="s">
        <v>314</v>
      </c>
      <c r="B39">
        <v>5</v>
      </c>
      <c r="C39">
        <v>4</v>
      </c>
      <c r="D39">
        <v>0</v>
      </c>
      <c r="E39" t="s">
        <v>324</v>
      </c>
      <c r="F39">
        <v>2512</v>
      </c>
      <c r="G39">
        <v>4264559.833333333</v>
      </c>
      <c r="H39">
        <v>0.90370370944341027</v>
      </c>
      <c r="I39">
        <v>0.6518518518518519</v>
      </c>
      <c r="J39">
        <v>273924.5</v>
      </c>
      <c r="K39">
        <v>4329</v>
      </c>
      <c r="L39">
        <v>2</v>
      </c>
      <c r="M39">
        <v>42</v>
      </c>
      <c r="N39">
        <v>0.68148148148148147</v>
      </c>
      <c r="O39">
        <v>313162.5</v>
      </c>
      <c r="P39">
        <v>4518</v>
      </c>
      <c r="Q39">
        <v>2</v>
      </c>
      <c r="R39">
        <v>43</v>
      </c>
      <c r="S39">
        <v>11.676975655035653</v>
      </c>
      <c r="T39">
        <v>0.94814815521240237</v>
      </c>
      <c r="W39">
        <f>Tabela2[[#This Row],[mlp_params]]</f>
        <v>4329</v>
      </c>
      <c r="X39">
        <f>Tabela2[[#This Row],[kan_test_acc]]</f>
        <v>0.90370370944341027</v>
      </c>
      <c r="Y39">
        <f>Tabela2[[#This Row],[kan_val_acc_1]]</f>
        <v>0.94814815521240237</v>
      </c>
      <c r="Z39">
        <f>Tabela2[[#This Row],[no_steps]]</f>
        <v>11.676975655035653</v>
      </c>
      <c r="AB39">
        <f t="shared" si="1"/>
        <v>4329</v>
      </c>
      <c r="AC39">
        <f>Tabela2[[#This Row],[kan_time_difference]]/Tabela2[[#This Row],[no_steps]]</f>
        <v>365210.98949917371</v>
      </c>
      <c r="AE39">
        <v>4329</v>
      </c>
      <c r="AF39">
        <v>365210.98949917371</v>
      </c>
    </row>
    <row r="40" spans="1:32" x14ac:dyDescent="0.25">
      <c r="A40" t="s">
        <v>314</v>
      </c>
      <c r="B40">
        <v>9</v>
      </c>
      <c r="C40">
        <v>4</v>
      </c>
      <c r="D40">
        <v>0</v>
      </c>
      <c r="E40" t="s">
        <v>315</v>
      </c>
      <c r="F40">
        <v>2830</v>
      </c>
      <c r="G40">
        <v>4898666.166666667</v>
      </c>
      <c r="H40">
        <v>0.85555556416511536</v>
      </c>
      <c r="I40">
        <v>0.59629629629629632</v>
      </c>
      <c r="J40">
        <v>271038.5</v>
      </c>
      <c r="K40">
        <v>4329</v>
      </c>
      <c r="L40">
        <v>2</v>
      </c>
      <c r="M40">
        <v>42</v>
      </c>
      <c r="N40">
        <v>0.72592592592592586</v>
      </c>
      <c r="O40">
        <v>295420.83333333331</v>
      </c>
      <c r="P40">
        <v>4518</v>
      </c>
      <c r="Q40">
        <v>2</v>
      </c>
      <c r="R40">
        <v>43</v>
      </c>
      <c r="S40">
        <v>11.625422637256481</v>
      </c>
      <c r="T40">
        <v>0.92592592239379878</v>
      </c>
      <c r="W40">
        <f>Tabela2[[#This Row],[mlp_params]]</f>
        <v>4329</v>
      </c>
      <c r="X40">
        <f>Tabela2[[#This Row],[kan_test_acc]]</f>
        <v>0.85555556416511536</v>
      </c>
      <c r="Y40">
        <f>Tabela2[[#This Row],[kan_val_acc_1]]</f>
        <v>0.92592592239379878</v>
      </c>
      <c r="Z40">
        <f>Tabela2[[#This Row],[no_steps]]</f>
        <v>11.625422637256481</v>
      </c>
      <c r="AB40">
        <f t="shared" si="1"/>
        <v>4329</v>
      </c>
      <c r="AC40">
        <f>Tabela2[[#This Row],[kan_time_difference]]/Tabela2[[#This Row],[no_steps]]</f>
        <v>421375.31851682585</v>
      </c>
      <c r="AE40">
        <v>4329</v>
      </c>
      <c r="AF40">
        <v>421375.31851682585</v>
      </c>
    </row>
    <row r="41" spans="1:32" hidden="1" x14ac:dyDescent="0.25">
      <c r="A41" t="s">
        <v>314</v>
      </c>
      <c r="B41">
        <v>3</v>
      </c>
      <c r="C41">
        <v>4</v>
      </c>
      <c r="D41">
        <v>0</v>
      </c>
      <c r="E41" t="s">
        <v>332</v>
      </c>
      <c r="F41">
        <v>2418</v>
      </c>
      <c r="G41">
        <v>6584556.166666667</v>
      </c>
      <c r="H41">
        <v>0.89259259899457299</v>
      </c>
      <c r="I41">
        <v>0.71481481481481479</v>
      </c>
      <c r="J41">
        <v>282288.83333333331</v>
      </c>
      <c r="K41">
        <v>4518</v>
      </c>
      <c r="L41">
        <v>2</v>
      </c>
      <c r="M41">
        <v>43</v>
      </c>
      <c r="N41">
        <v>0.67037037037037039</v>
      </c>
      <c r="O41">
        <v>307083.16666666669</v>
      </c>
      <c r="P41">
        <v>4711</v>
      </c>
      <c r="Q41">
        <v>2</v>
      </c>
      <c r="R41">
        <v>44</v>
      </c>
      <c r="S41">
        <v>11.674730825468563</v>
      </c>
      <c r="T41">
        <v>0.95555557012557979</v>
      </c>
      <c r="W41">
        <f>Tabela2[[#This Row],[mlp_params]]</f>
        <v>4518</v>
      </c>
      <c r="X41">
        <f>Tabela2[[#This Row],[kan_test_acc]]</f>
        <v>0.89259259899457299</v>
      </c>
      <c r="Y41">
        <f>Tabela2[[#This Row],[kan_val_acc_1]]</f>
        <v>0.95555557012557979</v>
      </c>
      <c r="Z41">
        <f>Tabela2[[#This Row],[no_steps]]</f>
        <v>11.674730825468563</v>
      </c>
      <c r="AB41">
        <f t="shared" si="1"/>
        <v>4518</v>
      </c>
      <c r="AC41">
        <f>Tabela2[[#This Row],[kan_time_difference]]/Tabela2[[#This Row],[no_steps]]</f>
        <v>564000.68362196244</v>
      </c>
      <c r="AE41">
        <v>4518</v>
      </c>
      <c r="AF41">
        <v>564000.68362196244</v>
      </c>
    </row>
    <row r="42" spans="1:32" hidden="1" x14ac:dyDescent="0.25">
      <c r="A42" t="s">
        <v>314</v>
      </c>
      <c r="B42">
        <v>3</v>
      </c>
      <c r="C42">
        <v>5</v>
      </c>
      <c r="D42">
        <v>0</v>
      </c>
      <c r="E42" t="s">
        <v>324</v>
      </c>
      <c r="F42">
        <v>2304</v>
      </c>
      <c r="G42">
        <v>6717962.333333333</v>
      </c>
      <c r="H42">
        <v>0.86296297113100684</v>
      </c>
      <c r="I42">
        <v>0.67037037037037039</v>
      </c>
      <c r="J42">
        <v>289208.33333333331</v>
      </c>
      <c r="K42">
        <v>4518</v>
      </c>
      <c r="L42">
        <v>2</v>
      </c>
      <c r="M42">
        <v>43</v>
      </c>
      <c r="N42">
        <v>0.68148148148148147</v>
      </c>
      <c r="O42">
        <v>251465</v>
      </c>
      <c r="P42">
        <v>4711</v>
      </c>
      <c r="Q42">
        <v>2</v>
      </c>
      <c r="R42">
        <v>44</v>
      </c>
      <c r="S42">
        <v>11.677069199457259</v>
      </c>
      <c r="T42">
        <v>0.91111111640930176</v>
      </c>
      <c r="W42">
        <f>Tabela2[[#This Row],[mlp_params]]</f>
        <v>4518</v>
      </c>
      <c r="X42">
        <f>Tabela2[[#This Row],[kan_test_acc]]</f>
        <v>0.86296297113100684</v>
      </c>
      <c r="Y42">
        <f>Tabela2[[#This Row],[kan_val_acc_1]]</f>
        <v>0.91111111640930176</v>
      </c>
      <c r="Z42">
        <f>Tabela2[[#This Row],[no_steps]]</f>
        <v>11.677069199457259</v>
      </c>
      <c r="AB42">
        <f t="shared" si="1"/>
        <v>4518</v>
      </c>
      <c r="AC42">
        <f>Tabela2[[#This Row],[kan_time_difference]]/Tabela2[[#This Row],[no_steps]]</f>
        <v>575312.36807653576</v>
      </c>
      <c r="AE42">
        <v>4518</v>
      </c>
      <c r="AF42">
        <v>575312.36807653576</v>
      </c>
    </row>
    <row r="43" spans="1:32" hidden="1" x14ac:dyDescent="0.25">
      <c r="A43" t="s">
        <v>314</v>
      </c>
      <c r="B43">
        <v>5</v>
      </c>
      <c r="C43">
        <v>2</v>
      </c>
      <c r="D43">
        <v>0</v>
      </c>
      <c r="E43" t="s">
        <v>348</v>
      </c>
      <c r="F43">
        <v>3062</v>
      </c>
      <c r="G43">
        <v>4514630</v>
      </c>
      <c r="H43">
        <v>0.89629630247751868</v>
      </c>
      <c r="I43">
        <v>0.72592592592592597</v>
      </c>
      <c r="J43">
        <v>316875.66666666669</v>
      </c>
      <c r="K43">
        <v>4518</v>
      </c>
      <c r="L43">
        <v>2</v>
      </c>
      <c r="M43">
        <v>43</v>
      </c>
      <c r="N43">
        <v>0.67407407407407405</v>
      </c>
      <c r="O43">
        <v>337903.66666666669</v>
      </c>
      <c r="P43">
        <v>4711</v>
      </c>
      <c r="Q43">
        <v>2</v>
      </c>
      <c r="R43">
        <v>44</v>
      </c>
      <c r="S43">
        <v>11.675521575741868</v>
      </c>
      <c r="T43">
        <v>0.98518519401550297</v>
      </c>
      <c r="W43">
        <f>Tabela2[[#This Row],[mlp_params]]</f>
        <v>4518</v>
      </c>
      <c r="X43">
        <f>Tabela2[[#This Row],[kan_test_acc]]</f>
        <v>0.89629630247751868</v>
      </c>
      <c r="Y43">
        <f>Tabela2[[#This Row],[kan_val_acc_1]]</f>
        <v>0.98518519401550297</v>
      </c>
      <c r="Z43">
        <f>Tabela2[[#This Row],[no_steps]]</f>
        <v>11.675521575741868</v>
      </c>
      <c r="AB43">
        <f t="shared" si="1"/>
        <v>4518</v>
      </c>
      <c r="AC43">
        <f>Tabela2[[#This Row],[kan_time_difference]]/Tabela2[[#This Row],[no_steps]]</f>
        <v>386674.80255271919</v>
      </c>
      <c r="AE43">
        <v>4518</v>
      </c>
      <c r="AF43">
        <v>386674.80255271919</v>
      </c>
    </row>
    <row r="44" spans="1:32" hidden="1" x14ac:dyDescent="0.25">
      <c r="A44" t="s">
        <v>314</v>
      </c>
      <c r="B44">
        <v>9</v>
      </c>
      <c r="C44">
        <v>2</v>
      </c>
      <c r="D44">
        <v>0</v>
      </c>
      <c r="E44" t="s">
        <v>332</v>
      </c>
      <c r="F44">
        <v>3378</v>
      </c>
      <c r="G44">
        <v>4914092.333333333</v>
      </c>
      <c r="H44">
        <v>0.90370370944341027</v>
      </c>
      <c r="I44">
        <v>0.67777777777777781</v>
      </c>
      <c r="J44">
        <v>303489.83333333331</v>
      </c>
      <c r="K44">
        <v>4518</v>
      </c>
      <c r="L44">
        <v>2</v>
      </c>
      <c r="M44">
        <v>43</v>
      </c>
      <c r="N44">
        <v>0.64814814814814814</v>
      </c>
      <c r="O44">
        <v>299364.16666666669</v>
      </c>
      <c r="P44">
        <v>4711</v>
      </c>
      <c r="Q44">
        <v>2</v>
      </c>
      <c r="R44">
        <v>44</v>
      </c>
      <c r="S44">
        <v>11.656136738056013</v>
      </c>
      <c r="T44">
        <v>0.94074075222015385</v>
      </c>
      <c r="W44">
        <f>Tabela2[[#This Row],[mlp_params]]</f>
        <v>4518</v>
      </c>
      <c r="X44">
        <f>Tabela2[[#This Row],[kan_test_acc]]</f>
        <v>0.90370370944341027</v>
      </c>
      <c r="Y44">
        <f>Tabela2[[#This Row],[kan_val_acc_1]]</f>
        <v>0.94074075222015385</v>
      </c>
      <c r="Z44">
        <f>Tabela2[[#This Row],[no_steps]]</f>
        <v>11.656136738056013</v>
      </c>
      <c r="AB44">
        <f t="shared" si="1"/>
        <v>4518</v>
      </c>
      <c r="AC44">
        <f>Tabela2[[#This Row],[kan_time_difference]]/Tabela2[[#This Row],[no_steps]]</f>
        <v>421588.42537333647</v>
      </c>
      <c r="AE44">
        <v>4518</v>
      </c>
      <c r="AF44">
        <v>421588.42537333647</v>
      </c>
    </row>
    <row r="45" spans="1:32" hidden="1" x14ac:dyDescent="0.25">
      <c r="A45" t="s">
        <v>314</v>
      </c>
      <c r="B45">
        <v>9</v>
      </c>
      <c r="C45">
        <v>3</v>
      </c>
      <c r="D45">
        <v>0</v>
      </c>
      <c r="E45" t="s">
        <v>324</v>
      </c>
      <c r="F45">
        <v>3136</v>
      </c>
      <c r="G45">
        <v>2535976.3333333335</v>
      </c>
      <c r="H45">
        <v>0.92592593034108484</v>
      </c>
      <c r="I45">
        <v>0.6962962962962963</v>
      </c>
      <c r="J45">
        <v>291215.66666666669</v>
      </c>
      <c r="K45">
        <v>4518</v>
      </c>
      <c r="L45">
        <v>2</v>
      </c>
      <c r="M45">
        <v>43</v>
      </c>
      <c r="N45">
        <v>0.64814814814814814</v>
      </c>
      <c r="O45">
        <v>290145.66666666669</v>
      </c>
      <c r="P45">
        <v>4711</v>
      </c>
      <c r="Q45">
        <v>2</v>
      </c>
      <c r="R45">
        <v>44</v>
      </c>
      <c r="S45">
        <v>11.638447756331949</v>
      </c>
      <c r="T45">
        <v>0.94074074029922483</v>
      </c>
      <c r="W45">
        <f>Tabela2[[#This Row],[mlp_params]]</f>
        <v>4518</v>
      </c>
      <c r="X45">
        <f>Tabela2[[#This Row],[kan_test_acc]]</f>
        <v>0.92592593034108484</v>
      </c>
      <c r="Y45">
        <f>Tabela2[[#This Row],[kan_val_acc_1]]</f>
        <v>0.94074074029922483</v>
      </c>
      <c r="Z45">
        <f>Tabela2[[#This Row],[no_steps]]</f>
        <v>11.638447756331949</v>
      </c>
      <c r="AB45">
        <f t="shared" si="1"/>
        <v>4518</v>
      </c>
      <c r="AC45">
        <f>Tabela2[[#This Row],[kan_time_difference]]/Tabela2[[#This Row],[no_steps]]</f>
        <v>217896.44000881683</v>
      </c>
      <c r="AE45">
        <v>4518</v>
      </c>
      <c r="AF45">
        <v>217896.44000881683</v>
      </c>
    </row>
    <row r="46" spans="1:32" hidden="1" x14ac:dyDescent="0.25">
      <c r="A46" t="s">
        <v>314</v>
      </c>
      <c r="B46">
        <v>3</v>
      </c>
      <c r="C46">
        <v>2</v>
      </c>
      <c r="D46">
        <v>0</v>
      </c>
      <c r="E46" t="s">
        <v>357</v>
      </c>
      <c r="F46">
        <v>2970</v>
      </c>
      <c r="G46">
        <v>2736460.5</v>
      </c>
      <c r="H46">
        <v>0.9407407442728678</v>
      </c>
      <c r="I46">
        <v>0.71111111111111114</v>
      </c>
      <c r="J46">
        <v>214060.83333333334</v>
      </c>
      <c r="K46">
        <v>4711</v>
      </c>
      <c r="L46">
        <v>2</v>
      </c>
      <c r="M46">
        <v>44</v>
      </c>
      <c r="N46">
        <v>0.76296296296296295</v>
      </c>
      <c r="O46">
        <v>191990.16666666666</v>
      </c>
      <c r="P46">
        <v>4908</v>
      </c>
      <c r="Q46">
        <v>2</v>
      </c>
      <c r="R46">
        <v>45</v>
      </c>
      <c r="S46">
        <v>11.673583363603342</v>
      </c>
      <c r="T46">
        <v>0.96296296119689939</v>
      </c>
      <c r="W46">
        <f>Tabela2[[#This Row],[mlp_params]]</f>
        <v>4711</v>
      </c>
      <c r="X46">
        <f>Tabela2[[#This Row],[kan_test_acc]]</f>
        <v>0.9407407442728678</v>
      </c>
      <c r="Y46">
        <f>Tabela2[[#This Row],[kan_val_acc_1]]</f>
        <v>0.96296296119689939</v>
      </c>
      <c r="Z46">
        <f>Tabela2[[#This Row],[no_steps]]</f>
        <v>11.673583363603342</v>
      </c>
      <c r="AB46">
        <f t="shared" si="1"/>
        <v>4711</v>
      </c>
      <c r="AC46">
        <f>Tabela2[[#This Row],[kan_time_difference]]/Tabela2[[#This Row],[no_steps]]</f>
        <v>234414.78205671743</v>
      </c>
      <c r="AE46">
        <v>4711</v>
      </c>
      <c r="AF46">
        <v>234414.78205671743</v>
      </c>
    </row>
    <row r="47" spans="1:32" hidden="1" x14ac:dyDescent="0.25">
      <c r="A47" t="s">
        <v>314</v>
      </c>
      <c r="B47">
        <v>3</v>
      </c>
      <c r="C47">
        <v>3</v>
      </c>
      <c r="D47">
        <v>0</v>
      </c>
      <c r="E47" t="s">
        <v>348</v>
      </c>
      <c r="F47">
        <v>2758</v>
      </c>
      <c r="G47">
        <v>4724682.833333333</v>
      </c>
      <c r="H47">
        <v>0.91481481989224755</v>
      </c>
      <c r="I47">
        <v>0.71111111111111114</v>
      </c>
      <c r="J47">
        <v>288459.83333333331</v>
      </c>
      <c r="K47">
        <v>4711</v>
      </c>
      <c r="L47">
        <v>2</v>
      </c>
      <c r="M47">
        <v>44</v>
      </c>
      <c r="N47">
        <v>0.71481481481481479</v>
      </c>
      <c r="O47">
        <v>247772.5</v>
      </c>
      <c r="P47">
        <v>4908</v>
      </c>
      <c r="Q47">
        <v>2</v>
      </c>
      <c r="R47">
        <v>45</v>
      </c>
      <c r="S47">
        <v>11.67273624254384</v>
      </c>
      <c r="T47">
        <v>0.97777777910232544</v>
      </c>
      <c r="W47">
        <f>Tabela2[[#This Row],[mlp_params]]</f>
        <v>4711</v>
      </c>
      <c r="X47">
        <f>Tabela2[[#This Row],[kan_test_acc]]</f>
        <v>0.91481481989224755</v>
      </c>
      <c r="Y47">
        <f>Tabela2[[#This Row],[kan_val_acc_1]]</f>
        <v>0.97777777910232544</v>
      </c>
      <c r="Z47">
        <f>Tabela2[[#This Row],[no_steps]]</f>
        <v>11.67273624254384</v>
      </c>
      <c r="AB47">
        <f t="shared" si="1"/>
        <v>4711</v>
      </c>
      <c r="AC47">
        <f>Tabela2[[#This Row],[kan_time_difference]]/Tabela2[[#This Row],[no_steps]]</f>
        <v>404762.23699060321</v>
      </c>
      <c r="AE47">
        <v>4711</v>
      </c>
      <c r="AF47">
        <v>404762.23699060321</v>
      </c>
    </row>
    <row r="48" spans="1:32" hidden="1" x14ac:dyDescent="0.25">
      <c r="A48" t="s">
        <v>314</v>
      </c>
      <c r="B48">
        <v>3</v>
      </c>
      <c r="C48">
        <v>2</v>
      </c>
      <c r="D48">
        <v>0</v>
      </c>
      <c r="E48" t="s">
        <v>316</v>
      </c>
      <c r="F48">
        <v>3045</v>
      </c>
      <c r="G48">
        <v>2600628</v>
      </c>
      <c r="H48">
        <v>0.92222222685813904</v>
      </c>
      <c r="I48">
        <v>0.625925925925926</v>
      </c>
      <c r="J48">
        <v>210903.16666666666</v>
      </c>
      <c r="K48">
        <v>4908</v>
      </c>
      <c r="L48">
        <v>2</v>
      </c>
      <c r="M48">
        <v>45</v>
      </c>
      <c r="N48">
        <v>0.84444444444444444</v>
      </c>
      <c r="O48">
        <v>205786</v>
      </c>
      <c r="P48">
        <v>5109</v>
      </c>
      <c r="Q48">
        <v>2</v>
      </c>
      <c r="R48">
        <v>46</v>
      </c>
      <c r="S48">
        <v>11.672628234226055</v>
      </c>
      <c r="T48">
        <v>0.94074076414108276</v>
      </c>
      <c r="W48">
        <f>Tabela2[[#This Row],[mlp_params]]</f>
        <v>4908</v>
      </c>
      <c r="X48">
        <f>Tabela2[[#This Row],[kan_test_acc]]</f>
        <v>0.92222222685813904</v>
      </c>
      <c r="Y48">
        <f>Tabela2[[#This Row],[kan_val_acc_1]]</f>
        <v>0.94074076414108276</v>
      </c>
      <c r="Z48">
        <f>Tabela2[[#This Row],[no_steps]]</f>
        <v>11.672628234226055</v>
      </c>
      <c r="AB48">
        <f t="shared" si="1"/>
        <v>4908</v>
      </c>
      <c r="AC48">
        <f>Tabela2[[#This Row],[kan_time_difference]]/Tabela2[[#This Row],[no_steps]]</f>
        <v>222797.12399085352</v>
      </c>
      <c r="AE48">
        <v>4908</v>
      </c>
      <c r="AF48">
        <v>222797.12399085352</v>
      </c>
    </row>
    <row r="49" spans="1:32" hidden="1" x14ac:dyDescent="0.25">
      <c r="A49" t="s">
        <v>314</v>
      </c>
      <c r="B49">
        <v>5</v>
      </c>
      <c r="C49">
        <v>2</v>
      </c>
      <c r="D49">
        <v>0</v>
      </c>
      <c r="E49" t="s">
        <v>356</v>
      </c>
      <c r="F49">
        <v>3384</v>
      </c>
      <c r="G49">
        <v>3885210.5</v>
      </c>
      <c r="H49">
        <v>0.92962963382403052</v>
      </c>
      <c r="I49">
        <v>0.70370370370370372</v>
      </c>
      <c r="J49">
        <v>298200.5</v>
      </c>
      <c r="K49">
        <v>4908</v>
      </c>
      <c r="L49">
        <v>2</v>
      </c>
      <c r="M49">
        <v>45</v>
      </c>
      <c r="N49">
        <v>0.6962962962962963</v>
      </c>
      <c r="O49">
        <v>317652.16666666669</v>
      </c>
      <c r="P49">
        <v>5109</v>
      </c>
      <c r="Q49">
        <v>2</v>
      </c>
      <c r="R49">
        <v>46</v>
      </c>
      <c r="S49">
        <v>11.674655611694089</v>
      </c>
      <c r="T49">
        <v>0.94814814329147334</v>
      </c>
      <c r="W49">
        <f>Tabela2[[#This Row],[mlp_params]]</f>
        <v>4908</v>
      </c>
      <c r="X49">
        <f>Tabela2[[#This Row],[kan_test_acc]]</f>
        <v>0.92962963382403052</v>
      </c>
      <c r="Y49">
        <f>Tabela2[[#This Row],[kan_val_acc_1]]</f>
        <v>0.94814814329147334</v>
      </c>
      <c r="Z49">
        <f>Tabela2[[#This Row],[no_steps]]</f>
        <v>11.674655611694089</v>
      </c>
      <c r="AB49">
        <f t="shared" si="1"/>
        <v>4908</v>
      </c>
      <c r="AC49">
        <f>Tabela2[[#This Row],[kan_time_difference]]/Tabela2[[#This Row],[no_steps]]</f>
        <v>332790.15923247638</v>
      </c>
      <c r="AE49">
        <v>4908</v>
      </c>
      <c r="AF49">
        <v>332790.15923247638</v>
      </c>
    </row>
    <row r="50" spans="1:32" hidden="1" x14ac:dyDescent="0.25">
      <c r="A50" t="s">
        <v>314</v>
      </c>
      <c r="B50">
        <v>5</v>
      </c>
      <c r="C50">
        <v>3</v>
      </c>
      <c r="D50">
        <v>0</v>
      </c>
      <c r="E50" t="s">
        <v>339</v>
      </c>
      <c r="F50">
        <v>3012</v>
      </c>
      <c r="G50">
        <v>4653155.5</v>
      </c>
      <c r="H50">
        <v>0.91111111640930176</v>
      </c>
      <c r="I50">
        <v>0.62222222222222223</v>
      </c>
      <c r="J50">
        <v>303288</v>
      </c>
      <c r="K50">
        <v>4908</v>
      </c>
      <c r="L50">
        <v>2</v>
      </c>
      <c r="M50">
        <v>45</v>
      </c>
      <c r="N50">
        <v>0.72962962962962963</v>
      </c>
      <c r="O50">
        <v>280751.5</v>
      </c>
      <c r="P50">
        <v>5109</v>
      </c>
      <c r="Q50">
        <v>2</v>
      </c>
      <c r="R50">
        <v>46</v>
      </c>
      <c r="S50">
        <v>11.680980023903022</v>
      </c>
      <c r="T50">
        <v>0.96296297311782841</v>
      </c>
      <c r="W50">
        <f>Tabela2[[#This Row],[mlp_params]]</f>
        <v>4908</v>
      </c>
      <c r="X50">
        <f>Tabela2[[#This Row],[kan_test_acc]]</f>
        <v>0.91111111640930176</v>
      </c>
      <c r="Y50">
        <f>Tabela2[[#This Row],[kan_val_acc_1]]</f>
        <v>0.96296297311782841</v>
      </c>
      <c r="Z50">
        <f>Tabela2[[#This Row],[no_steps]]</f>
        <v>11.680980023903022</v>
      </c>
      <c r="AB50">
        <f t="shared" si="1"/>
        <v>4908</v>
      </c>
      <c r="AC50">
        <f>Tabela2[[#This Row],[kan_time_difference]]/Tabela2[[#This Row],[no_steps]]</f>
        <v>398353.17674357421</v>
      </c>
      <c r="AE50">
        <v>4908</v>
      </c>
      <c r="AF50">
        <v>398353.17674357421</v>
      </c>
    </row>
    <row r="51" spans="1:32" hidden="1" x14ac:dyDescent="0.25">
      <c r="A51" t="s">
        <v>314</v>
      </c>
      <c r="B51">
        <v>5</v>
      </c>
      <c r="C51">
        <v>4</v>
      </c>
      <c r="D51">
        <v>0</v>
      </c>
      <c r="E51" t="s">
        <v>332</v>
      </c>
      <c r="F51">
        <v>2898</v>
      </c>
      <c r="G51">
        <v>5539433.5</v>
      </c>
      <c r="H51">
        <v>0.82222223281860352</v>
      </c>
      <c r="I51">
        <v>0.625925925925926</v>
      </c>
      <c r="J51">
        <v>296664.83333333331</v>
      </c>
      <c r="K51">
        <v>4908</v>
      </c>
      <c r="L51">
        <v>2</v>
      </c>
      <c r="M51">
        <v>45</v>
      </c>
      <c r="N51">
        <v>0.73333333333333328</v>
      </c>
      <c r="O51">
        <v>284084</v>
      </c>
      <c r="P51">
        <v>5109</v>
      </c>
      <c r="Q51">
        <v>2</v>
      </c>
      <c r="R51">
        <v>46</v>
      </c>
      <c r="S51">
        <v>11.676087231619354</v>
      </c>
      <c r="T51">
        <v>0.89629631042480473</v>
      </c>
      <c r="W51">
        <f>Tabela2[[#This Row],[mlp_params]]</f>
        <v>4908</v>
      </c>
      <c r="X51">
        <f>Tabela2[[#This Row],[kan_test_acc]]</f>
        <v>0.82222223281860352</v>
      </c>
      <c r="Y51">
        <f>Tabela2[[#This Row],[kan_val_acc_1]]</f>
        <v>0.89629631042480473</v>
      </c>
      <c r="Z51">
        <f>Tabela2[[#This Row],[no_steps]]</f>
        <v>11.676087231619354</v>
      </c>
      <c r="AB51">
        <f t="shared" si="1"/>
        <v>4908</v>
      </c>
      <c r="AC51">
        <f>Tabela2[[#This Row],[kan_time_difference]]/Tabela2[[#This Row],[no_steps]]</f>
        <v>474425.49803833017</v>
      </c>
      <c r="AE51">
        <v>4908</v>
      </c>
      <c r="AF51">
        <v>474425.49803833017</v>
      </c>
    </row>
    <row r="52" spans="1:32" hidden="1" x14ac:dyDescent="0.25">
      <c r="A52" t="s">
        <v>314</v>
      </c>
      <c r="B52">
        <v>5</v>
      </c>
      <c r="C52">
        <v>5</v>
      </c>
      <c r="D52">
        <v>0</v>
      </c>
      <c r="E52" t="s">
        <v>324</v>
      </c>
      <c r="F52">
        <v>2720</v>
      </c>
      <c r="G52">
        <v>5720219.166666667</v>
      </c>
      <c r="H52">
        <v>0.90740741292635596</v>
      </c>
      <c r="I52">
        <v>0.77037037037037037</v>
      </c>
      <c r="J52">
        <v>281528.5</v>
      </c>
      <c r="K52">
        <v>4908</v>
      </c>
      <c r="L52">
        <v>2</v>
      </c>
      <c r="M52">
        <v>45</v>
      </c>
      <c r="N52">
        <v>0.6962962962962963</v>
      </c>
      <c r="O52">
        <v>290861.33333333331</v>
      </c>
      <c r="P52">
        <v>5109</v>
      </c>
      <c r="Q52">
        <v>2</v>
      </c>
      <c r="R52">
        <v>46</v>
      </c>
      <c r="S52">
        <v>11.672182394131378</v>
      </c>
      <c r="T52">
        <v>0.96296296119689939</v>
      </c>
      <c r="W52">
        <f>Tabela2[[#This Row],[mlp_params]]</f>
        <v>4908</v>
      </c>
      <c r="X52">
        <f>Tabela2[[#This Row],[kan_test_acc]]</f>
        <v>0.90740741292635596</v>
      </c>
      <c r="Y52">
        <f>Tabela2[[#This Row],[kan_val_acc_1]]</f>
        <v>0.96296296119689939</v>
      </c>
      <c r="Z52">
        <f>Tabela2[[#This Row],[no_steps]]</f>
        <v>11.672182394131378</v>
      </c>
      <c r="AB52">
        <f t="shared" si="1"/>
        <v>4908</v>
      </c>
      <c r="AC52">
        <f>Tabela2[[#This Row],[kan_time_difference]]/Tabela2[[#This Row],[no_steps]]</f>
        <v>490072.80502596661</v>
      </c>
      <c r="AE52">
        <v>4908</v>
      </c>
      <c r="AF52">
        <v>490072.80502596661</v>
      </c>
    </row>
    <row r="53" spans="1:32" hidden="1" x14ac:dyDescent="0.25">
      <c r="A53" t="s">
        <v>314</v>
      </c>
      <c r="B53">
        <v>9</v>
      </c>
      <c r="C53">
        <v>5</v>
      </c>
      <c r="D53">
        <v>0</v>
      </c>
      <c r="E53" t="s">
        <v>315</v>
      </c>
      <c r="F53">
        <v>3006</v>
      </c>
      <c r="G53">
        <v>4519154.166666667</v>
      </c>
      <c r="H53">
        <v>0.80370371540387475</v>
      </c>
      <c r="I53">
        <v>0.64444444444444449</v>
      </c>
      <c r="J53">
        <v>264007.33333333331</v>
      </c>
      <c r="K53">
        <v>4908</v>
      </c>
      <c r="L53">
        <v>2</v>
      </c>
      <c r="M53">
        <v>45</v>
      </c>
      <c r="N53">
        <v>0.72962962962962963</v>
      </c>
      <c r="O53">
        <v>113078.5</v>
      </c>
      <c r="P53">
        <v>5109</v>
      </c>
      <c r="Q53">
        <v>2</v>
      </c>
      <c r="R53">
        <v>46</v>
      </c>
      <c r="S53">
        <v>11.590223774004127</v>
      </c>
      <c r="T53">
        <v>0.90370371341705324</v>
      </c>
      <c r="W53">
        <f>Tabela2[[#This Row],[mlp_params]]</f>
        <v>4908</v>
      </c>
      <c r="X53">
        <f>Tabela2[[#This Row],[kan_test_acc]]</f>
        <v>0.80370371540387475</v>
      </c>
      <c r="Y53">
        <f>Tabela2[[#This Row],[kan_val_acc_1]]</f>
        <v>0.90370371341705324</v>
      </c>
      <c r="Z53">
        <f>Tabela2[[#This Row],[no_steps]]</f>
        <v>11.590223774004127</v>
      </c>
      <c r="AB53">
        <f t="shared" si="1"/>
        <v>4908</v>
      </c>
      <c r="AC53">
        <f>Tabela2[[#This Row],[kan_time_difference]]/Tabela2[[#This Row],[no_steps]]</f>
        <v>389910.86408553564</v>
      </c>
      <c r="AE53">
        <v>4908</v>
      </c>
      <c r="AF53">
        <v>389910.86408553564</v>
      </c>
    </row>
    <row r="54" spans="1:32" hidden="1" x14ac:dyDescent="0.25">
      <c r="A54" t="s">
        <v>314</v>
      </c>
      <c r="B54">
        <v>3</v>
      </c>
      <c r="C54">
        <v>2</v>
      </c>
      <c r="D54">
        <v>0</v>
      </c>
      <c r="E54" t="s">
        <v>358</v>
      </c>
      <c r="F54">
        <v>3228</v>
      </c>
      <c r="G54">
        <v>4937531.166666667</v>
      </c>
      <c r="H54">
        <v>0.91111111640930176</v>
      </c>
      <c r="I54">
        <v>0.64814814814814814</v>
      </c>
      <c r="J54">
        <v>231800.66666666666</v>
      </c>
      <c r="K54">
        <v>5109</v>
      </c>
      <c r="L54">
        <v>2</v>
      </c>
      <c r="M54">
        <v>46</v>
      </c>
      <c r="N54">
        <v>0.63703703703703707</v>
      </c>
      <c r="O54">
        <v>203424.33333333334</v>
      </c>
      <c r="P54">
        <v>5314</v>
      </c>
      <c r="Q54">
        <v>2</v>
      </c>
      <c r="R54">
        <v>47</v>
      </c>
      <c r="S54">
        <v>11.671945906698131</v>
      </c>
      <c r="T54">
        <v>0.93333333730697632</v>
      </c>
      <c r="W54">
        <f>Tabela2[[#This Row],[mlp_params]]</f>
        <v>5109</v>
      </c>
      <c r="X54">
        <f>Tabela2[[#This Row],[kan_test_acc]]</f>
        <v>0.91111111640930176</v>
      </c>
      <c r="Y54">
        <f>Tabela2[[#This Row],[kan_val_acc_1]]</f>
        <v>0.93333333730697632</v>
      </c>
      <c r="Z54">
        <f>Tabela2[[#This Row],[no_steps]]</f>
        <v>11.671945906698131</v>
      </c>
      <c r="AB54">
        <f t="shared" si="1"/>
        <v>5109</v>
      </c>
      <c r="AC54">
        <f>Tabela2[[#This Row],[kan_time_difference]]/Tabela2[[#This Row],[no_steps]]</f>
        <v>423025.53542791749</v>
      </c>
      <c r="AE54">
        <v>5109</v>
      </c>
      <c r="AF54">
        <v>423025.53542791749</v>
      </c>
    </row>
    <row r="55" spans="1:32" hidden="1" x14ac:dyDescent="0.25">
      <c r="A55" t="s">
        <v>314</v>
      </c>
      <c r="B55">
        <v>3</v>
      </c>
      <c r="C55">
        <v>4</v>
      </c>
      <c r="D55">
        <v>0</v>
      </c>
      <c r="E55" t="s">
        <v>339</v>
      </c>
      <c r="F55">
        <v>2740</v>
      </c>
      <c r="G55">
        <v>7608537.666666667</v>
      </c>
      <c r="H55">
        <v>0.92222222685813904</v>
      </c>
      <c r="I55">
        <v>0.67777777777777781</v>
      </c>
      <c r="J55">
        <v>289928.5</v>
      </c>
      <c r="K55">
        <v>5109</v>
      </c>
      <c r="L55">
        <v>2</v>
      </c>
      <c r="M55">
        <v>46</v>
      </c>
      <c r="N55">
        <v>0.68518518518518512</v>
      </c>
      <c r="O55">
        <v>290623.5</v>
      </c>
      <c r="P55">
        <v>5314</v>
      </c>
      <c r="Q55">
        <v>2</v>
      </c>
      <c r="R55">
        <v>47</v>
      </c>
      <c r="S55">
        <v>11.674640088593577</v>
      </c>
      <c r="T55">
        <v>0.96296298503875732</v>
      </c>
      <c r="W55">
        <f>Tabela2[[#This Row],[mlp_params]]</f>
        <v>5109</v>
      </c>
      <c r="X55">
        <f>Tabela2[[#This Row],[kan_test_acc]]</f>
        <v>0.92222222685813904</v>
      </c>
      <c r="Y55">
        <f>Tabela2[[#This Row],[kan_val_acc_1]]</f>
        <v>0.96296298503875732</v>
      </c>
      <c r="Z55">
        <f>Tabela2[[#This Row],[no_steps]]</f>
        <v>11.674640088593577</v>
      </c>
      <c r="AB55">
        <f t="shared" si="1"/>
        <v>5109</v>
      </c>
      <c r="AC55">
        <f>Tabela2[[#This Row],[kan_time_difference]]/Tabela2[[#This Row],[no_steps]]</f>
        <v>651714.96585153008</v>
      </c>
      <c r="AE55">
        <v>5109</v>
      </c>
      <c r="AF55">
        <v>651714.96585153008</v>
      </c>
    </row>
    <row r="56" spans="1:32" hidden="1" x14ac:dyDescent="0.25">
      <c r="A56" t="s">
        <v>314</v>
      </c>
      <c r="B56">
        <v>3</v>
      </c>
      <c r="C56">
        <v>5</v>
      </c>
      <c r="D56">
        <v>0</v>
      </c>
      <c r="E56" t="s">
        <v>332</v>
      </c>
      <c r="F56">
        <v>2658</v>
      </c>
      <c r="G56">
        <v>7890822</v>
      </c>
      <c r="H56">
        <v>0.90370370944341027</v>
      </c>
      <c r="I56">
        <v>0.7</v>
      </c>
      <c r="J56">
        <v>272488.66666666669</v>
      </c>
      <c r="K56">
        <v>5109</v>
      </c>
      <c r="L56">
        <v>2</v>
      </c>
      <c r="M56">
        <v>46</v>
      </c>
      <c r="N56">
        <v>0.73703703703703705</v>
      </c>
      <c r="O56">
        <v>287764</v>
      </c>
      <c r="P56">
        <v>5314</v>
      </c>
      <c r="Q56">
        <v>2</v>
      </c>
      <c r="R56">
        <v>47</v>
      </c>
      <c r="S56">
        <v>11.677241500021879</v>
      </c>
      <c r="T56">
        <v>0.95555555820465088</v>
      </c>
      <c r="W56">
        <f>Tabela2[[#This Row],[mlp_params]]</f>
        <v>5109</v>
      </c>
      <c r="X56">
        <f>Tabela2[[#This Row],[kan_test_acc]]</f>
        <v>0.90370370944341027</v>
      </c>
      <c r="Y56">
        <f>Tabela2[[#This Row],[kan_val_acc_1]]</f>
        <v>0.95555555820465088</v>
      </c>
      <c r="Z56">
        <f>Tabela2[[#This Row],[no_steps]]</f>
        <v>11.677241500021879</v>
      </c>
      <c r="AB56">
        <f t="shared" si="1"/>
        <v>5109</v>
      </c>
      <c r="AC56">
        <f>Tabela2[[#This Row],[kan_time_difference]]/Tabela2[[#This Row],[no_steps]]</f>
        <v>675743.66771340778</v>
      </c>
      <c r="AE56">
        <v>5109</v>
      </c>
      <c r="AF56">
        <v>675743.66771340778</v>
      </c>
    </row>
    <row r="57" spans="1:32" hidden="1" x14ac:dyDescent="0.25">
      <c r="A57" t="s">
        <v>314</v>
      </c>
      <c r="B57">
        <v>9</v>
      </c>
      <c r="C57">
        <v>2</v>
      </c>
      <c r="D57">
        <v>0</v>
      </c>
      <c r="E57" t="s">
        <v>339</v>
      </c>
      <c r="F57">
        <v>3828</v>
      </c>
      <c r="G57">
        <v>4673692.166666667</v>
      </c>
      <c r="H57">
        <v>0.81481482585271203</v>
      </c>
      <c r="I57">
        <v>0.65925925925925921</v>
      </c>
      <c r="J57">
        <v>315182.16666666669</v>
      </c>
      <c r="K57">
        <v>5109</v>
      </c>
      <c r="L57">
        <v>2</v>
      </c>
      <c r="M57">
        <v>46</v>
      </c>
      <c r="N57">
        <v>0.6962962962962963</v>
      </c>
      <c r="O57">
        <v>316529.5</v>
      </c>
      <c r="P57">
        <v>5314</v>
      </c>
      <c r="Q57">
        <v>2</v>
      </c>
      <c r="R57">
        <v>47</v>
      </c>
      <c r="S57">
        <v>11.655480523758545</v>
      </c>
      <c r="T57">
        <v>0.8888888955116272</v>
      </c>
      <c r="W57">
        <f>Tabela2[[#This Row],[mlp_params]]</f>
        <v>5109</v>
      </c>
      <c r="X57">
        <f>Tabela2[[#This Row],[kan_test_acc]]</f>
        <v>0.81481482585271203</v>
      </c>
      <c r="Y57">
        <f>Tabela2[[#This Row],[kan_val_acc_1]]</f>
        <v>0.8888888955116272</v>
      </c>
      <c r="Z57">
        <f>Tabela2[[#This Row],[no_steps]]</f>
        <v>11.655480523758545</v>
      </c>
      <c r="AB57">
        <f t="shared" si="1"/>
        <v>5109</v>
      </c>
      <c r="AC57">
        <f>Tabela2[[#This Row],[kan_time_difference]]/Tabela2[[#This Row],[no_steps]]</f>
        <v>400986.6566324578</v>
      </c>
      <c r="AE57">
        <v>5109</v>
      </c>
      <c r="AF57">
        <v>400986.6566324578</v>
      </c>
    </row>
    <row r="58" spans="1:32" hidden="1" x14ac:dyDescent="0.25">
      <c r="A58" t="s">
        <v>314</v>
      </c>
      <c r="B58">
        <v>9</v>
      </c>
      <c r="C58">
        <v>3</v>
      </c>
      <c r="D58">
        <v>0</v>
      </c>
      <c r="E58" t="s">
        <v>332</v>
      </c>
      <c r="F58">
        <v>3618</v>
      </c>
      <c r="G58">
        <v>4292222.333333333</v>
      </c>
      <c r="H58">
        <v>0.91851852337519324</v>
      </c>
      <c r="I58">
        <v>0.64814814814814814</v>
      </c>
      <c r="J58">
        <v>320085.83333333331</v>
      </c>
      <c r="K58">
        <v>5109</v>
      </c>
      <c r="L58">
        <v>2</v>
      </c>
      <c r="M58">
        <v>46</v>
      </c>
      <c r="N58">
        <v>0.72962962962962963</v>
      </c>
      <c r="O58">
        <v>324878.16666666669</v>
      </c>
      <c r="P58">
        <v>5314</v>
      </c>
      <c r="Q58">
        <v>2</v>
      </c>
      <c r="R58">
        <v>47</v>
      </c>
      <c r="S58">
        <v>11.638088259241165</v>
      </c>
      <c r="T58">
        <v>0.96296297311782841</v>
      </c>
      <c r="W58">
        <f>Tabela2[[#This Row],[mlp_params]]</f>
        <v>5109</v>
      </c>
      <c r="X58">
        <f>Tabela2[[#This Row],[kan_test_acc]]</f>
        <v>0.91851852337519324</v>
      </c>
      <c r="Y58">
        <f>Tabela2[[#This Row],[kan_val_acc_1]]</f>
        <v>0.96296297311782841</v>
      </c>
      <c r="Z58">
        <f>Tabela2[[#This Row],[no_steps]]</f>
        <v>11.638088259241165</v>
      </c>
      <c r="AB58">
        <f t="shared" si="1"/>
        <v>5109</v>
      </c>
      <c r="AC58">
        <f>Tabela2[[#This Row],[kan_time_difference]]/Tabela2[[#This Row],[no_steps]]</f>
        <v>368808.19578981242</v>
      </c>
      <c r="AE58">
        <v>5109</v>
      </c>
      <c r="AF58">
        <v>368808.19578981242</v>
      </c>
    </row>
    <row r="59" spans="1:32" x14ac:dyDescent="0.25">
      <c r="A59" t="s">
        <v>314</v>
      </c>
      <c r="B59">
        <v>9</v>
      </c>
      <c r="C59">
        <v>4</v>
      </c>
      <c r="D59">
        <v>0</v>
      </c>
      <c r="E59" t="s">
        <v>324</v>
      </c>
      <c r="F59">
        <v>3344</v>
      </c>
      <c r="G59">
        <v>7006002.333333333</v>
      </c>
      <c r="H59">
        <v>0.73703705271085107</v>
      </c>
      <c r="I59">
        <v>0.74444444444444446</v>
      </c>
      <c r="J59">
        <v>351162.5</v>
      </c>
      <c r="K59">
        <v>5109</v>
      </c>
      <c r="L59">
        <v>2</v>
      </c>
      <c r="M59">
        <v>46</v>
      </c>
      <c r="N59">
        <v>0.67407407407407405</v>
      </c>
      <c r="O59">
        <v>313520</v>
      </c>
      <c r="P59">
        <v>5314</v>
      </c>
      <c r="Q59">
        <v>2</v>
      </c>
      <c r="R59">
        <v>47</v>
      </c>
      <c r="S59">
        <v>11.625110663983904</v>
      </c>
      <c r="T59">
        <v>0.8592592597007751</v>
      </c>
      <c r="W59">
        <f>Tabela2[[#This Row],[mlp_params]]</f>
        <v>5109</v>
      </c>
      <c r="X59">
        <f>Tabela2[[#This Row],[kan_test_acc]]</f>
        <v>0.73703705271085107</v>
      </c>
      <c r="Y59">
        <f>Tabela2[[#This Row],[kan_val_acc_1]]</f>
        <v>0.8592592597007751</v>
      </c>
      <c r="Z59">
        <f>Tabela2[[#This Row],[no_steps]]</f>
        <v>11.625110663983904</v>
      </c>
      <c r="AB59">
        <f t="shared" si="1"/>
        <v>5109</v>
      </c>
      <c r="AC59">
        <f>Tabela2[[#This Row],[kan_time_difference]]/Tabela2[[#This Row],[no_steps]]</f>
        <v>602661.13036143687</v>
      </c>
      <c r="AE59">
        <v>5109</v>
      </c>
      <c r="AF59">
        <v>602661.13036143687</v>
      </c>
    </row>
    <row r="60" spans="1:32" hidden="1" x14ac:dyDescent="0.25">
      <c r="A60" t="s">
        <v>314</v>
      </c>
      <c r="B60">
        <v>3</v>
      </c>
      <c r="C60">
        <v>2</v>
      </c>
      <c r="D60">
        <v>0</v>
      </c>
      <c r="E60" t="s">
        <v>317</v>
      </c>
      <c r="F60">
        <v>3303</v>
      </c>
      <c r="G60">
        <v>4110432.3333333335</v>
      </c>
      <c r="H60">
        <v>0.92962963382403052</v>
      </c>
      <c r="I60">
        <v>0.68518518518518512</v>
      </c>
      <c r="J60">
        <v>245565.5</v>
      </c>
      <c r="K60">
        <v>5314</v>
      </c>
      <c r="L60">
        <v>2</v>
      </c>
      <c r="M60">
        <v>47</v>
      </c>
      <c r="N60">
        <v>0.71111111111111114</v>
      </c>
      <c r="O60">
        <v>225052.66666666666</v>
      </c>
      <c r="P60">
        <v>5523</v>
      </c>
      <c r="Q60">
        <v>2</v>
      </c>
      <c r="R60">
        <v>48</v>
      </c>
      <c r="S60">
        <v>11.671581526177297</v>
      </c>
      <c r="T60">
        <v>0.99259259700775149</v>
      </c>
      <c r="W60">
        <f>Tabela2[[#This Row],[mlp_params]]</f>
        <v>5314</v>
      </c>
      <c r="X60">
        <f>Tabela2[[#This Row],[kan_test_acc]]</f>
        <v>0.92962963382403052</v>
      </c>
      <c r="Y60">
        <f>Tabela2[[#This Row],[kan_val_acc_1]]</f>
        <v>0.99259259700775149</v>
      </c>
      <c r="Z60">
        <f>Tabela2[[#This Row],[no_steps]]</f>
        <v>11.671581526177297</v>
      </c>
      <c r="AB60">
        <f t="shared" si="1"/>
        <v>5314</v>
      </c>
      <c r="AC60">
        <f>Tabela2[[#This Row],[kan_time_difference]]/Tabela2[[#This Row],[no_steps]]</f>
        <v>352174.40962172602</v>
      </c>
      <c r="AE60">
        <v>5314</v>
      </c>
      <c r="AF60">
        <v>352174.40962172602</v>
      </c>
    </row>
    <row r="61" spans="1:32" hidden="1" x14ac:dyDescent="0.25">
      <c r="A61" t="s">
        <v>314</v>
      </c>
      <c r="B61">
        <v>3</v>
      </c>
      <c r="C61">
        <v>3</v>
      </c>
      <c r="D61">
        <v>0</v>
      </c>
      <c r="E61" t="s">
        <v>356</v>
      </c>
      <c r="F61">
        <v>3048</v>
      </c>
      <c r="G61">
        <v>5151311.833333333</v>
      </c>
      <c r="H61">
        <v>0.86666667461395264</v>
      </c>
      <c r="I61">
        <v>0.76666666666666661</v>
      </c>
      <c r="J61">
        <v>290391.5</v>
      </c>
      <c r="K61">
        <v>5314</v>
      </c>
      <c r="L61">
        <v>2</v>
      </c>
      <c r="M61">
        <v>47</v>
      </c>
      <c r="N61">
        <v>0.7</v>
      </c>
      <c r="O61">
        <v>281719.83333333331</v>
      </c>
      <c r="P61">
        <v>5523</v>
      </c>
      <c r="Q61">
        <v>2</v>
      </c>
      <c r="R61">
        <v>48</v>
      </c>
      <c r="S61">
        <v>11.672241402501905</v>
      </c>
      <c r="T61">
        <v>0.99259259700775149</v>
      </c>
      <c r="W61">
        <f>Tabela2[[#This Row],[mlp_params]]</f>
        <v>5314</v>
      </c>
      <c r="X61">
        <f>Tabela2[[#This Row],[kan_test_acc]]</f>
        <v>0.86666667461395264</v>
      </c>
      <c r="Y61">
        <f>Tabela2[[#This Row],[kan_val_acc_1]]</f>
        <v>0.99259259700775149</v>
      </c>
      <c r="Z61">
        <f>Tabela2[[#This Row],[no_steps]]</f>
        <v>11.672241402501905</v>
      </c>
      <c r="AB61">
        <f t="shared" si="1"/>
        <v>5314</v>
      </c>
      <c r="AC61">
        <f>Tabela2[[#This Row],[kan_time_difference]]/Tabela2[[#This Row],[no_steps]]</f>
        <v>441330.13152291102</v>
      </c>
      <c r="AE61">
        <v>5314</v>
      </c>
      <c r="AF61">
        <v>441330.13152291102</v>
      </c>
    </row>
    <row r="62" spans="1:32" hidden="1" x14ac:dyDescent="0.25">
      <c r="A62" t="s">
        <v>314</v>
      </c>
      <c r="B62">
        <v>5</v>
      </c>
      <c r="C62">
        <v>3</v>
      </c>
      <c r="D62">
        <v>0</v>
      </c>
      <c r="E62" t="s">
        <v>348</v>
      </c>
      <c r="F62">
        <v>3366</v>
      </c>
      <c r="G62">
        <v>8332058.666666667</v>
      </c>
      <c r="H62">
        <v>0.85555556416511536</v>
      </c>
      <c r="I62">
        <v>0.67777777777777781</v>
      </c>
      <c r="J62">
        <v>337451.33333333331</v>
      </c>
      <c r="K62">
        <v>5314</v>
      </c>
      <c r="L62">
        <v>2</v>
      </c>
      <c r="M62">
        <v>47</v>
      </c>
      <c r="N62">
        <v>0.64444444444444438</v>
      </c>
      <c r="O62">
        <v>315241.33333333331</v>
      </c>
      <c r="P62">
        <v>5523</v>
      </c>
      <c r="Q62">
        <v>2</v>
      </c>
      <c r="R62">
        <v>48</v>
      </c>
      <c r="S62">
        <v>11.681019032175472</v>
      </c>
      <c r="T62">
        <v>0.88148149251937868</v>
      </c>
      <c r="W62">
        <f>Tabela2[[#This Row],[mlp_params]]</f>
        <v>5314</v>
      </c>
      <c r="X62">
        <f>Tabela2[[#This Row],[kan_test_acc]]</f>
        <v>0.85555556416511536</v>
      </c>
      <c r="Y62">
        <f>Tabela2[[#This Row],[kan_val_acc_1]]</f>
        <v>0.88148149251937868</v>
      </c>
      <c r="Z62">
        <f>Tabela2[[#This Row],[no_steps]]</f>
        <v>11.681019032175472</v>
      </c>
      <c r="AB62">
        <f t="shared" si="1"/>
        <v>5314</v>
      </c>
      <c r="AC62">
        <f>Tabela2[[#This Row],[kan_time_difference]]/Tabela2[[#This Row],[no_steps]]</f>
        <v>713298.95480145491</v>
      </c>
      <c r="AE62">
        <v>5314</v>
      </c>
      <c r="AF62">
        <v>713298.95480145491</v>
      </c>
    </row>
    <row r="63" spans="1:32" hidden="1" x14ac:dyDescent="0.25">
      <c r="A63" t="s">
        <v>314</v>
      </c>
      <c r="B63">
        <v>3</v>
      </c>
      <c r="C63">
        <v>2</v>
      </c>
      <c r="D63">
        <v>0</v>
      </c>
      <c r="E63" t="s">
        <v>359</v>
      </c>
      <c r="F63">
        <v>3486</v>
      </c>
      <c r="G63">
        <v>7738488.666666667</v>
      </c>
      <c r="H63">
        <v>0.85555556416511536</v>
      </c>
      <c r="I63">
        <v>0.7407407407407407</v>
      </c>
      <c r="J63">
        <v>268166.33333333331</v>
      </c>
      <c r="K63">
        <v>5523</v>
      </c>
      <c r="L63">
        <v>2</v>
      </c>
      <c r="M63">
        <v>48</v>
      </c>
      <c r="N63">
        <v>0.73703703703703705</v>
      </c>
      <c r="O63">
        <v>238974.5</v>
      </c>
      <c r="P63">
        <v>5736</v>
      </c>
      <c r="Q63">
        <v>2</v>
      </c>
      <c r="R63">
        <v>49</v>
      </c>
      <c r="S63">
        <v>11.67198838896952</v>
      </c>
      <c r="T63">
        <v>0.91111111640930176</v>
      </c>
      <c r="W63">
        <f>Tabela2[[#This Row],[mlp_params]]</f>
        <v>5523</v>
      </c>
      <c r="X63">
        <f>Tabela2[[#This Row],[kan_test_acc]]</f>
        <v>0.85555556416511536</v>
      </c>
      <c r="Y63">
        <f>Tabela2[[#This Row],[kan_val_acc_1]]</f>
        <v>0.91111111640930176</v>
      </c>
      <c r="Z63">
        <f>Tabela2[[#This Row],[no_steps]]</f>
        <v>11.67198838896952</v>
      </c>
      <c r="AB63">
        <f t="shared" si="1"/>
        <v>5523</v>
      </c>
      <c r="AC63">
        <f>Tabela2[[#This Row],[kan_time_difference]]/Tabela2[[#This Row],[no_steps]]</f>
        <v>662996.60424438375</v>
      </c>
      <c r="AE63">
        <v>5523</v>
      </c>
      <c r="AF63">
        <v>662996.60424438375</v>
      </c>
    </row>
    <row r="64" spans="1:32" hidden="1" x14ac:dyDescent="0.25">
      <c r="A64" t="s">
        <v>314</v>
      </c>
      <c r="B64">
        <v>5</v>
      </c>
      <c r="C64">
        <v>2</v>
      </c>
      <c r="D64">
        <v>0</v>
      </c>
      <c r="E64" t="s">
        <v>357</v>
      </c>
      <c r="F64">
        <v>3706</v>
      </c>
      <c r="G64">
        <v>3015159.1666666665</v>
      </c>
      <c r="H64">
        <v>0.9444444477558136</v>
      </c>
      <c r="I64">
        <v>0.64814814814814814</v>
      </c>
      <c r="J64">
        <v>288624.5</v>
      </c>
      <c r="K64">
        <v>5523</v>
      </c>
      <c r="L64">
        <v>2</v>
      </c>
      <c r="M64">
        <v>48</v>
      </c>
      <c r="N64">
        <v>0.71851851851851856</v>
      </c>
      <c r="O64">
        <v>304141.83333333331</v>
      </c>
      <c r="P64">
        <v>5736</v>
      </c>
      <c r="Q64">
        <v>2</v>
      </c>
      <c r="R64">
        <v>49</v>
      </c>
      <c r="S64">
        <v>11.673703751672926</v>
      </c>
      <c r="T64">
        <v>0.95555557012557979</v>
      </c>
      <c r="W64">
        <f>Tabela2[[#This Row],[mlp_params]]</f>
        <v>5523</v>
      </c>
      <c r="X64">
        <f>Tabela2[[#This Row],[kan_test_acc]]</f>
        <v>0.9444444477558136</v>
      </c>
      <c r="Y64">
        <f>Tabela2[[#This Row],[kan_val_acc_1]]</f>
        <v>0.95555557012557979</v>
      </c>
      <c r="Z64">
        <f>Tabela2[[#This Row],[no_steps]]</f>
        <v>11.673703751672926</v>
      </c>
      <c r="AB64">
        <f t="shared" si="1"/>
        <v>5523</v>
      </c>
      <c r="AC64">
        <f>Tabela2[[#This Row],[kan_time_difference]]/Tabela2[[#This Row],[no_steps]]</f>
        <v>258286.42141398974</v>
      </c>
      <c r="AE64">
        <v>5523</v>
      </c>
      <c r="AF64">
        <v>258286.42141398974</v>
      </c>
    </row>
    <row r="65" spans="1:32" hidden="1" x14ac:dyDescent="0.25">
      <c r="A65" t="s">
        <v>314</v>
      </c>
      <c r="B65">
        <v>5</v>
      </c>
      <c r="C65">
        <v>4</v>
      </c>
      <c r="D65">
        <v>0</v>
      </c>
      <c r="E65" t="s">
        <v>339</v>
      </c>
      <c r="F65">
        <v>3284</v>
      </c>
      <c r="G65">
        <v>4328412.5</v>
      </c>
      <c r="H65">
        <v>0.91481481989224755</v>
      </c>
      <c r="I65">
        <v>0.64814814814814814</v>
      </c>
      <c r="J65">
        <v>321406.16666666669</v>
      </c>
      <c r="K65">
        <v>5523</v>
      </c>
      <c r="L65">
        <v>2</v>
      </c>
      <c r="M65">
        <v>48</v>
      </c>
      <c r="N65">
        <v>0.68888888888888888</v>
      </c>
      <c r="O65">
        <v>310892.66666666669</v>
      </c>
      <c r="P65">
        <v>5736</v>
      </c>
      <c r="Q65">
        <v>2</v>
      </c>
      <c r="R65">
        <v>49</v>
      </c>
      <c r="S65">
        <v>11.675241428752161</v>
      </c>
      <c r="T65">
        <v>0.96296296119689939</v>
      </c>
      <c r="W65">
        <f>Tabela2[[#This Row],[mlp_params]]</f>
        <v>5523</v>
      </c>
      <c r="X65">
        <f>Tabela2[[#This Row],[kan_test_acc]]</f>
        <v>0.91481481989224755</v>
      </c>
      <c r="Y65">
        <f>Tabela2[[#This Row],[kan_val_acc_1]]</f>
        <v>0.96296296119689939</v>
      </c>
      <c r="Z65">
        <f>Tabela2[[#This Row],[no_steps]]</f>
        <v>11.675241428752161</v>
      </c>
      <c r="AB65">
        <f t="shared" si="1"/>
        <v>5523</v>
      </c>
      <c r="AC65">
        <f>Tabela2[[#This Row],[kan_time_difference]]/Tabela2[[#This Row],[no_steps]]</f>
        <v>370734.30356143106</v>
      </c>
      <c r="AE65">
        <v>5523</v>
      </c>
      <c r="AF65">
        <v>370734.30356143106</v>
      </c>
    </row>
    <row r="66" spans="1:32" hidden="1" x14ac:dyDescent="0.25">
      <c r="A66" t="s">
        <v>314</v>
      </c>
      <c r="B66">
        <v>3</v>
      </c>
      <c r="C66">
        <v>2</v>
      </c>
      <c r="D66">
        <v>0</v>
      </c>
      <c r="E66" t="s">
        <v>318</v>
      </c>
      <c r="F66">
        <v>3561</v>
      </c>
      <c r="G66">
        <v>4878742.7272727275</v>
      </c>
      <c r="H66">
        <v>0.85252525860613038</v>
      </c>
      <c r="I66">
        <v>0.69696969696969691</v>
      </c>
      <c r="J66">
        <v>235149.09090909091</v>
      </c>
      <c r="K66">
        <v>5736</v>
      </c>
      <c r="L66">
        <v>2</v>
      </c>
      <c r="M66">
        <v>49</v>
      </c>
      <c r="N66">
        <v>0.74949494949494944</v>
      </c>
      <c r="O66">
        <v>222538.81818181818</v>
      </c>
      <c r="P66">
        <v>5953</v>
      </c>
      <c r="Q66">
        <v>2</v>
      </c>
      <c r="R66">
        <v>50</v>
      </c>
      <c r="S66">
        <v>11.670837299968268</v>
      </c>
      <c r="T66">
        <v>0.88518518805503843</v>
      </c>
      <c r="W66">
        <f>Tabela2[[#This Row],[mlp_params]]</f>
        <v>5736</v>
      </c>
      <c r="X66">
        <f>Tabela2[[#This Row],[kan_test_acc]]</f>
        <v>0.85252525860613038</v>
      </c>
      <c r="Y66">
        <f>Tabela2[[#This Row],[kan_val_acc_1]]</f>
        <v>0.88518518805503843</v>
      </c>
      <c r="Z66">
        <f>Tabela2[[#This Row],[no_steps]]</f>
        <v>11.670837299968268</v>
      </c>
      <c r="AB66">
        <f t="shared" si="1"/>
        <v>5736</v>
      </c>
      <c r="AC66">
        <f>Tabela2[[#This Row],[kan_time_difference]]/Tabela2[[#This Row],[no_steps]]</f>
        <v>418028.51002695347</v>
      </c>
      <c r="AE66">
        <v>5736</v>
      </c>
      <c r="AF66">
        <v>418028.51002695347</v>
      </c>
    </row>
    <row r="67" spans="1:32" hidden="1" x14ac:dyDescent="0.25">
      <c r="A67" t="s">
        <v>314</v>
      </c>
      <c r="B67">
        <v>3</v>
      </c>
      <c r="C67">
        <v>3</v>
      </c>
      <c r="D67">
        <v>0</v>
      </c>
      <c r="E67" t="s">
        <v>357</v>
      </c>
      <c r="F67">
        <v>3338</v>
      </c>
      <c r="G67">
        <v>4806627.166666667</v>
      </c>
      <c r="H67">
        <v>0.90740741292635596</v>
      </c>
      <c r="I67">
        <v>0.78148148148148144</v>
      </c>
      <c r="J67">
        <v>286522.83333333331</v>
      </c>
      <c r="K67">
        <v>5736</v>
      </c>
      <c r="L67">
        <v>2</v>
      </c>
      <c r="M67">
        <v>49</v>
      </c>
      <c r="N67">
        <v>0.62222222222222223</v>
      </c>
      <c r="O67">
        <v>236624.83333333334</v>
      </c>
      <c r="P67">
        <v>5953</v>
      </c>
      <c r="Q67">
        <v>2</v>
      </c>
      <c r="R67">
        <v>50</v>
      </c>
      <c r="S67">
        <v>11.671388228965888</v>
      </c>
      <c r="T67">
        <v>0.97777779102325435</v>
      </c>
      <c r="W67">
        <f>Tabela2[[#This Row],[mlp_params]]</f>
        <v>5736</v>
      </c>
      <c r="X67">
        <f>Tabela2[[#This Row],[kan_test_acc]]</f>
        <v>0.90740741292635596</v>
      </c>
      <c r="Y67">
        <f>Tabela2[[#This Row],[kan_val_acc_1]]</f>
        <v>0.97777779102325435</v>
      </c>
      <c r="Z67">
        <f>Tabela2[[#This Row],[no_steps]]</f>
        <v>11.671388228965888</v>
      </c>
      <c r="AB67">
        <f t="shared" si="1"/>
        <v>5736</v>
      </c>
      <c r="AC67">
        <f>Tabela2[[#This Row],[kan_time_difference]]/Tabela2[[#This Row],[no_steps]]</f>
        <v>411829.94450802746</v>
      </c>
      <c r="AE67">
        <v>5736</v>
      </c>
      <c r="AF67">
        <v>411829.94450802746</v>
      </c>
    </row>
    <row r="68" spans="1:32" hidden="1" x14ac:dyDescent="0.25">
      <c r="A68" t="s">
        <v>314</v>
      </c>
      <c r="B68">
        <v>3</v>
      </c>
      <c r="C68">
        <v>4</v>
      </c>
      <c r="D68">
        <v>0</v>
      </c>
      <c r="E68" t="s">
        <v>348</v>
      </c>
      <c r="F68">
        <v>3062</v>
      </c>
      <c r="G68">
        <v>7036762.333333333</v>
      </c>
      <c r="H68">
        <v>0.89629630247751868</v>
      </c>
      <c r="I68">
        <v>0.67407407407407405</v>
      </c>
      <c r="J68">
        <v>314300</v>
      </c>
      <c r="K68">
        <v>5736</v>
      </c>
      <c r="L68">
        <v>2</v>
      </c>
      <c r="M68">
        <v>49</v>
      </c>
      <c r="N68">
        <v>0.71111111111111114</v>
      </c>
      <c r="O68">
        <v>311475.16666666669</v>
      </c>
      <c r="P68">
        <v>5953</v>
      </c>
      <c r="Q68">
        <v>2</v>
      </c>
      <c r="R68">
        <v>50</v>
      </c>
      <c r="S68">
        <v>11.674195119790975</v>
      </c>
      <c r="T68">
        <v>0.88148149251937868</v>
      </c>
      <c r="W68">
        <f>Tabela2[[#This Row],[mlp_params]]</f>
        <v>5736</v>
      </c>
      <c r="X68">
        <f>Tabela2[[#This Row],[kan_test_acc]]</f>
        <v>0.89629630247751868</v>
      </c>
      <c r="Y68">
        <f>Tabela2[[#This Row],[kan_val_acc_1]]</f>
        <v>0.88148149251937868</v>
      </c>
      <c r="Z68">
        <f>Tabela2[[#This Row],[no_steps]]</f>
        <v>11.674195119790975</v>
      </c>
      <c r="AB68">
        <f t="shared" si="1"/>
        <v>5736</v>
      </c>
      <c r="AC68">
        <f>Tabela2[[#This Row],[kan_time_difference]]/Tabela2[[#This Row],[no_steps]]</f>
        <v>602762.09718339238</v>
      </c>
      <c r="AE68">
        <v>5736</v>
      </c>
      <c r="AF68">
        <v>602762.09718339238</v>
      </c>
    </row>
    <row r="69" spans="1:32" hidden="1" x14ac:dyDescent="0.25">
      <c r="A69" t="s">
        <v>314</v>
      </c>
      <c r="B69">
        <v>5</v>
      </c>
      <c r="C69">
        <v>5</v>
      </c>
      <c r="D69">
        <v>0</v>
      </c>
      <c r="E69" t="s">
        <v>332</v>
      </c>
      <c r="F69">
        <v>3138</v>
      </c>
      <c r="G69">
        <v>7075399.5</v>
      </c>
      <c r="H69">
        <v>0.91111111640930176</v>
      </c>
      <c r="I69">
        <v>0.67407407407407405</v>
      </c>
      <c r="J69">
        <v>349371</v>
      </c>
      <c r="K69">
        <v>5736</v>
      </c>
      <c r="L69">
        <v>2</v>
      </c>
      <c r="M69">
        <v>49</v>
      </c>
      <c r="N69">
        <v>0.64814814814814814</v>
      </c>
      <c r="O69">
        <v>301736.16666666669</v>
      </c>
      <c r="P69">
        <v>5953</v>
      </c>
      <c r="Q69">
        <v>2</v>
      </c>
      <c r="R69">
        <v>50</v>
      </c>
      <c r="S69">
        <v>11.671764313692808</v>
      </c>
      <c r="T69">
        <v>0.96296297311782841</v>
      </c>
      <c r="W69">
        <f>Tabela2[[#This Row],[mlp_params]]</f>
        <v>5736</v>
      </c>
      <c r="X69">
        <f>Tabela2[[#This Row],[kan_test_acc]]</f>
        <v>0.91111111640930176</v>
      </c>
      <c r="Y69">
        <f>Tabela2[[#This Row],[kan_val_acc_1]]</f>
        <v>0.96296297311782841</v>
      </c>
      <c r="Z69">
        <f>Tabela2[[#This Row],[no_steps]]</f>
        <v>11.671764313692808</v>
      </c>
      <c r="AB69">
        <f t="shared" si="1"/>
        <v>5736</v>
      </c>
      <c r="AC69">
        <f>Tabela2[[#This Row],[kan_time_difference]]/Tabela2[[#This Row],[no_steps]]</f>
        <v>606197.94144570315</v>
      </c>
      <c r="AE69">
        <v>5736</v>
      </c>
      <c r="AF69">
        <v>606197.94144570315</v>
      </c>
    </row>
    <row r="70" spans="1:32" hidden="1" x14ac:dyDescent="0.25">
      <c r="A70" t="s">
        <v>314</v>
      </c>
      <c r="B70">
        <v>9</v>
      </c>
      <c r="C70">
        <v>2</v>
      </c>
      <c r="D70">
        <v>0</v>
      </c>
      <c r="E70" t="s">
        <v>348</v>
      </c>
      <c r="F70">
        <v>4278</v>
      </c>
      <c r="G70">
        <v>2899953.3333333335</v>
      </c>
      <c r="H70">
        <v>0.91481481989224755</v>
      </c>
      <c r="I70">
        <v>0.67777777777777781</v>
      </c>
      <c r="J70">
        <v>334491.5</v>
      </c>
      <c r="K70">
        <v>5736</v>
      </c>
      <c r="L70">
        <v>2</v>
      </c>
      <c r="M70">
        <v>49</v>
      </c>
      <c r="N70">
        <v>0.68518518518518523</v>
      </c>
      <c r="O70">
        <v>325745</v>
      </c>
      <c r="P70">
        <v>5953</v>
      </c>
      <c r="Q70">
        <v>2</v>
      </c>
      <c r="R70">
        <v>50</v>
      </c>
      <c r="S70">
        <v>11.654659970360612</v>
      </c>
      <c r="T70">
        <v>0.95555555820465088</v>
      </c>
      <c r="W70">
        <f>Tabela2[[#This Row],[mlp_params]]</f>
        <v>5736</v>
      </c>
      <c r="X70">
        <f>Tabela2[[#This Row],[kan_test_acc]]</f>
        <v>0.91481481989224755</v>
      </c>
      <c r="Y70">
        <f>Tabela2[[#This Row],[kan_val_acc_1]]</f>
        <v>0.95555555820465088</v>
      </c>
      <c r="Z70">
        <f>Tabela2[[#This Row],[no_steps]]</f>
        <v>11.654659970360612</v>
      </c>
      <c r="AB70">
        <f t="shared" si="1"/>
        <v>5736</v>
      </c>
      <c r="AC70">
        <f>Tabela2[[#This Row],[kan_time_difference]]/Tabela2[[#This Row],[no_steps]]</f>
        <v>248823.50413553976</v>
      </c>
      <c r="AE70">
        <v>5736</v>
      </c>
      <c r="AF70">
        <v>248823.50413553976</v>
      </c>
    </row>
    <row r="71" spans="1:32" hidden="1" x14ac:dyDescent="0.25">
      <c r="A71" t="s">
        <v>314</v>
      </c>
      <c r="B71">
        <v>9</v>
      </c>
      <c r="C71">
        <v>5</v>
      </c>
      <c r="D71">
        <v>0</v>
      </c>
      <c r="E71" t="s">
        <v>324</v>
      </c>
      <c r="F71">
        <v>3552</v>
      </c>
      <c r="G71">
        <v>5770349.833333333</v>
      </c>
      <c r="H71">
        <v>0.71481483181317651</v>
      </c>
      <c r="I71">
        <v>0.7407407407407407</v>
      </c>
      <c r="J71">
        <v>249628.33333333334</v>
      </c>
      <c r="K71">
        <v>5736</v>
      </c>
      <c r="L71">
        <v>2</v>
      </c>
      <c r="M71">
        <v>49</v>
      </c>
      <c r="N71">
        <v>0.72222222222222221</v>
      </c>
      <c r="O71">
        <v>189169.16666666666</v>
      </c>
      <c r="P71">
        <v>5953</v>
      </c>
      <c r="Q71">
        <v>2</v>
      </c>
      <c r="R71">
        <v>50</v>
      </c>
      <c r="S71">
        <v>11.589646965489885</v>
      </c>
      <c r="T71">
        <v>0.74814814329147339</v>
      </c>
      <c r="W71">
        <f>Tabela2[[#This Row],[mlp_params]]</f>
        <v>5736</v>
      </c>
      <c r="X71">
        <f>Tabela2[[#This Row],[kan_test_acc]]</f>
        <v>0.71481483181317651</v>
      </c>
      <c r="Y71">
        <f>Tabela2[[#This Row],[kan_val_acc_1]]</f>
        <v>0.74814814329147339</v>
      </c>
      <c r="Z71">
        <f>Tabela2[[#This Row],[no_steps]]</f>
        <v>11.589646965489885</v>
      </c>
      <c r="AB71">
        <f t="shared" si="1"/>
        <v>5736</v>
      </c>
      <c r="AC71">
        <f>Tabela2[[#This Row],[kan_time_difference]]/Tabela2[[#This Row],[no_steps]]</f>
        <v>497888.31795442227</v>
      </c>
      <c r="AE71">
        <v>5736</v>
      </c>
      <c r="AF71">
        <v>497888.31795442227</v>
      </c>
    </row>
    <row r="72" spans="1:32" hidden="1" x14ac:dyDescent="0.25">
      <c r="A72" t="s">
        <v>314</v>
      </c>
      <c r="B72">
        <v>3</v>
      </c>
      <c r="C72">
        <v>2</v>
      </c>
      <c r="D72">
        <v>0</v>
      </c>
      <c r="E72" t="s">
        <v>326</v>
      </c>
      <c r="F72">
        <v>3753</v>
      </c>
      <c r="G72">
        <v>6325081.666666667</v>
      </c>
      <c r="H72">
        <v>0.90740741292635596</v>
      </c>
      <c r="I72">
        <v>0.66296296296296298</v>
      </c>
      <c r="J72">
        <v>285081.66666666669</v>
      </c>
      <c r="K72">
        <v>5953</v>
      </c>
      <c r="L72">
        <v>2</v>
      </c>
      <c r="M72">
        <v>50</v>
      </c>
      <c r="N72">
        <v>0.7407407407407407</v>
      </c>
      <c r="O72">
        <v>253959.5</v>
      </c>
      <c r="P72">
        <v>6174</v>
      </c>
      <c r="Q72">
        <v>2</v>
      </c>
      <c r="R72">
        <v>51</v>
      </c>
      <c r="S72">
        <v>11.670382959438024</v>
      </c>
      <c r="T72">
        <v>0.92592592239379878</v>
      </c>
      <c r="W72">
        <f>Tabela2[[#This Row],[mlp_params]]</f>
        <v>5953</v>
      </c>
      <c r="X72">
        <f>Tabela2[[#This Row],[kan_test_acc]]</f>
        <v>0.90740741292635596</v>
      </c>
      <c r="Y72">
        <f>Tabela2[[#This Row],[kan_val_acc_1]]</f>
        <v>0.92592592239379878</v>
      </c>
      <c r="Z72">
        <f>Tabela2[[#This Row],[no_steps]]</f>
        <v>11.670382959438024</v>
      </c>
      <c r="AB72">
        <f t="shared" si="1"/>
        <v>5953</v>
      </c>
      <c r="AC72">
        <f>Tabela2[[#This Row],[kan_time_difference]]/Tabela2[[#This Row],[no_steps]]</f>
        <v>541977.21605626261</v>
      </c>
      <c r="AE72">
        <v>5953</v>
      </c>
      <c r="AF72">
        <v>541977.21605626261</v>
      </c>
    </row>
    <row r="73" spans="1:32" hidden="1" x14ac:dyDescent="0.25">
      <c r="A73" t="s">
        <v>314</v>
      </c>
      <c r="B73">
        <v>3</v>
      </c>
      <c r="C73">
        <v>3</v>
      </c>
      <c r="D73">
        <v>0</v>
      </c>
      <c r="E73" t="s">
        <v>316</v>
      </c>
      <c r="F73">
        <v>3422</v>
      </c>
      <c r="G73">
        <v>3836478.8333333335</v>
      </c>
      <c r="H73">
        <v>0.9481481512387594</v>
      </c>
      <c r="I73">
        <v>0.70740740740740748</v>
      </c>
      <c r="J73">
        <v>331092.33333333331</v>
      </c>
      <c r="K73">
        <v>5953</v>
      </c>
      <c r="L73">
        <v>2</v>
      </c>
      <c r="M73">
        <v>50</v>
      </c>
      <c r="N73">
        <v>0.7592592592592593</v>
      </c>
      <c r="O73">
        <v>312974</v>
      </c>
      <c r="P73">
        <v>6174</v>
      </c>
      <c r="Q73">
        <v>2</v>
      </c>
      <c r="R73">
        <v>51</v>
      </c>
      <c r="S73">
        <v>11.670401075509746</v>
      </c>
      <c r="T73">
        <v>0.95555555820465088</v>
      </c>
      <c r="W73">
        <f>Tabela2[[#This Row],[mlp_params]]</f>
        <v>5953</v>
      </c>
      <c r="X73">
        <f>Tabela2[[#This Row],[kan_test_acc]]</f>
        <v>0.9481481512387594</v>
      </c>
      <c r="Y73">
        <f>Tabela2[[#This Row],[kan_val_acc_1]]</f>
        <v>0.95555555820465088</v>
      </c>
      <c r="Z73">
        <f>Tabela2[[#This Row],[no_steps]]</f>
        <v>11.670401075509746</v>
      </c>
      <c r="AB73">
        <f t="shared" si="1"/>
        <v>5953</v>
      </c>
      <c r="AC73">
        <f>Tabela2[[#This Row],[kan_time_difference]]/Tabela2[[#This Row],[no_steps]]</f>
        <v>328735.81709065312</v>
      </c>
      <c r="AE73">
        <v>5953</v>
      </c>
      <c r="AF73">
        <v>328735.81709065312</v>
      </c>
    </row>
    <row r="74" spans="1:32" hidden="1" x14ac:dyDescent="0.25">
      <c r="A74" t="s">
        <v>314</v>
      </c>
      <c r="B74">
        <v>3</v>
      </c>
      <c r="C74">
        <v>5</v>
      </c>
      <c r="D74">
        <v>0</v>
      </c>
      <c r="E74" t="s">
        <v>339</v>
      </c>
      <c r="F74">
        <v>3012</v>
      </c>
      <c r="G74">
        <v>7372469.333333333</v>
      </c>
      <c r="H74">
        <v>0.86666667461395264</v>
      </c>
      <c r="I74">
        <v>0.68888888888888888</v>
      </c>
      <c r="J74">
        <v>328754.83333333331</v>
      </c>
      <c r="K74">
        <v>5953</v>
      </c>
      <c r="L74">
        <v>2</v>
      </c>
      <c r="M74">
        <v>50</v>
      </c>
      <c r="N74">
        <v>0.65555555555555556</v>
      </c>
      <c r="O74">
        <v>330183.66666666669</v>
      </c>
      <c r="P74">
        <v>6174</v>
      </c>
      <c r="Q74">
        <v>2</v>
      </c>
      <c r="R74">
        <v>51</v>
      </c>
      <c r="S74">
        <v>11.676888752788836</v>
      </c>
      <c r="T74">
        <v>0.94074074029922483</v>
      </c>
      <c r="W74">
        <f>Tabela2[[#This Row],[mlp_params]]</f>
        <v>5953</v>
      </c>
      <c r="X74">
        <f>Tabela2[[#This Row],[kan_test_acc]]</f>
        <v>0.86666667461395264</v>
      </c>
      <c r="Y74">
        <f>Tabela2[[#This Row],[kan_val_acc_1]]</f>
        <v>0.94074074029922483</v>
      </c>
      <c r="Z74">
        <f>Tabela2[[#This Row],[no_steps]]</f>
        <v>11.676888752788836</v>
      </c>
      <c r="AB74">
        <f t="shared" si="1"/>
        <v>5953</v>
      </c>
      <c r="AC74">
        <f>Tabela2[[#This Row],[kan_time_difference]]/Tabela2[[#This Row],[no_steps]]</f>
        <v>631372.74743433157</v>
      </c>
      <c r="AE74">
        <v>5953</v>
      </c>
      <c r="AF74">
        <v>631372.74743433157</v>
      </c>
    </row>
    <row r="75" spans="1:32" hidden="1" x14ac:dyDescent="0.25">
      <c r="A75" t="s">
        <v>314</v>
      </c>
      <c r="B75">
        <v>5</v>
      </c>
      <c r="C75">
        <v>2</v>
      </c>
      <c r="D75">
        <v>0</v>
      </c>
      <c r="E75" t="s">
        <v>358</v>
      </c>
      <c r="F75">
        <v>4028</v>
      </c>
      <c r="G75">
        <v>7237648.1818181816</v>
      </c>
      <c r="H75">
        <v>0.82222223281860352</v>
      </c>
      <c r="I75">
        <v>0.65656565656565657</v>
      </c>
      <c r="J75">
        <v>322422.72727272729</v>
      </c>
      <c r="K75">
        <v>5953</v>
      </c>
      <c r="L75">
        <v>2</v>
      </c>
      <c r="M75">
        <v>50</v>
      </c>
      <c r="N75">
        <v>0.7595959595959596</v>
      </c>
      <c r="O75">
        <v>319687.81818181818</v>
      </c>
      <c r="P75">
        <v>6174</v>
      </c>
      <c r="Q75">
        <v>2</v>
      </c>
      <c r="R75">
        <v>51</v>
      </c>
      <c r="S75">
        <v>11.673513420212307</v>
      </c>
      <c r="T75">
        <v>0.90740740895271299</v>
      </c>
      <c r="W75">
        <f>Tabela2[[#This Row],[mlp_params]]</f>
        <v>5953</v>
      </c>
      <c r="X75">
        <f>Tabela2[[#This Row],[kan_test_acc]]</f>
        <v>0.82222223281860352</v>
      </c>
      <c r="Y75">
        <f>Tabela2[[#This Row],[kan_val_acc_1]]</f>
        <v>0.90740740895271299</v>
      </c>
      <c r="Z75">
        <f>Tabela2[[#This Row],[no_steps]]</f>
        <v>11.673513420212307</v>
      </c>
      <c r="AB75">
        <f t="shared" si="1"/>
        <v>5953</v>
      </c>
      <c r="AC75">
        <f>Tabela2[[#This Row],[kan_time_difference]]/Tabela2[[#This Row],[no_steps]]</f>
        <v>620005.98459812708</v>
      </c>
      <c r="AE75">
        <v>5953</v>
      </c>
      <c r="AF75">
        <v>620005.98459812708</v>
      </c>
    </row>
    <row r="76" spans="1:32" hidden="1" x14ac:dyDescent="0.25">
      <c r="A76" t="s">
        <v>314</v>
      </c>
      <c r="B76">
        <v>5</v>
      </c>
      <c r="C76">
        <v>3</v>
      </c>
      <c r="D76">
        <v>0</v>
      </c>
      <c r="E76" t="s">
        <v>356</v>
      </c>
      <c r="F76">
        <v>3720</v>
      </c>
      <c r="G76">
        <v>6885708.666666667</v>
      </c>
      <c r="H76">
        <v>0.829629639784495</v>
      </c>
      <c r="I76">
        <v>0.73333333333333339</v>
      </c>
      <c r="J76">
        <v>347774</v>
      </c>
      <c r="K76">
        <v>5953</v>
      </c>
      <c r="L76">
        <v>2</v>
      </c>
      <c r="M76">
        <v>50</v>
      </c>
      <c r="N76">
        <v>0.71111111111111114</v>
      </c>
      <c r="O76">
        <v>335243</v>
      </c>
      <c r="P76">
        <v>6174</v>
      </c>
      <c r="Q76">
        <v>2</v>
      </c>
      <c r="R76">
        <v>51</v>
      </c>
      <c r="S76">
        <v>11.680674061433447</v>
      </c>
      <c r="T76">
        <v>0.91851851940155027</v>
      </c>
      <c r="W76">
        <f>Tabela2[[#This Row],[mlp_params]]</f>
        <v>5953</v>
      </c>
      <c r="X76">
        <f>Tabela2[[#This Row],[kan_test_acc]]</f>
        <v>0.829629639784495</v>
      </c>
      <c r="Y76">
        <f>Tabela2[[#This Row],[kan_val_acc_1]]</f>
        <v>0.91851851940155027</v>
      </c>
      <c r="Z76">
        <f>Tabela2[[#This Row],[no_steps]]</f>
        <v>11.680674061433447</v>
      </c>
      <c r="AB76">
        <f t="shared" si="1"/>
        <v>5953</v>
      </c>
      <c r="AC76">
        <f>Tabela2[[#This Row],[kan_time_difference]]/Tabela2[[#This Row],[no_steps]]</f>
        <v>589495.83135801123</v>
      </c>
      <c r="AE76">
        <v>5953</v>
      </c>
      <c r="AF76">
        <v>589495.83135801123</v>
      </c>
    </row>
    <row r="77" spans="1:32" hidden="1" x14ac:dyDescent="0.25">
      <c r="A77" t="s">
        <v>314</v>
      </c>
      <c r="B77">
        <v>9</v>
      </c>
      <c r="C77">
        <v>3</v>
      </c>
      <c r="D77">
        <v>0</v>
      </c>
      <c r="E77" t="s">
        <v>339</v>
      </c>
      <c r="F77">
        <v>4100</v>
      </c>
      <c r="G77">
        <v>3989220.1666666665</v>
      </c>
      <c r="H77">
        <v>0.9444444477558136</v>
      </c>
      <c r="I77">
        <v>0.68518518518518512</v>
      </c>
      <c r="J77">
        <v>329712.83333333331</v>
      </c>
      <c r="K77">
        <v>5953</v>
      </c>
      <c r="L77">
        <v>2</v>
      </c>
      <c r="M77">
        <v>50</v>
      </c>
      <c r="N77">
        <v>0.70740740740740737</v>
      </c>
      <c r="O77">
        <v>292473.16666666669</v>
      </c>
      <c r="P77">
        <v>6174</v>
      </c>
      <c r="Q77">
        <v>2</v>
      </c>
      <c r="R77">
        <v>51</v>
      </c>
      <c r="S77">
        <v>11.637606837606837</v>
      </c>
      <c r="T77">
        <v>0.96296297311782841</v>
      </c>
      <c r="W77">
        <f>Tabela2[[#This Row],[mlp_params]]</f>
        <v>5953</v>
      </c>
      <c r="X77">
        <f>Tabela2[[#This Row],[kan_test_acc]]</f>
        <v>0.9444444477558136</v>
      </c>
      <c r="Y77">
        <f>Tabela2[[#This Row],[kan_val_acc_1]]</f>
        <v>0.96296297311782841</v>
      </c>
      <c r="Z77">
        <f>Tabela2[[#This Row],[no_steps]]</f>
        <v>11.637606837606837</v>
      </c>
      <c r="AB77">
        <f t="shared" si="1"/>
        <v>5953</v>
      </c>
      <c r="AC77">
        <f>Tabela2[[#This Row],[kan_time_difference]]/Tabela2[[#This Row],[no_steps]]</f>
        <v>342786.98553172738</v>
      </c>
      <c r="AE77">
        <v>5953</v>
      </c>
      <c r="AF77">
        <v>342786.98553172738</v>
      </c>
    </row>
    <row r="78" spans="1:32" x14ac:dyDescent="0.25">
      <c r="A78" t="s">
        <v>314</v>
      </c>
      <c r="B78">
        <v>9</v>
      </c>
      <c r="C78">
        <v>4</v>
      </c>
      <c r="D78">
        <v>0</v>
      </c>
      <c r="E78" t="s">
        <v>332</v>
      </c>
      <c r="F78">
        <v>3858</v>
      </c>
      <c r="G78">
        <v>5165991</v>
      </c>
      <c r="H78">
        <v>0.85925926764806115</v>
      </c>
      <c r="I78">
        <v>0.67777777777777781</v>
      </c>
      <c r="J78">
        <v>365491.33333333331</v>
      </c>
      <c r="K78">
        <v>5953</v>
      </c>
      <c r="L78">
        <v>2</v>
      </c>
      <c r="M78">
        <v>50</v>
      </c>
      <c r="N78">
        <v>0.6962962962962963</v>
      </c>
      <c r="O78">
        <v>337369.33333333331</v>
      </c>
      <c r="P78">
        <v>6174</v>
      </c>
      <c r="Q78">
        <v>2</v>
      </c>
      <c r="R78">
        <v>51</v>
      </c>
      <c r="S78">
        <v>11.624316060508528</v>
      </c>
      <c r="T78">
        <v>0.88888890743255611</v>
      </c>
      <c r="W78">
        <f>Tabela2[[#This Row],[mlp_params]]</f>
        <v>5953</v>
      </c>
      <c r="X78">
        <f>Tabela2[[#This Row],[kan_test_acc]]</f>
        <v>0.85925926764806115</v>
      </c>
      <c r="Y78">
        <f>Tabela2[[#This Row],[kan_val_acc_1]]</f>
        <v>0.88888890743255611</v>
      </c>
      <c r="Z78">
        <f>Tabela2[[#This Row],[no_steps]]</f>
        <v>11.624316060508528</v>
      </c>
      <c r="AB78">
        <f t="shared" si="1"/>
        <v>5953</v>
      </c>
      <c r="AC78">
        <f>Tabela2[[#This Row],[kan_time_difference]]/Tabela2[[#This Row],[no_steps]]</f>
        <v>444412.46892369888</v>
      </c>
      <c r="AE78">
        <v>5953</v>
      </c>
      <c r="AF78">
        <v>444412.46892369888</v>
      </c>
    </row>
    <row r="79" spans="1:32" hidden="1" x14ac:dyDescent="0.25">
      <c r="A79" t="s">
        <v>314</v>
      </c>
      <c r="B79">
        <v>3</v>
      </c>
      <c r="C79">
        <v>2</v>
      </c>
      <c r="D79">
        <v>0</v>
      </c>
      <c r="E79" t="s">
        <v>319</v>
      </c>
      <c r="F79">
        <v>3819</v>
      </c>
      <c r="G79">
        <v>7727787.666666667</v>
      </c>
      <c r="H79">
        <v>0.91111111640930176</v>
      </c>
      <c r="I79">
        <v>0.70370370370370372</v>
      </c>
      <c r="J79">
        <v>281151.33333333331</v>
      </c>
      <c r="K79">
        <v>6174</v>
      </c>
      <c r="L79">
        <v>2</v>
      </c>
      <c r="M79">
        <v>51</v>
      </c>
      <c r="N79">
        <v>0.78888888888888886</v>
      </c>
      <c r="O79">
        <v>239540</v>
      </c>
      <c r="P79">
        <v>6399</v>
      </c>
      <c r="Q79">
        <v>2</v>
      </c>
      <c r="R79">
        <v>52</v>
      </c>
      <c r="S79">
        <v>11.670517874133479</v>
      </c>
      <c r="T79">
        <v>0.92592593431472781</v>
      </c>
      <c r="W79">
        <f>Tabela2[[#This Row],[mlp_params]]</f>
        <v>6174</v>
      </c>
      <c r="X79">
        <f>Tabela2[[#This Row],[kan_test_acc]]</f>
        <v>0.91111111640930176</v>
      </c>
      <c r="Y79">
        <f>Tabela2[[#This Row],[kan_val_acc_1]]</f>
        <v>0.92592593431472781</v>
      </c>
      <c r="Z79">
        <f>Tabela2[[#This Row],[no_steps]]</f>
        <v>11.670517874133479</v>
      </c>
      <c r="AB79">
        <f t="shared" si="1"/>
        <v>6174</v>
      </c>
      <c r="AC79">
        <f>Tabela2[[#This Row],[kan_time_difference]]/Tabela2[[#This Row],[no_steps]]</f>
        <v>662163.21760618058</v>
      </c>
      <c r="AE79">
        <v>6174</v>
      </c>
      <c r="AF79">
        <v>662163.21760618058</v>
      </c>
    </row>
    <row r="80" spans="1:32" hidden="1" x14ac:dyDescent="0.25">
      <c r="A80" t="s">
        <v>314</v>
      </c>
      <c r="B80">
        <v>3</v>
      </c>
      <c r="C80">
        <v>2</v>
      </c>
      <c r="D80">
        <v>0</v>
      </c>
      <c r="E80" t="s">
        <v>320</v>
      </c>
      <c r="F80">
        <v>4077</v>
      </c>
      <c r="G80">
        <v>8008123.9090909092</v>
      </c>
      <c r="H80">
        <v>0.9252525297078219</v>
      </c>
      <c r="I80">
        <v>0.65858585858585861</v>
      </c>
      <c r="J80">
        <v>255523.45454545456</v>
      </c>
      <c r="K80">
        <v>6399</v>
      </c>
      <c r="L80">
        <v>2</v>
      </c>
      <c r="M80">
        <v>52</v>
      </c>
      <c r="N80">
        <v>0.69696969696969702</v>
      </c>
      <c r="O80">
        <v>243742.90909090909</v>
      </c>
      <c r="P80">
        <v>6628</v>
      </c>
      <c r="Q80">
        <v>2</v>
      </c>
      <c r="R80">
        <v>53</v>
      </c>
      <c r="S80">
        <v>11.670817860701023</v>
      </c>
      <c r="T80">
        <v>0.94814814925193791</v>
      </c>
      <c r="W80">
        <f>Tabela2[[#This Row],[mlp_params]]</f>
        <v>6399</v>
      </c>
      <c r="X80">
        <f>Tabela2[[#This Row],[kan_test_acc]]</f>
        <v>0.9252525297078219</v>
      </c>
      <c r="Y80">
        <f>Tabela2[[#This Row],[kan_val_acc_1]]</f>
        <v>0.94814814925193791</v>
      </c>
      <c r="Z80">
        <f>Tabela2[[#This Row],[no_steps]]</f>
        <v>11.670817860701023</v>
      </c>
      <c r="AB80">
        <f t="shared" si="1"/>
        <v>6399</v>
      </c>
      <c r="AC80">
        <f>Tabela2[[#This Row],[kan_time_difference]]/Tabela2[[#This Row],[no_steps]]</f>
        <v>686166.47133673041</v>
      </c>
      <c r="AE80">
        <v>6399</v>
      </c>
      <c r="AF80">
        <v>686166.47133673041</v>
      </c>
    </row>
    <row r="81" spans="1:32" hidden="1" x14ac:dyDescent="0.25">
      <c r="A81" t="s">
        <v>314</v>
      </c>
      <c r="B81">
        <v>3</v>
      </c>
      <c r="C81">
        <v>3</v>
      </c>
      <c r="D81">
        <v>0</v>
      </c>
      <c r="E81" t="s">
        <v>358</v>
      </c>
      <c r="F81">
        <v>3628</v>
      </c>
      <c r="G81">
        <v>7364277.333333333</v>
      </c>
      <c r="H81">
        <v>0.90740741292635596</v>
      </c>
      <c r="I81">
        <v>0.72962962962962963</v>
      </c>
      <c r="J81">
        <v>330527.66666666669</v>
      </c>
      <c r="K81">
        <v>6399</v>
      </c>
      <c r="L81">
        <v>2</v>
      </c>
      <c r="M81">
        <v>52</v>
      </c>
      <c r="N81">
        <v>0.71111111111111114</v>
      </c>
      <c r="O81">
        <v>267632.16666666669</v>
      </c>
      <c r="P81">
        <v>6628</v>
      </c>
      <c r="Q81">
        <v>2</v>
      </c>
      <c r="R81">
        <v>53</v>
      </c>
      <c r="S81">
        <v>11.669907262219434</v>
      </c>
      <c r="T81">
        <v>0.94074075222015385</v>
      </c>
      <c r="W81">
        <f>Tabela2[[#This Row],[mlp_params]]</f>
        <v>6399</v>
      </c>
      <c r="X81">
        <f>Tabela2[[#This Row],[kan_test_acc]]</f>
        <v>0.90740741292635596</v>
      </c>
      <c r="Y81">
        <f>Tabela2[[#This Row],[kan_val_acc_1]]</f>
        <v>0.94074075222015385</v>
      </c>
      <c r="Z81">
        <f>Tabela2[[#This Row],[no_steps]]</f>
        <v>11.669907262219434</v>
      </c>
      <c r="AB81">
        <f t="shared" si="1"/>
        <v>6399</v>
      </c>
      <c r="AC81">
        <f>Tabela2[[#This Row],[kan_time_difference]]/Tabela2[[#This Row],[no_steps]]</f>
        <v>631048.48803509364</v>
      </c>
      <c r="AE81">
        <v>6399</v>
      </c>
      <c r="AF81">
        <v>631048.48803509364</v>
      </c>
    </row>
    <row r="82" spans="1:32" hidden="1" x14ac:dyDescent="0.25">
      <c r="A82" t="s">
        <v>314</v>
      </c>
      <c r="B82">
        <v>3</v>
      </c>
      <c r="C82">
        <v>4</v>
      </c>
      <c r="D82">
        <v>0</v>
      </c>
      <c r="E82" t="s">
        <v>356</v>
      </c>
      <c r="F82">
        <v>3384</v>
      </c>
      <c r="G82">
        <v>6735005.833333333</v>
      </c>
      <c r="H82">
        <v>0.84074075023333228</v>
      </c>
      <c r="I82">
        <v>0.65185185185185179</v>
      </c>
      <c r="J82">
        <v>351490.83333333331</v>
      </c>
      <c r="K82">
        <v>6399</v>
      </c>
      <c r="L82">
        <v>2</v>
      </c>
      <c r="M82">
        <v>52</v>
      </c>
      <c r="N82">
        <v>0.71481481481481479</v>
      </c>
      <c r="O82">
        <v>333878.16666666669</v>
      </c>
      <c r="P82">
        <v>6628</v>
      </c>
      <c r="Q82">
        <v>2</v>
      </c>
      <c r="R82">
        <v>53</v>
      </c>
      <c r="S82">
        <v>11.673661840881923</v>
      </c>
      <c r="T82">
        <v>0.95555555820465088</v>
      </c>
      <c r="W82">
        <f>Tabela2[[#This Row],[mlp_params]]</f>
        <v>6399</v>
      </c>
      <c r="X82">
        <f>Tabela2[[#This Row],[kan_test_acc]]</f>
        <v>0.84074075023333228</v>
      </c>
      <c r="Y82">
        <f>Tabela2[[#This Row],[kan_val_acc_1]]</f>
        <v>0.95555555820465088</v>
      </c>
      <c r="Z82">
        <f>Tabela2[[#This Row],[no_steps]]</f>
        <v>11.673661840881923</v>
      </c>
      <c r="AB82">
        <f t="shared" si="1"/>
        <v>6399</v>
      </c>
      <c r="AC82">
        <f>Tabela2[[#This Row],[kan_time_difference]]/Tabela2[[#This Row],[no_steps]]</f>
        <v>576940.2887572865</v>
      </c>
      <c r="AE82">
        <v>6399</v>
      </c>
      <c r="AF82">
        <v>576940.2887572865</v>
      </c>
    </row>
    <row r="83" spans="1:32" hidden="1" x14ac:dyDescent="0.25">
      <c r="A83" t="s">
        <v>314</v>
      </c>
      <c r="B83">
        <v>5</v>
      </c>
      <c r="C83">
        <v>2</v>
      </c>
      <c r="D83">
        <v>0</v>
      </c>
      <c r="E83" t="s">
        <v>359</v>
      </c>
      <c r="F83">
        <v>4350</v>
      </c>
      <c r="G83">
        <v>5856911.5454545459</v>
      </c>
      <c r="H83">
        <v>0.90303030881014734</v>
      </c>
      <c r="I83">
        <v>0.71919191919191916</v>
      </c>
      <c r="J83">
        <v>350568.18181818182</v>
      </c>
      <c r="K83">
        <v>6399</v>
      </c>
      <c r="L83">
        <v>2</v>
      </c>
      <c r="M83">
        <v>52</v>
      </c>
      <c r="N83">
        <v>0.77777777777777779</v>
      </c>
      <c r="O83">
        <v>330636.09090909088</v>
      </c>
      <c r="P83">
        <v>6628</v>
      </c>
      <c r="Q83">
        <v>2</v>
      </c>
      <c r="R83">
        <v>53</v>
      </c>
      <c r="S83">
        <v>11.672331248652146</v>
      </c>
      <c r="T83">
        <v>0.95185185074806211</v>
      </c>
      <c r="W83">
        <f>Tabela2[[#This Row],[mlp_params]]</f>
        <v>6399</v>
      </c>
      <c r="X83">
        <f>Tabela2[[#This Row],[kan_test_acc]]</f>
        <v>0.90303030881014734</v>
      </c>
      <c r="Y83">
        <f>Tabela2[[#This Row],[kan_val_acc_1]]</f>
        <v>0.95185185074806211</v>
      </c>
      <c r="Z83">
        <f>Tabela2[[#This Row],[no_steps]]</f>
        <v>11.672331248652146</v>
      </c>
      <c r="AB83">
        <f t="shared" si="1"/>
        <v>6399</v>
      </c>
      <c r="AC83">
        <f>Tabela2[[#This Row],[kan_time_difference]]/Tabela2[[#This Row],[no_steps]]</f>
        <v>501777.3588400234</v>
      </c>
      <c r="AE83">
        <v>6399</v>
      </c>
      <c r="AF83">
        <v>501777.3588400234</v>
      </c>
    </row>
    <row r="84" spans="1:32" hidden="1" x14ac:dyDescent="0.25">
      <c r="A84" t="s">
        <v>314</v>
      </c>
      <c r="B84">
        <v>5</v>
      </c>
      <c r="C84">
        <v>4</v>
      </c>
      <c r="D84">
        <v>0</v>
      </c>
      <c r="E84" t="s">
        <v>348</v>
      </c>
      <c r="F84">
        <v>3670</v>
      </c>
      <c r="G84">
        <v>7515037.166666667</v>
      </c>
      <c r="H84">
        <v>0.85555556416511536</v>
      </c>
      <c r="I84">
        <v>0.6518518518518519</v>
      </c>
      <c r="J84">
        <v>336886.66666666669</v>
      </c>
      <c r="K84">
        <v>6399</v>
      </c>
      <c r="L84">
        <v>2</v>
      </c>
      <c r="M84">
        <v>52</v>
      </c>
      <c r="N84">
        <v>0.7592592592592593</v>
      </c>
      <c r="O84">
        <v>341023.5</v>
      </c>
      <c r="P84">
        <v>6628</v>
      </c>
      <c r="Q84">
        <v>2</v>
      </c>
      <c r="R84">
        <v>53</v>
      </c>
      <c r="S84">
        <v>11.674733336144019</v>
      </c>
      <c r="T84">
        <v>0.94074075222015385</v>
      </c>
      <c r="W84">
        <f>Tabela2[[#This Row],[mlp_params]]</f>
        <v>6399</v>
      </c>
      <c r="X84">
        <f>Tabela2[[#This Row],[kan_test_acc]]</f>
        <v>0.85555556416511536</v>
      </c>
      <c r="Y84">
        <f>Tabela2[[#This Row],[kan_val_acc_1]]</f>
        <v>0.94074075222015385</v>
      </c>
      <c r="Z84">
        <f>Tabela2[[#This Row],[no_steps]]</f>
        <v>11.674733336144019</v>
      </c>
      <c r="AB84">
        <f t="shared" si="1"/>
        <v>6399</v>
      </c>
      <c r="AC84">
        <f>Tabela2[[#This Row],[kan_time_difference]]/Tabela2[[#This Row],[no_steps]]</f>
        <v>643700.96946032392</v>
      </c>
      <c r="AE84">
        <v>6399</v>
      </c>
      <c r="AF84">
        <v>643700.96946032392</v>
      </c>
    </row>
    <row r="85" spans="1:32" hidden="1" x14ac:dyDescent="0.25">
      <c r="A85" t="s">
        <v>314</v>
      </c>
      <c r="B85">
        <v>5</v>
      </c>
      <c r="C85">
        <v>5</v>
      </c>
      <c r="D85">
        <v>0</v>
      </c>
      <c r="E85" t="s">
        <v>339</v>
      </c>
      <c r="F85">
        <v>3556</v>
      </c>
      <c r="G85">
        <v>7374190.5</v>
      </c>
      <c r="H85">
        <v>0.87407408157984412</v>
      </c>
      <c r="I85">
        <v>0.67407407407407405</v>
      </c>
      <c r="J85">
        <v>376649.16666666669</v>
      </c>
      <c r="K85">
        <v>6399</v>
      </c>
      <c r="L85">
        <v>2</v>
      </c>
      <c r="M85">
        <v>52</v>
      </c>
      <c r="N85">
        <v>0.67777777777777781</v>
      </c>
      <c r="O85">
        <v>340362.66666666669</v>
      </c>
      <c r="P85">
        <v>6628</v>
      </c>
      <c r="Q85">
        <v>2</v>
      </c>
      <c r="R85">
        <v>53</v>
      </c>
      <c r="S85">
        <v>11.671471421429763</v>
      </c>
      <c r="T85">
        <v>0.93333333730697632</v>
      </c>
      <c r="W85">
        <f>Tabela2[[#This Row],[mlp_params]]</f>
        <v>6399</v>
      </c>
      <c r="X85">
        <f>Tabela2[[#This Row],[kan_test_acc]]</f>
        <v>0.87407408157984412</v>
      </c>
      <c r="Y85">
        <f>Tabela2[[#This Row],[kan_val_acc_1]]</f>
        <v>0.93333333730697632</v>
      </c>
      <c r="Z85">
        <f>Tabela2[[#This Row],[no_steps]]</f>
        <v>11.671471421429763</v>
      </c>
      <c r="AB85">
        <f t="shared" si="1"/>
        <v>6399</v>
      </c>
      <c r="AC85">
        <f>Tabela2[[#This Row],[kan_time_difference]]/Tabela2[[#This Row],[no_steps]]</f>
        <v>631813.26790214225</v>
      </c>
      <c r="AE85">
        <v>6399</v>
      </c>
      <c r="AF85">
        <v>631813.26790214225</v>
      </c>
    </row>
    <row r="86" spans="1:32" hidden="1" x14ac:dyDescent="0.25">
      <c r="A86" t="s">
        <v>314</v>
      </c>
      <c r="B86">
        <v>9</v>
      </c>
      <c r="C86">
        <v>2</v>
      </c>
      <c r="D86">
        <v>0</v>
      </c>
      <c r="E86" t="s">
        <v>356</v>
      </c>
      <c r="F86">
        <v>4728</v>
      </c>
      <c r="G86">
        <v>7662864.166666667</v>
      </c>
      <c r="H86">
        <v>0.85555556416511536</v>
      </c>
      <c r="I86">
        <v>0.66296296296296298</v>
      </c>
      <c r="J86">
        <v>343063.16666666669</v>
      </c>
      <c r="K86">
        <v>6399</v>
      </c>
      <c r="L86">
        <v>2</v>
      </c>
      <c r="M86">
        <v>52</v>
      </c>
      <c r="N86">
        <v>0.72222222222222221</v>
      </c>
      <c r="O86">
        <v>319745.5</v>
      </c>
      <c r="P86">
        <v>6628</v>
      </c>
      <c r="Q86">
        <v>2</v>
      </c>
      <c r="R86">
        <v>53</v>
      </c>
      <c r="S86">
        <v>11.655074491727714</v>
      </c>
      <c r="T86">
        <v>0.90370372533798216</v>
      </c>
      <c r="W86">
        <f>Tabela2[[#This Row],[mlp_params]]</f>
        <v>6399</v>
      </c>
      <c r="X86">
        <f>Tabela2[[#This Row],[kan_test_acc]]</f>
        <v>0.85555556416511536</v>
      </c>
      <c r="Y86">
        <f>Tabela2[[#This Row],[kan_val_acc_1]]</f>
        <v>0.90370372533798216</v>
      </c>
      <c r="Z86">
        <f>Tabela2[[#This Row],[no_steps]]</f>
        <v>11.655074491727714</v>
      </c>
      <c r="AB86">
        <f t="shared" si="1"/>
        <v>6399</v>
      </c>
      <c r="AC86">
        <f>Tabela2[[#This Row],[kan_time_difference]]/Tabela2[[#This Row],[no_steps]]</f>
        <v>657470.20082157769</v>
      </c>
      <c r="AE86">
        <v>6399</v>
      </c>
      <c r="AF86">
        <v>657470.20082157769</v>
      </c>
    </row>
    <row r="87" spans="1:32" hidden="1" x14ac:dyDescent="0.25">
      <c r="A87" t="s">
        <v>314</v>
      </c>
      <c r="B87">
        <v>3</v>
      </c>
      <c r="C87">
        <v>2</v>
      </c>
      <c r="D87">
        <v>0</v>
      </c>
      <c r="E87" t="s">
        <v>334</v>
      </c>
      <c r="F87">
        <v>4203</v>
      </c>
      <c r="G87">
        <v>8505440.8181818184</v>
      </c>
      <c r="H87">
        <v>0.9171717221086676</v>
      </c>
      <c r="I87">
        <v>0.6828282828282829</v>
      </c>
      <c r="J87">
        <v>278812.27272727271</v>
      </c>
      <c r="K87">
        <v>6628</v>
      </c>
      <c r="L87">
        <v>2</v>
      </c>
      <c r="M87">
        <v>53</v>
      </c>
      <c r="N87">
        <v>0.65252525252525251</v>
      </c>
      <c r="O87">
        <v>254266.36363636365</v>
      </c>
      <c r="P87">
        <v>6861</v>
      </c>
      <c r="Q87">
        <v>2</v>
      </c>
      <c r="R87">
        <v>54</v>
      </c>
      <c r="S87">
        <v>11.671434390983569</v>
      </c>
      <c r="T87">
        <v>0.94444445371627805</v>
      </c>
      <c r="W87">
        <f>Tabela2[[#This Row],[mlp_params]]</f>
        <v>6628</v>
      </c>
      <c r="X87">
        <f>Tabela2[[#This Row],[kan_test_acc]]</f>
        <v>0.9171717221086676</v>
      </c>
      <c r="Y87">
        <f>Tabela2[[#This Row],[kan_val_acc_1]]</f>
        <v>0.94444445371627805</v>
      </c>
      <c r="Z87">
        <f>Tabela2[[#This Row],[no_steps]]</f>
        <v>11.671434390983569</v>
      </c>
      <c r="AB87">
        <f t="shared" si="1"/>
        <v>6628</v>
      </c>
      <c r="AC87">
        <f>Tabela2[[#This Row],[kan_time_difference]]/Tabela2[[#This Row],[no_steps]]</f>
        <v>728739.97601806791</v>
      </c>
      <c r="AE87">
        <v>6628</v>
      </c>
      <c r="AF87">
        <v>728739.97601806791</v>
      </c>
    </row>
    <row r="88" spans="1:32" hidden="1" x14ac:dyDescent="0.25">
      <c r="A88" t="s">
        <v>314</v>
      </c>
      <c r="B88">
        <v>3</v>
      </c>
      <c r="C88">
        <v>5</v>
      </c>
      <c r="D88">
        <v>0</v>
      </c>
      <c r="E88" t="s">
        <v>348</v>
      </c>
      <c r="F88">
        <v>3366</v>
      </c>
      <c r="G88">
        <v>7488215.333333333</v>
      </c>
      <c r="H88">
        <v>0.89259259899457299</v>
      </c>
      <c r="I88">
        <v>0.72592592592592586</v>
      </c>
      <c r="J88">
        <v>346675.83333333331</v>
      </c>
      <c r="K88">
        <v>6628</v>
      </c>
      <c r="L88">
        <v>2</v>
      </c>
      <c r="M88">
        <v>53</v>
      </c>
      <c r="N88">
        <v>0.73703703703703705</v>
      </c>
      <c r="O88">
        <v>346073.66666666669</v>
      </c>
      <c r="P88">
        <v>6861</v>
      </c>
      <c r="Q88">
        <v>2</v>
      </c>
      <c r="R88">
        <v>54</v>
      </c>
      <c r="S88">
        <v>11.676579925650557</v>
      </c>
      <c r="T88">
        <v>0.92592593431472781</v>
      </c>
      <c r="W88">
        <f>Tabela2[[#This Row],[mlp_params]]</f>
        <v>6628</v>
      </c>
      <c r="X88">
        <f>Tabela2[[#This Row],[kan_test_acc]]</f>
        <v>0.89259259899457299</v>
      </c>
      <c r="Y88">
        <f>Tabela2[[#This Row],[kan_val_acc_1]]</f>
        <v>0.92592593431472781</v>
      </c>
      <c r="Z88">
        <f>Tabela2[[#This Row],[no_steps]]</f>
        <v>11.676579925650557</v>
      </c>
      <c r="AB88">
        <f t="shared" ref="AB88:AB151" si="2">W88</f>
        <v>6628</v>
      </c>
      <c r="AC88">
        <f>Tabela2[[#This Row],[kan_time_difference]]/Tabela2[[#This Row],[no_steps]]</f>
        <v>641302.10909476806</v>
      </c>
      <c r="AE88">
        <v>6628</v>
      </c>
      <c r="AF88">
        <v>641302.10909476806</v>
      </c>
    </row>
    <row r="89" spans="1:32" hidden="1" x14ac:dyDescent="0.25">
      <c r="A89" t="s">
        <v>314</v>
      </c>
      <c r="B89">
        <v>5</v>
      </c>
      <c r="C89">
        <v>2</v>
      </c>
      <c r="D89">
        <v>0</v>
      </c>
      <c r="E89" t="s">
        <v>318</v>
      </c>
      <c r="F89">
        <v>4443</v>
      </c>
      <c r="G89">
        <v>7097021.4545454541</v>
      </c>
      <c r="H89">
        <v>0.83434344150803308</v>
      </c>
      <c r="I89">
        <v>0.6646464646464646</v>
      </c>
      <c r="J89">
        <v>352834</v>
      </c>
      <c r="K89">
        <v>6628</v>
      </c>
      <c r="L89">
        <v>2</v>
      </c>
      <c r="M89">
        <v>53</v>
      </c>
      <c r="N89">
        <v>0.66060606060606064</v>
      </c>
      <c r="O89">
        <v>360766.81818181818</v>
      </c>
      <c r="P89">
        <v>6861</v>
      </c>
      <c r="Q89">
        <v>2</v>
      </c>
      <c r="R89">
        <v>54</v>
      </c>
      <c r="S89">
        <v>11.671753750646664</v>
      </c>
      <c r="T89">
        <v>0.87407408356666561</v>
      </c>
      <c r="W89">
        <f>Tabela2[[#This Row],[mlp_params]]</f>
        <v>6628</v>
      </c>
      <c r="X89">
        <f>Tabela2[[#This Row],[kan_test_acc]]</f>
        <v>0.83434344150803308</v>
      </c>
      <c r="Y89">
        <f>Tabela2[[#This Row],[kan_val_acc_1]]</f>
        <v>0.87407408356666561</v>
      </c>
      <c r="Z89">
        <f>Tabela2[[#This Row],[no_steps]]</f>
        <v>11.671753750646664</v>
      </c>
      <c r="AB89">
        <f t="shared" si="2"/>
        <v>6628</v>
      </c>
      <c r="AC89">
        <f>Tabela2[[#This Row],[kan_time_difference]]/Tabela2[[#This Row],[no_steps]]</f>
        <v>608050.99269270047</v>
      </c>
      <c r="AE89">
        <v>6628</v>
      </c>
      <c r="AF89">
        <v>608050.99269270047</v>
      </c>
    </row>
    <row r="90" spans="1:32" hidden="1" x14ac:dyDescent="0.25">
      <c r="A90" t="s">
        <v>314</v>
      </c>
      <c r="B90">
        <v>5</v>
      </c>
      <c r="C90">
        <v>3</v>
      </c>
      <c r="D90">
        <v>0</v>
      </c>
      <c r="E90" t="s">
        <v>357</v>
      </c>
      <c r="F90">
        <v>4074</v>
      </c>
      <c r="G90">
        <v>3471762.8333333335</v>
      </c>
      <c r="H90">
        <v>0.9481481512387594</v>
      </c>
      <c r="I90">
        <v>0.70740740740740737</v>
      </c>
      <c r="J90">
        <v>368897.33333333331</v>
      </c>
      <c r="K90">
        <v>6628</v>
      </c>
      <c r="L90">
        <v>2</v>
      </c>
      <c r="M90">
        <v>53</v>
      </c>
      <c r="N90">
        <v>0.73333333333333339</v>
      </c>
      <c r="O90">
        <v>323798</v>
      </c>
      <c r="P90">
        <v>6861</v>
      </c>
      <c r="Q90">
        <v>2</v>
      </c>
      <c r="R90">
        <v>54</v>
      </c>
      <c r="S90">
        <v>11.679945406465922</v>
      </c>
      <c r="T90">
        <v>0.94814815521240237</v>
      </c>
      <c r="W90">
        <f>Tabela2[[#This Row],[mlp_params]]</f>
        <v>6628</v>
      </c>
      <c r="X90">
        <f>Tabela2[[#This Row],[kan_test_acc]]</f>
        <v>0.9481481512387594</v>
      </c>
      <c r="Y90">
        <f>Tabela2[[#This Row],[kan_val_acc_1]]</f>
        <v>0.94814815521240237</v>
      </c>
      <c r="Z90">
        <f>Tabela2[[#This Row],[no_steps]]</f>
        <v>11.679945406465922</v>
      </c>
      <c r="AB90">
        <f t="shared" si="2"/>
        <v>6628</v>
      </c>
      <c r="AC90">
        <f>Tabela2[[#This Row],[kan_time_difference]]/Tabela2[[#This Row],[no_steps]]</f>
        <v>297241.35794430971</v>
      </c>
      <c r="AE90">
        <v>6628</v>
      </c>
      <c r="AF90">
        <v>297241.35794430971</v>
      </c>
    </row>
    <row r="91" spans="1:32" hidden="1" x14ac:dyDescent="0.25">
      <c r="A91" t="s">
        <v>314</v>
      </c>
      <c r="B91">
        <v>9</v>
      </c>
      <c r="C91">
        <v>3</v>
      </c>
      <c r="D91">
        <v>0</v>
      </c>
      <c r="E91" t="s">
        <v>348</v>
      </c>
      <c r="F91">
        <v>4582</v>
      </c>
      <c r="G91">
        <v>3609128.1666666665</v>
      </c>
      <c r="H91">
        <v>0.92222222685813904</v>
      </c>
      <c r="I91">
        <v>0.69259259259259265</v>
      </c>
      <c r="J91">
        <v>387399.66666666669</v>
      </c>
      <c r="K91">
        <v>6628</v>
      </c>
      <c r="L91">
        <v>2</v>
      </c>
      <c r="M91">
        <v>53</v>
      </c>
      <c r="N91">
        <v>0.75555555555555554</v>
      </c>
      <c r="O91">
        <v>352593.66666666669</v>
      </c>
      <c r="P91">
        <v>6861</v>
      </c>
      <c r="Q91">
        <v>2</v>
      </c>
      <c r="R91">
        <v>54</v>
      </c>
      <c r="S91">
        <v>11.636962890625</v>
      </c>
      <c r="T91">
        <v>0.98518518209457395</v>
      </c>
      <c r="W91">
        <f>Tabela2[[#This Row],[mlp_params]]</f>
        <v>6628</v>
      </c>
      <c r="X91">
        <f>Tabela2[[#This Row],[kan_test_acc]]</f>
        <v>0.92222222685813904</v>
      </c>
      <c r="Y91">
        <f>Tabela2[[#This Row],[kan_val_acc_1]]</f>
        <v>0.98518518209457395</v>
      </c>
      <c r="Z91">
        <f>Tabela2[[#This Row],[no_steps]]</f>
        <v>11.636962890625</v>
      </c>
      <c r="AB91">
        <f t="shared" si="2"/>
        <v>6628</v>
      </c>
      <c r="AC91">
        <f>Tabela2[[#This Row],[kan_time_difference]]/Tabela2[[#This Row],[no_steps]]</f>
        <v>310143.47992587154</v>
      </c>
      <c r="AE91">
        <v>6628</v>
      </c>
      <c r="AF91">
        <v>310143.47992587154</v>
      </c>
    </row>
    <row r="92" spans="1:32" x14ac:dyDescent="0.25">
      <c r="A92" t="s">
        <v>314</v>
      </c>
      <c r="B92">
        <v>9</v>
      </c>
      <c r="C92">
        <v>4</v>
      </c>
      <c r="D92">
        <v>0</v>
      </c>
      <c r="E92" t="s">
        <v>339</v>
      </c>
      <c r="F92">
        <v>4372</v>
      </c>
      <c r="G92">
        <v>7138606.833333333</v>
      </c>
      <c r="H92">
        <v>0.85185186068216956</v>
      </c>
      <c r="I92">
        <v>0.67037037037037039</v>
      </c>
      <c r="J92">
        <v>381618.33333333331</v>
      </c>
      <c r="K92">
        <v>6628</v>
      </c>
      <c r="L92">
        <v>2</v>
      </c>
      <c r="M92">
        <v>53</v>
      </c>
      <c r="N92">
        <v>0.75555555555555554</v>
      </c>
      <c r="O92">
        <v>353454.5</v>
      </c>
      <c r="P92">
        <v>6861</v>
      </c>
      <c r="Q92">
        <v>2</v>
      </c>
      <c r="R92">
        <v>54</v>
      </c>
      <c r="S92">
        <v>11.624044726892446</v>
      </c>
      <c r="T92">
        <v>0.8888888955116272</v>
      </c>
      <c r="W92">
        <f>Tabela2[[#This Row],[mlp_params]]</f>
        <v>6628</v>
      </c>
      <c r="X92">
        <f>Tabela2[[#This Row],[kan_test_acc]]</f>
        <v>0.85185186068216956</v>
      </c>
      <c r="Y92">
        <f>Tabela2[[#This Row],[kan_val_acc_1]]</f>
        <v>0.8888888955116272</v>
      </c>
      <c r="Z92">
        <f>Tabela2[[#This Row],[no_steps]]</f>
        <v>11.624044726892446</v>
      </c>
      <c r="AB92">
        <f t="shared" si="2"/>
        <v>6628</v>
      </c>
      <c r="AC92">
        <f>Tabela2[[#This Row],[kan_time_difference]]/Tabela2[[#This Row],[no_steps]]</f>
        <v>614124.17115171894</v>
      </c>
      <c r="AE92">
        <v>6628</v>
      </c>
      <c r="AF92">
        <v>614124.17115171894</v>
      </c>
    </row>
    <row r="93" spans="1:32" hidden="1" x14ac:dyDescent="0.25">
      <c r="A93" t="s">
        <v>314</v>
      </c>
      <c r="B93">
        <v>9</v>
      </c>
      <c r="C93">
        <v>5</v>
      </c>
      <c r="D93">
        <v>0</v>
      </c>
      <c r="E93" t="s">
        <v>332</v>
      </c>
      <c r="F93">
        <v>4098</v>
      </c>
      <c r="G93">
        <v>7934764.166666667</v>
      </c>
      <c r="H93">
        <v>0.71111112336317694</v>
      </c>
      <c r="I93">
        <v>0.69259259259259254</v>
      </c>
      <c r="J93">
        <v>264694.66666666669</v>
      </c>
      <c r="K93">
        <v>6628</v>
      </c>
      <c r="L93">
        <v>2</v>
      </c>
      <c r="M93">
        <v>53</v>
      </c>
      <c r="N93">
        <v>0.70740740740740737</v>
      </c>
      <c r="O93">
        <v>223025.16666666666</v>
      </c>
      <c r="P93">
        <v>6861</v>
      </c>
      <c r="Q93">
        <v>2</v>
      </c>
      <c r="R93">
        <v>54</v>
      </c>
      <c r="S93">
        <v>11.589903236040609</v>
      </c>
      <c r="T93">
        <v>0.76296296119689944</v>
      </c>
      <c r="W93">
        <f>Tabela2[[#This Row],[mlp_params]]</f>
        <v>6628</v>
      </c>
      <c r="X93">
        <f>Tabela2[[#This Row],[kan_test_acc]]</f>
        <v>0.71111112336317694</v>
      </c>
      <c r="Y93">
        <f>Tabela2[[#This Row],[kan_val_acc_1]]</f>
        <v>0.76296296119689944</v>
      </c>
      <c r="Z93">
        <f>Tabela2[[#This Row],[no_steps]]</f>
        <v>11.589903236040609</v>
      </c>
      <c r="AB93">
        <f t="shared" si="2"/>
        <v>6628</v>
      </c>
      <c r="AC93">
        <f>Tabela2[[#This Row],[kan_time_difference]]/Tabela2[[#This Row],[no_steps]]</f>
        <v>684627.30059663334</v>
      </c>
      <c r="AE93">
        <v>6628</v>
      </c>
      <c r="AF93">
        <v>684627.30059663334</v>
      </c>
    </row>
    <row r="94" spans="1:32" hidden="1" x14ac:dyDescent="0.25">
      <c r="A94" t="s">
        <v>314</v>
      </c>
      <c r="B94">
        <v>3</v>
      </c>
      <c r="C94">
        <v>2</v>
      </c>
      <c r="D94">
        <v>0</v>
      </c>
      <c r="E94" t="s">
        <v>321</v>
      </c>
      <c r="F94">
        <v>4335</v>
      </c>
      <c r="G94">
        <v>7364137.333333333</v>
      </c>
      <c r="H94">
        <v>0.91111111640930176</v>
      </c>
      <c r="I94">
        <v>0.70370370370370372</v>
      </c>
      <c r="J94">
        <v>294043.5</v>
      </c>
      <c r="K94">
        <v>6861</v>
      </c>
      <c r="L94">
        <v>2</v>
      </c>
      <c r="M94">
        <v>54</v>
      </c>
      <c r="N94">
        <v>0.68888888888888888</v>
      </c>
      <c r="O94">
        <v>254397.16666666666</v>
      </c>
      <c r="P94">
        <v>7098</v>
      </c>
      <c r="Q94">
        <v>2</v>
      </c>
      <c r="R94">
        <v>55</v>
      </c>
      <c r="S94">
        <v>11.67125209285488</v>
      </c>
      <c r="T94">
        <v>0.94074075222015385</v>
      </c>
      <c r="W94">
        <f>Tabela2[[#This Row],[mlp_params]]</f>
        <v>6861</v>
      </c>
      <c r="X94">
        <f>Tabela2[[#This Row],[kan_test_acc]]</f>
        <v>0.91111111640930176</v>
      </c>
      <c r="Y94">
        <f>Tabela2[[#This Row],[kan_val_acc_1]]</f>
        <v>0.94074075222015385</v>
      </c>
      <c r="Z94">
        <f>Tabela2[[#This Row],[no_steps]]</f>
        <v>11.67125209285488</v>
      </c>
      <c r="AB94">
        <f t="shared" si="2"/>
        <v>6861</v>
      </c>
      <c r="AC94">
        <f>Tabela2[[#This Row],[kan_time_difference]]/Tabela2[[#This Row],[no_steps]]</f>
        <v>630963.77961381234</v>
      </c>
      <c r="AE94">
        <v>6861</v>
      </c>
      <c r="AF94">
        <v>630963.77961381234</v>
      </c>
    </row>
    <row r="95" spans="1:32" hidden="1" x14ac:dyDescent="0.25">
      <c r="A95" t="s">
        <v>314</v>
      </c>
      <c r="B95">
        <v>3</v>
      </c>
      <c r="C95">
        <v>3</v>
      </c>
      <c r="D95">
        <v>0</v>
      </c>
      <c r="E95" t="s">
        <v>359</v>
      </c>
      <c r="F95">
        <v>3918</v>
      </c>
      <c r="G95">
        <v>7277972.7272727275</v>
      </c>
      <c r="H95">
        <v>0.90909091450951318</v>
      </c>
      <c r="I95">
        <v>0.61818181818181817</v>
      </c>
      <c r="J95">
        <v>297196.90909090912</v>
      </c>
      <c r="K95">
        <v>6861</v>
      </c>
      <c r="L95">
        <v>2</v>
      </c>
      <c r="M95">
        <v>54</v>
      </c>
      <c r="N95">
        <v>0.68282828282828278</v>
      </c>
      <c r="O95">
        <v>291260.27272727271</v>
      </c>
      <c r="P95">
        <v>7098</v>
      </c>
      <c r="Q95">
        <v>2</v>
      </c>
      <c r="R95">
        <v>55</v>
      </c>
      <c r="S95">
        <v>11.669353394232491</v>
      </c>
      <c r="T95">
        <v>0.93333333134651186</v>
      </c>
      <c r="W95">
        <f>Tabela2[[#This Row],[mlp_params]]</f>
        <v>6861</v>
      </c>
      <c r="X95">
        <f>Tabela2[[#This Row],[kan_test_acc]]</f>
        <v>0.90909091450951318</v>
      </c>
      <c r="Y95">
        <f>Tabela2[[#This Row],[kan_val_acc_1]]</f>
        <v>0.93333333134651186</v>
      </c>
      <c r="Z95">
        <f>Tabela2[[#This Row],[no_steps]]</f>
        <v>11.669353394232491</v>
      </c>
      <c r="AB95">
        <f t="shared" si="2"/>
        <v>6861</v>
      </c>
      <c r="AC95">
        <f>Tabela2[[#This Row],[kan_time_difference]]/Tabela2[[#This Row],[no_steps]]</f>
        <v>623682.60531640274</v>
      </c>
      <c r="AE95">
        <v>6861</v>
      </c>
      <c r="AF95">
        <v>623682.60531640274</v>
      </c>
    </row>
    <row r="96" spans="1:32" hidden="1" x14ac:dyDescent="0.25">
      <c r="A96" t="s">
        <v>314</v>
      </c>
      <c r="B96">
        <v>3</v>
      </c>
      <c r="C96">
        <v>4</v>
      </c>
      <c r="D96">
        <v>0</v>
      </c>
      <c r="E96" t="s">
        <v>357</v>
      </c>
      <c r="F96">
        <v>3706</v>
      </c>
      <c r="G96">
        <v>5886620.166666667</v>
      </c>
      <c r="H96">
        <v>0.89629630247751868</v>
      </c>
      <c r="I96">
        <v>0.61851851851851847</v>
      </c>
      <c r="J96">
        <v>278839</v>
      </c>
      <c r="K96">
        <v>6861</v>
      </c>
      <c r="L96">
        <v>2</v>
      </c>
      <c r="M96">
        <v>54</v>
      </c>
      <c r="N96">
        <v>0.6962962962962963</v>
      </c>
      <c r="O96">
        <v>323327</v>
      </c>
      <c r="P96">
        <v>7098</v>
      </c>
      <c r="Q96">
        <v>2</v>
      </c>
      <c r="R96">
        <v>55</v>
      </c>
      <c r="S96">
        <v>11.672863276236003</v>
      </c>
      <c r="T96">
        <v>0.95555555820465088</v>
      </c>
      <c r="W96">
        <f>Tabela2[[#This Row],[mlp_params]]</f>
        <v>6861</v>
      </c>
      <c r="X96">
        <f>Tabela2[[#This Row],[kan_test_acc]]</f>
        <v>0.89629630247751868</v>
      </c>
      <c r="Y96">
        <f>Tabela2[[#This Row],[kan_val_acc_1]]</f>
        <v>0.95555555820465088</v>
      </c>
      <c r="Z96">
        <f>Tabela2[[#This Row],[no_steps]]</f>
        <v>11.672863276236003</v>
      </c>
      <c r="AB96">
        <f t="shared" si="2"/>
        <v>6861</v>
      </c>
      <c r="AC96">
        <f>Tabela2[[#This Row],[kan_time_difference]]/Tabela2[[#This Row],[no_steps]]</f>
        <v>504299.59020001895</v>
      </c>
      <c r="AE96">
        <v>6861</v>
      </c>
      <c r="AF96">
        <v>504299.59020001895</v>
      </c>
    </row>
    <row r="97" spans="1:32" hidden="1" x14ac:dyDescent="0.25">
      <c r="A97" t="s">
        <v>314</v>
      </c>
      <c r="B97">
        <v>5</v>
      </c>
      <c r="C97">
        <v>2</v>
      </c>
      <c r="D97">
        <v>0</v>
      </c>
      <c r="E97" t="s">
        <v>326</v>
      </c>
      <c r="F97">
        <v>4683</v>
      </c>
      <c r="G97">
        <v>13375705.166666666</v>
      </c>
      <c r="H97">
        <v>0.62592593828837073</v>
      </c>
      <c r="I97">
        <v>0.67777777777777781</v>
      </c>
      <c r="J97">
        <v>354468</v>
      </c>
      <c r="K97">
        <v>6861</v>
      </c>
      <c r="L97">
        <v>2</v>
      </c>
      <c r="M97">
        <v>54</v>
      </c>
      <c r="N97">
        <v>0.72222222222222221</v>
      </c>
      <c r="O97">
        <v>305550.33333333331</v>
      </c>
      <c r="P97">
        <v>7098</v>
      </c>
      <c r="Q97">
        <v>2</v>
      </c>
      <c r="R97">
        <v>55</v>
      </c>
      <c r="S97">
        <v>11.67274372898888</v>
      </c>
      <c r="T97">
        <v>0.74814813137054448</v>
      </c>
      <c r="W97">
        <f>Tabela2[[#This Row],[mlp_params]]</f>
        <v>6861</v>
      </c>
      <c r="X97">
        <f>Tabela2[[#This Row],[kan_test_acc]]</f>
        <v>0.62592593828837073</v>
      </c>
      <c r="Y97">
        <f>Tabela2[[#This Row],[kan_val_acc_1]]</f>
        <v>0.74814813137054448</v>
      </c>
      <c r="Z97">
        <f>Tabela2[[#This Row],[no_steps]]</f>
        <v>11.67274372898888</v>
      </c>
      <c r="AB97">
        <f t="shared" si="2"/>
        <v>6861</v>
      </c>
      <c r="AC97">
        <f>Tabela2[[#This Row],[kan_time_difference]]/Tabela2[[#This Row],[no_steps]]</f>
        <v>1145892.129324191</v>
      </c>
      <c r="AE97">
        <v>6861</v>
      </c>
      <c r="AF97">
        <v>1145892.129324191</v>
      </c>
    </row>
    <row r="98" spans="1:32" hidden="1" x14ac:dyDescent="0.25">
      <c r="A98" t="s">
        <v>314</v>
      </c>
      <c r="B98">
        <v>5</v>
      </c>
      <c r="C98">
        <v>4</v>
      </c>
      <c r="D98">
        <v>0</v>
      </c>
      <c r="E98" t="s">
        <v>356</v>
      </c>
      <c r="F98">
        <v>4056</v>
      </c>
      <c r="G98">
        <v>7940922.5</v>
      </c>
      <c r="H98">
        <v>0.85925926764806115</v>
      </c>
      <c r="I98">
        <v>0.625925925925926</v>
      </c>
      <c r="J98">
        <v>350656</v>
      </c>
      <c r="K98">
        <v>6861</v>
      </c>
      <c r="L98">
        <v>2</v>
      </c>
      <c r="M98">
        <v>54</v>
      </c>
      <c r="N98">
        <v>0.64444444444444438</v>
      </c>
      <c r="O98">
        <v>378016.5</v>
      </c>
      <c r="P98">
        <v>7098</v>
      </c>
      <c r="Q98">
        <v>2</v>
      </c>
      <c r="R98">
        <v>55</v>
      </c>
      <c r="S98">
        <v>11.674394099051634</v>
      </c>
      <c r="T98">
        <v>0.94814814329147334</v>
      </c>
      <c r="W98">
        <f>Tabela2[[#This Row],[mlp_params]]</f>
        <v>6861</v>
      </c>
      <c r="X98">
        <f>Tabela2[[#This Row],[kan_test_acc]]</f>
        <v>0.85925926764806115</v>
      </c>
      <c r="Y98">
        <f>Tabela2[[#This Row],[kan_val_acc_1]]</f>
        <v>0.94814814329147334</v>
      </c>
      <c r="Z98">
        <f>Tabela2[[#This Row],[no_steps]]</f>
        <v>11.674394099051634</v>
      </c>
      <c r="AB98">
        <f t="shared" si="2"/>
        <v>6861</v>
      </c>
      <c r="AC98">
        <f>Tabela2[[#This Row],[kan_time_difference]]/Tabela2[[#This Row],[no_steps]]</f>
        <v>680199.96863435325</v>
      </c>
      <c r="AE98">
        <v>6861</v>
      </c>
      <c r="AF98">
        <v>680199.96863435325</v>
      </c>
    </row>
    <row r="99" spans="1:32" hidden="1" x14ac:dyDescent="0.25">
      <c r="A99" t="s">
        <v>314</v>
      </c>
      <c r="B99">
        <v>9</v>
      </c>
      <c r="C99">
        <v>2</v>
      </c>
      <c r="D99">
        <v>0</v>
      </c>
      <c r="E99" t="s">
        <v>357</v>
      </c>
      <c r="F99">
        <v>5178</v>
      </c>
      <c r="G99">
        <v>10475751.833333334</v>
      </c>
      <c r="H99">
        <v>0.87407408157984412</v>
      </c>
      <c r="I99">
        <v>0.6333333333333333</v>
      </c>
      <c r="J99">
        <v>350019.33333333331</v>
      </c>
      <c r="K99">
        <v>6861</v>
      </c>
      <c r="L99">
        <v>2</v>
      </c>
      <c r="M99">
        <v>54</v>
      </c>
      <c r="N99">
        <v>0.6333333333333333</v>
      </c>
      <c r="O99">
        <v>354239.66666666669</v>
      </c>
      <c r="P99">
        <v>7098</v>
      </c>
      <c r="Q99">
        <v>2</v>
      </c>
      <c r="R99">
        <v>55</v>
      </c>
      <c r="S99">
        <v>11.656476300197498</v>
      </c>
      <c r="T99">
        <v>0.93333333730697632</v>
      </c>
      <c r="W99">
        <f>Tabela2[[#This Row],[mlp_params]]</f>
        <v>6861</v>
      </c>
      <c r="X99">
        <f>Tabela2[[#This Row],[kan_test_acc]]</f>
        <v>0.87407408157984412</v>
      </c>
      <c r="Y99">
        <f>Tabela2[[#This Row],[kan_val_acc_1]]</f>
        <v>0.93333333730697632</v>
      </c>
      <c r="Z99">
        <f>Tabela2[[#This Row],[no_steps]]</f>
        <v>11.656476300197498</v>
      </c>
      <c r="AB99">
        <f t="shared" si="2"/>
        <v>6861</v>
      </c>
      <c r="AC99">
        <f>Tabela2[[#This Row],[kan_time_difference]]/Tabela2[[#This Row],[no_steps]]</f>
        <v>898706.56993965153</v>
      </c>
      <c r="AE99">
        <v>6861</v>
      </c>
      <c r="AF99">
        <v>898706.56993965153</v>
      </c>
    </row>
    <row r="100" spans="1:32" hidden="1" x14ac:dyDescent="0.25">
      <c r="A100" t="s">
        <v>314</v>
      </c>
      <c r="B100">
        <v>3</v>
      </c>
      <c r="C100">
        <v>2</v>
      </c>
      <c r="D100">
        <v>0</v>
      </c>
      <c r="E100" t="s">
        <v>335</v>
      </c>
      <c r="F100">
        <v>4525</v>
      </c>
      <c r="G100">
        <v>10160990.375</v>
      </c>
      <c r="H100">
        <v>0.91388889402151108</v>
      </c>
      <c r="I100">
        <v>0.65833333333333333</v>
      </c>
      <c r="J100">
        <v>289136.625</v>
      </c>
      <c r="K100">
        <v>7098</v>
      </c>
      <c r="L100">
        <v>2</v>
      </c>
      <c r="M100">
        <v>55</v>
      </c>
      <c r="N100">
        <v>0.66666666666666663</v>
      </c>
      <c r="O100">
        <v>282580.1875</v>
      </c>
      <c r="P100">
        <v>7339</v>
      </c>
      <c r="Q100">
        <v>2</v>
      </c>
      <c r="R100">
        <v>56</v>
      </c>
      <c r="S100">
        <v>11.673705629663125</v>
      </c>
      <c r="T100">
        <v>0.93086419900258377</v>
      </c>
      <c r="W100">
        <f>Tabela2[[#This Row],[mlp_params]]</f>
        <v>7098</v>
      </c>
      <c r="X100">
        <f>Tabela2[[#This Row],[kan_test_acc]]</f>
        <v>0.91388889402151108</v>
      </c>
      <c r="Y100">
        <f>Tabela2[[#This Row],[kan_val_acc_1]]</f>
        <v>0.93086419900258377</v>
      </c>
      <c r="Z100">
        <f>Tabela2[[#This Row],[no_steps]]</f>
        <v>11.673705629663125</v>
      </c>
      <c r="AB100">
        <f t="shared" si="2"/>
        <v>7098</v>
      </c>
      <c r="AC100">
        <f>Tabela2[[#This Row],[kan_time_difference]]/Tabela2[[#This Row],[no_steps]]</f>
        <v>870416.87509925861</v>
      </c>
      <c r="AE100">
        <v>7098</v>
      </c>
      <c r="AF100">
        <v>870416.87509925861</v>
      </c>
    </row>
    <row r="101" spans="1:32" hidden="1" x14ac:dyDescent="0.25">
      <c r="A101" t="s">
        <v>314</v>
      </c>
      <c r="B101">
        <v>3</v>
      </c>
      <c r="C101">
        <v>4</v>
      </c>
      <c r="D101">
        <v>0</v>
      </c>
      <c r="E101" t="s">
        <v>316</v>
      </c>
      <c r="F101">
        <v>3799</v>
      </c>
      <c r="G101">
        <v>5956684.333333333</v>
      </c>
      <c r="H101">
        <v>0.92222222685813904</v>
      </c>
      <c r="I101">
        <v>0.625925925925926</v>
      </c>
      <c r="J101">
        <v>370943.5</v>
      </c>
      <c r="K101">
        <v>7098</v>
      </c>
      <c r="L101">
        <v>2</v>
      </c>
      <c r="M101">
        <v>55</v>
      </c>
      <c r="N101">
        <v>0.64074074074074072</v>
      </c>
      <c r="O101">
        <v>354961.16666666669</v>
      </c>
      <c r="P101">
        <v>7339</v>
      </c>
      <c r="Q101">
        <v>2</v>
      </c>
      <c r="R101">
        <v>56</v>
      </c>
      <c r="S101">
        <v>11.672197884862163</v>
      </c>
      <c r="T101">
        <v>0.97037038803100584</v>
      </c>
      <c r="W101">
        <f>Tabela2[[#This Row],[mlp_params]]</f>
        <v>7098</v>
      </c>
      <c r="X101">
        <f>Tabela2[[#This Row],[kan_test_acc]]</f>
        <v>0.92222222685813904</v>
      </c>
      <c r="Y101">
        <f>Tabela2[[#This Row],[kan_val_acc_1]]</f>
        <v>0.97037038803100584</v>
      </c>
      <c r="Z101">
        <f>Tabela2[[#This Row],[no_steps]]</f>
        <v>11.672197884862163</v>
      </c>
      <c r="AB101">
        <f t="shared" si="2"/>
        <v>7098</v>
      </c>
      <c r="AC101">
        <f>Tabela2[[#This Row],[kan_time_difference]]/Tabela2[[#This Row],[no_steps]]</f>
        <v>510330.99267950561</v>
      </c>
      <c r="AE101">
        <v>7098</v>
      </c>
      <c r="AF101">
        <v>510330.99267950561</v>
      </c>
    </row>
    <row r="102" spans="1:32" hidden="1" x14ac:dyDescent="0.25">
      <c r="A102" t="s">
        <v>314</v>
      </c>
      <c r="B102">
        <v>5</v>
      </c>
      <c r="C102">
        <v>2</v>
      </c>
      <c r="D102">
        <v>0</v>
      </c>
      <c r="E102" t="s">
        <v>319</v>
      </c>
      <c r="F102">
        <v>4765</v>
      </c>
      <c r="G102">
        <v>9768009</v>
      </c>
      <c r="H102">
        <v>0.86666667461395264</v>
      </c>
      <c r="I102">
        <v>0.62222222222222223</v>
      </c>
      <c r="J102">
        <v>370888.5</v>
      </c>
      <c r="K102">
        <v>7098</v>
      </c>
      <c r="L102">
        <v>2</v>
      </c>
      <c r="M102">
        <v>55</v>
      </c>
      <c r="N102">
        <v>0.68148148148148147</v>
      </c>
      <c r="O102">
        <v>317662</v>
      </c>
      <c r="P102">
        <v>7339</v>
      </c>
      <c r="Q102">
        <v>2</v>
      </c>
      <c r="R102">
        <v>56</v>
      </c>
      <c r="S102">
        <v>11.672612892106171</v>
      </c>
      <c r="T102">
        <v>0.8222222208976746</v>
      </c>
      <c r="W102">
        <f>Tabela2[[#This Row],[mlp_params]]</f>
        <v>7098</v>
      </c>
      <c r="X102">
        <f>Tabela2[[#This Row],[kan_test_acc]]</f>
        <v>0.86666667461395264</v>
      </c>
      <c r="Y102">
        <f>Tabela2[[#This Row],[kan_val_acc_1]]</f>
        <v>0.8222222208976746</v>
      </c>
      <c r="Z102">
        <f>Tabela2[[#This Row],[no_steps]]</f>
        <v>11.672612892106171</v>
      </c>
      <c r="AB102">
        <f t="shared" si="2"/>
        <v>7098</v>
      </c>
      <c r="AC102">
        <f>Tabela2[[#This Row],[kan_time_difference]]/Tabela2[[#This Row],[no_steps]]</f>
        <v>836831.40101440391</v>
      </c>
      <c r="AE102">
        <v>7098</v>
      </c>
      <c r="AF102">
        <v>836831.40101440391</v>
      </c>
    </row>
    <row r="103" spans="1:32" hidden="1" x14ac:dyDescent="0.25">
      <c r="A103" t="s">
        <v>314</v>
      </c>
      <c r="B103">
        <v>5</v>
      </c>
      <c r="C103">
        <v>3</v>
      </c>
      <c r="D103">
        <v>0</v>
      </c>
      <c r="E103" t="s">
        <v>358</v>
      </c>
      <c r="F103">
        <v>4428</v>
      </c>
      <c r="G103">
        <v>7357364.8181818184</v>
      </c>
      <c r="H103">
        <v>0.85858586701479822</v>
      </c>
      <c r="I103">
        <v>0.70101010101010097</v>
      </c>
      <c r="J103">
        <v>390446</v>
      </c>
      <c r="K103">
        <v>7098</v>
      </c>
      <c r="L103">
        <v>2</v>
      </c>
      <c r="M103">
        <v>55</v>
      </c>
      <c r="N103">
        <v>0.71515151515151509</v>
      </c>
      <c r="O103">
        <v>339488.81818181818</v>
      </c>
      <c r="P103">
        <v>7339</v>
      </c>
      <c r="Q103">
        <v>2</v>
      </c>
      <c r="R103">
        <v>56</v>
      </c>
      <c r="S103">
        <v>11.679114976339685</v>
      </c>
      <c r="T103">
        <v>0.91851852536201473</v>
      </c>
      <c r="W103">
        <f>Tabela2[[#This Row],[mlp_params]]</f>
        <v>7098</v>
      </c>
      <c r="X103">
        <f>Tabela2[[#This Row],[kan_test_acc]]</f>
        <v>0.85858586701479822</v>
      </c>
      <c r="Y103">
        <f>Tabela2[[#This Row],[kan_val_acc_1]]</f>
        <v>0.91851852536201473</v>
      </c>
      <c r="Z103">
        <f>Tabela2[[#This Row],[no_steps]]</f>
        <v>11.679114976339685</v>
      </c>
      <c r="AB103">
        <f t="shared" si="2"/>
        <v>7098</v>
      </c>
      <c r="AC103">
        <f>Tabela2[[#This Row],[kan_time_difference]]/Tabela2[[#This Row],[no_steps]]</f>
        <v>629959.10504236398</v>
      </c>
      <c r="AE103">
        <v>7098</v>
      </c>
      <c r="AF103">
        <v>629959.10504236398</v>
      </c>
    </row>
    <row r="104" spans="1:32" hidden="1" x14ac:dyDescent="0.25">
      <c r="A104" t="s">
        <v>314</v>
      </c>
      <c r="B104">
        <v>5</v>
      </c>
      <c r="C104">
        <v>5</v>
      </c>
      <c r="D104">
        <v>0</v>
      </c>
      <c r="E104" t="s">
        <v>348</v>
      </c>
      <c r="F104">
        <v>3974</v>
      </c>
      <c r="G104">
        <v>7272503.666666667</v>
      </c>
      <c r="H104">
        <v>0.82222223281860352</v>
      </c>
      <c r="I104">
        <v>0.64444444444444438</v>
      </c>
      <c r="J104">
        <v>360044</v>
      </c>
      <c r="K104">
        <v>7098</v>
      </c>
      <c r="L104">
        <v>2</v>
      </c>
      <c r="M104">
        <v>55</v>
      </c>
      <c r="N104">
        <v>0.67037037037037039</v>
      </c>
      <c r="O104">
        <v>382518</v>
      </c>
      <c r="P104">
        <v>7339</v>
      </c>
      <c r="Q104">
        <v>2</v>
      </c>
      <c r="R104">
        <v>56</v>
      </c>
      <c r="S104">
        <v>11.670887130362349</v>
      </c>
      <c r="T104">
        <v>0.86666666269302373</v>
      </c>
      <c r="W104">
        <f>Tabela2[[#This Row],[mlp_params]]</f>
        <v>7098</v>
      </c>
      <c r="X104">
        <f>Tabela2[[#This Row],[kan_test_acc]]</f>
        <v>0.82222223281860352</v>
      </c>
      <c r="Y104">
        <f>Tabela2[[#This Row],[kan_val_acc_1]]</f>
        <v>0.86666666269302373</v>
      </c>
      <c r="Z104">
        <f>Tabela2[[#This Row],[no_steps]]</f>
        <v>11.670887130362349</v>
      </c>
      <c r="AB104">
        <f t="shared" si="2"/>
        <v>7098</v>
      </c>
      <c r="AC104">
        <f>Tabela2[[#This Row],[kan_time_difference]]/Tabela2[[#This Row],[no_steps]]</f>
        <v>623132.03661672934</v>
      </c>
      <c r="AE104">
        <v>7098</v>
      </c>
      <c r="AF104">
        <v>623132.03661672934</v>
      </c>
    </row>
    <row r="105" spans="1:32" hidden="1" x14ac:dyDescent="0.25">
      <c r="A105" t="s">
        <v>314</v>
      </c>
      <c r="B105">
        <v>9</v>
      </c>
      <c r="C105">
        <v>2</v>
      </c>
      <c r="D105">
        <v>0</v>
      </c>
      <c r="E105" t="s">
        <v>316</v>
      </c>
      <c r="F105">
        <v>5307</v>
      </c>
      <c r="G105">
        <v>3607007.1666666665</v>
      </c>
      <c r="H105">
        <v>0.90370370944341027</v>
      </c>
      <c r="I105">
        <v>0.625925925925926</v>
      </c>
      <c r="J105">
        <v>366555.83333333331</v>
      </c>
      <c r="K105">
        <v>7098</v>
      </c>
      <c r="L105">
        <v>2</v>
      </c>
      <c r="M105">
        <v>55</v>
      </c>
      <c r="N105">
        <v>0.67777777777777781</v>
      </c>
      <c r="O105">
        <v>353489.83333333331</v>
      </c>
      <c r="P105">
        <v>7339</v>
      </c>
      <c r="Q105">
        <v>2</v>
      </c>
      <c r="R105">
        <v>56</v>
      </c>
      <c r="S105">
        <v>11.655614973262033</v>
      </c>
      <c r="T105">
        <v>0.95555555820465088</v>
      </c>
      <c r="W105">
        <f>Tabela2[[#This Row],[mlp_params]]</f>
        <v>7098</v>
      </c>
      <c r="X105">
        <f>Tabela2[[#This Row],[kan_test_acc]]</f>
        <v>0.90370370944341027</v>
      </c>
      <c r="Y105">
        <f>Tabela2[[#This Row],[kan_val_acc_1]]</f>
        <v>0.95555555820465088</v>
      </c>
      <c r="Z105">
        <f>Tabela2[[#This Row],[no_steps]]</f>
        <v>11.655614973262033</v>
      </c>
      <c r="AB105">
        <f t="shared" si="2"/>
        <v>7098</v>
      </c>
      <c r="AC105">
        <f>Tabela2[[#This Row],[kan_time_difference]]/Tabela2[[#This Row],[no_steps]]</f>
        <v>309465.19552517281</v>
      </c>
      <c r="AE105">
        <v>7098</v>
      </c>
      <c r="AF105">
        <v>309465.19552517281</v>
      </c>
    </row>
    <row r="106" spans="1:32" hidden="1" x14ac:dyDescent="0.25">
      <c r="A106" t="s">
        <v>314</v>
      </c>
      <c r="B106">
        <v>3</v>
      </c>
      <c r="C106">
        <v>2</v>
      </c>
      <c r="D106">
        <v>0</v>
      </c>
      <c r="E106" t="s">
        <v>322</v>
      </c>
      <c r="F106">
        <v>4593</v>
      </c>
      <c r="G106">
        <v>9475139.333333334</v>
      </c>
      <c r="H106">
        <v>0.93333333730697632</v>
      </c>
      <c r="I106">
        <v>0.63703703703703707</v>
      </c>
      <c r="J106">
        <v>275016.5</v>
      </c>
      <c r="K106">
        <v>7339</v>
      </c>
      <c r="L106">
        <v>2</v>
      </c>
      <c r="M106">
        <v>56</v>
      </c>
      <c r="N106">
        <v>0.68888888888888888</v>
      </c>
      <c r="O106">
        <v>270561.66666666669</v>
      </c>
      <c r="P106">
        <v>7584</v>
      </c>
      <c r="Q106">
        <v>2</v>
      </c>
      <c r="R106">
        <v>57</v>
      </c>
      <c r="S106">
        <v>11.674291397314768</v>
      </c>
      <c r="T106">
        <v>0.91851850748062136</v>
      </c>
      <c r="W106">
        <f>Tabela2[[#This Row],[mlp_params]]</f>
        <v>7339</v>
      </c>
      <c r="X106">
        <f>Tabela2[[#This Row],[kan_test_acc]]</f>
        <v>0.93333333730697632</v>
      </c>
      <c r="Y106">
        <f>Tabela2[[#This Row],[kan_val_acc_1]]</f>
        <v>0.91851850748062136</v>
      </c>
      <c r="Z106">
        <f>Tabela2[[#This Row],[no_steps]]</f>
        <v>11.674291397314768</v>
      </c>
      <c r="AB106">
        <f t="shared" si="2"/>
        <v>7339</v>
      </c>
      <c r="AC106">
        <f>Tabela2[[#This Row],[kan_time_difference]]/Tabela2[[#This Row],[no_steps]]</f>
        <v>811624.36424301809</v>
      </c>
      <c r="AE106">
        <v>7339</v>
      </c>
      <c r="AF106">
        <v>811624.36424301809</v>
      </c>
    </row>
    <row r="107" spans="1:32" hidden="1" x14ac:dyDescent="0.25">
      <c r="A107" t="s">
        <v>314</v>
      </c>
      <c r="B107">
        <v>3</v>
      </c>
      <c r="C107">
        <v>3</v>
      </c>
      <c r="D107">
        <v>0</v>
      </c>
      <c r="E107" t="s">
        <v>326</v>
      </c>
      <c r="F107">
        <v>4218</v>
      </c>
      <c r="G107">
        <v>7502629.4375</v>
      </c>
      <c r="H107">
        <v>0.88333334028720856</v>
      </c>
      <c r="I107">
        <v>0.62777777777777777</v>
      </c>
      <c r="J107">
        <v>318083.75</v>
      </c>
      <c r="K107">
        <v>7339</v>
      </c>
      <c r="L107">
        <v>2</v>
      </c>
      <c r="M107">
        <v>56</v>
      </c>
      <c r="N107">
        <v>0.65555555555555556</v>
      </c>
      <c r="O107">
        <v>273509.3125</v>
      </c>
      <c r="P107">
        <v>7584</v>
      </c>
      <c r="Q107">
        <v>2</v>
      </c>
      <c r="R107">
        <v>57</v>
      </c>
      <c r="S107">
        <v>11.668292464650081</v>
      </c>
      <c r="T107">
        <v>0.91604938904444377</v>
      </c>
      <c r="W107">
        <f>Tabela2[[#This Row],[mlp_params]]</f>
        <v>7339</v>
      </c>
      <c r="X107">
        <f>Tabela2[[#This Row],[kan_test_acc]]</f>
        <v>0.88333334028720856</v>
      </c>
      <c r="Y107">
        <f>Tabela2[[#This Row],[kan_val_acc_1]]</f>
        <v>0.91604938904444377</v>
      </c>
      <c r="Z107">
        <f>Tabela2[[#This Row],[no_steps]]</f>
        <v>11.668292464650081</v>
      </c>
      <c r="AB107">
        <f t="shared" si="2"/>
        <v>7339</v>
      </c>
      <c r="AC107">
        <f>Tabela2[[#This Row],[kan_time_difference]]/Tabela2[[#This Row],[no_steps]]</f>
        <v>642992.91950641002</v>
      </c>
      <c r="AE107">
        <v>7339</v>
      </c>
      <c r="AF107">
        <v>642992.91950641002</v>
      </c>
    </row>
    <row r="108" spans="1:32" hidden="1" x14ac:dyDescent="0.25">
      <c r="A108" t="s">
        <v>314</v>
      </c>
      <c r="B108">
        <v>3</v>
      </c>
      <c r="C108">
        <v>5</v>
      </c>
      <c r="D108">
        <v>0</v>
      </c>
      <c r="E108" t="s">
        <v>356</v>
      </c>
      <c r="F108">
        <v>3720</v>
      </c>
      <c r="G108">
        <v>6960179.166666667</v>
      </c>
      <c r="H108">
        <v>0.90370370944341027</v>
      </c>
      <c r="I108">
        <v>0.67037037037037039</v>
      </c>
      <c r="J108">
        <v>343617.5</v>
      </c>
      <c r="K108">
        <v>7339</v>
      </c>
      <c r="L108">
        <v>2</v>
      </c>
      <c r="M108">
        <v>56</v>
      </c>
      <c r="N108">
        <v>0.75185185185185188</v>
      </c>
      <c r="O108">
        <v>313762.66666666669</v>
      </c>
      <c r="P108">
        <v>7584</v>
      </c>
      <c r="Q108">
        <v>2</v>
      </c>
      <c r="R108">
        <v>57</v>
      </c>
      <c r="S108">
        <v>11.675965196099865</v>
      </c>
      <c r="T108">
        <v>0.96296297311782841</v>
      </c>
      <c r="W108">
        <f>Tabela2[[#This Row],[mlp_params]]</f>
        <v>7339</v>
      </c>
      <c r="X108">
        <f>Tabela2[[#This Row],[kan_test_acc]]</f>
        <v>0.90370370944341027</v>
      </c>
      <c r="Y108">
        <f>Tabela2[[#This Row],[kan_val_acc_1]]</f>
        <v>0.96296297311782841</v>
      </c>
      <c r="Z108">
        <f>Tabela2[[#This Row],[no_steps]]</f>
        <v>11.675965196099865</v>
      </c>
      <c r="AB108">
        <f t="shared" si="2"/>
        <v>7339</v>
      </c>
      <c r="AC108">
        <f>Tabela2[[#This Row],[kan_time_difference]]/Tabela2[[#This Row],[no_steps]]</f>
        <v>596111.67468977917</v>
      </c>
      <c r="AE108">
        <v>7339</v>
      </c>
      <c r="AF108">
        <v>596111.67468977917</v>
      </c>
    </row>
    <row r="109" spans="1:32" hidden="1" x14ac:dyDescent="0.25">
      <c r="A109" t="s">
        <v>314</v>
      </c>
      <c r="B109">
        <v>5</v>
      </c>
      <c r="C109">
        <v>2</v>
      </c>
      <c r="D109">
        <v>0</v>
      </c>
      <c r="E109" t="s">
        <v>327</v>
      </c>
      <c r="F109">
        <v>5045</v>
      </c>
      <c r="G109">
        <v>10656875.909090908</v>
      </c>
      <c r="H109">
        <v>0.87272728031331848</v>
      </c>
      <c r="I109">
        <v>0.66262626262626256</v>
      </c>
      <c r="J109">
        <v>363197.27272727271</v>
      </c>
      <c r="K109">
        <v>7339</v>
      </c>
      <c r="L109">
        <v>2</v>
      </c>
      <c r="M109">
        <v>56</v>
      </c>
      <c r="N109">
        <v>0.69494949494949498</v>
      </c>
      <c r="O109">
        <v>374220.09090909088</v>
      </c>
      <c r="P109">
        <v>7584</v>
      </c>
      <c r="Q109">
        <v>2</v>
      </c>
      <c r="R109">
        <v>57</v>
      </c>
      <c r="S109">
        <v>11.672724923553986</v>
      </c>
      <c r="T109">
        <v>0.88518518209457397</v>
      </c>
      <c r="W109">
        <f>Tabela2[[#This Row],[mlp_params]]</f>
        <v>7339</v>
      </c>
      <c r="X109">
        <f>Tabela2[[#This Row],[kan_test_acc]]</f>
        <v>0.87272728031331848</v>
      </c>
      <c r="Y109">
        <f>Tabela2[[#This Row],[kan_val_acc_1]]</f>
        <v>0.88518518209457397</v>
      </c>
      <c r="Z109">
        <f>Tabela2[[#This Row],[no_steps]]</f>
        <v>11.672724923553986</v>
      </c>
      <c r="AB109">
        <f t="shared" si="2"/>
        <v>7339</v>
      </c>
      <c r="AC109">
        <f>Tabela2[[#This Row],[kan_time_difference]]/Tabela2[[#This Row],[no_steps]]</f>
        <v>912972.41894107941</v>
      </c>
      <c r="AE109">
        <v>7339</v>
      </c>
      <c r="AF109">
        <v>912972.41894107941</v>
      </c>
    </row>
    <row r="110" spans="1:32" hidden="1" x14ac:dyDescent="0.25">
      <c r="A110" t="s">
        <v>314</v>
      </c>
      <c r="B110">
        <v>5</v>
      </c>
      <c r="C110">
        <v>3</v>
      </c>
      <c r="D110">
        <v>0</v>
      </c>
      <c r="E110" t="s">
        <v>317</v>
      </c>
      <c r="F110">
        <v>4530</v>
      </c>
      <c r="G110">
        <v>7322194.666666667</v>
      </c>
      <c r="H110">
        <v>0.86666667461395264</v>
      </c>
      <c r="I110">
        <v>0.65555555555555556</v>
      </c>
      <c r="J110">
        <v>396413.66666666669</v>
      </c>
      <c r="K110">
        <v>7339</v>
      </c>
      <c r="L110">
        <v>2</v>
      </c>
      <c r="M110">
        <v>56</v>
      </c>
      <c r="N110">
        <v>0.78518518518518521</v>
      </c>
      <c r="O110">
        <v>386370.5</v>
      </c>
      <c r="P110">
        <v>7584</v>
      </c>
      <c r="Q110">
        <v>2</v>
      </c>
      <c r="R110">
        <v>57</v>
      </c>
      <c r="S110">
        <v>11.678515108894855</v>
      </c>
      <c r="T110">
        <v>0.92592593431472781</v>
      </c>
      <c r="W110">
        <f>Tabela2[[#This Row],[mlp_params]]</f>
        <v>7339</v>
      </c>
      <c r="X110">
        <f>Tabela2[[#This Row],[kan_test_acc]]</f>
        <v>0.86666667461395264</v>
      </c>
      <c r="Y110">
        <f>Tabela2[[#This Row],[kan_val_acc_1]]</f>
        <v>0.92592593431472781</v>
      </c>
      <c r="Z110">
        <f>Tabela2[[#This Row],[no_steps]]</f>
        <v>11.678515108894855</v>
      </c>
      <c r="AB110">
        <f t="shared" si="2"/>
        <v>7339</v>
      </c>
      <c r="AC110">
        <f>Tabela2[[#This Row],[kan_time_difference]]/Tabela2[[#This Row],[no_steps]]</f>
        <v>626979.93695189652</v>
      </c>
      <c r="AE110">
        <v>7339</v>
      </c>
      <c r="AF110">
        <v>626979.93695189652</v>
      </c>
    </row>
    <row r="111" spans="1:32" hidden="1" x14ac:dyDescent="0.25">
      <c r="A111" t="s">
        <v>314</v>
      </c>
      <c r="B111">
        <v>9</v>
      </c>
      <c r="C111">
        <v>3</v>
      </c>
      <c r="D111">
        <v>0</v>
      </c>
      <c r="E111" t="s">
        <v>356</v>
      </c>
      <c r="F111">
        <v>5064</v>
      </c>
      <c r="G111">
        <v>6859347.666666667</v>
      </c>
      <c r="H111">
        <v>0.86666667461395264</v>
      </c>
      <c r="I111">
        <v>0.74814814814814823</v>
      </c>
      <c r="J111">
        <v>383626.83333333331</v>
      </c>
      <c r="K111">
        <v>7339</v>
      </c>
      <c r="L111">
        <v>2</v>
      </c>
      <c r="M111">
        <v>56</v>
      </c>
      <c r="N111">
        <v>0.67037037037037039</v>
      </c>
      <c r="O111">
        <v>349633.83333333331</v>
      </c>
      <c r="P111">
        <v>7584</v>
      </c>
      <c r="Q111">
        <v>2</v>
      </c>
      <c r="R111">
        <v>57</v>
      </c>
      <c r="S111">
        <v>11.636604019201041</v>
      </c>
      <c r="T111">
        <v>0.90370370149612422</v>
      </c>
      <c r="W111">
        <f>Tabela2[[#This Row],[mlp_params]]</f>
        <v>7339</v>
      </c>
      <c r="X111">
        <f>Tabela2[[#This Row],[kan_test_acc]]</f>
        <v>0.86666667461395264</v>
      </c>
      <c r="Y111">
        <f>Tabela2[[#This Row],[kan_val_acc_1]]</f>
        <v>0.90370370149612422</v>
      </c>
      <c r="Z111">
        <f>Tabela2[[#This Row],[no_steps]]</f>
        <v>11.636604019201041</v>
      </c>
      <c r="AB111">
        <f t="shared" si="2"/>
        <v>7339</v>
      </c>
      <c r="AC111">
        <f>Tabela2[[#This Row],[kan_time_difference]]/Tabela2[[#This Row],[no_steps]]</f>
        <v>589463.01303613698</v>
      </c>
      <c r="AE111">
        <v>7339</v>
      </c>
      <c r="AF111">
        <v>589463.01303613698</v>
      </c>
    </row>
    <row r="112" spans="1:32" hidden="1" x14ac:dyDescent="0.25">
      <c r="A112" t="s">
        <v>314</v>
      </c>
      <c r="B112">
        <v>3</v>
      </c>
      <c r="C112">
        <v>2</v>
      </c>
      <c r="D112">
        <v>0</v>
      </c>
      <c r="E112" t="s">
        <v>349</v>
      </c>
      <c r="F112">
        <v>4717</v>
      </c>
      <c r="G112">
        <v>9754765.6875</v>
      </c>
      <c r="H112">
        <v>0.92222222685813904</v>
      </c>
      <c r="I112">
        <v>0.6875</v>
      </c>
      <c r="J112">
        <v>263516.75</v>
      </c>
      <c r="K112">
        <v>7584</v>
      </c>
      <c r="L112">
        <v>2</v>
      </c>
      <c r="M112">
        <v>57</v>
      </c>
      <c r="N112">
        <v>0.68055555555555558</v>
      </c>
      <c r="O112">
        <v>260167</v>
      </c>
      <c r="P112">
        <v>7833</v>
      </c>
      <c r="Q112">
        <v>2</v>
      </c>
      <c r="R112">
        <v>58</v>
      </c>
      <c r="S112">
        <v>11.675791661020012</v>
      </c>
      <c r="T112">
        <v>0.93827160994211833</v>
      </c>
      <c r="W112">
        <f>Tabela2[[#This Row],[mlp_params]]</f>
        <v>7584</v>
      </c>
      <c r="X112">
        <f>Tabela2[[#This Row],[kan_test_acc]]</f>
        <v>0.92222222685813904</v>
      </c>
      <c r="Y112">
        <f>Tabela2[[#This Row],[kan_val_acc_1]]</f>
        <v>0.93827160994211833</v>
      </c>
      <c r="Z112">
        <f>Tabela2[[#This Row],[no_steps]]</f>
        <v>11.675791661020012</v>
      </c>
      <c r="AB112">
        <f t="shared" si="2"/>
        <v>7584</v>
      </c>
      <c r="AC112">
        <f>Tabela2[[#This Row],[kan_time_difference]]/Tabela2[[#This Row],[no_steps]]</f>
        <v>835469.31725979527</v>
      </c>
      <c r="AE112">
        <v>7584</v>
      </c>
      <c r="AF112">
        <v>835469.31725979527</v>
      </c>
    </row>
    <row r="113" spans="1:32" hidden="1" x14ac:dyDescent="0.25">
      <c r="A113" t="s">
        <v>314</v>
      </c>
      <c r="B113">
        <v>3</v>
      </c>
      <c r="C113">
        <v>3</v>
      </c>
      <c r="D113">
        <v>0</v>
      </c>
      <c r="E113" t="s">
        <v>319</v>
      </c>
      <c r="F113">
        <v>4292</v>
      </c>
      <c r="G113">
        <v>12415721.166666666</v>
      </c>
      <c r="H113">
        <v>0.88148148854573571</v>
      </c>
      <c r="I113">
        <v>0.68148148148148147</v>
      </c>
      <c r="J113">
        <v>317363.16666666669</v>
      </c>
      <c r="K113">
        <v>7584</v>
      </c>
      <c r="L113">
        <v>2</v>
      </c>
      <c r="M113">
        <v>57</v>
      </c>
      <c r="N113">
        <v>0.7</v>
      </c>
      <c r="O113">
        <v>269655.66666666669</v>
      </c>
      <c r="P113">
        <v>7833</v>
      </c>
      <c r="Q113">
        <v>2</v>
      </c>
      <c r="R113">
        <v>58</v>
      </c>
      <c r="S113">
        <v>11.669141988011095</v>
      </c>
      <c r="T113">
        <v>0.94074075222015385</v>
      </c>
      <c r="W113">
        <f>Tabela2[[#This Row],[mlp_params]]</f>
        <v>7584</v>
      </c>
      <c r="X113">
        <f>Tabela2[[#This Row],[kan_test_acc]]</f>
        <v>0.88148148854573571</v>
      </c>
      <c r="Y113">
        <f>Tabela2[[#This Row],[kan_val_acc_1]]</f>
        <v>0.94074075222015385</v>
      </c>
      <c r="Z113">
        <f>Tabela2[[#This Row],[no_steps]]</f>
        <v>11.669141988011095</v>
      </c>
      <c r="AB113">
        <f t="shared" si="2"/>
        <v>7584</v>
      </c>
      <c r="AC113">
        <f>Tabela2[[#This Row],[kan_time_difference]]/Tabela2[[#This Row],[no_steps]]</f>
        <v>1063978.9265931128</v>
      </c>
      <c r="AE113">
        <v>7584</v>
      </c>
      <c r="AF113">
        <v>1063978.9265931128</v>
      </c>
    </row>
    <row r="114" spans="1:32" hidden="1" x14ac:dyDescent="0.25">
      <c r="A114" t="s">
        <v>314</v>
      </c>
      <c r="B114">
        <v>3</v>
      </c>
      <c r="C114">
        <v>4</v>
      </c>
      <c r="D114">
        <v>0</v>
      </c>
      <c r="E114" t="s">
        <v>358</v>
      </c>
      <c r="F114">
        <v>4028</v>
      </c>
      <c r="G114">
        <v>13189916.833333334</v>
      </c>
      <c r="H114">
        <v>0.80000001192092896</v>
      </c>
      <c r="I114">
        <v>0.67407407407407405</v>
      </c>
      <c r="J114">
        <v>431071.5</v>
      </c>
      <c r="K114">
        <v>7584</v>
      </c>
      <c r="L114">
        <v>2</v>
      </c>
      <c r="M114">
        <v>57</v>
      </c>
      <c r="N114">
        <v>0.66666666666666663</v>
      </c>
      <c r="O114">
        <v>370061.5</v>
      </c>
      <c r="P114">
        <v>7833</v>
      </c>
      <c r="Q114">
        <v>2</v>
      </c>
      <c r="R114">
        <v>58</v>
      </c>
      <c r="S114">
        <v>11.672550320725502</v>
      </c>
      <c r="T114">
        <v>0.91111111640930176</v>
      </c>
      <c r="W114">
        <f>Tabela2[[#This Row],[mlp_params]]</f>
        <v>7584</v>
      </c>
      <c r="X114">
        <f>Tabela2[[#This Row],[kan_test_acc]]</f>
        <v>0.80000001192092896</v>
      </c>
      <c r="Y114">
        <f>Tabela2[[#This Row],[kan_val_acc_1]]</f>
        <v>0.91111111640930176</v>
      </c>
      <c r="Z114">
        <f>Tabela2[[#This Row],[no_steps]]</f>
        <v>11.672550320725502</v>
      </c>
      <c r="AB114">
        <f t="shared" si="2"/>
        <v>7584</v>
      </c>
      <c r="AC114">
        <f>Tabela2[[#This Row],[kan_time_difference]]/Tabela2[[#This Row],[no_steps]]</f>
        <v>1129994.4288878867</v>
      </c>
      <c r="AE114">
        <v>7584</v>
      </c>
      <c r="AF114">
        <v>1129994.4288878867</v>
      </c>
    </row>
    <row r="115" spans="1:32" hidden="1" x14ac:dyDescent="0.25">
      <c r="A115" t="s">
        <v>314</v>
      </c>
      <c r="B115">
        <v>5</v>
      </c>
      <c r="C115">
        <v>2</v>
      </c>
      <c r="D115">
        <v>0</v>
      </c>
      <c r="E115" t="s">
        <v>320</v>
      </c>
      <c r="F115">
        <v>5087</v>
      </c>
      <c r="G115">
        <v>13779105.666666666</v>
      </c>
      <c r="H115">
        <v>0.84444445371627808</v>
      </c>
      <c r="I115">
        <v>0.71111111111111114</v>
      </c>
      <c r="J115">
        <v>340469.33333333331</v>
      </c>
      <c r="K115">
        <v>7584</v>
      </c>
      <c r="L115">
        <v>2</v>
      </c>
      <c r="M115">
        <v>57</v>
      </c>
      <c r="N115">
        <v>0.64074074074074072</v>
      </c>
      <c r="O115">
        <v>353065.66666666669</v>
      </c>
      <c r="P115">
        <v>7833</v>
      </c>
      <c r="Q115">
        <v>2</v>
      </c>
      <c r="R115">
        <v>58</v>
      </c>
      <c r="S115">
        <v>11.673584499461787</v>
      </c>
      <c r="T115">
        <v>0.88148148059844966</v>
      </c>
      <c r="W115">
        <f>Tabela2[[#This Row],[mlp_params]]</f>
        <v>7584</v>
      </c>
      <c r="X115">
        <f>Tabela2[[#This Row],[kan_test_acc]]</f>
        <v>0.84444445371627808</v>
      </c>
      <c r="Y115">
        <f>Tabela2[[#This Row],[kan_val_acc_1]]</f>
        <v>0.88148148059844966</v>
      </c>
      <c r="Z115">
        <f>Tabela2[[#This Row],[no_steps]]</f>
        <v>11.673584499461787</v>
      </c>
      <c r="AB115">
        <f t="shared" si="2"/>
        <v>7584</v>
      </c>
      <c r="AC115">
        <f>Tabela2[[#This Row],[kan_time_difference]]/Tabela2[[#This Row],[no_steps]]</f>
        <v>1180366.2934295763</v>
      </c>
      <c r="AE115">
        <v>7584</v>
      </c>
      <c r="AF115">
        <v>1180366.2934295763</v>
      </c>
    </row>
    <row r="116" spans="1:32" hidden="1" x14ac:dyDescent="0.25">
      <c r="A116" t="s">
        <v>314</v>
      </c>
      <c r="B116">
        <v>5</v>
      </c>
      <c r="C116">
        <v>3</v>
      </c>
      <c r="D116">
        <v>0</v>
      </c>
      <c r="E116" t="s">
        <v>359</v>
      </c>
      <c r="F116">
        <v>4782</v>
      </c>
      <c r="G116">
        <v>10469488.833333334</v>
      </c>
      <c r="H116">
        <v>0.78888890147209167</v>
      </c>
      <c r="I116">
        <v>0.70000000000000007</v>
      </c>
      <c r="J116">
        <v>393560.83333333331</v>
      </c>
      <c r="K116">
        <v>7584</v>
      </c>
      <c r="L116">
        <v>2</v>
      </c>
      <c r="M116">
        <v>57</v>
      </c>
      <c r="N116">
        <v>0.64814814814814814</v>
      </c>
      <c r="O116">
        <v>404288</v>
      </c>
      <c r="P116">
        <v>7833</v>
      </c>
      <c r="Q116">
        <v>2</v>
      </c>
      <c r="R116">
        <v>58</v>
      </c>
      <c r="S116">
        <v>11.678171204567727</v>
      </c>
      <c r="T116">
        <v>0.87407408952713017</v>
      </c>
      <c r="W116">
        <f>Tabela2[[#This Row],[mlp_params]]</f>
        <v>7584</v>
      </c>
      <c r="X116">
        <f>Tabela2[[#This Row],[kan_test_acc]]</f>
        <v>0.78888890147209167</v>
      </c>
      <c r="Y116">
        <f>Tabela2[[#This Row],[kan_val_acc_1]]</f>
        <v>0.87407408952713017</v>
      </c>
      <c r="Z116">
        <f>Tabela2[[#This Row],[no_steps]]</f>
        <v>11.678171204567727</v>
      </c>
      <c r="AB116">
        <f t="shared" si="2"/>
        <v>7584</v>
      </c>
      <c r="AC116">
        <f>Tabela2[[#This Row],[kan_time_difference]]/Tabela2[[#This Row],[no_steps]]</f>
        <v>896500.7148754904</v>
      </c>
      <c r="AE116">
        <v>7584</v>
      </c>
      <c r="AF116">
        <v>896500.7148754904</v>
      </c>
    </row>
    <row r="117" spans="1:32" hidden="1" x14ac:dyDescent="0.25">
      <c r="A117" t="s">
        <v>314</v>
      </c>
      <c r="B117">
        <v>5</v>
      </c>
      <c r="C117">
        <v>4</v>
      </c>
      <c r="D117">
        <v>0</v>
      </c>
      <c r="E117" t="s">
        <v>357</v>
      </c>
      <c r="F117">
        <v>4442</v>
      </c>
      <c r="G117">
        <v>5685391</v>
      </c>
      <c r="H117">
        <v>0.89259259899457299</v>
      </c>
      <c r="I117">
        <v>0.62962962962962965</v>
      </c>
      <c r="J117">
        <v>381160.33333333331</v>
      </c>
      <c r="K117">
        <v>7584</v>
      </c>
      <c r="L117">
        <v>2</v>
      </c>
      <c r="M117">
        <v>57</v>
      </c>
      <c r="N117">
        <v>0.6333333333333333</v>
      </c>
      <c r="O117">
        <v>394015</v>
      </c>
      <c r="P117">
        <v>7833</v>
      </c>
      <c r="Q117">
        <v>2</v>
      </c>
      <c r="R117">
        <v>58</v>
      </c>
      <c r="S117">
        <v>11.673507226834099</v>
      </c>
      <c r="T117">
        <v>0.98518519401550297</v>
      </c>
      <c r="W117">
        <f>Tabela2[[#This Row],[mlp_params]]</f>
        <v>7584</v>
      </c>
      <c r="X117">
        <f>Tabela2[[#This Row],[kan_test_acc]]</f>
        <v>0.89259259899457299</v>
      </c>
      <c r="Y117">
        <f>Tabela2[[#This Row],[kan_val_acc_1]]</f>
        <v>0.98518519401550297</v>
      </c>
      <c r="Z117">
        <f>Tabela2[[#This Row],[no_steps]]</f>
        <v>11.673507226834099</v>
      </c>
      <c r="AB117">
        <f t="shared" si="2"/>
        <v>7584</v>
      </c>
      <c r="AC117">
        <f>Tabela2[[#This Row],[kan_time_difference]]/Tabela2[[#This Row],[no_steps]]</f>
        <v>487033.66430706362</v>
      </c>
      <c r="AE117">
        <v>7584</v>
      </c>
      <c r="AF117">
        <v>487033.66430706362</v>
      </c>
    </row>
    <row r="118" spans="1:32" hidden="1" x14ac:dyDescent="0.25">
      <c r="A118" t="s">
        <v>314</v>
      </c>
      <c r="B118">
        <v>9</v>
      </c>
      <c r="C118">
        <v>2</v>
      </c>
      <c r="D118">
        <v>0</v>
      </c>
      <c r="E118" t="s">
        <v>358</v>
      </c>
      <c r="F118">
        <v>5628</v>
      </c>
      <c r="G118">
        <v>6873399.833333333</v>
      </c>
      <c r="H118">
        <v>0.79259260495503747</v>
      </c>
      <c r="I118">
        <v>0.68518518518518523</v>
      </c>
      <c r="J118">
        <v>347993</v>
      </c>
      <c r="K118">
        <v>7584</v>
      </c>
      <c r="L118">
        <v>2</v>
      </c>
      <c r="M118">
        <v>57</v>
      </c>
      <c r="N118">
        <v>0.78148148148148144</v>
      </c>
      <c r="O118">
        <v>368914.33333333331</v>
      </c>
      <c r="P118">
        <v>7833</v>
      </c>
      <c r="Q118">
        <v>2</v>
      </c>
      <c r="R118">
        <v>58</v>
      </c>
      <c r="S118">
        <v>11.654959697318638</v>
      </c>
      <c r="T118">
        <v>0.85185185670852659</v>
      </c>
      <c r="W118">
        <f>Tabela2[[#This Row],[mlp_params]]</f>
        <v>7584</v>
      </c>
      <c r="X118">
        <f>Tabela2[[#This Row],[kan_test_acc]]</f>
        <v>0.79259260495503747</v>
      </c>
      <c r="Y118">
        <f>Tabela2[[#This Row],[kan_val_acc_1]]</f>
        <v>0.85185185670852659</v>
      </c>
      <c r="Z118">
        <f>Tabela2[[#This Row],[no_steps]]</f>
        <v>11.654959697318638</v>
      </c>
      <c r="AB118">
        <f t="shared" si="2"/>
        <v>7584</v>
      </c>
      <c r="AC118">
        <f>Tabela2[[#This Row],[kan_time_difference]]/Tabela2[[#This Row],[no_steps]]</f>
        <v>589740.33474475588</v>
      </c>
      <c r="AE118">
        <v>7584</v>
      </c>
      <c r="AF118">
        <v>589740.33474475588</v>
      </c>
    </row>
    <row r="119" spans="1:32" x14ac:dyDescent="0.25">
      <c r="A119" t="s">
        <v>314</v>
      </c>
      <c r="B119">
        <v>9</v>
      </c>
      <c r="C119">
        <v>4</v>
      </c>
      <c r="D119">
        <v>0</v>
      </c>
      <c r="E119" t="s">
        <v>348</v>
      </c>
      <c r="F119">
        <v>4886</v>
      </c>
      <c r="G119">
        <v>4896704.166666667</v>
      </c>
      <c r="H119">
        <v>0.92962963382403052</v>
      </c>
      <c r="I119">
        <v>0.67407407407407405</v>
      </c>
      <c r="J119">
        <v>354247.5</v>
      </c>
      <c r="K119">
        <v>7584</v>
      </c>
      <c r="L119">
        <v>2</v>
      </c>
      <c r="M119">
        <v>57</v>
      </c>
      <c r="N119">
        <v>0.71481481481481479</v>
      </c>
      <c r="O119">
        <v>321877.66666666669</v>
      </c>
      <c r="P119">
        <v>7833</v>
      </c>
      <c r="Q119">
        <v>2</v>
      </c>
      <c r="R119">
        <v>58</v>
      </c>
      <c r="S119">
        <v>11.623532250281487</v>
      </c>
      <c r="T119">
        <v>0.96296297311782841</v>
      </c>
      <c r="W119">
        <f>Tabela2[[#This Row],[mlp_params]]</f>
        <v>7584</v>
      </c>
      <c r="X119">
        <f>Tabela2[[#This Row],[kan_test_acc]]</f>
        <v>0.92962963382403052</v>
      </c>
      <c r="Y119">
        <f>Tabela2[[#This Row],[kan_val_acc_1]]</f>
        <v>0.96296297311782841</v>
      </c>
      <c r="Z119">
        <f>Tabela2[[#This Row],[no_steps]]</f>
        <v>11.623532250281487</v>
      </c>
      <c r="AB119">
        <f t="shared" si="2"/>
        <v>7584</v>
      </c>
      <c r="AC119">
        <f>Tabela2[[#This Row],[kan_time_difference]]/Tabela2[[#This Row],[no_steps]]</f>
        <v>421275.0531619236</v>
      </c>
      <c r="AE119">
        <v>7584</v>
      </c>
      <c r="AF119">
        <v>421275.0531619236</v>
      </c>
    </row>
    <row r="120" spans="1:32" hidden="1" x14ac:dyDescent="0.25">
      <c r="A120" t="s">
        <v>314</v>
      </c>
      <c r="B120">
        <v>9</v>
      </c>
      <c r="C120">
        <v>5</v>
      </c>
      <c r="D120">
        <v>0</v>
      </c>
      <c r="E120" t="s">
        <v>339</v>
      </c>
      <c r="F120">
        <v>4644</v>
      </c>
      <c r="G120">
        <v>7255291.666666667</v>
      </c>
      <c r="H120">
        <v>0.82592593630154931</v>
      </c>
      <c r="I120">
        <v>0.70370370370370372</v>
      </c>
      <c r="J120">
        <v>283674.5</v>
      </c>
      <c r="K120">
        <v>7584</v>
      </c>
      <c r="L120">
        <v>2</v>
      </c>
      <c r="M120">
        <v>57</v>
      </c>
      <c r="N120">
        <v>0.73703703703703705</v>
      </c>
      <c r="O120">
        <v>244763.66666666666</v>
      </c>
      <c r="P120">
        <v>7833</v>
      </c>
      <c r="Q120">
        <v>2</v>
      </c>
      <c r="R120">
        <v>58</v>
      </c>
      <c r="S120">
        <v>11.589683609547221</v>
      </c>
      <c r="T120">
        <v>0.8222222208976746</v>
      </c>
      <c r="W120">
        <f>Tabela2[[#This Row],[mlp_params]]</f>
        <v>7584</v>
      </c>
      <c r="X120">
        <f>Tabela2[[#This Row],[kan_test_acc]]</f>
        <v>0.82592593630154931</v>
      </c>
      <c r="Y120">
        <f>Tabela2[[#This Row],[kan_val_acc_1]]</f>
        <v>0.8222222208976746</v>
      </c>
      <c r="Z120">
        <f>Tabela2[[#This Row],[no_steps]]</f>
        <v>11.589683609547221</v>
      </c>
      <c r="AB120">
        <f t="shared" si="2"/>
        <v>7584</v>
      </c>
      <c r="AC120">
        <f>Tabela2[[#This Row],[kan_time_difference]]/Tabela2[[#This Row],[no_steps]]</f>
        <v>626012.91899720056</v>
      </c>
      <c r="AE120">
        <v>7584</v>
      </c>
      <c r="AF120">
        <v>626012.91899720056</v>
      </c>
    </row>
    <row r="121" spans="1:32" hidden="1" x14ac:dyDescent="0.25">
      <c r="A121" t="s">
        <v>314</v>
      </c>
      <c r="B121">
        <v>3</v>
      </c>
      <c r="C121">
        <v>2</v>
      </c>
      <c r="D121">
        <v>0</v>
      </c>
      <c r="E121" t="s">
        <v>323</v>
      </c>
      <c r="F121">
        <v>4851</v>
      </c>
      <c r="G121">
        <v>7959066.5</v>
      </c>
      <c r="H121">
        <v>0.92592593034108484</v>
      </c>
      <c r="I121">
        <v>0.70370370370370372</v>
      </c>
      <c r="J121">
        <v>311014.5</v>
      </c>
      <c r="K121">
        <v>7833</v>
      </c>
      <c r="L121">
        <v>2</v>
      </c>
      <c r="M121">
        <v>58</v>
      </c>
      <c r="N121">
        <v>0.65925925925925921</v>
      </c>
      <c r="O121">
        <v>278515.66666666669</v>
      </c>
      <c r="P121">
        <v>8086</v>
      </c>
      <c r="Q121">
        <v>2</v>
      </c>
      <c r="R121">
        <v>59</v>
      </c>
      <c r="S121">
        <v>11.675653705459965</v>
      </c>
      <c r="T121">
        <v>0.92592591047286987</v>
      </c>
      <c r="W121">
        <f>Tabela2[[#This Row],[mlp_params]]</f>
        <v>7833</v>
      </c>
      <c r="X121">
        <f>Tabela2[[#This Row],[kan_test_acc]]</f>
        <v>0.92592593034108484</v>
      </c>
      <c r="Y121">
        <f>Tabela2[[#This Row],[kan_val_acc_1]]</f>
        <v>0.92592591047286987</v>
      </c>
      <c r="Z121">
        <f>Tabela2[[#This Row],[no_steps]]</f>
        <v>11.675653705459965</v>
      </c>
      <c r="AB121">
        <f t="shared" si="2"/>
        <v>7833</v>
      </c>
      <c r="AC121">
        <f>Tabela2[[#This Row],[kan_time_difference]]/Tabela2[[#This Row],[no_steps]]</f>
        <v>681680.58943697927</v>
      </c>
      <c r="AE121">
        <v>7833</v>
      </c>
      <c r="AF121">
        <v>681680.58943697927</v>
      </c>
    </row>
    <row r="122" spans="1:32" hidden="1" x14ac:dyDescent="0.25">
      <c r="A122" t="s">
        <v>314</v>
      </c>
      <c r="B122">
        <v>3</v>
      </c>
      <c r="C122">
        <v>3</v>
      </c>
      <c r="D122">
        <v>0</v>
      </c>
      <c r="E122" t="s">
        <v>327</v>
      </c>
      <c r="F122">
        <v>4544</v>
      </c>
      <c r="G122">
        <v>10538977.363636363</v>
      </c>
      <c r="H122">
        <v>0.89292929931120435</v>
      </c>
      <c r="I122">
        <v>0.72323232323232323</v>
      </c>
      <c r="J122">
        <v>328172.45454545453</v>
      </c>
      <c r="K122">
        <v>7833</v>
      </c>
      <c r="L122">
        <v>2</v>
      </c>
      <c r="M122">
        <v>58</v>
      </c>
      <c r="N122">
        <v>0.6767676767676768</v>
      </c>
      <c r="O122">
        <v>279033.63636363635</v>
      </c>
      <c r="P122">
        <v>8086</v>
      </c>
      <c r="Q122">
        <v>2</v>
      </c>
      <c r="R122">
        <v>59</v>
      </c>
      <c r="S122">
        <v>11.669483568075117</v>
      </c>
      <c r="T122">
        <v>0.9148148119449615</v>
      </c>
      <c r="W122">
        <f>Tabela2[[#This Row],[mlp_params]]</f>
        <v>7833</v>
      </c>
      <c r="X122">
        <f>Tabela2[[#This Row],[kan_test_acc]]</f>
        <v>0.89292929931120435</v>
      </c>
      <c r="Y122">
        <f>Tabela2[[#This Row],[kan_val_acc_1]]</f>
        <v>0.9148148119449615</v>
      </c>
      <c r="Z122">
        <f>Tabela2[[#This Row],[no_steps]]</f>
        <v>11.669483568075117</v>
      </c>
      <c r="AB122">
        <f t="shared" si="2"/>
        <v>7833</v>
      </c>
      <c r="AC122">
        <f>Tabela2[[#This Row],[kan_time_difference]]/Tabela2[[#This Row],[no_steps]]</f>
        <v>903122.85904994584</v>
      </c>
      <c r="AE122">
        <v>7833</v>
      </c>
      <c r="AF122">
        <v>903122.85904994584</v>
      </c>
    </row>
    <row r="123" spans="1:32" hidden="1" x14ac:dyDescent="0.25">
      <c r="A123" t="s">
        <v>314</v>
      </c>
      <c r="B123">
        <v>5</v>
      </c>
      <c r="C123">
        <v>2</v>
      </c>
      <c r="D123">
        <v>0</v>
      </c>
      <c r="E123" t="s">
        <v>334</v>
      </c>
      <c r="F123">
        <v>5245</v>
      </c>
      <c r="G123">
        <v>13456196.333333334</v>
      </c>
      <c r="H123">
        <v>0.86296297113100684</v>
      </c>
      <c r="I123">
        <v>0.72962962962962963</v>
      </c>
      <c r="J123">
        <v>419414</v>
      </c>
      <c r="K123">
        <v>7833</v>
      </c>
      <c r="L123">
        <v>2</v>
      </c>
      <c r="M123">
        <v>58</v>
      </c>
      <c r="N123">
        <v>0.66296296296296298</v>
      </c>
      <c r="O123">
        <v>359744</v>
      </c>
      <c r="P123">
        <v>8086</v>
      </c>
      <c r="Q123">
        <v>2</v>
      </c>
      <c r="R123">
        <v>59</v>
      </c>
      <c r="S123">
        <v>11.674056217984589</v>
      </c>
      <c r="T123">
        <v>0.95555555820465088</v>
      </c>
      <c r="W123">
        <f>Tabela2[[#This Row],[mlp_params]]</f>
        <v>7833</v>
      </c>
      <c r="X123">
        <f>Tabela2[[#This Row],[kan_test_acc]]</f>
        <v>0.86296297113100684</v>
      </c>
      <c r="Y123">
        <f>Tabela2[[#This Row],[kan_val_acc_1]]</f>
        <v>0.95555555820465088</v>
      </c>
      <c r="Z123">
        <f>Tabela2[[#This Row],[no_steps]]</f>
        <v>11.674056217984589</v>
      </c>
      <c r="AB123">
        <f t="shared" si="2"/>
        <v>7833</v>
      </c>
      <c r="AC123">
        <f>Tabela2[[#This Row],[kan_time_difference]]/Tabela2[[#This Row],[no_steps]]</f>
        <v>1152658.1748512783</v>
      </c>
      <c r="AE123">
        <v>7833</v>
      </c>
      <c r="AF123">
        <v>1152658.1748512783</v>
      </c>
    </row>
    <row r="124" spans="1:32" hidden="1" x14ac:dyDescent="0.25">
      <c r="A124" t="s">
        <v>314</v>
      </c>
      <c r="B124">
        <v>5</v>
      </c>
      <c r="C124">
        <v>3</v>
      </c>
      <c r="D124">
        <v>0</v>
      </c>
      <c r="E124" t="s">
        <v>318</v>
      </c>
      <c r="F124">
        <v>4884</v>
      </c>
      <c r="G124">
        <v>9813565.5454545449</v>
      </c>
      <c r="H124">
        <v>0.77777778560465027</v>
      </c>
      <c r="I124">
        <v>0.69494949494949498</v>
      </c>
      <c r="J124">
        <v>419746.18181818182</v>
      </c>
      <c r="K124">
        <v>7833</v>
      </c>
      <c r="L124">
        <v>2</v>
      </c>
      <c r="M124">
        <v>58</v>
      </c>
      <c r="N124">
        <v>0.65252525252525251</v>
      </c>
      <c r="O124">
        <v>407051</v>
      </c>
      <c r="P124">
        <v>8086</v>
      </c>
      <c r="Q124">
        <v>2</v>
      </c>
      <c r="R124">
        <v>59</v>
      </c>
      <c r="S124">
        <v>11.677896081771721</v>
      </c>
      <c r="T124">
        <v>0.87037037611007695</v>
      </c>
      <c r="W124">
        <f>Tabela2[[#This Row],[mlp_params]]</f>
        <v>7833</v>
      </c>
      <c r="X124">
        <f>Tabela2[[#This Row],[kan_test_acc]]</f>
        <v>0.77777778560465027</v>
      </c>
      <c r="Y124">
        <f>Tabela2[[#This Row],[kan_val_acc_1]]</f>
        <v>0.87037037611007695</v>
      </c>
      <c r="Z124">
        <f>Tabela2[[#This Row],[no_steps]]</f>
        <v>11.677896081771721</v>
      </c>
      <c r="AB124">
        <f t="shared" si="2"/>
        <v>7833</v>
      </c>
      <c r="AC124">
        <f>Tabela2[[#This Row],[kan_time_difference]]/Tabela2[[#This Row],[no_steps]]</f>
        <v>840353.90251269238</v>
      </c>
      <c r="AE124">
        <v>7833</v>
      </c>
      <c r="AF124">
        <v>840353.90251269238</v>
      </c>
    </row>
    <row r="125" spans="1:32" hidden="1" x14ac:dyDescent="0.25">
      <c r="A125" t="s">
        <v>314</v>
      </c>
      <c r="B125">
        <v>5</v>
      </c>
      <c r="C125">
        <v>4</v>
      </c>
      <c r="D125">
        <v>0</v>
      </c>
      <c r="E125" t="s">
        <v>316</v>
      </c>
      <c r="F125">
        <v>4553</v>
      </c>
      <c r="G125">
        <v>6158117.833333333</v>
      </c>
      <c r="H125">
        <v>0.8888888955116272</v>
      </c>
      <c r="I125">
        <v>0.67037037037037039</v>
      </c>
      <c r="J125">
        <v>385870.83333333331</v>
      </c>
      <c r="K125">
        <v>7833</v>
      </c>
      <c r="L125">
        <v>2</v>
      </c>
      <c r="M125">
        <v>58</v>
      </c>
      <c r="N125">
        <v>0.625925925925926</v>
      </c>
      <c r="O125">
        <v>411876.66666666669</v>
      </c>
      <c r="P125">
        <v>8086</v>
      </c>
      <c r="Q125">
        <v>2</v>
      </c>
      <c r="R125">
        <v>59</v>
      </c>
      <c r="S125">
        <v>11.672747187934448</v>
      </c>
      <c r="T125">
        <v>0.95555555820465088</v>
      </c>
      <c r="W125">
        <f>Tabela2[[#This Row],[mlp_params]]</f>
        <v>7833</v>
      </c>
      <c r="X125">
        <f>Tabela2[[#This Row],[kan_test_acc]]</f>
        <v>0.8888888955116272</v>
      </c>
      <c r="Y125">
        <f>Tabela2[[#This Row],[kan_val_acc_1]]</f>
        <v>0.95555555820465088</v>
      </c>
      <c r="Z125">
        <f>Tabela2[[#This Row],[no_steps]]</f>
        <v>11.672747187934448</v>
      </c>
      <c r="AB125">
        <f t="shared" si="2"/>
        <v>7833</v>
      </c>
      <c r="AC125">
        <f>Tabela2[[#This Row],[kan_time_difference]]/Tabela2[[#This Row],[no_steps]]</f>
        <v>527563.71179688361</v>
      </c>
      <c r="AE125">
        <v>7833</v>
      </c>
      <c r="AF125">
        <v>527563.71179688361</v>
      </c>
    </row>
    <row r="126" spans="1:32" hidden="1" x14ac:dyDescent="0.25">
      <c r="A126" t="s">
        <v>314</v>
      </c>
      <c r="B126">
        <v>3</v>
      </c>
      <c r="C126">
        <v>2</v>
      </c>
      <c r="D126">
        <v>0</v>
      </c>
      <c r="E126" t="s">
        <v>342</v>
      </c>
      <c r="F126">
        <v>5007</v>
      </c>
      <c r="G126">
        <v>9440984.5625</v>
      </c>
      <c r="H126">
        <v>0.87222222983837128</v>
      </c>
      <c r="I126">
        <v>0.66111111111111109</v>
      </c>
      <c r="J126">
        <v>274959.625</v>
      </c>
      <c r="K126">
        <v>8086</v>
      </c>
      <c r="L126">
        <v>2</v>
      </c>
      <c r="M126">
        <v>59</v>
      </c>
      <c r="N126">
        <v>0.68472222222222223</v>
      </c>
      <c r="O126">
        <v>262425.25</v>
      </c>
      <c r="P126">
        <v>8343</v>
      </c>
      <c r="Q126">
        <v>2</v>
      </c>
      <c r="R126">
        <v>60</v>
      </c>
      <c r="S126">
        <v>11.676790468883976</v>
      </c>
      <c r="T126">
        <v>0.90864197413126624</v>
      </c>
      <c r="W126">
        <f>Tabela2[[#This Row],[mlp_params]]</f>
        <v>8086</v>
      </c>
      <c r="X126">
        <f>Tabela2[[#This Row],[kan_test_acc]]</f>
        <v>0.87222222983837128</v>
      </c>
      <c r="Y126">
        <f>Tabela2[[#This Row],[kan_val_acc_1]]</f>
        <v>0.90864197413126624</v>
      </c>
      <c r="Z126">
        <f>Tabela2[[#This Row],[no_steps]]</f>
        <v>11.676790468883976</v>
      </c>
      <c r="AB126">
        <f t="shared" si="2"/>
        <v>8086</v>
      </c>
      <c r="AC126">
        <f>Tabela2[[#This Row],[kan_time_difference]]/Tabela2[[#This Row],[no_steps]]</f>
        <v>808525.64646579069</v>
      </c>
      <c r="AE126">
        <v>8086</v>
      </c>
      <c r="AF126">
        <v>808525.64646579069</v>
      </c>
    </row>
    <row r="127" spans="1:32" hidden="1" x14ac:dyDescent="0.25">
      <c r="A127" t="s">
        <v>314</v>
      </c>
      <c r="B127">
        <v>3</v>
      </c>
      <c r="C127">
        <v>3</v>
      </c>
      <c r="D127">
        <v>0</v>
      </c>
      <c r="E127" t="s">
        <v>320</v>
      </c>
      <c r="F127">
        <v>4582</v>
      </c>
      <c r="G127">
        <v>9901959.166666666</v>
      </c>
      <c r="H127">
        <v>0.90740741292635596</v>
      </c>
      <c r="I127">
        <v>0.7</v>
      </c>
      <c r="J127">
        <v>359380</v>
      </c>
      <c r="K127">
        <v>8086</v>
      </c>
      <c r="L127">
        <v>2</v>
      </c>
      <c r="M127">
        <v>59</v>
      </c>
      <c r="N127">
        <v>0.6962962962962963</v>
      </c>
      <c r="O127">
        <v>302082.66666666669</v>
      </c>
      <c r="P127">
        <v>8343</v>
      </c>
      <c r="Q127">
        <v>2</v>
      </c>
      <c r="R127">
        <v>60</v>
      </c>
      <c r="S127">
        <v>11.669572214027088</v>
      </c>
      <c r="T127">
        <v>0.91111111640930176</v>
      </c>
      <c r="W127">
        <f>Tabela2[[#This Row],[mlp_params]]</f>
        <v>8086</v>
      </c>
      <c r="X127">
        <f>Tabela2[[#This Row],[kan_test_acc]]</f>
        <v>0.90740741292635596</v>
      </c>
      <c r="Y127">
        <f>Tabela2[[#This Row],[kan_val_acc_1]]</f>
        <v>0.91111111640930176</v>
      </c>
      <c r="Z127">
        <f>Tabela2[[#This Row],[no_steps]]</f>
        <v>11.669572214027088</v>
      </c>
      <c r="AB127">
        <f t="shared" si="2"/>
        <v>8086</v>
      </c>
      <c r="AC127">
        <f>Tabela2[[#This Row],[kan_time_difference]]/Tabela2[[#This Row],[no_steps]]</f>
        <v>848528.03385237104</v>
      </c>
      <c r="AE127">
        <v>8086</v>
      </c>
      <c r="AF127">
        <v>848528.03385237104</v>
      </c>
    </row>
    <row r="128" spans="1:32" hidden="1" x14ac:dyDescent="0.25">
      <c r="A128" t="s">
        <v>314</v>
      </c>
      <c r="B128">
        <v>3</v>
      </c>
      <c r="C128">
        <v>4</v>
      </c>
      <c r="D128">
        <v>0</v>
      </c>
      <c r="E128" t="s">
        <v>359</v>
      </c>
      <c r="F128">
        <v>4350</v>
      </c>
      <c r="G128">
        <v>9221174.8181818184</v>
      </c>
      <c r="H128">
        <v>0.87676768411289563</v>
      </c>
      <c r="I128">
        <v>0.72727272727272729</v>
      </c>
      <c r="J128">
        <v>380011</v>
      </c>
      <c r="K128">
        <v>8086</v>
      </c>
      <c r="L128">
        <v>2</v>
      </c>
      <c r="M128">
        <v>59</v>
      </c>
      <c r="N128">
        <v>0.65858585858585861</v>
      </c>
      <c r="O128">
        <v>370956.45454545453</v>
      </c>
      <c r="P128">
        <v>8343</v>
      </c>
      <c r="Q128">
        <v>2</v>
      </c>
      <c r="R128">
        <v>60</v>
      </c>
      <c r="S128">
        <v>11.672046338875132</v>
      </c>
      <c r="T128">
        <v>0.93333333730697632</v>
      </c>
      <c r="W128">
        <f>Tabela2[[#This Row],[mlp_params]]</f>
        <v>8086</v>
      </c>
      <c r="X128">
        <f>Tabela2[[#This Row],[kan_test_acc]]</f>
        <v>0.87676768411289563</v>
      </c>
      <c r="Y128">
        <f>Tabela2[[#This Row],[kan_val_acc_1]]</f>
        <v>0.93333333730697632</v>
      </c>
      <c r="Z128">
        <f>Tabela2[[#This Row],[no_steps]]</f>
        <v>11.672046338875132</v>
      </c>
      <c r="AB128">
        <f t="shared" si="2"/>
        <v>8086</v>
      </c>
      <c r="AC128">
        <f>Tabela2[[#This Row],[kan_time_difference]]/Tabela2[[#This Row],[no_steps]]</f>
        <v>790022.12212520128</v>
      </c>
      <c r="AE128">
        <v>8086</v>
      </c>
      <c r="AF128">
        <v>790022.12212520128</v>
      </c>
    </row>
    <row r="129" spans="1:32" hidden="1" x14ac:dyDescent="0.25">
      <c r="A129" t="s">
        <v>314</v>
      </c>
      <c r="B129">
        <v>3</v>
      </c>
      <c r="C129">
        <v>5</v>
      </c>
      <c r="D129">
        <v>0</v>
      </c>
      <c r="E129" t="s">
        <v>357</v>
      </c>
      <c r="F129">
        <v>4074</v>
      </c>
      <c r="G129">
        <v>6732372.833333333</v>
      </c>
      <c r="H129">
        <v>0.90740741292635596</v>
      </c>
      <c r="I129">
        <v>0.71481481481481479</v>
      </c>
      <c r="J129">
        <v>373699.83333333331</v>
      </c>
      <c r="K129">
        <v>8086</v>
      </c>
      <c r="L129">
        <v>2</v>
      </c>
      <c r="M129">
        <v>59</v>
      </c>
      <c r="N129">
        <v>0.71851851851851856</v>
      </c>
      <c r="O129">
        <v>397637.66666666669</v>
      </c>
      <c r="P129">
        <v>8343</v>
      </c>
      <c r="Q129">
        <v>2</v>
      </c>
      <c r="R129">
        <v>60</v>
      </c>
      <c r="S129">
        <v>11.675044804825808</v>
      </c>
      <c r="T129">
        <v>0.93333333730697632</v>
      </c>
      <c r="W129">
        <f>Tabela2[[#This Row],[mlp_params]]</f>
        <v>8086</v>
      </c>
      <c r="X129">
        <f>Tabela2[[#This Row],[kan_test_acc]]</f>
        <v>0.90740741292635596</v>
      </c>
      <c r="Y129">
        <f>Tabela2[[#This Row],[kan_val_acc_1]]</f>
        <v>0.93333333730697632</v>
      </c>
      <c r="Z129">
        <f>Tabela2[[#This Row],[no_steps]]</f>
        <v>11.675044804825808</v>
      </c>
      <c r="AB129">
        <f t="shared" si="2"/>
        <v>8086</v>
      </c>
      <c r="AC129">
        <f>Tabela2[[#This Row],[kan_time_difference]]/Tabela2[[#This Row],[no_steps]]</f>
        <v>576646.42370798858</v>
      </c>
      <c r="AE129">
        <v>8086</v>
      </c>
      <c r="AF129">
        <v>576646.42370798858</v>
      </c>
    </row>
    <row r="130" spans="1:32" hidden="1" x14ac:dyDescent="0.25">
      <c r="A130" t="s">
        <v>314</v>
      </c>
      <c r="B130">
        <v>5</v>
      </c>
      <c r="C130">
        <v>2</v>
      </c>
      <c r="D130">
        <v>0</v>
      </c>
      <c r="E130" t="s">
        <v>321</v>
      </c>
      <c r="F130">
        <v>5409</v>
      </c>
      <c r="G130">
        <v>10292223.363636363</v>
      </c>
      <c r="H130">
        <v>0.87474748221310705</v>
      </c>
      <c r="I130">
        <v>0.68080808080808075</v>
      </c>
      <c r="J130">
        <v>390131.63636363635</v>
      </c>
      <c r="K130">
        <v>8086</v>
      </c>
      <c r="L130">
        <v>2</v>
      </c>
      <c r="M130">
        <v>59</v>
      </c>
      <c r="N130">
        <v>0.6767676767676768</v>
      </c>
      <c r="O130">
        <v>383968.27272727271</v>
      </c>
      <c r="P130">
        <v>8343</v>
      </c>
      <c r="Q130">
        <v>2</v>
      </c>
      <c r="R130">
        <v>60</v>
      </c>
      <c r="S130">
        <v>11.673608123225195</v>
      </c>
      <c r="T130">
        <v>0.8555555582046509</v>
      </c>
      <c r="W130">
        <f>Tabela2[[#This Row],[mlp_params]]</f>
        <v>8086</v>
      </c>
      <c r="X130">
        <f>Tabela2[[#This Row],[kan_test_acc]]</f>
        <v>0.87474748221310705</v>
      </c>
      <c r="Y130">
        <f>Tabela2[[#This Row],[kan_val_acc_1]]</f>
        <v>0.8555555582046509</v>
      </c>
      <c r="Z130">
        <f>Tabela2[[#This Row],[no_steps]]</f>
        <v>11.673608123225195</v>
      </c>
      <c r="AB130">
        <f t="shared" si="2"/>
        <v>8086</v>
      </c>
      <c r="AC130">
        <f>Tabela2[[#This Row],[kan_time_difference]]/Tabela2[[#This Row],[no_steps]]</f>
        <v>881665.9986349463</v>
      </c>
      <c r="AE130">
        <v>8086</v>
      </c>
      <c r="AF130">
        <v>881665.9986349463</v>
      </c>
    </row>
    <row r="131" spans="1:32" hidden="1" x14ac:dyDescent="0.25">
      <c r="A131" t="s">
        <v>314</v>
      </c>
      <c r="B131">
        <v>5</v>
      </c>
      <c r="C131">
        <v>5</v>
      </c>
      <c r="D131">
        <v>0</v>
      </c>
      <c r="E131" t="s">
        <v>356</v>
      </c>
      <c r="F131">
        <v>4392</v>
      </c>
      <c r="G131">
        <v>6682948.5</v>
      </c>
      <c r="H131">
        <v>0.76666668057441711</v>
      </c>
      <c r="I131">
        <v>0.71851851851851856</v>
      </c>
      <c r="J131">
        <v>379422</v>
      </c>
      <c r="K131">
        <v>8086</v>
      </c>
      <c r="L131">
        <v>2</v>
      </c>
      <c r="M131">
        <v>59</v>
      </c>
      <c r="N131">
        <v>0.71851851851851856</v>
      </c>
      <c r="O131">
        <v>379388.16666666669</v>
      </c>
      <c r="P131">
        <v>8343</v>
      </c>
      <c r="Q131">
        <v>2</v>
      </c>
      <c r="R131">
        <v>60</v>
      </c>
      <c r="S131">
        <v>11.669970019986675</v>
      </c>
      <c r="T131">
        <v>0.85925927162170412</v>
      </c>
      <c r="W131">
        <f>Tabela2[[#This Row],[mlp_params]]</f>
        <v>8086</v>
      </c>
      <c r="X131">
        <f>Tabela2[[#This Row],[kan_test_acc]]</f>
        <v>0.76666668057441711</v>
      </c>
      <c r="Y131">
        <f>Tabela2[[#This Row],[kan_val_acc_1]]</f>
        <v>0.85925927162170412</v>
      </c>
      <c r="Z131">
        <f>Tabela2[[#This Row],[no_steps]]</f>
        <v>11.669970019986675</v>
      </c>
      <c r="AB131">
        <f t="shared" si="2"/>
        <v>8086</v>
      </c>
      <c r="AC131">
        <f>Tabela2[[#This Row],[kan_time_difference]]/Tabela2[[#This Row],[no_steps]]</f>
        <v>572662.0110038321</v>
      </c>
      <c r="AE131">
        <v>8086</v>
      </c>
      <c r="AF131">
        <v>572662.0110038321</v>
      </c>
    </row>
    <row r="132" spans="1:32" hidden="1" x14ac:dyDescent="0.25">
      <c r="A132" t="s">
        <v>314</v>
      </c>
      <c r="B132">
        <v>9</v>
      </c>
      <c r="C132">
        <v>2</v>
      </c>
      <c r="D132">
        <v>0</v>
      </c>
      <c r="E132" t="s">
        <v>359</v>
      </c>
      <c r="F132">
        <v>6078</v>
      </c>
      <c r="G132">
        <v>6003452.4545454541</v>
      </c>
      <c r="H132">
        <v>0.89696970311078161</v>
      </c>
      <c r="I132">
        <v>0.72727272727272729</v>
      </c>
      <c r="J132">
        <v>359027.72727272729</v>
      </c>
      <c r="K132">
        <v>8086</v>
      </c>
      <c r="L132">
        <v>2</v>
      </c>
      <c r="M132">
        <v>59</v>
      </c>
      <c r="N132">
        <v>0.63030303030303036</v>
      </c>
      <c r="O132">
        <v>366884.27272727271</v>
      </c>
      <c r="P132">
        <v>8343</v>
      </c>
      <c r="Q132">
        <v>2</v>
      </c>
      <c r="R132">
        <v>60</v>
      </c>
      <c r="S132">
        <v>11.653923623956921</v>
      </c>
      <c r="T132">
        <v>0.82222222685813906</v>
      </c>
      <c r="W132">
        <f>Tabela2[[#This Row],[mlp_params]]</f>
        <v>8086</v>
      </c>
      <c r="X132">
        <f>Tabela2[[#This Row],[kan_test_acc]]</f>
        <v>0.89696970311078161</v>
      </c>
      <c r="Y132">
        <f>Tabela2[[#This Row],[kan_val_acc_1]]</f>
        <v>0.82222222685813906</v>
      </c>
      <c r="Z132">
        <f>Tabela2[[#This Row],[no_steps]]</f>
        <v>11.653923623956921</v>
      </c>
      <c r="AB132">
        <f t="shared" si="2"/>
        <v>8086</v>
      </c>
      <c r="AC132">
        <f>Tabela2[[#This Row],[kan_time_difference]]/Tabela2[[#This Row],[no_steps]]</f>
        <v>515144.31090008025</v>
      </c>
      <c r="AE132">
        <v>8086</v>
      </c>
      <c r="AF132">
        <v>515144.31090008025</v>
      </c>
    </row>
    <row r="133" spans="1:32" hidden="1" x14ac:dyDescent="0.25">
      <c r="A133" t="s">
        <v>314</v>
      </c>
      <c r="B133">
        <v>9</v>
      </c>
      <c r="C133">
        <v>3</v>
      </c>
      <c r="D133">
        <v>0</v>
      </c>
      <c r="E133" t="s">
        <v>357</v>
      </c>
      <c r="F133">
        <v>5546</v>
      </c>
      <c r="G133">
        <v>6761766.5</v>
      </c>
      <c r="H133">
        <v>0.90000000596046448</v>
      </c>
      <c r="I133">
        <v>0.73703703703703705</v>
      </c>
      <c r="J133">
        <v>364472.83333333331</v>
      </c>
      <c r="K133">
        <v>8086</v>
      </c>
      <c r="L133">
        <v>2</v>
      </c>
      <c r="M133">
        <v>59</v>
      </c>
      <c r="N133">
        <v>0.68888888888888888</v>
      </c>
      <c r="O133">
        <v>425891.83333333331</v>
      </c>
      <c r="P133">
        <v>8343</v>
      </c>
      <c r="Q133">
        <v>2</v>
      </c>
      <c r="R133">
        <v>60</v>
      </c>
      <c r="S133">
        <v>11.63648934439564</v>
      </c>
      <c r="T133">
        <v>0.97037037611007693</v>
      </c>
      <c r="W133">
        <f>Tabela2[[#This Row],[mlp_params]]</f>
        <v>8086</v>
      </c>
      <c r="X133">
        <f>Tabela2[[#This Row],[kan_test_acc]]</f>
        <v>0.90000000596046448</v>
      </c>
      <c r="Y133">
        <f>Tabela2[[#This Row],[kan_val_acc_1]]</f>
        <v>0.97037037611007693</v>
      </c>
      <c r="Z133">
        <f>Tabela2[[#This Row],[no_steps]]</f>
        <v>11.63648934439564</v>
      </c>
      <c r="AB133">
        <f t="shared" si="2"/>
        <v>8086</v>
      </c>
      <c r="AC133">
        <f>Tabela2[[#This Row],[kan_time_difference]]/Tabela2[[#This Row],[no_steps]]</f>
        <v>581083.03113400762</v>
      </c>
      <c r="AE133">
        <v>8086</v>
      </c>
      <c r="AF133">
        <v>581083.03113400762</v>
      </c>
    </row>
    <row r="134" spans="1:32" hidden="1" x14ac:dyDescent="0.25">
      <c r="A134" t="s">
        <v>314</v>
      </c>
      <c r="B134">
        <v>3</v>
      </c>
      <c r="C134">
        <v>2</v>
      </c>
      <c r="D134">
        <v>0</v>
      </c>
      <c r="E134" t="s">
        <v>330</v>
      </c>
      <c r="F134">
        <v>5203</v>
      </c>
      <c r="G134">
        <v>10212690.636363637</v>
      </c>
      <c r="H134">
        <v>0.92323232780803333</v>
      </c>
      <c r="I134">
        <v>0.64646464646464652</v>
      </c>
      <c r="J134">
        <v>299087.90909090912</v>
      </c>
      <c r="K134">
        <v>8343</v>
      </c>
      <c r="L134">
        <v>2</v>
      </c>
      <c r="M134">
        <v>60</v>
      </c>
      <c r="N134">
        <v>0.65252525252525251</v>
      </c>
      <c r="O134">
        <v>255056.72727272726</v>
      </c>
      <c r="P134">
        <v>8604</v>
      </c>
      <c r="Q134">
        <v>2</v>
      </c>
      <c r="R134">
        <v>61</v>
      </c>
      <c r="S134">
        <v>11.677807848443843</v>
      </c>
      <c r="T134">
        <v>0.92222222089767458</v>
      </c>
      <c r="W134">
        <f>Tabela2[[#This Row],[mlp_params]]</f>
        <v>8343</v>
      </c>
      <c r="X134">
        <f>Tabela2[[#This Row],[kan_test_acc]]</f>
        <v>0.92323232780803333</v>
      </c>
      <c r="Y134">
        <f>Tabela2[[#This Row],[kan_val_acc_1]]</f>
        <v>0.92222222089767458</v>
      </c>
      <c r="Z134">
        <f>Tabela2[[#This Row],[no_steps]]</f>
        <v>11.677807848443843</v>
      </c>
      <c r="AB134">
        <f t="shared" si="2"/>
        <v>8343</v>
      </c>
      <c r="AC134">
        <f>Tabela2[[#This Row],[kan_time_difference]]/Tabela2[[#This Row],[no_steps]]</f>
        <v>874538.33535414399</v>
      </c>
      <c r="AE134">
        <v>8343</v>
      </c>
      <c r="AF134">
        <v>874538.33535414399</v>
      </c>
    </row>
    <row r="135" spans="1:32" hidden="1" x14ac:dyDescent="0.25">
      <c r="A135" t="s">
        <v>314</v>
      </c>
      <c r="B135">
        <v>3</v>
      </c>
      <c r="C135">
        <v>3</v>
      </c>
      <c r="D135">
        <v>0</v>
      </c>
      <c r="E135" t="s">
        <v>334</v>
      </c>
      <c r="F135">
        <v>4724</v>
      </c>
      <c r="G135">
        <v>8991131.833333334</v>
      </c>
      <c r="H135">
        <v>0.86666667461395264</v>
      </c>
      <c r="I135">
        <v>0.62962962962962965</v>
      </c>
      <c r="J135">
        <v>359448.33333333331</v>
      </c>
      <c r="K135">
        <v>8343</v>
      </c>
      <c r="L135">
        <v>2</v>
      </c>
      <c r="M135">
        <v>60</v>
      </c>
      <c r="N135">
        <v>0.62962962962962965</v>
      </c>
      <c r="O135">
        <v>283024.33333333331</v>
      </c>
      <c r="P135">
        <v>8604</v>
      </c>
      <c r="Q135">
        <v>2</v>
      </c>
      <c r="R135">
        <v>61</v>
      </c>
      <c r="S135">
        <v>11.669303302498101</v>
      </c>
      <c r="T135">
        <v>0.88148148059844966</v>
      </c>
      <c r="W135">
        <f>Tabela2[[#This Row],[mlp_params]]</f>
        <v>8343</v>
      </c>
      <c r="X135">
        <f>Tabela2[[#This Row],[kan_test_acc]]</f>
        <v>0.86666667461395264</v>
      </c>
      <c r="Y135">
        <f>Tabela2[[#This Row],[kan_val_acc_1]]</f>
        <v>0.88148148059844966</v>
      </c>
      <c r="Z135">
        <f>Tabela2[[#This Row],[no_steps]]</f>
        <v>11.669303302498101</v>
      </c>
      <c r="AB135">
        <f t="shared" si="2"/>
        <v>8343</v>
      </c>
      <c r="AC135">
        <f>Tabela2[[#This Row],[kan_time_difference]]/Tabela2[[#This Row],[no_steps]]</f>
        <v>770494.31317879632</v>
      </c>
      <c r="AE135">
        <v>8343</v>
      </c>
      <c r="AF135">
        <v>770494.31317879632</v>
      </c>
    </row>
    <row r="136" spans="1:32" hidden="1" x14ac:dyDescent="0.25">
      <c r="A136" t="s">
        <v>314</v>
      </c>
      <c r="B136">
        <v>3</v>
      </c>
      <c r="C136">
        <v>4</v>
      </c>
      <c r="D136">
        <v>0</v>
      </c>
      <c r="E136" t="s">
        <v>318</v>
      </c>
      <c r="F136">
        <v>4443</v>
      </c>
      <c r="G136">
        <v>9329316.8181818184</v>
      </c>
      <c r="H136">
        <v>0.87676768411289563</v>
      </c>
      <c r="I136">
        <v>0.64242424242424245</v>
      </c>
      <c r="J136">
        <v>373627.45454545453</v>
      </c>
      <c r="K136">
        <v>8343</v>
      </c>
      <c r="L136">
        <v>2</v>
      </c>
      <c r="M136">
        <v>60</v>
      </c>
      <c r="N136">
        <v>0.64646464646464641</v>
      </c>
      <c r="O136">
        <v>343723.54545454547</v>
      </c>
      <c r="P136">
        <v>8604</v>
      </c>
      <c r="Q136">
        <v>2</v>
      </c>
      <c r="R136">
        <v>61</v>
      </c>
      <c r="S136">
        <v>11.671410262076281</v>
      </c>
      <c r="T136">
        <v>0.92962964177131657</v>
      </c>
      <c r="W136">
        <f>Tabela2[[#This Row],[mlp_params]]</f>
        <v>8343</v>
      </c>
      <c r="X136">
        <f>Tabela2[[#This Row],[kan_test_acc]]</f>
        <v>0.87676768411289563</v>
      </c>
      <c r="Y136">
        <f>Tabela2[[#This Row],[kan_val_acc_1]]</f>
        <v>0.92962964177131657</v>
      </c>
      <c r="Z136">
        <f>Tabela2[[#This Row],[no_steps]]</f>
        <v>11.671410262076281</v>
      </c>
      <c r="AB136">
        <f t="shared" si="2"/>
        <v>8343</v>
      </c>
      <c r="AC136">
        <f>Tabela2[[#This Row],[kan_time_difference]]/Tabela2[[#This Row],[no_steps]]</f>
        <v>799330.72428234422</v>
      </c>
      <c r="AE136">
        <v>8343</v>
      </c>
      <c r="AF136">
        <v>799330.72428234422</v>
      </c>
    </row>
    <row r="137" spans="1:32" hidden="1" x14ac:dyDescent="0.25">
      <c r="A137" t="s">
        <v>314</v>
      </c>
      <c r="B137">
        <v>5</v>
      </c>
      <c r="C137">
        <v>2</v>
      </c>
      <c r="D137">
        <v>0</v>
      </c>
      <c r="E137" t="s">
        <v>322</v>
      </c>
      <c r="F137">
        <v>5731</v>
      </c>
      <c r="G137">
        <v>12772690.545454545</v>
      </c>
      <c r="H137">
        <v>0.86666667461395264</v>
      </c>
      <c r="I137">
        <v>0.6707070707070707</v>
      </c>
      <c r="J137">
        <v>386089.27272727271</v>
      </c>
      <c r="K137">
        <v>8343</v>
      </c>
      <c r="L137">
        <v>2</v>
      </c>
      <c r="M137">
        <v>60</v>
      </c>
      <c r="N137">
        <v>0.64444444444444438</v>
      </c>
      <c r="O137">
        <v>373991.45454545453</v>
      </c>
      <c r="P137">
        <v>8604</v>
      </c>
      <c r="Q137">
        <v>2</v>
      </c>
      <c r="R137">
        <v>61</v>
      </c>
      <c r="S137">
        <v>11.674278587709113</v>
      </c>
      <c r="T137">
        <v>0.87777777314186101</v>
      </c>
      <c r="W137">
        <f>Tabela2[[#This Row],[mlp_params]]</f>
        <v>8343</v>
      </c>
      <c r="X137">
        <f>Tabela2[[#This Row],[kan_test_acc]]</f>
        <v>0.86666667461395264</v>
      </c>
      <c r="Y137">
        <f>Tabela2[[#This Row],[kan_val_acc_1]]</f>
        <v>0.87777777314186101</v>
      </c>
      <c r="Z137">
        <f>Tabela2[[#This Row],[no_steps]]</f>
        <v>11.674278587709113</v>
      </c>
      <c r="AB137">
        <f t="shared" si="2"/>
        <v>8343</v>
      </c>
      <c r="AC137">
        <f>Tabela2[[#This Row],[kan_time_difference]]/Tabela2[[#This Row],[no_steps]]</f>
        <v>1094088.2084912604</v>
      </c>
      <c r="AE137">
        <v>8343</v>
      </c>
      <c r="AF137">
        <v>1094088.2084912604</v>
      </c>
    </row>
    <row r="138" spans="1:32" hidden="1" x14ac:dyDescent="0.25">
      <c r="A138" t="s">
        <v>314</v>
      </c>
      <c r="B138">
        <v>5</v>
      </c>
      <c r="C138">
        <v>3</v>
      </c>
      <c r="D138">
        <v>0</v>
      </c>
      <c r="E138" t="s">
        <v>319</v>
      </c>
      <c r="F138">
        <v>5238</v>
      </c>
      <c r="G138">
        <v>12972080.833333334</v>
      </c>
      <c r="H138">
        <v>0.70740741491317749</v>
      </c>
      <c r="I138">
        <v>0.67777777777777781</v>
      </c>
      <c r="J138">
        <v>393959.16666666669</v>
      </c>
      <c r="K138">
        <v>8343</v>
      </c>
      <c r="L138">
        <v>2</v>
      </c>
      <c r="M138">
        <v>60</v>
      </c>
      <c r="N138">
        <v>0.70000000000000007</v>
      </c>
      <c r="O138">
        <v>373730.5</v>
      </c>
      <c r="P138">
        <v>8604</v>
      </c>
      <c r="Q138">
        <v>2</v>
      </c>
      <c r="R138">
        <v>61</v>
      </c>
      <c r="S138">
        <v>11.677935791535383</v>
      </c>
      <c r="T138">
        <v>0.79259259700775142</v>
      </c>
      <c r="W138">
        <f>Tabela2[[#This Row],[mlp_params]]</f>
        <v>8343</v>
      </c>
      <c r="X138">
        <f>Tabela2[[#This Row],[kan_test_acc]]</f>
        <v>0.70740741491317749</v>
      </c>
      <c r="Y138">
        <f>Tabela2[[#This Row],[kan_val_acc_1]]</f>
        <v>0.79259259700775142</v>
      </c>
      <c r="Z138">
        <f>Tabela2[[#This Row],[no_steps]]</f>
        <v>11.677935791535383</v>
      </c>
      <c r="AB138">
        <f t="shared" si="2"/>
        <v>8343</v>
      </c>
      <c r="AC138">
        <f>Tabela2[[#This Row],[kan_time_difference]]/Tabela2[[#This Row],[no_steps]]</f>
        <v>1110819.6743756714</v>
      </c>
      <c r="AE138">
        <v>8343</v>
      </c>
      <c r="AF138">
        <v>1110819.6743756714</v>
      </c>
    </row>
    <row r="139" spans="1:32" hidden="1" x14ac:dyDescent="0.25">
      <c r="A139" t="s">
        <v>314</v>
      </c>
      <c r="B139">
        <v>5</v>
      </c>
      <c r="C139">
        <v>4</v>
      </c>
      <c r="D139">
        <v>0</v>
      </c>
      <c r="E139" t="s">
        <v>358</v>
      </c>
      <c r="F139">
        <v>4828</v>
      </c>
      <c r="G139">
        <v>13346806.666666666</v>
      </c>
      <c r="H139">
        <v>0.71481482684612274</v>
      </c>
      <c r="I139">
        <v>0.70740740740740748</v>
      </c>
      <c r="J139">
        <v>430528.16666666669</v>
      </c>
      <c r="K139">
        <v>8343</v>
      </c>
      <c r="L139">
        <v>2</v>
      </c>
      <c r="M139">
        <v>60</v>
      </c>
      <c r="N139">
        <v>0.66296296296296298</v>
      </c>
      <c r="O139">
        <v>385621.66666666669</v>
      </c>
      <c r="P139">
        <v>8604</v>
      </c>
      <c r="Q139">
        <v>2</v>
      </c>
      <c r="R139">
        <v>61</v>
      </c>
      <c r="S139">
        <v>11.672829886703449</v>
      </c>
      <c r="T139">
        <v>0.85185185670852659</v>
      </c>
      <c r="W139">
        <f>Tabela2[[#This Row],[mlp_params]]</f>
        <v>8343</v>
      </c>
      <c r="X139">
        <f>Tabela2[[#This Row],[kan_test_acc]]</f>
        <v>0.71481482684612274</v>
      </c>
      <c r="Y139">
        <f>Tabela2[[#This Row],[kan_val_acc_1]]</f>
        <v>0.85185185670852659</v>
      </c>
      <c r="Z139">
        <f>Tabela2[[#This Row],[no_steps]]</f>
        <v>11.672829886703449</v>
      </c>
      <c r="AB139">
        <f t="shared" si="2"/>
        <v>8343</v>
      </c>
      <c r="AC139">
        <f>Tabela2[[#This Row],[kan_time_difference]]/Tabela2[[#This Row],[no_steps]]</f>
        <v>1143407.9650102714</v>
      </c>
      <c r="AE139">
        <v>8343</v>
      </c>
      <c r="AF139">
        <v>1143407.9650102714</v>
      </c>
    </row>
    <row r="140" spans="1:32" hidden="1" x14ac:dyDescent="0.25">
      <c r="A140" t="s">
        <v>314</v>
      </c>
      <c r="B140">
        <v>9</v>
      </c>
      <c r="C140">
        <v>2</v>
      </c>
      <c r="D140">
        <v>0</v>
      </c>
      <c r="E140" t="s">
        <v>318</v>
      </c>
      <c r="F140">
        <v>6207</v>
      </c>
      <c r="G140">
        <v>8296642.1818181816</v>
      </c>
      <c r="H140">
        <v>0.84848485751585523</v>
      </c>
      <c r="I140">
        <v>0.67272727272727273</v>
      </c>
      <c r="J140">
        <v>392146.27272727271</v>
      </c>
      <c r="K140">
        <v>8343</v>
      </c>
      <c r="L140">
        <v>2</v>
      </c>
      <c r="M140">
        <v>60</v>
      </c>
      <c r="N140">
        <v>0.73131313131313136</v>
      </c>
      <c r="O140">
        <v>354916.54545454547</v>
      </c>
      <c r="P140">
        <v>8604</v>
      </c>
      <c r="Q140">
        <v>2</v>
      </c>
      <c r="R140">
        <v>61</v>
      </c>
      <c r="S140">
        <v>11.653381543265676</v>
      </c>
      <c r="T140">
        <v>0.71851852536201477</v>
      </c>
      <c r="W140">
        <f>Tabela2[[#This Row],[mlp_params]]</f>
        <v>8343</v>
      </c>
      <c r="X140">
        <f>Tabela2[[#This Row],[kan_test_acc]]</f>
        <v>0.84848485751585523</v>
      </c>
      <c r="Y140">
        <f>Tabela2[[#This Row],[kan_val_acc_1]]</f>
        <v>0.71851852536201477</v>
      </c>
      <c r="Z140">
        <f>Tabela2[[#This Row],[no_steps]]</f>
        <v>11.653381543265676</v>
      </c>
      <c r="AB140">
        <f t="shared" si="2"/>
        <v>8343</v>
      </c>
      <c r="AC140">
        <f>Tabela2[[#This Row],[kan_time_difference]]/Tabela2[[#This Row],[no_steps]]</f>
        <v>711951.47528767679</v>
      </c>
      <c r="AE140">
        <v>8343</v>
      </c>
      <c r="AF140">
        <v>711951.47528767679</v>
      </c>
    </row>
    <row r="141" spans="1:32" x14ac:dyDescent="0.25">
      <c r="A141" t="s">
        <v>314</v>
      </c>
      <c r="B141">
        <v>9</v>
      </c>
      <c r="C141">
        <v>4</v>
      </c>
      <c r="D141">
        <v>0</v>
      </c>
      <c r="E141" t="s">
        <v>356</v>
      </c>
      <c r="F141">
        <v>5400</v>
      </c>
      <c r="G141">
        <v>7363494.166666667</v>
      </c>
      <c r="H141">
        <v>0.86666667461395264</v>
      </c>
      <c r="I141">
        <v>0.78888888888888886</v>
      </c>
      <c r="J141">
        <v>395854.5</v>
      </c>
      <c r="K141">
        <v>8343</v>
      </c>
      <c r="L141">
        <v>2</v>
      </c>
      <c r="M141">
        <v>60</v>
      </c>
      <c r="N141">
        <v>0.64074074074074083</v>
      </c>
      <c r="O141">
        <v>402566.16666666669</v>
      </c>
      <c r="P141">
        <v>8604</v>
      </c>
      <c r="Q141">
        <v>2</v>
      </c>
      <c r="R141">
        <v>61</v>
      </c>
      <c r="S141">
        <v>11.622979818284152</v>
      </c>
      <c r="T141">
        <v>0.91111111640930176</v>
      </c>
      <c r="W141">
        <f>Tabela2[[#This Row],[mlp_params]]</f>
        <v>8343</v>
      </c>
      <c r="X141">
        <f>Tabela2[[#This Row],[kan_test_acc]]</f>
        <v>0.86666667461395264</v>
      </c>
      <c r="Y141">
        <f>Tabela2[[#This Row],[kan_val_acc_1]]</f>
        <v>0.91111111640930176</v>
      </c>
      <c r="Z141">
        <f>Tabela2[[#This Row],[no_steps]]</f>
        <v>11.622979818284152</v>
      </c>
      <c r="AB141">
        <f t="shared" si="2"/>
        <v>8343</v>
      </c>
      <c r="AC141">
        <f>Tabela2[[#This Row],[kan_time_difference]]/Tabela2[[#This Row],[no_steps]]</f>
        <v>633528.94711932028</v>
      </c>
      <c r="AE141">
        <v>8343</v>
      </c>
      <c r="AF141">
        <v>633528.94711932028</v>
      </c>
    </row>
    <row r="142" spans="1:32" hidden="1" x14ac:dyDescent="0.25">
      <c r="A142" t="s">
        <v>314</v>
      </c>
      <c r="B142">
        <v>9</v>
      </c>
      <c r="C142">
        <v>5</v>
      </c>
      <c r="D142">
        <v>0</v>
      </c>
      <c r="E142" t="s">
        <v>348</v>
      </c>
      <c r="F142">
        <v>5190</v>
      </c>
      <c r="G142">
        <v>8097555.666666667</v>
      </c>
      <c r="H142">
        <v>0.8333333432674408</v>
      </c>
      <c r="I142">
        <v>0.7407407407407407</v>
      </c>
      <c r="J142">
        <v>315080.16666666669</v>
      </c>
      <c r="K142">
        <v>8343</v>
      </c>
      <c r="L142">
        <v>2</v>
      </c>
      <c r="M142">
        <v>60</v>
      </c>
      <c r="N142">
        <v>0.75185185185185177</v>
      </c>
      <c r="O142">
        <v>280835</v>
      </c>
      <c r="P142">
        <v>8604</v>
      </c>
      <c r="Q142">
        <v>2</v>
      </c>
      <c r="R142">
        <v>61</v>
      </c>
      <c r="S142">
        <v>11.589741557000158</v>
      </c>
      <c r="T142">
        <v>0.87407407760620115</v>
      </c>
      <c r="W142">
        <f>Tabela2[[#This Row],[mlp_params]]</f>
        <v>8343</v>
      </c>
      <c r="X142">
        <f>Tabela2[[#This Row],[kan_test_acc]]</f>
        <v>0.8333333432674408</v>
      </c>
      <c r="Y142">
        <f>Tabela2[[#This Row],[kan_val_acc_1]]</f>
        <v>0.87407407760620115</v>
      </c>
      <c r="Z142">
        <f>Tabela2[[#This Row],[no_steps]]</f>
        <v>11.589741557000158</v>
      </c>
      <c r="AB142">
        <f t="shared" si="2"/>
        <v>8343</v>
      </c>
      <c r="AC142">
        <f>Tabela2[[#This Row],[kan_time_difference]]/Tabela2[[#This Row],[no_steps]]</f>
        <v>698683.02298559668</v>
      </c>
      <c r="AE142">
        <v>8343</v>
      </c>
      <c r="AF142">
        <v>698683.02298559668</v>
      </c>
    </row>
    <row r="143" spans="1:32" hidden="1" x14ac:dyDescent="0.25">
      <c r="A143" t="s">
        <v>314</v>
      </c>
      <c r="B143">
        <v>3</v>
      </c>
      <c r="C143">
        <v>2</v>
      </c>
      <c r="D143">
        <v>0</v>
      </c>
      <c r="E143" t="s">
        <v>343</v>
      </c>
      <c r="F143">
        <v>5361</v>
      </c>
      <c r="G143">
        <v>7262367.8181818184</v>
      </c>
      <c r="H143">
        <v>0.89090909741141577</v>
      </c>
      <c r="I143">
        <v>0.65050505050505047</v>
      </c>
      <c r="J143">
        <v>331893.81818181818</v>
      </c>
      <c r="K143">
        <v>8604</v>
      </c>
      <c r="L143">
        <v>2</v>
      </c>
      <c r="M143">
        <v>61</v>
      </c>
      <c r="N143">
        <v>0.61818181818181817</v>
      </c>
      <c r="O143">
        <v>306671.72727272729</v>
      </c>
      <c r="P143">
        <v>8869</v>
      </c>
      <c r="Q143">
        <v>2</v>
      </c>
      <c r="R143">
        <v>62</v>
      </c>
      <c r="S143">
        <v>11.676885622830349</v>
      </c>
      <c r="T143">
        <v>0.93703703284263606</v>
      </c>
      <c r="W143">
        <f>Tabela2[[#This Row],[mlp_params]]</f>
        <v>8604</v>
      </c>
      <c r="X143">
        <f>Tabela2[[#This Row],[kan_test_acc]]</f>
        <v>0.89090909741141577</v>
      </c>
      <c r="Y143">
        <f>Tabela2[[#This Row],[kan_val_acc_1]]</f>
        <v>0.93703703284263606</v>
      </c>
      <c r="Z143">
        <f>Tabela2[[#This Row],[no_steps]]</f>
        <v>11.676885622830349</v>
      </c>
      <c r="AB143">
        <f t="shared" si="2"/>
        <v>8604</v>
      </c>
      <c r="AC143">
        <f>Tabela2[[#This Row],[kan_time_difference]]/Tabela2[[#This Row],[no_steps]]</f>
        <v>621943.90291728312</v>
      </c>
      <c r="AE143">
        <v>8604</v>
      </c>
      <c r="AF143">
        <v>621943.90291728312</v>
      </c>
    </row>
    <row r="144" spans="1:32" hidden="1" x14ac:dyDescent="0.25">
      <c r="A144" t="s">
        <v>314</v>
      </c>
      <c r="B144">
        <v>3</v>
      </c>
      <c r="C144">
        <v>3</v>
      </c>
      <c r="D144">
        <v>0</v>
      </c>
      <c r="E144" t="s">
        <v>321</v>
      </c>
      <c r="F144">
        <v>4872</v>
      </c>
      <c r="G144">
        <v>11812757.363636363</v>
      </c>
      <c r="H144">
        <v>0.91515152020887891</v>
      </c>
      <c r="I144">
        <v>0.69898989898989894</v>
      </c>
      <c r="J144">
        <v>373770.18181818182</v>
      </c>
      <c r="K144">
        <v>8604</v>
      </c>
      <c r="L144">
        <v>2</v>
      </c>
      <c r="M144">
        <v>61</v>
      </c>
      <c r="N144">
        <v>0.63232323232323229</v>
      </c>
      <c r="O144">
        <v>317485</v>
      </c>
      <c r="P144">
        <v>8869</v>
      </c>
      <c r="Q144">
        <v>2</v>
      </c>
      <c r="R144">
        <v>62</v>
      </c>
      <c r="S144">
        <v>11.670225120600321</v>
      </c>
      <c r="T144">
        <v>0.88518518209457397</v>
      </c>
      <c r="W144">
        <f>Tabela2[[#This Row],[mlp_params]]</f>
        <v>8604</v>
      </c>
      <c r="X144">
        <f>Tabela2[[#This Row],[kan_test_acc]]</f>
        <v>0.91515152020887891</v>
      </c>
      <c r="Y144">
        <f>Tabela2[[#This Row],[kan_val_acc_1]]</f>
        <v>0.88518518209457397</v>
      </c>
      <c r="Z144">
        <f>Tabela2[[#This Row],[no_steps]]</f>
        <v>11.670225120600321</v>
      </c>
      <c r="AB144">
        <f t="shared" si="2"/>
        <v>8604</v>
      </c>
      <c r="AC144">
        <f>Tabela2[[#This Row],[kan_time_difference]]/Tabela2[[#This Row],[no_steps]]</f>
        <v>1012213.3242129532</v>
      </c>
      <c r="AE144">
        <v>8604</v>
      </c>
      <c r="AF144">
        <v>1012213.3242129532</v>
      </c>
    </row>
    <row r="145" spans="1:32" hidden="1" x14ac:dyDescent="0.25">
      <c r="A145" t="s">
        <v>314</v>
      </c>
      <c r="B145">
        <v>3</v>
      </c>
      <c r="C145">
        <v>4</v>
      </c>
      <c r="D145">
        <v>0</v>
      </c>
      <c r="E145" t="s">
        <v>326</v>
      </c>
      <c r="F145">
        <v>4683</v>
      </c>
      <c r="G145">
        <v>13316349.5</v>
      </c>
      <c r="H145">
        <v>0.84444445371627808</v>
      </c>
      <c r="I145">
        <v>0.63703703703703707</v>
      </c>
      <c r="J145">
        <v>389802.83333333331</v>
      </c>
      <c r="K145">
        <v>8604</v>
      </c>
      <c r="L145">
        <v>2</v>
      </c>
      <c r="M145">
        <v>61</v>
      </c>
      <c r="N145">
        <v>0.62222222222222223</v>
      </c>
      <c r="O145">
        <v>375724</v>
      </c>
      <c r="P145">
        <v>8869</v>
      </c>
      <c r="Q145">
        <v>2</v>
      </c>
      <c r="R145">
        <v>62</v>
      </c>
      <c r="S145">
        <v>11.671718287456368</v>
      </c>
      <c r="T145">
        <v>0.90370370149612422</v>
      </c>
      <c r="W145">
        <f>Tabela2[[#This Row],[mlp_params]]</f>
        <v>8604</v>
      </c>
      <c r="X145">
        <f>Tabela2[[#This Row],[kan_test_acc]]</f>
        <v>0.84444445371627808</v>
      </c>
      <c r="Y145">
        <f>Tabela2[[#This Row],[kan_val_acc_1]]</f>
        <v>0.90370370149612422</v>
      </c>
      <c r="Z145">
        <f>Tabela2[[#This Row],[no_steps]]</f>
        <v>11.671718287456368</v>
      </c>
      <c r="AB145">
        <f t="shared" si="2"/>
        <v>8604</v>
      </c>
      <c r="AC145">
        <f>Tabela2[[#This Row],[kan_time_difference]]/Tabela2[[#This Row],[no_steps]]</f>
        <v>1140907.3773063151</v>
      </c>
      <c r="AE145">
        <v>8604</v>
      </c>
      <c r="AF145">
        <v>1140907.3773063151</v>
      </c>
    </row>
    <row r="146" spans="1:32" hidden="1" x14ac:dyDescent="0.25">
      <c r="A146" t="s">
        <v>314</v>
      </c>
      <c r="B146">
        <v>3</v>
      </c>
      <c r="C146">
        <v>5</v>
      </c>
      <c r="D146">
        <v>0</v>
      </c>
      <c r="E146" t="s">
        <v>358</v>
      </c>
      <c r="F146">
        <v>4428</v>
      </c>
      <c r="G146">
        <v>9999348</v>
      </c>
      <c r="H146">
        <v>0.79595960541204969</v>
      </c>
      <c r="I146">
        <v>0.66666666666666663</v>
      </c>
      <c r="J146">
        <v>387066.81818181818</v>
      </c>
      <c r="K146">
        <v>8604</v>
      </c>
      <c r="L146">
        <v>2</v>
      </c>
      <c r="M146">
        <v>61</v>
      </c>
      <c r="N146">
        <v>0.75555555555555554</v>
      </c>
      <c r="O146">
        <v>346789.45454545453</v>
      </c>
      <c r="P146">
        <v>8869</v>
      </c>
      <c r="Q146">
        <v>2</v>
      </c>
      <c r="R146">
        <v>62</v>
      </c>
      <c r="S146">
        <v>11.674283467319119</v>
      </c>
      <c r="T146">
        <v>0.92962963581085201</v>
      </c>
      <c r="W146">
        <f>Tabela2[[#This Row],[mlp_params]]</f>
        <v>8604</v>
      </c>
      <c r="X146">
        <f>Tabela2[[#This Row],[kan_test_acc]]</f>
        <v>0.79595960541204969</v>
      </c>
      <c r="Y146">
        <f>Tabela2[[#This Row],[kan_val_acc_1]]</f>
        <v>0.92962963581085201</v>
      </c>
      <c r="Z146">
        <f>Tabela2[[#This Row],[no_steps]]</f>
        <v>11.674283467319119</v>
      </c>
      <c r="AB146">
        <f t="shared" si="2"/>
        <v>8604</v>
      </c>
      <c r="AC146">
        <f>Tabela2[[#This Row],[kan_time_difference]]/Tabela2[[#This Row],[no_steps]]</f>
        <v>856527.77131822112</v>
      </c>
      <c r="AE146">
        <v>8604</v>
      </c>
      <c r="AF146">
        <v>856527.77131822112</v>
      </c>
    </row>
    <row r="147" spans="1:32" hidden="1" x14ac:dyDescent="0.25">
      <c r="A147" t="s">
        <v>314</v>
      </c>
      <c r="B147">
        <v>5</v>
      </c>
      <c r="C147">
        <v>2</v>
      </c>
      <c r="D147">
        <v>0</v>
      </c>
      <c r="E147" t="s">
        <v>328</v>
      </c>
      <c r="F147">
        <v>5769</v>
      </c>
      <c r="G147">
        <v>12398497.090909092</v>
      </c>
      <c r="H147">
        <v>0.86262627081437548</v>
      </c>
      <c r="I147">
        <v>0.76363636363636367</v>
      </c>
      <c r="J147">
        <v>405305</v>
      </c>
      <c r="K147">
        <v>8604</v>
      </c>
      <c r="L147">
        <v>2</v>
      </c>
      <c r="M147">
        <v>61</v>
      </c>
      <c r="N147">
        <v>0.62828282828282833</v>
      </c>
      <c r="O147">
        <v>404791.36363636365</v>
      </c>
      <c r="P147">
        <v>8869</v>
      </c>
      <c r="Q147">
        <v>2</v>
      </c>
      <c r="R147">
        <v>62</v>
      </c>
      <c r="S147">
        <v>11.674776478679505</v>
      </c>
      <c r="T147">
        <v>0.89629629850387571</v>
      </c>
      <c r="W147">
        <f>Tabela2[[#This Row],[mlp_params]]</f>
        <v>8604</v>
      </c>
      <c r="X147">
        <f>Tabela2[[#This Row],[kan_test_acc]]</f>
        <v>0.86262627081437548</v>
      </c>
      <c r="Y147">
        <f>Tabela2[[#This Row],[kan_val_acc_1]]</f>
        <v>0.89629629850387571</v>
      </c>
      <c r="Z147">
        <f>Tabela2[[#This Row],[no_steps]]</f>
        <v>11.674776478679505</v>
      </c>
      <c r="AB147">
        <f t="shared" si="2"/>
        <v>8604</v>
      </c>
      <c r="AC147">
        <f>Tabela2[[#This Row],[kan_time_difference]]/Tabela2[[#This Row],[no_steps]]</f>
        <v>1061990.1043545671</v>
      </c>
      <c r="AE147">
        <v>8604</v>
      </c>
      <c r="AF147">
        <v>1061990.1043545671</v>
      </c>
    </row>
    <row r="148" spans="1:32" hidden="1" x14ac:dyDescent="0.25">
      <c r="A148" t="s">
        <v>314</v>
      </c>
      <c r="B148">
        <v>5</v>
      </c>
      <c r="C148">
        <v>3</v>
      </c>
      <c r="D148">
        <v>0</v>
      </c>
      <c r="E148" t="s">
        <v>333</v>
      </c>
      <c r="F148">
        <v>5324</v>
      </c>
      <c r="G148">
        <v>11148102.454545455</v>
      </c>
      <c r="H148">
        <v>0.80000000921162695</v>
      </c>
      <c r="I148">
        <v>0.74141414141414141</v>
      </c>
      <c r="J148">
        <v>419175.36363636365</v>
      </c>
      <c r="K148">
        <v>8604</v>
      </c>
      <c r="L148">
        <v>2</v>
      </c>
      <c r="M148">
        <v>61</v>
      </c>
      <c r="N148">
        <v>0.66262626262626267</v>
      </c>
      <c r="O148">
        <v>421051.90909090912</v>
      </c>
      <c r="P148">
        <v>8869</v>
      </c>
      <c r="Q148">
        <v>2</v>
      </c>
      <c r="R148">
        <v>62</v>
      </c>
      <c r="S148">
        <v>11.677150274503129</v>
      </c>
      <c r="T148">
        <v>0.85185185670852659</v>
      </c>
      <c r="W148">
        <f>Tabela2[[#This Row],[mlp_params]]</f>
        <v>8604</v>
      </c>
      <c r="X148">
        <f>Tabela2[[#This Row],[kan_test_acc]]</f>
        <v>0.80000000921162695</v>
      </c>
      <c r="Y148">
        <f>Tabela2[[#This Row],[kan_val_acc_1]]</f>
        <v>0.85185185670852659</v>
      </c>
      <c r="Z148">
        <f>Tabela2[[#This Row],[no_steps]]</f>
        <v>11.677150274503129</v>
      </c>
      <c r="AB148">
        <f t="shared" si="2"/>
        <v>8604</v>
      </c>
      <c r="AC148">
        <f>Tabela2[[#This Row],[kan_time_difference]]/Tabela2[[#This Row],[no_steps]]</f>
        <v>954693.75596605614</v>
      </c>
      <c r="AE148">
        <v>8604</v>
      </c>
      <c r="AF148">
        <v>954693.75596605614</v>
      </c>
    </row>
    <row r="149" spans="1:32" hidden="1" x14ac:dyDescent="0.25">
      <c r="A149" t="s">
        <v>314</v>
      </c>
      <c r="B149">
        <v>5</v>
      </c>
      <c r="C149">
        <v>4</v>
      </c>
      <c r="D149">
        <v>0</v>
      </c>
      <c r="E149" t="s">
        <v>317</v>
      </c>
      <c r="F149">
        <v>4939</v>
      </c>
      <c r="G149">
        <v>10516997.666666666</v>
      </c>
      <c r="H149">
        <v>0.77777779102325439</v>
      </c>
      <c r="I149">
        <v>0.71111111111111114</v>
      </c>
      <c r="J149">
        <v>422886.16666666669</v>
      </c>
      <c r="K149">
        <v>8604</v>
      </c>
      <c r="L149">
        <v>2</v>
      </c>
      <c r="M149">
        <v>61</v>
      </c>
      <c r="N149">
        <v>0.65555555555555556</v>
      </c>
      <c r="O149">
        <v>411675.5</v>
      </c>
      <c r="P149">
        <v>8869</v>
      </c>
      <c r="Q149">
        <v>2</v>
      </c>
      <c r="R149">
        <v>62</v>
      </c>
      <c r="S149">
        <v>11.672659901469535</v>
      </c>
      <c r="T149">
        <v>0.89629629850387571</v>
      </c>
      <c r="W149">
        <f>Tabela2[[#This Row],[mlp_params]]</f>
        <v>8604</v>
      </c>
      <c r="X149">
        <f>Tabela2[[#This Row],[kan_test_acc]]</f>
        <v>0.77777779102325439</v>
      </c>
      <c r="Y149">
        <f>Tabela2[[#This Row],[kan_val_acc_1]]</f>
        <v>0.89629629850387571</v>
      </c>
      <c r="Z149">
        <f>Tabela2[[#This Row],[no_steps]]</f>
        <v>11.672659901469535</v>
      </c>
      <c r="AB149">
        <f t="shared" si="2"/>
        <v>8604</v>
      </c>
      <c r="AC149">
        <f>Tabela2[[#This Row],[kan_time_difference]]/Tabela2[[#This Row],[no_steps]]</f>
        <v>900994.09692752408</v>
      </c>
      <c r="AE149">
        <v>8604</v>
      </c>
      <c r="AF149">
        <v>900994.09692752408</v>
      </c>
    </row>
    <row r="150" spans="1:32" hidden="1" x14ac:dyDescent="0.25">
      <c r="A150" t="s">
        <v>314</v>
      </c>
      <c r="B150">
        <v>5</v>
      </c>
      <c r="C150">
        <v>5</v>
      </c>
      <c r="D150">
        <v>0</v>
      </c>
      <c r="E150" t="s">
        <v>357</v>
      </c>
      <c r="F150">
        <v>4810</v>
      </c>
      <c r="G150">
        <v>7327496.666666667</v>
      </c>
      <c r="H150">
        <v>0.82222223281860352</v>
      </c>
      <c r="I150">
        <v>0.6962962962962963</v>
      </c>
      <c r="J150">
        <v>413776.5</v>
      </c>
      <c r="K150">
        <v>8604</v>
      </c>
      <c r="L150">
        <v>2</v>
      </c>
      <c r="M150">
        <v>61</v>
      </c>
      <c r="N150">
        <v>0.79259259259259263</v>
      </c>
      <c r="O150">
        <v>393938.5</v>
      </c>
      <c r="P150">
        <v>8869</v>
      </c>
      <c r="Q150">
        <v>2</v>
      </c>
      <c r="R150">
        <v>62</v>
      </c>
      <c r="S150">
        <v>11.669303138789443</v>
      </c>
      <c r="T150">
        <v>0.92592592239379878</v>
      </c>
      <c r="W150">
        <f>Tabela2[[#This Row],[mlp_params]]</f>
        <v>8604</v>
      </c>
      <c r="X150">
        <f>Tabela2[[#This Row],[kan_test_acc]]</f>
        <v>0.82222223281860352</v>
      </c>
      <c r="Y150">
        <f>Tabela2[[#This Row],[kan_val_acc_1]]</f>
        <v>0.92592592239379878</v>
      </c>
      <c r="Z150">
        <f>Tabela2[[#This Row],[no_steps]]</f>
        <v>11.669303138789443</v>
      </c>
      <c r="AB150">
        <f t="shared" si="2"/>
        <v>8604</v>
      </c>
      <c r="AC150">
        <f>Tabela2[[#This Row],[kan_time_difference]]/Tabela2[[#This Row],[no_steps]]</f>
        <v>627929.2413194445</v>
      </c>
      <c r="AE150">
        <v>8604</v>
      </c>
      <c r="AF150">
        <v>627929.2413194445</v>
      </c>
    </row>
    <row r="151" spans="1:32" hidden="1" x14ac:dyDescent="0.25">
      <c r="A151" t="s">
        <v>314</v>
      </c>
      <c r="B151">
        <v>9</v>
      </c>
      <c r="C151">
        <v>2</v>
      </c>
      <c r="D151">
        <v>0</v>
      </c>
      <c r="E151" t="s">
        <v>326</v>
      </c>
      <c r="F151">
        <v>6543</v>
      </c>
      <c r="G151">
        <v>10121012.5</v>
      </c>
      <c r="H151">
        <v>0.85555556416511536</v>
      </c>
      <c r="I151">
        <v>0.68888888888888888</v>
      </c>
      <c r="J151">
        <v>397128</v>
      </c>
      <c r="K151">
        <v>8604</v>
      </c>
      <c r="L151">
        <v>2</v>
      </c>
      <c r="M151">
        <v>61</v>
      </c>
      <c r="N151">
        <v>0.59629629629629632</v>
      </c>
      <c r="O151">
        <v>377366.16666666669</v>
      </c>
      <c r="P151">
        <v>8869</v>
      </c>
      <c r="Q151">
        <v>2</v>
      </c>
      <c r="R151">
        <v>62</v>
      </c>
      <c r="S151">
        <v>11.653302661846862</v>
      </c>
      <c r="T151">
        <v>0.85185185670852659</v>
      </c>
      <c r="W151">
        <f>Tabela2[[#This Row],[mlp_params]]</f>
        <v>8604</v>
      </c>
      <c r="X151">
        <f>Tabela2[[#This Row],[kan_test_acc]]</f>
        <v>0.85555556416511536</v>
      </c>
      <c r="Y151">
        <f>Tabela2[[#This Row],[kan_val_acc_1]]</f>
        <v>0.85185185670852659</v>
      </c>
      <c r="Z151">
        <f>Tabela2[[#This Row],[no_steps]]</f>
        <v>11.653302661846862</v>
      </c>
      <c r="AB151">
        <f t="shared" si="2"/>
        <v>8604</v>
      </c>
      <c r="AC151">
        <f>Tabela2[[#This Row],[kan_time_difference]]/Tabela2[[#This Row],[no_steps]]</f>
        <v>868510.22355545533</v>
      </c>
      <c r="AE151">
        <v>8604</v>
      </c>
      <c r="AF151">
        <v>868510.22355545533</v>
      </c>
    </row>
    <row r="152" spans="1:32" hidden="1" x14ac:dyDescent="0.25">
      <c r="A152" t="s">
        <v>314</v>
      </c>
      <c r="B152">
        <v>9</v>
      </c>
      <c r="C152">
        <v>3</v>
      </c>
      <c r="D152">
        <v>0</v>
      </c>
      <c r="E152" t="s">
        <v>358</v>
      </c>
      <c r="F152">
        <v>6028</v>
      </c>
      <c r="G152">
        <v>8201044.2727272725</v>
      </c>
      <c r="H152">
        <v>0.78383839130401611</v>
      </c>
      <c r="I152">
        <v>0.68282828282828278</v>
      </c>
      <c r="J152">
        <v>381442.45454545453</v>
      </c>
      <c r="K152">
        <v>8604</v>
      </c>
      <c r="L152">
        <v>2</v>
      </c>
      <c r="M152">
        <v>61</v>
      </c>
      <c r="N152">
        <v>0.76161616161616164</v>
      </c>
      <c r="O152">
        <v>350657.90909090912</v>
      </c>
      <c r="P152">
        <v>8869</v>
      </c>
      <c r="Q152">
        <v>2</v>
      </c>
      <c r="R152">
        <v>62</v>
      </c>
      <c r="S152">
        <v>11.636042115533153</v>
      </c>
      <c r="T152">
        <v>0.90740742087364201</v>
      </c>
      <c r="W152">
        <f>Tabela2[[#This Row],[mlp_params]]</f>
        <v>8604</v>
      </c>
      <c r="X152">
        <f>Tabela2[[#This Row],[kan_test_acc]]</f>
        <v>0.78383839130401611</v>
      </c>
      <c r="Y152">
        <f>Tabela2[[#This Row],[kan_val_acc_1]]</f>
        <v>0.90740742087364201</v>
      </c>
      <c r="Z152">
        <f>Tabela2[[#This Row],[no_steps]]</f>
        <v>11.636042115533153</v>
      </c>
      <c r="AB152">
        <f t="shared" ref="AB152:AB215" si="3">W152</f>
        <v>8604</v>
      </c>
      <c r="AC152">
        <f>Tabela2[[#This Row],[kan_time_difference]]/Tabela2[[#This Row],[no_steps]]</f>
        <v>704796.71621156798</v>
      </c>
      <c r="AE152">
        <v>8604</v>
      </c>
      <c r="AF152">
        <v>704796.71621156798</v>
      </c>
    </row>
    <row r="153" spans="1:32" hidden="1" x14ac:dyDescent="0.25">
      <c r="A153" t="s">
        <v>314</v>
      </c>
      <c r="B153">
        <v>3</v>
      </c>
      <c r="C153">
        <v>2</v>
      </c>
      <c r="D153">
        <v>0</v>
      </c>
      <c r="E153" t="s">
        <v>331</v>
      </c>
      <c r="F153">
        <v>5493</v>
      </c>
      <c r="G153">
        <v>7961690.5</v>
      </c>
      <c r="H153">
        <v>0.91111111640930176</v>
      </c>
      <c r="I153">
        <v>0.76296296296296295</v>
      </c>
      <c r="J153">
        <v>313032.66666666669</v>
      </c>
      <c r="K153">
        <v>8869</v>
      </c>
      <c r="L153">
        <v>2</v>
      </c>
      <c r="M153">
        <v>62</v>
      </c>
      <c r="N153">
        <v>0.67777777777777781</v>
      </c>
      <c r="O153">
        <v>332634.83333333331</v>
      </c>
      <c r="P153">
        <v>9138</v>
      </c>
      <c r="Q153">
        <v>2</v>
      </c>
      <c r="R153">
        <v>63</v>
      </c>
      <c r="S153">
        <v>11.676567359264434</v>
      </c>
      <c r="T153">
        <v>0.9703703641891479</v>
      </c>
      <c r="W153">
        <f>Tabela2[[#This Row],[mlp_params]]</f>
        <v>8869</v>
      </c>
      <c r="X153">
        <f>Tabela2[[#This Row],[kan_test_acc]]</f>
        <v>0.91111111640930176</v>
      </c>
      <c r="Y153">
        <f>Tabela2[[#This Row],[kan_val_acc_1]]</f>
        <v>0.9703703641891479</v>
      </c>
      <c r="Z153">
        <f>Tabela2[[#This Row],[no_steps]]</f>
        <v>11.676567359264434</v>
      </c>
      <c r="AB153">
        <f t="shared" si="3"/>
        <v>8869</v>
      </c>
      <c r="AC153">
        <f>Tabela2[[#This Row],[kan_time_difference]]/Tabela2[[#This Row],[no_steps]]</f>
        <v>681851.97370381525</v>
      </c>
      <c r="AE153">
        <v>8869</v>
      </c>
      <c r="AF153">
        <v>681851.97370381525</v>
      </c>
    </row>
    <row r="154" spans="1:32" hidden="1" x14ac:dyDescent="0.25">
      <c r="A154" t="s">
        <v>314</v>
      </c>
      <c r="B154">
        <v>3</v>
      </c>
      <c r="C154">
        <v>3</v>
      </c>
      <c r="D154">
        <v>0</v>
      </c>
      <c r="E154" t="s">
        <v>335</v>
      </c>
      <c r="F154">
        <v>5086</v>
      </c>
      <c r="G154">
        <v>10591050.181818182</v>
      </c>
      <c r="H154">
        <v>0.93737374110655347</v>
      </c>
      <c r="I154">
        <v>0.74141414141414141</v>
      </c>
      <c r="J154">
        <v>367161.90909090912</v>
      </c>
      <c r="K154">
        <v>8869</v>
      </c>
      <c r="L154">
        <v>2</v>
      </c>
      <c r="M154">
        <v>62</v>
      </c>
      <c r="N154">
        <v>0.65454545454545454</v>
      </c>
      <c r="O154">
        <v>324618.36363636365</v>
      </c>
      <c r="P154">
        <v>9138</v>
      </c>
      <c r="Q154">
        <v>2</v>
      </c>
      <c r="R154">
        <v>63</v>
      </c>
      <c r="S154">
        <v>11.67047636055181</v>
      </c>
      <c r="T154">
        <v>0.92222223281860349</v>
      </c>
      <c r="W154">
        <f>Tabela2[[#This Row],[mlp_params]]</f>
        <v>8869</v>
      </c>
      <c r="X154">
        <f>Tabela2[[#This Row],[kan_test_acc]]</f>
        <v>0.93737374110655347</v>
      </c>
      <c r="Y154">
        <f>Tabela2[[#This Row],[kan_val_acc_1]]</f>
        <v>0.92222223281860349</v>
      </c>
      <c r="Z154">
        <f>Tabela2[[#This Row],[no_steps]]</f>
        <v>11.67047636055181</v>
      </c>
      <c r="AB154">
        <f t="shared" si="3"/>
        <v>8869</v>
      </c>
      <c r="AC154">
        <f>Tabela2[[#This Row],[kan_time_difference]]/Tabela2[[#This Row],[no_steps]]</f>
        <v>907507.95893968199</v>
      </c>
      <c r="AE154">
        <v>8869</v>
      </c>
      <c r="AF154">
        <v>907507.95893968199</v>
      </c>
    </row>
    <row r="155" spans="1:32" hidden="1" x14ac:dyDescent="0.25">
      <c r="A155" t="s">
        <v>314</v>
      </c>
      <c r="B155">
        <v>3</v>
      </c>
      <c r="C155">
        <v>4</v>
      </c>
      <c r="D155">
        <v>0</v>
      </c>
      <c r="E155" t="s">
        <v>319</v>
      </c>
      <c r="F155">
        <v>4765</v>
      </c>
      <c r="G155">
        <v>15350566.666666666</v>
      </c>
      <c r="H155">
        <v>0.85555556416511536</v>
      </c>
      <c r="I155">
        <v>0.77407407407407403</v>
      </c>
      <c r="J155">
        <v>400504.5</v>
      </c>
      <c r="K155">
        <v>8869</v>
      </c>
      <c r="L155">
        <v>2</v>
      </c>
      <c r="M155">
        <v>62</v>
      </c>
      <c r="N155">
        <v>0.67407407407407405</v>
      </c>
      <c r="O155">
        <v>1279355.1666666667</v>
      </c>
      <c r="P155">
        <v>9138</v>
      </c>
      <c r="Q155">
        <v>2</v>
      </c>
      <c r="R155">
        <v>63</v>
      </c>
      <c r="S155">
        <v>11.672600379875437</v>
      </c>
      <c r="T155">
        <v>0.89629629850387571</v>
      </c>
      <c r="W155">
        <f>Tabela2[[#This Row],[mlp_params]]</f>
        <v>8869</v>
      </c>
      <c r="X155">
        <f>Tabela2[[#This Row],[kan_test_acc]]</f>
        <v>0.85555556416511536</v>
      </c>
      <c r="Y155">
        <f>Tabela2[[#This Row],[kan_val_acc_1]]</f>
        <v>0.89629629850387571</v>
      </c>
      <c r="Z155">
        <f>Tabela2[[#This Row],[no_steps]]</f>
        <v>11.672600379875437</v>
      </c>
      <c r="AB155">
        <f t="shared" si="3"/>
        <v>8869</v>
      </c>
      <c r="AC155">
        <f>Tabela2[[#This Row],[kan_time_difference]]/Tabela2[[#This Row],[no_steps]]</f>
        <v>1315093.995090619</v>
      </c>
      <c r="AE155">
        <v>8869</v>
      </c>
      <c r="AF155">
        <v>1315093.995090619</v>
      </c>
    </row>
    <row r="156" spans="1:32" hidden="1" x14ac:dyDescent="0.25">
      <c r="A156" t="s">
        <v>314</v>
      </c>
      <c r="B156">
        <v>3</v>
      </c>
      <c r="C156">
        <v>5</v>
      </c>
      <c r="D156">
        <v>0</v>
      </c>
      <c r="E156" t="s">
        <v>317</v>
      </c>
      <c r="F156">
        <v>4530</v>
      </c>
      <c r="G156">
        <v>9600183.166666666</v>
      </c>
      <c r="H156">
        <v>0.78518519302209222</v>
      </c>
      <c r="I156">
        <v>0.7</v>
      </c>
      <c r="J156">
        <v>368630.66666666669</v>
      </c>
      <c r="K156">
        <v>8869</v>
      </c>
      <c r="L156">
        <v>2</v>
      </c>
      <c r="M156">
        <v>62</v>
      </c>
      <c r="N156">
        <v>0.6962962962962963</v>
      </c>
      <c r="O156">
        <v>1395831.3333333333</v>
      </c>
      <c r="P156">
        <v>9138</v>
      </c>
      <c r="Q156">
        <v>2</v>
      </c>
      <c r="R156">
        <v>63</v>
      </c>
      <c r="S156">
        <v>11.673888355027518</v>
      </c>
      <c r="T156">
        <v>0.89629629850387571</v>
      </c>
      <c r="W156">
        <f>Tabela2[[#This Row],[mlp_params]]</f>
        <v>8869</v>
      </c>
      <c r="X156">
        <f>Tabela2[[#This Row],[kan_test_acc]]</f>
        <v>0.78518519302209222</v>
      </c>
      <c r="Y156">
        <f>Tabela2[[#This Row],[kan_val_acc_1]]</f>
        <v>0.89629629850387571</v>
      </c>
      <c r="Z156">
        <f>Tabela2[[#This Row],[no_steps]]</f>
        <v>11.673888355027518</v>
      </c>
      <c r="AB156">
        <f t="shared" si="3"/>
        <v>8869</v>
      </c>
      <c r="AC156">
        <f>Tabela2[[#This Row],[kan_time_difference]]/Tabela2[[#This Row],[no_steps]]</f>
        <v>822363.79813690926</v>
      </c>
      <c r="AE156">
        <v>8869</v>
      </c>
      <c r="AF156">
        <v>822363.79813690926</v>
      </c>
    </row>
    <row r="157" spans="1:32" hidden="1" x14ac:dyDescent="0.25">
      <c r="A157" t="s">
        <v>314</v>
      </c>
      <c r="B157">
        <v>5</v>
      </c>
      <c r="C157">
        <v>2</v>
      </c>
      <c r="D157">
        <v>0</v>
      </c>
      <c r="E157" t="s">
        <v>323</v>
      </c>
      <c r="F157">
        <v>6053</v>
      </c>
      <c r="G157">
        <v>12929892.8125</v>
      </c>
      <c r="H157">
        <v>0.82500000856816769</v>
      </c>
      <c r="I157">
        <v>0.73888888888888893</v>
      </c>
      <c r="J157">
        <v>433086.8125</v>
      </c>
      <c r="K157">
        <v>8869</v>
      </c>
      <c r="L157">
        <v>2</v>
      </c>
      <c r="M157">
        <v>62</v>
      </c>
      <c r="N157">
        <v>0.65138888888888891</v>
      </c>
      <c r="O157">
        <v>469805.5625</v>
      </c>
      <c r="P157">
        <v>9138</v>
      </c>
      <c r="Q157">
        <v>2</v>
      </c>
      <c r="R157">
        <v>63</v>
      </c>
      <c r="S157">
        <v>11.67590206185567</v>
      </c>
      <c r="T157">
        <v>0.84938272237777712</v>
      </c>
      <c r="W157">
        <f>Tabela2[[#This Row],[mlp_params]]</f>
        <v>8869</v>
      </c>
      <c r="X157">
        <f>Tabela2[[#This Row],[kan_test_acc]]</f>
        <v>0.82500000856816769</v>
      </c>
      <c r="Y157">
        <f>Tabela2[[#This Row],[kan_val_acc_1]]</f>
        <v>0.84938272237777712</v>
      </c>
      <c r="Z157">
        <f>Tabela2[[#This Row],[no_steps]]</f>
        <v>11.67590206185567</v>
      </c>
      <c r="AB157">
        <f t="shared" si="3"/>
        <v>8869</v>
      </c>
      <c r="AC157">
        <f>Tabela2[[#This Row],[kan_time_difference]]/Tabela2[[#This Row],[no_steps]]</f>
        <v>1107399.9031510402</v>
      </c>
      <c r="AE157">
        <v>8869</v>
      </c>
      <c r="AF157">
        <v>1107399.9031510402</v>
      </c>
    </row>
    <row r="158" spans="1:32" hidden="1" x14ac:dyDescent="0.25">
      <c r="A158" t="s">
        <v>314</v>
      </c>
      <c r="B158">
        <v>5</v>
      </c>
      <c r="C158">
        <v>3</v>
      </c>
      <c r="D158">
        <v>0</v>
      </c>
      <c r="E158" t="s">
        <v>320</v>
      </c>
      <c r="F158">
        <v>5592</v>
      </c>
      <c r="G158">
        <v>11676720.666666666</v>
      </c>
      <c r="H158">
        <v>0.71111112833023071</v>
      </c>
      <c r="I158">
        <v>0.68518518518518523</v>
      </c>
      <c r="J158">
        <v>440231.5</v>
      </c>
      <c r="K158">
        <v>8869</v>
      </c>
      <c r="L158">
        <v>2</v>
      </c>
      <c r="M158">
        <v>62</v>
      </c>
      <c r="N158">
        <v>0.68518518518518523</v>
      </c>
      <c r="O158">
        <v>935945</v>
      </c>
      <c r="P158">
        <v>9138</v>
      </c>
      <c r="Q158">
        <v>2</v>
      </c>
      <c r="R158">
        <v>63</v>
      </c>
      <c r="S158">
        <v>11.676807216100073</v>
      </c>
      <c r="T158">
        <v>0.87407408952713017</v>
      </c>
      <c r="W158">
        <f>Tabela2[[#This Row],[mlp_params]]</f>
        <v>8869</v>
      </c>
      <c r="X158">
        <f>Tabela2[[#This Row],[kan_test_acc]]</f>
        <v>0.71111112833023071</v>
      </c>
      <c r="Y158">
        <f>Tabela2[[#This Row],[kan_val_acc_1]]</f>
        <v>0.87407408952713017</v>
      </c>
      <c r="Z158">
        <f>Tabela2[[#This Row],[no_steps]]</f>
        <v>11.676807216100073</v>
      </c>
      <c r="AB158">
        <f t="shared" si="3"/>
        <v>8869</v>
      </c>
      <c r="AC158">
        <f>Tabela2[[#This Row],[kan_time_difference]]/Tabela2[[#This Row],[no_steps]]</f>
        <v>999992.58791964233</v>
      </c>
      <c r="AE158">
        <v>8869</v>
      </c>
      <c r="AF158">
        <v>999992.58791964233</v>
      </c>
    </row>
    <row r="159" spans="1:32" hidden="1" x14ac:dyDescent="0.25">
      <c r="A159" t="s">
        <v>314</v>
      </c>
      <c r="B159">
        <v>5</v>
      </c>
      <c r="C159">
        <v>4</v>
      </c>
      <c r="D159">
        <v>0</v>
      </c>
      <c r="E159" t="s">
        <v>359</v>
      </c>
      <c r="F159">
        <v>5214</v>
      </c>
      <c r="G159">
        <v>12037690.666666666</v>
      </c>
      <c r="H159">
        <v>0.72962964077790582</v>
      </c>
      <c r="I159">
        <v>0.72962962962962963</v>
      </c>
      <c r="J159">
        <v>453746</v>
      </c>
      <c r="K159">
        <v>8869</v>
      </c>
      <c r="L159">
        <v>2</v>
      </c>
      <c r="M159">
        <v>62</v>
      </c>
      <c r="N159">
        <v>0.67777777777777781</v>
      </c>
      <c r="O159">
        <v>1592002.5</v>
      </c>
      <c r="P159">
        <v>9138</v>
      </c>
      <c r="Q159">
        <v>2</v>
      </c>
      <c r="R159">
        <v>63</v>
      </c>
      <c r="S159">
        <v>11.672405809303305</v>
      </c>
      <c r="T159">
        <v>0.87407407760620115</v>
      </c>
      <c r="W159">
        <f>Tabela2[[#This Row],[mlp_params]]</f>
        <v>8869</v>
      </c>
      <c r="X159">
        <f>Tabela2[[#This Row],[kan_test_acc]]</f>
        <v>0.72962964077790582</v>
      </c>
      <c r="Y159">
        <f>Tabela2[[#This Row],[kan_val_acc_1]]</f>
        <v>0.87407407760620115</v>
      </c>
      <c r="Z159">
        <f>Tabela2[[#This Row],[no_steps]]</f>
        <v>11.672405809303305</v>
      </c>
      <c r="AB159">
        <f t="shared" si="3"/>
        <v>8869</v>
      </c>
      <c r="AC159">
        <f>Tabela2[[#This Row],[kan_time_difference]]/Tabela2[[#This Row],[no_steps]]</f>
        <v>1031294.7359208688</v>
      </c>
      <c r="AE159">
        <v>8869</v>
      </c>
      <c r="AF159">
        <v>1031294.7359208688</v>
      </c>
    </row>
    <row r="160" spans="1:32" hidden="1" x14ac:dyDescent="0.25">
      <c r="A160" t="s">
        <v>314</v>
      </c>
      <c r="B160">
        <v>5</v>
      </c>
      <c r="C160">
        <v>5</v>
      </c>
      <c r="D160">
        <v>0</v>
      </c>
      <c r="E160" t="s">
        <v>316</v>
      </c>
      <c r="F160">
        <v>4930</v>
      </c>
      <c r="G160">
        <v>7617811.833333333</v>
      </c>
      <c r="H160">
        <v>0.77777778605620063</v>
      </c>
      <c r="I160">
        <v>0.75555555555555554</v>
      </c>
      <c r="J160">
        <v>413174.66666666669</v>
      </c>
      <c r="K160">
        <v>8869</v>
      </c>
      <c r="L160">
        <v>2</v>
      </c>
      <c r="M160">
        <v>62</v>
      </c>
      <c r="N160">
        <v>0.72222222222222221</v>
      </c>
      <c r="O160">
        <v>986270.66666666663</v>
      </c>
      <c r="P160">
        <v>9138</v>
      </c>
      <c r="Q160">
        <v>2</v>
      </c>
      <c r="R160">
        <v>63</v>
      </c>
      <c r="S160">
        <v>11.668553354419844</v>
      </c>
      <c r="T160">
        <v>0.91111111640930176</v>
      </c>
      <c r="W160">
        <f>Tabela2[[#This Row],[mlp_params]]</f>
        <v>8869</v>
      </c>
      <c r="X160">
        <f>Tabela2[[#This Row],[kan_test_acc]]</f>
        <v>0.77777778605620063</v>
      </c>
      <c r="Y160">
        <f>Tabela2[[#This Row],[kan_val_acc_1]]</f>
        <v>0.91111111640930176</v>
      </c>
      <c r="Z160">
        <f>Tabela2[[#This Row],[no_steps]]</f>
        <v>11.668553354419844</v>
      </c>
      <c r="AB160">
        <f t="shared" si="3"/>
        <v>8869</v>
      </c>
      <c r="AC160">
        <f>Tabela2[[#This Row],[kan_time_difference]]/Tabela2[[#This Row],[no_steps]]</f>
        <v>652849.72369328362</v>
      </c>
      <c r="AE160">
        <v>8869</v>
      </c>
      <c r="AF160">
        <v>652849.72369328362</v>
      </c>
    </row>
    <row r="161" spans="1:32" hidden="1" x14ac:dyDescent="0.25">
      <c r="A161" t="s">
        <v>314</v>
      </c>
      <c r="B161">
        <v>9</v>
      </c>
      <c r="C161">
        <v>2</v>
      </c>
      <c r="D161">
        <v>0</v>
      </c>
      <c r="E161" t="s">
        <v>319</v>
      </c>
      <c r="F161">
        <v>6657</v>
      </c>
      <c r="G161">
        <v>7865035</v>
      </c>
      <c r="H161">
        <v>0.86296297113100684</v>
      </c>
      <c r="I161">
        <v>0.7407407407407407</v>
      </c>
      <c r="J161">
        <v>431346</v>
      </c>
      <c r="K161">
        <v>8869</v>
      </c>
      <c r="L161">
        <v>2</v>
      </c>
      <c r="M161">
        <v>62</v>
      </c>
      <c r="N161">
        <v>0.66666666666666663</v>
      </c>
      <c r="O161">
        <v>591207</v>
      </c>
      <c r="P161">
        <v>9138</v>
      </c>
      <c r="Q161">
        <v>2</v>
      </c>
      <c r="R161">
        <v>63</v>
      </c>
      <c r="S161">
        <v>11.652607802874744</v>
      </c>
      <c r="T161">
        <v>0.70370370149612427</v>
      </c>
      <c r="W161">
        <f>Tabela2[[#This Row],[mlp_params]]</f>
        <v>8869</v>
      </c>
      <c r="X161">
        <f>Tabela2[[#This Row],[kan_test_acc]]</f>
        <v>0.86296297113100684</v>
      </c>
      <c r="Y161">
        <f>Tabela2[[#This Row],[kan_val_acc_1]]</f>
        <v>0.70370370149612427</v>
      </c>
      <c r="Z161">
        <f>Tabela2[[#This Row],[no_steps]]</f>
        <v>11.652607802874744</v>
      </c>
      <c r="AB161">
        <f t="shared" si="3"/>
        <v>8869</v>
      </c>
      <c r="AC161">
        <f>Tabela2[[#This Row],[kan_time_difference]]/Tabela2[[#This Row],[no_steps]]</f>
        <v>674959.21368431067</v>
      </c>
      <c r="AE161">
        <v>8869</v>
      </c>
      <c r="AF161">
        <v>674959.21368431067</v>
      </c>
    </row>
    <row r="162" spans="1:32" hidden="1" x14ac:dyDescent="0.25">
      <c r="A162" t="s">
        <v>314</v>
      </c>
      <c r="B162">
        <v>9</v>
      </c>
      <c r="C162">
        <v>3</v>
      </c>
      <c r="D162">
        <v>0</v>
      </c>
      <c r="E162" t="s">
        <v>317</v>
      </c>
      <c r="F162">
        <v>6166</v>
      </c>
      <c r="G162">
        <v>5562799.166666667</v>
      </c>
      <c r="H162">
        <v>0.88148148854573571</v>
      </c>
      <c r="I162">
        <v>0.65555555555555556</v>
      </c>
      <c r="J162">
        <v>417156.5</v>
      </c>
      <c r="K162">
        <v>8869</v>
      </c>
      <c r="L162">
        <v>2</v>
      </c>
      <c r="M162">
        <v>62</v>
      </c>
      <c r="N162">
        <v>0.67037037037037039</v>
      </c>
      <c r="O162">
        <v>2021493</v>
      </c>
      <c r="P162">
        <v>9138</v>
      </c>
      <c r="Q162">
        <v>2</v>
      </c>
      <c r="R162">
        <v>63</v>
      </c>
      <c r="S162">
        <v>11.635521235521235</v>
      </c>
      <c r="T162">
        <v>0.96296297311782841</v>
      </c>
      <c r="W162">
        <f>Tabela2[[#This Row],[mlp_params]]</f>
        <v>8869</v>
      </c>
      <c r="X162">
        <f>Tabela2[[#This Row],[kan_test_acc]]</f>
        <v>0.88148148854573571</v>
      </c>
      <c r="Y162">
        <f>Tabela2[[#This Row],[kan_val_acc_1]]</f>
        <v>0.96296297311782841</v>
      </c>
      <c r="Z162">
        <f>Tabela2[[#This Row],[no_steps]]</f>
        <v>11.635521235521235</v>
      </c>
      <c r="AB162">
        <f t="shared" si="3"/>
        <v>8869</v>
      </c>
      <c r="AC162">
        <f>Tabela2[[#This Row],[kan_time_difference]]/Tabela2[[#This Row],[no_steps]]</f>
        <v>478087.66397885146</v>
      </c>
      <c r="AE162">
        <v>8869</v>
      </c>
      <c r="AF162">
        <v>478087.66397885146</v>
      </c>
    </row>
    <row r="163" spans="1:32" hidden="1" x14ac:dyDescent="0.25">
      <c r="A163" t="s">
        <v>314</v>
      </c>
      <c r="B163">
        <v>3</v>
      </c>
      <c r="C163">
        <v>2</v>
      </c>
      <c r="D163">
        <v>0</v>
      </c>
      <c r="E163" t="s">
        <v>344</v>
      </c>
      <c r="F163">
        <v>5715</v>
      </c>
      <c r="G163">
        <v>8332716.5625</v>
      </c>
      <c r="H163">
        <v>0.91388889402151108</v>
      </c>
      <c r="I163">
        <v>0.63888888888888895</v>
      </c>
      <c r="J163">
        <v>328248.4375</v>
      </c>
      <c r="K163">
        <v>9138</v>
      </c>
      <c r="L163">
        <v>2</v>
      </c>
      <c r="M163">
        <v>63</v>
      </c>
      <c r="N163">
        <v>0.68472222222222223</v>
      </c>
      <c r="O163">
        <v>780374.6875</v>
      </c>
      <c r="P163">
        <v>9411</v>
      </c>
      <c r="Q163">
        <v>2</v>
      </c>
      <c r="R163">
        <v>64</v>
      </c>
      <c r="S163">
        <v>11.676079809034816</v>
      </c>
      <c r="T163">
        <v>0.92345678011576338</v>
      </c>
      <c r="W163">
        <f>Tabela2[[#This Row],[mlp_params]]</f>
        <v>9138</v>
      </c>
      <c r="X163">
        <f>Tabela2[[#This Row],[kan_test_acc]]</f>
        <v>0.91388889402151108</v>
      </c>
      <c r="Y163">
        <f>Tabela2[[#This Row],[kan_val_acc_1]]</f>
        <v>0.92345678011576338</v>
      </c>
      <c r="Z163">
        <f>Tabela2[[#This Row],[no_steps]]</f>
        <v>11.676079809034816</v>
      </c>
      <c r="AB163">
        <f t="shared" si="3"/>
        <v>9138</v>
      </c>
      <c r="AC163">
        <f>Tabela2[[#This Row],[kan_time_difference]]/Tabela2[[#This Row],[no_steps]]</f>
        <v>713657.04061497084</v>
      </c>
      <c r="AE163">
        <v>9138</v>
      </c>
      <c r="AF163">
        <v>713657.04061497084</v>
      </c>
    </row>
    <row r="164" spans="1:32" hidden="1" x14ac:dyDescent="0.25">
      <c r="A164" t="s">
        <v>314</v>
      </c>
      <c r="B164">
        <v>3</v>
      </c>
      <c r="C164">
        <v>3</v>
      </c>
      <c r="D164">
        <v>0</v>
      </c>
      <c r="E164" t="s">
        <v>322</v>
      </c>
      <c r="F164">
        <v>5162</v>
      </c>
      <c r="G164">
        <v>9879770.166666666</v>
      </c>
      <c r="H164">
        <v>0.89629630247751868</v>
      </c>
      <c r="I164">
        <v>0.66296296296296298</v>
      </c>
      <c r="J164">
        <v>385298.66666666669</v>
      </c>
      <c r="K164">
        <v>9138</v>
      </c>
      <c r="L164">
        <v>2</v>
      </c>
      <c r="M164">
        <v>63</v>
      </c>
      <c r="N164">
        <v>0.65555555555555556</v>
      </c>
      <c r="O164">
        <v>671264.66666666663</v>
      </c>
      <c r="P164">
        <v>9411</v>
      </c>
      <c r="Q164">
        <v>2</v>
      </c>
      <c r="R164">
        <v>64</v>
      </c>
      <c r="S164">
        <v>11.670252175853603</v>
      </c>
      <c r="T164">
        <v>0.89629629850387571</v>
      </c>
      <c r="W164">
        <f>Tabela2[[#This Row],[mlp_params]]</f>
        <v>9138</v>
      </c>
      <c r="X164">
        <f>Tabela2[[#This Row],[kan_test_acc]]</f>
        <v>0.89629630247751868</v>
      </c>
      <c r="Y164">
        <f>Tabela2[[#This Row],[kan_val_acc_1]]</f>
        <v>0.89629629850387571</v>
      </c>
      <c r="Z164">
        <f>Tabela2[[#This Row],[no_steps]]</f>
        <v>11.670252175853603</v>
      </c>
      <c r="AB164">
        <f t="shared" si="3"/>
        <v>9138</v>
      </c>
      <c r="AC164">
        <f>Tabela2[[#This Row],[kan_time_difference]]/Tabela2[[#This Row],[no_steps]]</f>
        <v>846577.26480910636</v>
      </c>
      <c r="AE164">
        <v>9138</v>
      </c>
      <c r="AF164">
        <v>846577.26480910636</v>
      </c>
    </row>
    <row r="165" spans="1:32" hidden="1" x14ac:dyDescent="0.25">
      <c r="A165" t="s">
        <v>314</v>
      </c>
      <c r="B165">
        <v>3</v>
      </c>
      <c r="C165">
        <v>4</v>
      </c>
      <c r="D165">
        <v>0</v>
      </c>
      <c r="E165" t="s">
        <v>333</v>
      </c>
      <c r="F165">
        <v>4843</v>
      </c>
      <c r="G165">
        <v>17643311.833333332</v>
      </c>
      <c r="H165">
        <v>0.81111112236976624</v>
      </c>
      <c r="I165">
        <v>0.67407407407407405</v>
      </c>
      <c r="J165">
        <v>504713.83333333331</v>
      </c>
      <c r="K165">
        <v>9138</v>
      </c>
      <c r="L165">
        <v>2</v>
      </c>
      <c r="M165">
        <v>63</v>
      </c>
      <c r="N165">
        <v>0.64814814814814814</v>
      </c>
      <c r="O165">
        <v>4039701.3333333335</v>
      </c>
      <c r="P165">
        <v>9411</v>
      </c>
      <c r="Q165">
        <v>2</v>
      </c>
      <c r="R165">
        <v>64</v>
      </c>
      <c r="S165">
        <v>11.673702804151027</v>
      </c>
      <c r="T165">
        <v>0.90370368957519531</v>
      </c>
      <c r="W165">
        <f>Tabela2[[#This Row],[mlp_params]]</f>
        <v>9138</v>
      </c>
      <c r="X165">
        <f>Tabela2[[#This Row],[kan_test_acc]]</f>
        <v>0.81111112236976624</v>
      </c>
      <c r="Y165">
        <f>Tabela2[[#This Row],[kan_val_acc_1]]</f>
        <v>0.90370368957519531</v>
      </c>
      <c r="Z165">
        <f>Tabela2[[#This Row],[no_steps]]</f>
        <v>11.673702804151027</v>
      </c>
      <c r="AB165">
        <f t="shared" si="3"/>
        <v>9138</v>
      </c>
      <c r="AC165">
        <f>Tabela2[[#This Row],[kan_time_difference]]/Tabela2[[#This Row],[no_steps]]</f>
        <v>1511372.3665347712</v>
      </c>
      <c r="AE165">
        <v>9138</v>
      </c>
      <c r="AF165">
        <v>1511372.3665347712</v>
      </c>
    </row>
    <row r="166" spans="1:32" hidden="1" x14ac:dyDescent="0.25">
      <c r="A166" t="s">
        <v>314</v>
      </c>
      <c r="B166">
        <v>5</v>
      </c>
      <c r="C166">
        <v>2</v>
      </c>
      <c r="D166">
        <v>0</v>
      </c>
      <c r="E166" t="s">
        <v>329</v>
      </c>
      <c r="F166">
        <v>6131</v>
      </c>
      <c r="G166">
        <v>11363894.818181818</v>
      </c>
      <c r="H166">
        <v>0.86666667461395264</v>
      </c>
      <c r="I166">
        <v>0.67474747474747476</v>
      </c>
      <c r="J166">
        <v>983201.36363636365</v>
      </c>
      <c r="K166">
        <v>9138</v>
      </c>
      <c r="L166">
        <v>2</v>
      </c>
      <c r="M166">
        <v>63</v>
      </c>
      <c r="N166">
        <v>0.70909090909090911</v>
      </c>
      <c r="O166">
        <v>3834072</v>
      </c>
      <c r="P166">
        <v>9411</v>
      </c>
      <c r="Q166">
        <v>2</v>
      </c>
      <c r="R166">
        <v>64</v>
      </c>
      <c r="S166">
        <v>11.675797518354729</v>
      </c>
      <c r="T166">
        <v>0.90000000596046448</v>
      </c>
      <c r="W166">
        <f>Tabela2[[#This Row],[mlp_params]]</f>
        <v>9138</v>
      </c>
      <c r="X166">
        <f>Tabela2[[#This Row],[kan_test_acc]]</f>
        <v>0.86666667461395264</v>
      </c>
      <c r="Y166">
        <f>Tabela2[[#This Row],[kan_val_acc_1]]</f>
        <v>0.90000000596046448</v>
      </c>
      <c r="Z166">
        <f>Tabela2[[#This Row],[no_steps]]</f>
        <v>11.675797518354729</v>
      </c>
      <c r="AB166">
        <f t="shared" si="3"/>
        <v>9138</v>
      </c>
      <c r="AC166">
        <f>Tabela2[[#This Row],[kan_time_difference]]/Tabela2[[#This Row],[no_steps]]</f>
        <v>973286.39010032592</v>
      </c>
      <c r="AE166">
        <v>9138</v>
      </c>
      <c r="AF166">
        <v>973286.39010032592</v>
      </c>
    </row>
    <row r="167" spans="1:32" hidden="1" x14ac:dyDescent="0.25">
      <c r="A167" t="s">
        <v>314</v>
      </c>
      <c r="B167">
        <v>5</v>
      </c>
      <c r="C167">
        <v>4</v>
      </c>
      <c r="D167">
        <v>0</v>
      </c>
      <c r="E167" t="s">
        <v>318</v>
      </c>
      <c r="F167">
        <v>5325</v>
      </c>
      <c r="G167">
        <v>12334098.090909092</v>
      </c>
      <c r="H167">
        <v>0.75353536416183819</v>
      </c>
      <c r="I167">
        <v>0.64646464646464652</v>
      </c>
      <c r="J167">
        <v>1069416.2727272727</v>
      </c>
      <c r="K167">
        <v>9138</v>
      </c>
      <c r="L167">
        <v>2</v>
      </c>
      <c r="M167">
        <v>63</v>
      </c>
      <c r="N167">
        <v>0.66262626262626267</v>
      </c>
      <c r="O167">
        <v>3227165.5454545454</v>
      </c>
      <c r="P167">
        <v>9411</v>
      </c>
      <c r="Q167">
        <v>2</v>
      </c>
      <c r="R167">
        <v>64</v>
      </c>
      <c r="S167">
        <v>11.672220819658335</v>
      </c>
      <c r="T167">
        <v>0.84444445371627808</v>
      </c>
      <c r="W167">
        <f>Tabela2[[#This Row],[mlp_params]]</f>
        <v>9138</v>
      </c>
      <c r="X167">
        <f>Tabela2[[#This Row],[kan_test_acc]]</f>
        <v>0.75353536416183819</v>
      </c>
      <c r="Y167">
        <f>Tabela2[[#This Row],[kan_val_acc_1]]</f>
        <v>0.84444445371627808</v>
      </c>
      <c r="Z167">
        <f>Tabela2[[#This Row],[no_steps]]</f>
        <v>11.672220819658335</v>
      </c>
      <c r="AB167">
        <f t="shared" si="3"/>
        <v>9138</v>
      </c>
      <c r="AC167">
        <f>Tabela2[[#This Row],[kan_time_difference]]/Tabela2[[#This Row],[no_steps]]</f>
        <v>1056705.3418091631</v>
      </c>
      <c r="AE167">
        <v>9138</v>
      </c>
      <c r="AF167">
        <v>1056705.3418091631</v>
      </c>
    </row>
    <row r="168" spans="1:32" hidden="1" x14ac:dyDescent="0.25">
      <c r="A168" t="s">
        <v>314</v>
      </c>
      <c r="B168">
        <v>9</v>
      </c>
      <c r="C168">
        <v>2</v>
      </c>
      <c r="D168">
        <v>0</v>
      </c>
      <c r="E168" t="s">
        <v>333</v>
      </c>
      <c r="F168">
        <v>6767</v>
      </c>
      <c r="G168">
        <v>7811853.166666667</v>
      </c>
      <c r="H168">
        <v>0.8333333432674408</v>
      </c>
      <c r="I168">
        <v>0.66296296296296298</v>
      </c>
      <c r="J168">
        <v>1429778.8333333333</v>
      </c>
      <c r="K168">
        <v>9138</v>
      </c>
      <c r="L168">
        <v>2</v>
      </c>
      <c r="M168">
        <v>63</v>
      </c>
      <c r="N168">
        <v>0.7</v>
      </c>
      <c r="O168">
        <v>2566592.3333333335</v>
      </c>
      <c r="P168">
        <v>9411</v>
      </c>
      <c r="Q168">
        <v>2</v>
      </c>
      <c r="R168">
        <v>64</v>
      </c>
      <c r="S168">
        <v>11.6517901133191</v>
      </c>
      <c r="T168">
        <v>0.61481481790542603</v>
      </c>
      <c r="W168">
        <f>Tabela2[[#This Row],[mlp_params]]</f>
        <v>9138</v>
      </c>
      <c r="X168">
        <f>Tabela2[[#This Row],[kan_test_acc]]</f>
        <v>0.8333333432674408</v>
      </c>
      <c r="Y168">
        <f>Tabela2[[#This Row],[kan_val_acc_1]]</f>
        <v>0.61481481790542603</v>
      </c>
      <c r="Z168">
        <f>Tabela2[[#This Row],[no_steps]]</f>
        <v>11.6517901133191</v>
      </c>
      <c r="AB168">
        <f t="shared" si="3"/>
        <v>9138</v>
      </c>
      <c r="AC168">
        <f>Tabela2[[#This Row],[kan_time_difference]]/Tabela2[[#This Row],[no_steps]]</f>
        <v>670442.31750595802</v>
      </c>
      <c r="AE168">
        <v>9138</v>
      </c>
      <c r="AF168">
        <v>670442.31750595802</v>
      </c>
    </row>
    <row r="169" spans="1:32" x14ac:dyDescent="0.25">
      <c r="A169" t="s">
        <v>314</v>
      </c>
      <c r="B169">
        <v>9</v>
      </c>
      <c r="C169">
        <v>4</v>
      </c>
      <c r="D169">
        <v>0</v>
      </c>
      <c r="E169" t="s">
        <v>357</v>
      </c>
      <c r="F169">
        <v>5914</v>
      </c>
      <c r="G169">
        <v>8998777.5</v>
      </c>
      <c r="H169">
        <v>0.81851852933565772</v>
      </c>
      <c r="I169">
        <v>0.74444444444444446</v>
      </c>
      <c r="J169">
        <v>1190175.1666666667</v>
      </c>
      <c r="K169">
        <v>9138</v>
      </c>
      <c r="L169">
        <v>2</v>
      </c>
      <c r="M169">
        <v>63</v>
      </c>
      <c r="N169">
        <v>0.64814814814814814</v>
      </c>
      <c r="O169">
        <v>554437</v>
      </c>
      <c r="P169">
        <v>9411</v>
      </c>
      <c r="Q169">
        <v>2</v>
      </c>
      <c r="R169">
        <v>64</v>
      </c>
      <c r="S169">
        <v>11.622789389067524</v>
      </c>
      <c r="T169">
        <v>0.8962962865829468</v>
      </c>
      <c r="W169">
        <f>Tabela2[[#This Row],[mlp_params]]</f>
        <v>9138</v>
      </c>
      <c r="X169">
        <f>Tabela2[[#This Row],[kan_test_acc]]</f>
        <v>0.81851852933565772</v>
      </c>
      <c r="Y169">
        <f>Tabela2[[#This Row],[kan_val_acc_1]]</f>
        <v>0.8962962865829468</v>
      </c>
      <c r="Z169">
        <f>Tabela2[[#This Row],[no_steps]]</f>
        <v>11.622789389067524</v>
      </c>
      <c r="AB169">
        <f t="shared" si="3"/>
        <v>9138</v>
      </c>
      <c r="AC169">
        <f>Tabela2[[#This Row],[kan_time_difference]]/Tabela2[[#This Row],[no_steps]]</f>
        <v>774235.6158035791</v>
      </c>
      <c r="AE169">
        <v>9138</v>
      </c>
      <c r="AF169">
        <v>774235.6158035791</v>
      </c>
    </row>
    <row r="170" spans="1:32" hidden="1" x14ac:dyDescent="0.25">
      <c r="A170" t="s">
        <v>314</v>
      </c>
      <c r="B170">
        <v>3</v>
      </c>
      <c r="C170">
        <v>2</v>
      </c>
      <c r="D170">
        <v>0</v>
      </c>
      <c r="E170" t="s">
        <v>337</v>
      </c>
      <c r="F170">
        <v>5813</v>
      </c>
      <c r="G170">
        <v>8385759.5</v>
      </c>
      <c r="H170">
        <v>0.81481482088565826</v>
      </c>
      <c r="I170">
        <v>0.73333333333333339</v>
      </c>
      <c r="J170">
        <v>529345</v>
      </c>
      <c r="K170">
        <v>9411</v>
      </c>
      <c r="L170">
        <v>2</v>
      </c>
      <c r="M170">
        <v>64</v>
      </c>
      <c r="N170">
        <v>0.6962962962962963</v>
      </c>
      <c r="O170">
        <v>381118.16666666669</v>
      </c>
      <c r="P170">
        <v>9688</v>
      </c>
      <c r="Q170">
        <v>2</v>
      </c>
      <c r="R170">
        <v>65</v>
      </c>
      <c r="S170">
        <v>11.675852132018552</v>
      </c>
      <c r="T170">
        <v>0.91851851940155027</v>
      </c>
      <c r="W170">
        <f>Tabela2[[#This Row],[mlp_params]]</f>
        <v>9411</v>
      </c>
      <c r="X170">
        <f>Tabela2[[#This Row],[kan_test_acc]]</f>
        <v>0.81481482088565826</v>
      </c>
      <c r="Y170">
        <f>Tabela2[[#This Row],[kan_val_acc_1]]</f>
        <v>0.91851851940155027</v>
      </c>
      <c r="Z170">
        <f>Tabela2[[#This Row],[no_steps]]</f>
        <v>11.675852132018552</v>
      </c>
      <c r="AB170">
        <f t="shared" si="3"/>
        <v>9411</v>
      </c>
      <c r="AC170">
        <f>Tabela2[[#This Row],[kan_time_difference]]/Tabela2[[#This Row],[no_steps]]</f>
        <v>718213.91750961205</v>
      </c>
      <c r="AE170">
        <v>9411</v>
      </c>
      <c r="AF170">
        <v>718213.91750961205</v>
      </c>
    </row>
    <row r="171" spans="1:32" hidden="1" x14ac:dyDescent="0.25">
      <c r="A171" t="s">
        <v>314</v>
      </c>
      <c r="B171">
        <v>3</v>
      </c>
      <c r="C171">
        <v>3</v>
      </c>
      <c r="D171">
        <v>0</v>
      </c>
      <c r="E171" t="s">
        <v>323</v>
      </c>
      <c r="F171">
        <v>5452</v>
      </c>
      <c r="G171">
        <v>11522252.333333334</v>
      </c>
      <c r="H171">
        <v>0.86560847219966708</v>
      </c>
      <c r="I171">
        <v>0.70793650793650797</v>
      </c>
      <c r="J171">
        <v>979905.80952380947</v>
      </c>
      <c r="K171">
        <v>9411</v>
      </c>
      <c r="L171">
        <v>2</v>
      </c>
      <c r="M171">
        <v>64</v>
      </c>
      <c r="N171">
        <v>0.67195767195767198</v>
      </c>
      <c r="O171">
        <v>843650.90476190473</v>
      </c>
      <c r="P171">
        <v>9688</v>
      </c>
      <c r="Q171">
        <v>2</v>
      </c>
      <c r="R171">
        <v>65</v>
      </c>
      <c r="S171">
        <v>11.671363595826273</v>
      </c>
      <c r="T171">
        <v>0.91296296715736391</v>
      </c>
      <c r="W171">
        <f>Tabela2[[#This Row],[mlp_params]]</f>
        <v>9411</v>
      </c>
      <c r="X171">
        <f>Tabela2[[#This Row],[kan_test_acc]]</f>
        <v>0.86560847219966708</v>
      </c>
      <c r="Y171">
        <f>Tabela2[[#This Row],[kan_val_acc_1]]</f>
        <v>0.91296296715736391</v>
      </c>
      <c r="Z171">
        <f>Tabela2[[#This Row],[no_steps]]</f>
        <v>11.671363595826273</v>
      </c>
      <c r="AB171">
        <f t="shared" si="3"/>
        <v>9411</v>
      </c>
      <c r="AC171">
        <f>Tabela2[[#This Row],[kan_time_difference]]/Tabela2[[#This Row],[no_steps]]</f>
        <v>987224.17811177939</v>
      </c>
      <c r="AE171">
        <v>9411</v>
      </c>
      <c r="AF171">
        <v>987224.17811177939</v>
      </c>
    </row>
    <row r="172" spans="1:32" hidden="1" x14ac:dyDescent="0.25">
      <c r="A172" t="s">
        <v>314</v>
      </c>
      <c r="B172">
        <v>3</v>
      </c>
      <c r="C172">
        <v>4</v>
      </c>
      <c r="D172">
        <v>0</v>
      </c>
      <c r="E172" t="s">
        <v>320</v>
      </c>
      <c r="F172">
        <v>5087</v>
      </c>
      <c r="G172">
        <v>13518244.833333334</v>
      </c>
      <c r="H172">
        <v>0.85555556416511536</v>
      </c>
      <c r="I172">
        <v>0.67037037037037039</v>
      </c>
      <c r="J172">
        <v>1424998.1666666667</v>
      </c>
      <c r="K172">
        <v>9411</v>
      </c>
      <c r="L172">
        <v>2</v>
      </c>
      <c r="M172">
        <v>64</v>
      </c>
      <c r="N172">
        <v>0.65555555555555556</v>
      </c>
      <c r="O172">
        <v>1134367.8333333333</v>
      </c>
      <c r="P172">
        <v>9688</v>
      </c>
      <c r="Q172">
        <v>2</v>
      </c>
      <c r="R172">
        <v>65</v>
      </c>
      <c r="S172">
        <v>11.674142421968124</v>
      </c>
      <c r="T172">
        <v>0.91851851940155027</v>
      </c>
      <c r="W172">
        <f>Tabela2[[#This Row],[mlp_params]]</f>
        <v>9411</v>
      </c>
      <c r="X172">
        <f>Tabela2[[#This Row],[kan_test_acc]]</f>
        <v>0.85555556416511536</v>
      </c>
      <c r="Y172">
        <f>Tabela2[[#This Row],[kan_val_acc_1]]</f>
        <v>0.91851851940155027</v>
      </c>
      <c r="Z172">
        <f>Tabela2[[#This Row],[no_steps]]</f>
        <v>11.674142421968124</v>
      </c>
      <c r="AB172">
        <f t="shared" si="3"/>
        <v>9411</v>
      </c>
      <c r="AC172">
        <f>Tabela2[[#This Row],[kan_time_difference]]/Tabela2[[#This Row],[no_steps]]</f>
        <v>1157964.7005072527</v>
      </c>
      <c r="AE172">
        <v>9411</v>
      </c>
      <c r="AF172">
        <v>1157964.7005072527</v>
      </c>
    </row>
    <row r="173" spans="1:32" hidden="1" x14ac:dyDescent="0.25">
      <c r="A173" t="s">
        <v>314</v>
      </c>
      <c r="B173">
        <v>3</v>
      </c>
      <c r="C173">
        <v>5</v>
      </c>
      <c r="D173">
        <v>0</v>
      </c>
      <c r="E173" t="s">
        <v>359</v>
      </c>
      <c r="F173">
        <v>4782</v>
      </c>
      <c r="G173">
        <v>14303895.5</v>
      </c>
      <c r="H173">
        <v>0.70740741491317749</v>
      </c>
      <c r="I173">
        <v>0.67037037037037039</v>
      </c>
      <c r="J173">
        <v>622219.5</v>
      </c>
      <c r="K173">
        <v>9411</v>
      </c>
      <c r="L173">
        <v>2</v>
      </c>
      <c r="M173">
        <v>64</v>
      </c>
      <c r="N173">
        <v>0.69259259259259254</v>
      </c>
      <c r="O173">
        <v>3033955.8333333335</v>
      </c>
      <c r="P173">
        <v>9688</v>
      </c>
      <c r="Q173">
        <v>2</v>
      </c>
      <c r="R173">
        <v>65</v>
      </c>
      <c r="S173">
        <v>11.674148471615721</v>
      </c>
      <c r="T173">
        <v>0.77777777910232548</v>
      </c>
      <c r="W173">
        <f>Tabela2[[#This Row],[mlp_params]]</f>
        <v>9411</v>
      </c>
      <c r="X173">
        <f>Tabela2[[#This Row],[kan_test_acc]]</f>
        <v>0.70740741491317749</v>
      </c>
      <c r="Y173">
        <f>Tabela2[[#This Row],[kan_val_acc_1]]</f>
        <v>0.77777777910232548</v>
      </c>
      <c r="Z173">
        <f>Tabela2[[#This Row],[no_steps]]</f>
        <v>11.674148471615721</v>
      </c>
      <c r="AB173">
        <f t="shared" si="3"/>
        <v>9411</v>
      </c>
      <c r="AC173">
        <f>Tabela2[[#This Row],[kan_time_difference]]/Tabela2[[#This Row],[no_steps]]</f>
        <v>1225262.427900261</v>
      </c>
      <c r="AE173">
        <v>9411</v>
      </c>
      <c r="AF173">
        <v>1225262.427900261</v>
      </c>
    </row>
    <row r="174" spans="1:32" hidden="1" x14ac:dyDescent="0.25">
      <c r="A174" t="s">
        <v>314</v>
      </c>
      <c r="B174">
        <v>5</v>
      </c>
      <c r="C174">
        <v>2</v>
      </c>
      <c r="D174">
        <v>0</v>
      </c>
      <c r="E174" t="s">
        <v>336</v>
      </c>
      <c r="F174">
        <v>6451</v>
      </c>
      <c r="G174">
        <v>12226054.272727273</v>
      </c>
      <c r="H174">
        <v>0.87272728031331848</v>
      </c>
      <c r="I174">
        <v>0.70101010101010097</v>
      </c>
      <c r="J174">
        <v>5135576.5454545459</v>
      </c>
      <c r="K174">
        <v>9411</v>
      </c>
      <c r="L174">
        <v>2</v>
      </c>
      <c r="M174">
        <v>64</v>
      </c>
      <c r="N174">
        <v>0.6646464646464646</v>
      </c>
      <c r="O174">
        <v>2556695.8181818184</v>
      </c>
      <c r="P174">
        <v>9688</v>
      </c>
      <c r="Q174">
        <v>2</v>
      </c>
      <c r="R174">
        <v>65</v>
      </c>
      <c r="S174">
        <v>11.676079306497297</v>
      </c>
      <c r="T174">
        <v>0.87407408356666561</v>
      </c>
      <c r="W174">
        <f>Tabela2[[#This Row],[mlp_params]]</f>
        <v>9411</v>
      </c>
      <c r="X174">
        <f>Tabela2[[#This Row],[kan_test_acc]]</f>
        <v>0.87272728031331848</v>
      </c>
      <c r="Y174">
        <f>Tabela2[[#This Row],[kan_val_acc_1]]</f>
        <v>0.87407408356666561</v>
      </c>
      <c r="Z174">
        <f>Tabela2[[#This Row],[no_steps]]</f>
        <v>11.676079306497297</v>
      </c>
      <c r="AB174">
        <f t="shared" si="3"/>
        <v>9411</v>
      </c>
      <c r="AC174">
        <f>Tabela2[[#This Row],[kan_time_difference]]/Tabela2[[#This Row],[no_steps]]</f>
        <v>1047102.7090338395</v>
      </c>
      <c r="AE174">
        <v>9411</v>
      </c>
      <c r="AF174">
        <v>1047102.7090338395</v>
      </c>
    </row>
    <row r="175" spans="1:32" hidden="1" x14ac:dyDescent="0.25">
      <c r="A175" t="s">
        <v>314</v>
      </c>
      <c r="B175">
        <v>5</v>
      </c>
      <c r="C175">
        <v>3</v>
      </c>
      <c r="D175">
        <v>0</v>
      </c>
      <c r="E175" t="s">
        <v>334</v>
      </c>
      <c r="F175">
        <v>5766</v>
      </c>
      <c r="G175">
        <v>11751779.545454545</v>
      </c>
      <c r="H175">
        <v>0.73939394950866699</v>
      </c>
      <c r="I175">
        <v>0.65454545454545454</v>
      </c>
      <c r="J175">
        <v>611860.18181818177</v>
      </c>
      <c r="K175">
        <v>9411</v>
      </c>
      <c r="L175">
        <v>2</v>
      </c>
      <c r="M175">
        <v>64</v>
      </c>
      <c r="N175">
        <v>0.65454545454545454</v>
      </c>
      <c r="O175">
        <v>3355844.5454545454</v>
      </c>
      <c r="P175">
        <v>9688</v>
      </c>
      <c r="Q175">
        <v>2</v>
      </c>
      <c r="R175">
        <v>65</v>
      </c>
      <c r="S175">
        <v>11.676235434209406</v>
      </c>
      <c r="T175">
        <v>0.79259259700775142</v>
      </c>
      <c r="W175">
        <f>Tabela2[[#This Row],[mlp_params]]</f>
        <v>9411</v>
      </c>
      <c r="X175">
        <f>Tabela2[[#This Row],[kan_test_acc]]</f>
        <v>0.73939394950866699</v>
      </c>
      <c r="Y175">
        <f>Tabela2[[#This Row],[kan_val_acc_1]]</f>
        <v>0.79259259700775142</v>
      </c>
      <c r="Z175">
        <f>Tabela2[[#This Row],[no_steps]]</f>
        <v>11.676235434209406</v>
      </c>
      <c r="AB175">
        <f t="shared" si="3"/>
        <v>9411</v>
      </c>
      <c r="AC175">
        <f>Tabela2[[#This Row],[kan_time_difference]]/Tabela2[[#This Row],[no_steps]]</f>
        <v>1006469.9030497285</v>
      </c>
      <c r="AE175">
        <v>9411</v>
      </c>
      <c r="AF175">
        <v>1006469.9030497285</v>
      </c>
    </row>
    <row r="176" spans="1:32" hidden="1" x14ac:dyDescent="0.25">
      <c r="A176" t="s">
        <v>314</v>
      </c>
      <c r="B176">
        <v>5</v>
      </c>
      <c r="C176">
        <v>5</v>
      </c>
      <c r="D176">
        <v>0</v>
      </c>
      <c r="E176" t="s">
        <v>358</v>
      </c>
      <c r="F176">
        <v>5228</v>
      </c>
      <c r="G176">
        <v>10594253.833333334</v>
      </c>
      <c r="H176">
        <v>0.57407408456007636</v>
      </c>
      <c r="I176">
        <v>0.67777777777777781</v>
      </c>
      <c r="J176">
        <v>862508</v>
      </c>
      <c r="K176">
        <v>9411</v>
      </c>
      <c r="L176">
        <v>2</v>
      </c>
      <c r="M176">
        <v>64</v>
      </c>
      <c r="N176">
        <v>0.72962962962962963</v>
      </c>
      <c r="O176">
        <v>7635867.666666667</v>
      </c>
      <c r="P176">
        <v>9688</v>
      </c>
      <c r="Q176">
        <v>2</v>
      </c>
      <c r="R176">
        <v>65</v>
      </c>
      <c r="S176">
        <v>11.667845552134477</v>
      </c>
      <c r="T176">
        <v>0.75555555820465092</v>
      </c>
      <c r="W176">
        <f>Tabela2[[#This Row],[mlp_params]]</f>
        <v>9411</v>
      </c>
      <c r="X176">
        <f>Tabela2[[#This Row],[kan_test_acc]]</f>
        <v>0.57407408456007636</v>
      </c>
      <c r="Y176">
        <f>Tabela2[[#This Row],[kan_val_acc_1]]</f>
        <v>0.75555555820465092</v>
      </c>
      <c r="Z176">
        <f>Tabela2[[#This Row],[no_steps]]</f>
        <v>11.667845552134477</v>
      </c>
      <c r="AB176">
        <f t="shared" si="3"/>
        <v>9411</v>
      </c>
      <c r="AC176">
        <f>Tabela2[[#This Row],[kan_time_difference]]/Tabela2[[#This Row],[no_steps]]</f>
        <v>907987.15032658761</v>
      </c>
      <c r="AE176">
        <v>9411</v>
      </c>
      <c r="AF176">
        <v>907987.15032658761</v>
      </c>
    </row>
    <row r="177" spans="1:32" hidden="1" x14ac:dyDescent="0.25">
      <c r="A177" t="s">
        <v>314</v>
      </c>
      <c r="B177">
        <v>9</v>
      </c>
      <c r="C177">
        <v>2</v>
      </c>
      <c r="D177">
        <v>0</v>
      </c>
      <c r="E177" t="s">
        <v>320</v>
      </c>
      <c r="F177">
        <v>7107</v>
      </c>
      <c r="G177">
        <v>9760775.666666666</v>
      </c>
      <c r="H177">
        <v>0.8851851920286814</v>
      </c>
      <c r="I177">
        <v>0.64444444444444438</v>
      </c>
      <c r="J177">
        <v>5719496.166666667</v>
      </c>
      <c r="K177">
        <v>9411</v>
      </c>
      <c r="L177">
        <v>2</v>
      </c>
      <c r="M177">
        <v>64</v>
      </c>
      <c r="N177">
        <v>0.68518518518518512</v>
      </c>
      <c r="O177">
        <v>2387438.6666666665</v>
      </c>
      <c r="P177">
        <v>9688</v>
      </c>
      <c r="Q177">
        <v>2</v>
      </c>
      <c r="R177">
        <v>65</v>
      </c>
      <c r="S177">
        <v>11.651424349396601</v>
      </c>
      <c r="T177">
        <v>0.68888888359069822</v>
      </c>
      <c r="W177">
        <f>Tabela2[[#This Row],[mlp_params]]</f>
        <v>9411</v>
      </c>
      <c r="X177">
        <f>Tabela2[[#This Row],[kan_test_acc]]</f>
        <v>0.8851851920286814</v>
      </c>
      <c r="Y177">
        <f>Tabela2[[#This Row],[kan_val_acc_1]]</f>
        <v>0.68888888359069822</v>
      </c>
      <c r="Z177">
        <f>Tabela2[[#This Row],[no_steps]]</f>
        <v>11.651424349396601</v>
      </c>
      <c r="AB177">
        <f t="shared" si="3"/>
        <v>9411</v>
      </c>
      <c r="AC177">
        <f>Tabela2[[#This Row],[kan_time_difference]]/Tabela2[[#This Row],[no_steps]]</f>
        <v>837732.39854337228</v>
      </c>
      <c r="AE177">
        <v>9411</v>
      </c>
      <c r="AF177">
        <v>837732.39854337228</v>
      </c>
    </row>
    <row r="178" spans="1:32" hidden="1" x14ac:dyDescent="0.25">
      <c r="A178" t="s">
        <v>314</v>
      </c>
      <c r="B178">
        <v>9</v>
      </c>
      <c r="C178">
        <v>3</v>
      </c>
      <c r="D178">
        <v>0</v>
      </c>
      <c r="E178" t="s">
        <v>359</v>
      </c>
      <c r="F178">
        <v>6510</v>
      </c>
      <c r="G178">
        <v>11872991.166666666</v>
      </c>
      <c r="H178">
        <v>0.72962964574495948</v>
      </c>
      <c r="I178">
        <v>0.67777777777777781</v>
      </c>
      <c r="J178">
        <v>1023005.3333333334</v>
      </c>
      <c r="K178">
        <v>9411</v>
      </c>
      <c r="L178">
        <v>2</v>
      </c>
      <c r="M178">
        <v>64</v>
      </c>
      <c r="N178">
        <v>0.65925925925925921</v>
      </c>
      <c r="O178">
        <v>4849949.333333333</v>
      </c>
      <c r="P178">
        <v>9688</v>
      </c>
      <c r="Q178">
        <v>2</v>
      </c>
      <c r="R178">
        <v>65</v>
      </c>
      <c r="S178">
        <v>11.63569135752306</v>
      </c>
      <c r="T178">
        <v>0.82222223281860352</v>
      </c>
      <c r="W178">
        <f>Tabela2[[#This Row],[mlp_params]]</f>
        <v>9411</v>
      </c>
      <c r="X178">
        <f>Tabela2[[#This Row],[kan_test_acc]]</f>
        <v>0.72962964574495948</v>
      </c>
      <c r="Y178">
        <f>Tabela2[[#This Row],[kan_val_acc_1]]</f>
        <v>0.82222223281860352</v>
      </c>
      <c r="Z178">
        <f>Tabela2[[#This Row],[no_steps]]</f>
        <v>11.63569135752306</v>
      </c>
      <c r="AB178">
        <f t="shared" si="3"/>
        <v>9411</v>
      </c>
      <c r="AC178">
        <f>Tabela2[[#This Row],[kan_time_difference]]/Tabela2[[#This Row],[no_steps]]</f>
        <v>1020394.1305980225</v>
      </c>
      <c r="AE178">
        <v>9411</v>
      </c>
      <c r="AF178">
        <v>1020394.1305980225</v>
      </c>
    </row>
    <row r="179" spans="1:32" x14ac:dyDescent="0.25">
      <c r="A179" t="s">
        <v>314</v>
      </c>
      <c r="B179">
        <v>9</v>
      </c>
      <c r="C179">
        <v>4</v>
      </c>
      <c r="D179">
        <v>0</v>
      </c>
      <c r="E179" t="s">
        <v>316</v>
      </c>
      <c r="F179">
        <v>6061</v>
      </c>
      <c r="G179">
        <v>6578244.666666667</v>
      </c>
      <c r="H179">
        <v>0.82962963481744134</v>
      </c>
      <c r="I179">
        <v>0.60370370370370363</v>
      </c>
      <c r="J179">
        <v>3856885.6666666665</v>
      </c>
      <c r="K179">
        <v>9411</v>
      </c>
      <c r="L179">
        <v>2</v>
      </c>
      <c r="M179">
        <v>64</v>
      </c>
      <c r="N179">
        <v>0.70740740740740737</v>
      </c>
      <c r="O179">
        <v>3094312.6666666665</v>
      </c>
      <c r="P179">
        <v>9688</v>
      </c>
      <c r="Q179">
        <v>2</v>
      </c>
      <c r="R179">
        <v>65</v>
      </c>
      <c r="S179">
        <v>11.621996303142328</v>
      </c>
      <c r="T179">
        <v>0.94814814329147334</v>
      </c>
      <c r="W179">
        <f>Tabela2[[#This Row],[mlp_params]]</f>
        <v>9411</v>
      </c>
      <c r="X179">
        <f>Tabela2[[#This Row],[kan_test_acc]]</f>
        <v>0.82962963481744134</v>
      </c>
      <c r="Y179">
        <f>Tabela2[[#This Row],[kan_val_acc_1]]</f>
        <v>0.94814814329147334</v>
      </c>
      <c r="Z179">
        <f>Tabela2[[#This Row],[no_steps]]</f>
        <v>11.621996303142328</v>
      </c>
      <c r="AB179">
        <f t="shared" si="3"/>
        <v>9411</v>
      </c>
      <c r="AC179">
        <f>Tabela2[[#This Row],[kan_time_difference]]/Tabela2[[#This Row],[no_steps]]</f>
        <v>566016.75779986754</v>
      </c>
      <c r="AE179">
        <v>9411</v>
      </c>
      <c r="AF179">
        <v>566016.75779986754</v>
      </c>
    </row>
    <row r="180" spans="1:32" hidden="1" x14ac:dyDescent="0.25">
      <c r="A180" t="s">
        <v>314</v>
      </c>
      <c r="B180">
        <v>9</v>
      </c>
      <c r="C180">
        <v>5</v>
      </c>
      <c r="D180">
        <v>0</v>
      </c>
      <c r="E180" t="s">
        <v>356</v>
      </c>
      <c r="F180">
        <v>5736</v>
      </c>
      <c r="G180">
        <v>8431647.333333334</v>
      </c>
      <c r="H180">
        <v>0.8333333432674408</v>
      </c>
      <c r="I180">
        <v>0.73703703703703705</v>
      </c>
      <c r="J180">
        <v>332121</v>
      </c>
      <c r="K180">
        <v>9411</v>
      </c>
      <c r="L180">
        <v>2</v>
      </c>
      <c r="M180">
        <v>64</v>
      </c>
      <c r="N180">
        <v>0.73703703703703705</v>
      </c>
      <c r="O180">
        <v>275370.33333333331</v>
      </c>
      <c r="P180">
        <v>9688</v>
      </c>
      <c r="Q180">
        <v>2</v>
      </c>
      <c r="R180">
        <v>65</v>
      </c>
      <c r="S180">
        <v>11.589839105968139</v>
      </c>
      <c r="T180">
        <v>0.81481481790542598</v>
      </c>
      <c r="W180">
        <f>Tabela2[[#This Row],[mlp_params]]</f>
        <v>9411</v>
      </c>
      <c r="X180">
        <f>Tabela2[[#This Row],[kan_test_acc]]</f>
        <v>0.8333333432674408</v>
      </c>
      <c r="Y180">
        <f>Tabela2[[#This Row],[kan_val_acc_1]]</f>
        <v>0.81481481790542598</v>
      </c>
      <c r="Z180">
        <f>Tabela2[[#This Row],[no_steps]]</f>
        <v>11.589839105968139</v>
      </c>
      <c r="AB180">
        <f t="shared" si="3"/>
        <v>9411</v>
      </c>
      <c r="AC180">
        <f>Tabela2[[#This Row],[kan_time_difference]]/Tabela2[[#This Row],[no_steps]]</f>
        <v>727503.39812668262</v>
      </c>
      <c r="AE180">
        <v>9411</v>
      </c>
      <c r="AF180">
        <v>727503.39812668262</v>
      </c>
    </row>
    <row r="181" spans="1:32" hidden="1" x14ac:dyDescent="0.25">
      <c r="A181" t="s">
        <v>314</v>
      </c>
      <c r="B181">
        <v>3</v>
      </c>
      <c r="C181">
        <v>2</v>
      </c>
      <c r="D181">
        <v>0</v>
      </c>
      <c r="E181" t="s">
        <v>338</v>
      </c>
      <c r="F181">
        <v>6135</v>
      </c>
      <c r="G181">
        <v>9942104.5454545449</v>
      </c>
      <c r="H181">
        <v>0.93131313540718774</v>
      </c>
      <c r="I181">
        <v>0.66262626262626267</v>
      </c>
      <c r="J181">
        <v>595945.81818181823</v>
      </c>
      <c r="K181">
        <v>9688</v>
      </c>
      <c r="L181">
        <v>2</v>
      </c>
      <c r="M181">
        <v>65</v>
      </c>
      <c r="N181">
        <v>0.71919191919191916</v>
      </c>
      <c r="O181">
        <v>545176.09090909094</v>
      </c>
      <c r="P181">
        <v>9969</v>
      </c>
      <c r="Q181">
        <v>2</v>
      </c>
      <c r="R181">
        <v>66</v>
      </c>
      <c r="S181">
        <v>11.676507650765076</v>
      </c>
      <c r="T181">
        <v>0.95555557012557979</v>
      </c>
      <c r="W181">
        <f>Tabela2[[#This Row],[mlp_params]]</f>
        <v>9688</v>
      </c>
      <c r="X181">
        <f>Tabela2[[#This Row],[kan_test_acc]]</f>
        <v>0.93131313540718774</v>
      </c>
      <c r="Y181">
        <f>Tabela2[[#This Row],[kan_val_acc_1]]</f>
        <v>0.95555557012557979</v>
      </c>
      <c r="Z181">
        <f>Tabela2[[#This Row],[no_steps]]</f>
        <v>11.676507650765076</v>
      </c>
      <c r="AB181">
        <f t="shared" si="3"/>
        <v>9688</v>
      </c>
      <c r="AC181">
        <f>Tabela2[[#This Row],[kan_time_difference]]/Tabela2[[#This Row],[no_steps]]</f>
        <v>851462.17026656179</v>
      </c>
      <c r="AE181">
        <v>9688</v>
      </c>
      <c r="AF181">
        <v>851462.17026656179</v>
      </c>
    </row>
    <row r="182" spans="1:32" hidden="1" x14ac:dyDescent="0.25">
      <c r="A182" t="s">
        <v>314</v>
      </c>
      <c r="B182">
        <v>3</v>
      </c>
      <c r="C182">
        <v>3</v>
      </c>
      <c r="D182">
        <v>0</v>
      </c>
      <c r="E182" t="s">
        <v>329</v>
      </c>
      <c r="F182">
        <v>5522</v>
      </c>
      <c r="G182">
        <v>11972366.363636363</v>
      </c>
      <c r="H182">
        <v>0.89898990501057019</v>
      </c>
      <c r="I182">
        <v>0.66262626262626267</v>
      </c>
      <c r="J182">
        <v>660059.36363636365</v>
      </c>
      <c r="K182">
        <v>9688</v>
      </c>
      <c r="L182">
        <v>2</v>
      </c>
      <c r="M182">
        <v>65</v>
      </c>
      <c r="N182">
        <v>0.65656565656565657</v>
      </c>
      <c r="O182">
        <v>687285.72727272729</v>
      </c>
      <c r="P182">
        <v>9969</v>
      </c>
      <c r="Q182">
        <v>2</v>
      </c>
      <c r="R182">
        <v>66</v>
      </c>
      <c r="S182">
        <v>11.672193252217319</v>
      </c>
      <c r="T182">
        <v>0.92222222089767458</v>
      </c>
      <c r="W182">
        <f>Tabela2[[#This Row],[mlp_params]]</f>
        <v>9688</v>
      </c>
      <c r="X182">
        <f>Tabela2[[#This Row],[kan_test_acc]]</f>
        <v>0.89898990501057019</v>
      </c>
      <c r="Y182">
        <f>Tabela2[[#This Row],[kan_val_acc_1]]</f>
        <v>0.92222222089767458</v>
      </c>
      <c r="Z182">
        <f>Tabela2[[#This Row],[no_steps]]</f>
        <v>11.672193252217319</v>
      </c>
      <c r="AB182">
        <f t="shared" si="3"/>
        <v>9688</v>
      </c>
      <c r="AC182">
        <f>Tabela2[[#This Row],[kan_time_difference]]/Tabela2[[#This Row],[no_steps]]</f>
        <v>1025716.9415321342</v>
      </c>
      <c r="AE182">
        <v>9688</v>
      </c>
      <c r="AF182">
        <v>1025716.9415321342</v>
      </c>
    </row>
    <row r="183" spans="1:32" hidden="1" x14ac:dyDescent="0.25">
      <c r="A183" t="s">
        <v>314</v>
      </c>
      <c r="B183">
        <v>3</v>
      </c>
      <c r="C183">
        <v>4</v>
      </c>
      <c r="D183">
        <v>0</v>
      </c>
      <c r="E183" t="s">
        <v>334</v>
      </c>
      <c r="F183">
        <v>5245</v>
      </c>
      <c r="G183">
        <v>13601533.818181818</v>
      </c>
      <c r="H183">
        <v>0.85858586701479822</v>
      </c>
      <c r="I183">
        <v>0.67272727272727273</v>
      </c>
      <c r="J183">
        <v>1739702.3636363635</v>
      </c>
      <c r="K183">
        <v>9688</v>
      </c>
      <c r="L183">
        <v>2</v>
      </c>
      <c r="M183">
        <v>65</v>
      </c>
      <c r="N183">
        <v>0.68282828282828278</v>
      </c>
      <c r="O183">
        <v>928202.27272727271</v>
      </c>
      <c r="P183">
        <v>9969</v>
      </c>
      <c r="Q183">
        <v>2</v>
      </c>
      <c r="R183">
        <v>66</v>
      </c>
      <c r="S183">
        <v>11.675094872473744</v>
      </c>
      <c r="T183">
        <v>0.86296296119689941</v>
      </c>
      <c r="W183">
        <f>Tabela2[[#This Row],[mlp_params]]</f>
        <v>9688</v>
      </c>
      <c r="X183">
        <f>Tabela2[[#This Row],[kan_test_acc]]</f>
        <v>0.85858586701479822</v>
      </c>
      <c r="Y183">
        <f>Tabela2[[#This Row],[kan_val_acc_1]]</f>
        <v>0.86296296119689941</v>
      </c>
      <c r="Z183">
        <f>Tabela2[[#This Row],[no_steps]]</f>
        <v>11.675094872473744</v>
      </c>
      <c r="AB183">
        <f t="shared" si="3"/>
        <v>9688</v>
      </c>
      <c r="AC183">
        <f>Tabela2[[#This Row],[kan_time_difference]]/Tabela2[[#This Row],[no_steps]]</f>
        <v>1165004.1363047096</v>
      </c>
      <c r="AE183">
        <v>9688</v>
      </c>
      <c r="AF183">
        <v>1165004.1363047096</v>
      </c>
    </row>
    <row r="184" spans="1:32" hidden="1" x14ac:dyDescent="0.25">
      <c r="A184" t="s">
        <v>314</v>
      </c>
      <c r="B184">
        <v>3</v>
      </c>
      <c r="C184">
        <v>5</v>
      </c>
      <c r="D184">
        <v>0</v>
      </c>
      <c r="E184" t="s">
        <v>318</v>
      </c>
      <c r="F184">
        <v>4884</v>
      </c>
      <c r="G184">
        <v>15781320.727272727</v>
      </c>
      <c r="H184">
        <v>0.80606061491099268</v>
      </c>
      <c r="I184">
        <v>0.71717171717171713</v>
      </c>
      <c r="J184">
        <v>3953424</v>
      </c>
      <c r="K184">
        <v>9688</v>
      </c>
      <c r="L184">
        <v>2</v>
      </c>
      <c r="M184">
        <v>65</v>
      </c>
      <c r="N184">
        <v>0.69494949494949498</v>
      </c>
      <c r="O184">
        <v>2070283.0909090908</v>
      </c>
      <c r="P184">
        <v>9969</v>
      </c>
      <c r="Q184">
        <v>2</v>
      </c>
      <c r="R184">
        <v>66</v>
      </c>
      <c r="S184">
        <v>11.675396097944219</v>
      </c>
      <c r="T184">
        <v>0.87777778506278992</v>
      </c>
      <c r="W184">
        <f>Tabela2[[#This Row],[mlp_params]]</f>
        <v>9688</v>
      </c>
      <c r="X184">
        <f>Tabela2[[#This Row],[kan_test_acc]]</f>
        <v>0.80606061491099268</v>
      </c>
      <c r="Y184">
        <f>Tabela2[[#This Row],[kan_val_acc_1]]</f>
        <v>0.87777778506278992</v>
      </c>
      <c r="Z184">
        <f>Tabela2[[#This Row],[no_steps]]</f>
        <v>11.675396097944219</v>
      </c>
      <c r="AB184">
        <f t="shared" si="3"/>
        <v>9688</v>
      </c>
      <c r="AC184">
        <f>Tabela2[[#This Row],[kan_time_difference]]/Tabela2[[#This Row],[no_steps]]</f>
        <v>1351673.2618648775</v>
      </c>
      <c r="AE184">
        <v>9688</v>
      </c>
      <c r="AF184">
        <v>1351673.2618648775</v>
      </c>
    </row>
    <row r="185" spans="1:32" hidden="1" x14ac:dyDescent="0.25">
      <c r="A185" t="s">
        <v>314</v>
      </c>
      <c r="B185">
        <v>5</v>
      </c>
      <c r="C185">
        <v>2</v>
      </c>
      <c r="D185">
        <v>0</v>
      </c>
      <c r="E185" t="s">
        <v>330</v>
      </c>
      <c r="F185">
        <v>6493</v>
      </c>
      <c r="G185">
        <v>12140899.909090908</v>
      </c>
      <c r="H185">
        <v>0.86262627081437548</v>
      </c>
      <c r="I185">
        <v>0.71313131313131317</v>
      </c>
      <c r="J185">
        <v>4338038.7272727275</v>
      </c>
      <c r="K185">
        <v>9688</v>
      </c>
      <c r="L185">
        <v>2</v>
      </c>
      <c r="M185">
        <v>65</v>
      </c>
      <c r="N185">
        <v>0.68282828282828278</v>
      </c>
      <c r="O185">
        <v>4354562.7272727275</v>
      </c>
      <c r="P185">
        <v>9969</v>
      </c>
      <c r="Q185">
        <v>2</v>
      </c>
      <c r="R185">
        <v>66</v>
      </c>
      <c r="S185">
        <v>11.675974778020846</v>
      </c>
      <c r="T185">
        <v>0.9</v>
      </c>
      <c r="W185">
        <f>Tabela2[[#This Row],[mlp_params]]</f>
        <v>9688</v>
      </c>
      <c r="X185">
        <f>Tabela2[[#This Row],[kan_test_acc]]</f>
        <v>0.86262627081437548</v>
      </c>
      <c r="Y185">
        <f>Tabela2[[#This Row],[kan_val_acc_1]]</f>
        <v>0.9</v>
      </c>
      <c r="Z185">
        <f>Tabela2[[#This Row],[no_steps]]</f>
        <v>11.675974778020846</v>
      </c>
      <c r="AB185">
        <f t="shared" si="3"/>
        <v>9688</v>
      </c>
      <c r="AC185">
        <f>Tabela2[[#This Row],[kan_time_difference]]/Tabela2[[#This Row],[no_steps]]</f>
        <v>1039818.9564391017</v>
      </c>
      <c r="AE185">
        <v>9688</v>
      </c>
      <c r="AF185">
        <v>1039818.9564391017</v>
      </c>
    </row>
    <row r="186" spans="1:32" hidden="1" x14ac:dyDescent="0.25">
      <c r="A186" t="s">
        <v>314</v>
      </c>
      <c r="B186">
        <v>5</v>
      </c>
      <c r="C186">
        <v>3</v>
      </c>
      <c r="D186">
        <v>0</v>
      </c>
      <c r="E186" t="s">
        <v>321</v>
      </c>
      <c r="F186">
        <v>5946</v>
      </c>
      <c r="G186">
        <v>15759976.181818182</v>
      </c>
      <c r="H186">
        <v>0.78181819482283155</v>
      </c>
      <c r="I186">
        <v>0.70505050505050504</v>
      </c>
      <c r="J186">
        <v>2578112.2727272729</v>
      </c>
      <c r="K186">
        <v>9688</v>
      </c>
      <c r="L186">
        <v>2</v>
      </c>
      <c r="M186">
        <v>65</v>
      </c>
      <c r="N186">
        <v>0.67272727272727273</v>
      </c>
      <c r="O186">
        <v>2833212.1818181816</v>
      </c>
      <c r="P186">
        <v>9969</v>
      </c>
      <c r="Q186">
        <v>2</v>
      </c>
      <c r="R186">
        <v>66</v>
      </c>
      <c r="S186">
        <v>11.677194473963867</v>
      </c>
      <c r="T186">
        <v>0.85185184478759768</v>
      </c>
      <c r="W186">
        <f>Tabela2[[#This Row],[mlp_params]]</f>
        <v>9688</v>
      </c>
      <c r="X186">
        <f>Tabela2[[#This Row],[kan_test_acc]]</f>
        <v>0.78181819482283155</v>
      </c>
      <c r="Y186">
        <f>Tabela2[[#This Row],[kan_val_acc_1]]</f>
        <v>0.85185184478759768</v>
      </c>
      <c r="Z186">
        <f>Tabela2[[#This Row],[no_steps]]</f>
        <v>11.677194473963867</v>
      </c>
      <c r="AB186">
        <f t="shared" si="3"/>
        <v>9688</v>
      </c>
      <c r="AC186">
        <f>Tabela2[[#This Row],[kan_time_difference]]/Tabela2[[#This Row],[no_steps]]</f>
        <v>1349637.2109719946</v>
      </c>
      <c r="AE186">
        <v>9688</v>
      </c>
      <c r="AF186">
        <v>1349637.2109719946</v>
      </c>
    </row>
    <row r="187" spans="1:32" hidden="1" x14ac:dyDescent="0.25">
      <c r="A187" t="s">
        <v>314</v>
      </c>
      <c r="B187">
        <v>5</v>
      </c>
      <c r="C187">
        <v>4</v>
      </c>
      <c r="D187">
        <v>0</v>
      </c>
      <c r="E187" t="s">
        <v>319</v>
      </c>
      <c r="F187">
        <v>5711</v>
      </c>
      <c r="G187">
        <v>19373474.5</v>
      </c>
      <c r="H187">
        <v>0.7407407512267431</v>
      </c>
      <c r="I187">
        <v>0.67407407407407405</v>
      </c>
      <c r="J187">
        <v>4115192</v>
      </c>
      <c r="K187">
        <v>9688</v>
      </c>
      <c r="L187">
        <v>2</v>
      </c>
      <c r="M187">
        <v>65</v>
      </c>
      <c r="N187">
        <v>0.66666666666666663</v>
      </c>
      <c r="O187">
        <v>3125625.3333333335</v>
      </c>
      <c r="P187">
        <v>9969</v>
      </c>
      <c r="Q187">
        <v>2</v>
      </c>
      <c r="R187">
        <v>66</v>
      </c>
      <c r="S187">
        <v>11.673186942621571</v>
      </c>
      <c r="T187">
        <v>0.77777779102325439</v>
      </c>
      <c r="W187">
        <f>Tabela2[[#This Row],[mlp_params]]</f>
        <v>9688</v>
      </c>
      <c r="X187">
        <f>Tabela2[[#This Row],[kan_test_acc]]</f>
        <v>0.7407407512267431</v>
      </c>
      <c r="Y187">
        <f>Tabela2[[#This Row],[kan_val_acc_1]]</f>
        <v>0.77777779102325439</v>
      </c>
      <c r="Z187">
        <f>Tabela2[[#This Row],[no_steps]]</f>
        <v>11.673186942621571</v>
      </c>
      <c r="AB187">
        <f t="shared" si="3"/>
        <v>9688</v>
      </c>
      <c r="AC187">
        <f>Tabela2[[#This Row],[kan_time_difference]]/Tabela2[[#This Row],[no_steps]]</f>
        <v>1659655.9787167336</v>
      </c>
      <c r="AE187">
        <v>9688</v>
      </c>
      <c r="AF187">
        <v>1659655.9787167336</v>
      </c>
    </row>
    <row r="188" spans="1:32" hidden="1" x14ac:dyDescent="0.25">
      <c r="A188" t="s">
        <v>314</v>
      </c>
      <c r="B188">
        <v>5</v>
      </c>
      <c r="C188">
        <v>5</v>
      </c>
      <c r="D188">
        <v>0</v>
      </c>
      <c r="E188" t="s">
        <v>317</v>
      </c>
      <c r="F188">
        <v>5348</v>
      </c>
      <c r="G188">
        <v>6965054.833333333</v>
      </c>
      <c r="H188">
        <v>0.8888888955116272</v>
      </c>
      <c r="I188">
        <v>0.70740740740740737</v>
      </c>
      <c r="J188">
        <v>5525110.5</v>
      </c>
      <c r="K188">
        <v>9688</v>
      </c>
      <c r="L188">
        <v>2</v>
      </c>
      <c r="M188">
        <v>65</v>
      </c>
      <c r="N188">
        <v>0.66666666666666663</v>
      </c>
      <c r="O188">
        <v>4828229</v>
      </c>
      <c r="P188">
        <v>9969</v>
      </c>
      <c r="Q188">
        <v>2</v>
      </c>
      <c r="R188">
        <v>66</v>
      </c>
      <c r="S188">
        <v>11.667138103161397</v>
      </c>
      <c r="T188">
        <v>0.90370370149612422</v>
      </c>
      <c r="W188">
        <f>Tabela2[[#This Row],[mlp_params]]</f>
        <v>9688</v>
      </c>
      <c r="X188">
        <f>Tabela2[[#This Row],[kan_test_acc]]</f>
        <v>0.8888888955116272</v>
      </c>
      <c r="Y188">
        <f>Tabela2[[#This Row],[kan_val_acc_1]]</f>
        <v>0.90370370149612422</v>
      </c>
      <c r="Z188">
        <f>Tabela2[[#This Row],[no_steps]]</f>
        <v>11.667138103161397</v>
      </c>
      <c r="AB188">
        <f t="shared" si="3"/>
        <v>9688</v>
      </c>
      <c r="AC188">
        <f>Tabela2[[#This Row],[kan_time_difference]]/Tabela2[[#This Row],[no_steps]]</f>
        <v>596980.57670595672</v>
      </c>
      <c r="AE188">
        <v>9688</v>
      </c>
      <c r="AF188">
        <v>596980.57670595672</v>
      </c>
    </row>
    <row r="189" spans="1:32" hidden="1" x14ac:dyDescent="0.25">
      <c r="A189" t="s">
        <v>314</v>
      </c>
      <c r="B189">
        <v>9</v>
      </c>
      <c r="C189">
        <v>2</v>
      </c>
      <c r="D189">
        <v>0</v>
      </c>
      <c r="E189" t="s">
        <v>334</v>
      </c>
      <c r="F189">
        <v>7329</v>
      </c>
      <c r="G189">
        <v>8912343.9090909082</v>
      </c>
      <c r="H189">
        <v>0.8424242518164895</v>
      </c>
      <c r="I189">
        <v>0.67272727272727273</v>
      </c>
      <c r="J189">
        <v>4074125.5454545454</v>
      </c>
      <c r="K189">
        <v>9688</v>
      </c>
      <c r="L189">
        <v>2</v>
      </c>
      <c r="M189">
        <v>65</v>
      </c>
      <c r="N189">
        <v>0.72525252525252526</v>
      </c>
      <c r="O189">
        <v>2293539.6363636362</v>
      </c>
      <c r="P189">
        <v>9969</v>
      </c>
      <c r="Q189">
        <v>2</v>
      </c>
      <c r="R189">
        <v>66</v>
      </c>
      <c r="S189">
        <v>11.650391827021704</v>
      </c>
      <c r="T189">
        <v>0.77037038803100588</v>
      </c>
      <c r="W189">
        <f>Tabela2[[#This Row],[mlp_params]]</f>
        <v>9688</v>
      </c>
      <c r="X189">
        <f>Tabela2[[#This Row],[kan_test_acc]]</f>
        <v>0.8424242518164895</v>
      </c>
      <c r="Y189">
        <f>Tabela2[[#This Row],[kan_val_acc_1]]</f>
        <v>0.77037038803100588</v>
      </c>
      <c r="Z189">
        <f>Tabela2[[#This Row],[no_steps]]</f>
        <v>11.650391827021704</v>
      </c>
      <c r="AB189">
        <f t="shared" si="3"/>
        <v>9688</v>
      </c>
      <c r="AC189">
        <f>Tabela2[[#This Row],[kan_time_difference]]/Tabela2[[#This Row],[no_steps]]</f>
        <v>764982.33204653102</v>
      </c>
      <c r="AE189">
        <v>9688</v>
      </c>
      <c r="AF189">
        <v>764982.33204653102</v>
      </c>
    </row>
    <row r="190" spans="1:32" hidden="1" x14ac:dyDescent="0.25">
      <c r="A190" t="s">
        <v>314</v>
      </c>
      <c r="B190">
        <v>9</v>
      </c>
      <c r="C190">
        <v>3</v>
      </c>
      <c r="D190">
        <v>0</v>
      </c>
      <c r="E190" t="s">
        <v>318</v>
      </c>
      <c r="F190">
        <v>6648</v>
      </c>
      <c r="G190">
        <v>10190018.272727273</v>
      </c>
      <c r="H190">
        <v>0.80404041572050611</v>
      </c>
      <c r="I190">
        <v>0.69090909090909092</v>
      </c>
      <c r="J190">
        <v>6154174.5454545459</v>
      </c>
      <c r="K190">
        <v>9688</v>
      </c>
      <c r="L190">
        <v>2</v>
      </c>
      <c r="M190">
        <v>65</v>
      </c>
      <c r="N190">
        <v>0.68888888888888888</v>
      </c>
      <c r="O190">
        <v>3120465.6363636362</v>
      </c>
      <c r="P190">
        <v>9969</v>
      </c>
      <c r="Q190">
        <v>2</v>
      </c>
      <c r="R190">
        <v>66</v>
      </c>
      <c r="S190">
        <v>11.63552920152709</v>
      </c>
      <c r="T190">
        <v>0.88148148655891423</v>
      </c>
      <c r="W190">
        <f>Tabela2[[#This Row],[mlp_params]]</f>
        <v>9688</v>
      </c>
      <c r="X190">
        <f>Tabela2[[#This Row],[kan_test_acc]]</f>
        <v>0.80404041572050611</v>
      </c>
      <c r="Y190">
        <f>Tabela2[[#This Row],[kan_val_acc_1]]</f>
        <v>0.88148148655891423</v>
      </c>
      <c r="Z190">
        <f>Tabela2[[#This Row],[no_steps]]</f>
        <v>11.63552920152709</v>
      </c>
      <c r="AB190">
        <f t="shared" si="3"/>
        <v>9688</v>
      </c>
      <c r="AC190">
        <f>Tabela2[[#This Row],[kan_time_difference]]/Tabela2[[#This Row],[no_steps]]</f>
        <v>875767.49593734834</v>
      </c>
      <c r="AE190">
        <v>9688</v>
      </c>
      <c r="AF190">
        <v>875767.49593734834</v>
      </c>
    </row>
    <row r="191" spans="1:32" hidden="1" x14ac:dyDescent="0.25">
      <c r="A191" t="s">
        <v>314</v>
      </c>
      <c r="B191">
        <v>3</v>
      </c>
      <c r="C191">
        <v>2</v>
      </c>
      <c r="D191">
        <v>0</v>
      </c>
      <c r="E191" t="s">
        <v>352</v>
      </c>
      <c r="F191">
        <v>6261</v>
      </c>
      <c r="G191">
        <v>8994933.8181818184</v>
      </c>
      <c r="H191">
        <v>0.9252525297078219</v>
      </c>
      <c r="I191">
        <v>0.67272727272727273</v>
      </c>
      <c r="J191">
        <v>745377.72727272729</v>
      </c>
      <c r="K191">
        <v>9969</v>
      </c>
      <c r="L191">
        <v>2</v>
      </c>
      <c r="M191">
        <v>66</v>
      </c>
      <c r="N191">
        <v>0.69898989898989894</v>
      </c>
      <c r="O191">
        <v>860136.09090909094</v>
      </c>
      <c r="P191">
        <v>10254</v>
      </c>
      <c r="Q191">
        <v>2</v>
      </c>
      <c r="R191">
        <v>67</v>
      </c>
      <c r="S191">
        <v>11.676487787324007</v>
      </c>
      <c r="T191">
        <v>0.93333332538604741</v>
      </c>
      <c r="W191">
        <f>Tabela2[[#This Row],[mlp_params]]</f>
        <v>9969</v>
      </c>
      <c r="X191">
        <f>Tabela2[[#This Row],[kan_test_acc]]</f>
        <v>0.9252525297078219</v>
      </c>
      <c r="Y191">
        <f>Tabela2[[#This Row],[kan_val_acc_1]]</f>
        <v>0.93333332538604741</v>
      </c>
      <c r="Z191">
        <f>Tabela2[[#This Row],[no_steps]]</f>
        <v>11.676487787324007</v>
      </c>
      <c r="AB191">
        <f t="shared" si="3"/>
        <v>9969</v>
      </c>
      <c r="AC191">
        <f>Tabela2[[#This Row],[kan_time_difference]]/Tabela2[[#This Row],[no_steps]]</f>
        <v>770345.84217582247</v>
      </c>
      <c r="AE191">
        <v>9969</v>
      </c>
      <c r="AF191">
        <v>770345.84217582247</v>
      </c>
    </row>
    <row r="192" spans="1:32" hidden="1" x14ac:dyDescent="0.25">
      <c r="A192" t="s">
        <v>314</v>
      </c>
      <c r="B192">
        <v>3</v>
      </c>
      <c r="C192">
        <v>3</v>
      </c>
      <c r="D192">
        <v>0</v>
      </c>
      <c r="E192" t="s">
        <v>342</v>
      </c>
      <c r="F192">
        <v>5628</v>
      </c>
      <c r="G192">
        <v>12958554.166666666</v>
      </c>
      <c r="H192">
        <v>0.8851851920286814</v>
      </c>
      <c r="I192">
        <v>0.67407407407407405</v>
      </c>
      <c r="J192">
        <v>675785.16666666663</v>
      </c>
      <c r="K192">
        <v>9969</v>
      </c>
      <c r="L192">
        <v>2</v>
      </c>
      <c r="M192">
        <v>66</v>
      </c>
      <c r="N192">
        <v>0.70740740740740737</v>
      </c>
      <c r="O192">
        <v>570630</v>
      </c>
      <c r="P192">
        <v>10254</v>
      </c>
      <c r="Q192">
        <v>2</v>
      </c>
      <c r="R192">
        <v>67</v>
      </c>
      <c r="S192">
        <v>11.672904691886112</v>
      </c>
      <c r="T192">
        <v>0.92592592239379878</v>
      </c>
      <c r="W192">
        <f>Tabela2[[#This Row],[mlp_params]]</f>
        <v>9969</v>
      </c>
      <c r="X192">
        <f>Tabela2[[#This Row],[kan_test_acc]]</f>
        <v>0.8851851920286814</v>
      </c>
      <c r="Y192">
        <f>Tabela2[[#This Row],[kan_val_acc_1]]</f>
        <v>0.92592592239379878</v>
      </c>
      <c r="Z192">
        <f>Tabela2[[#This Row],[no_steps]]</f>
        <v>11.672904691886112</v>
      </c>
      <c r="AB192">
        <f t="shared" si="3"/>
        <v>9969</v>
      </c>
      <c r="AC192">
        <f>Tabela2[[#This Row],[kan_time_difference]]/Tabela2[[#This Row],[no_steps]]</f>
        <v>1110139.6360816872</v>
      </c>
      <c r="AE192">
        <v>9969</v>
      </c>
      <c r="AF192">
        <v>1110139.6360816872</v>
      </c>
    </row>
    <row r="193" spans="1:32" hidden="1" x14ac:dyDescent="0.25">
      <c r="A193" t="s">
        <v>314</v>
      </c>
      <c r="B193">
        <v>3</v>
      </c>
      <c r="C193">
        <v>4</v>
      </c>
      <c r="D193">
        <v>0</v>
      </c>
      <c r="E193" t="s">
        <v>321</v>
      </c>
      <c r="F193">
        <v>5409</v>
      </c>
      <c r="G193">
        <v>11767039.666666666</v>
      </c>
      <c r="H193">
        <v>0.82222223281860352</v>
      </c>
      <c r="I193">
        <v>0.68888888888888888</v>
      </c>
      <c r="J193">
        <v>1279878.8333333333</v>
      </c>
      <c r="K193">
        <v>9969</v>
      </c>
      <c r="L193">
        <v>2</v>
      </c>
      <c r="M193">
        <v>66</v>
      </c>
      <c r="N193">
        <v>0.70740740740740737</v>
      </c>
      <c r="O193">
        <v>980046.33333333337</v>
      </c>
      <c r="P193">
        <v>10254</v>
      </c>
      <c r="Q193">
        <v>2</v>
      </c>
      <c r="R193">
        <v>67</v>
      </c>
      <c r="S193">
        <v>11.675004411505206</v>
      </c>
      <c r="T193">
        <v>0.91851853132247929</v>
      </c>
      <c r="W193">
        <f>Tabela2[[#This Row],[mlp_params]]</f>
        <v>9969</v>
      </c>
      <c r="X193">
        <f>Tabela2[[#This Row],[kan_test_acc]]</f>
        <v>0.82222223281860352</v>
      </c>
      <c r="Y193">
        <f>Tabela2[[#This Row],[kan_val_acc_1]]</f>
        <v>0.91851853132247929</v>
      </c>
      <c r="Z193">
        <f>Tabela2[[#This Row],[no_steps]]</f>
        <v>11.675004411505206</v>
      </c>
      <c r="AB193">
        <f t="shared" si="3"/>
        <v>9969</v>
      </c>
      <c r="AC193">
        <f>Tabela2[[#This Row],[kan_time_difference]]/Tabela2[[#This Row],[no_steps]]</f>
        <v>1007883.1023884465</v>
      </c>
      <c r="AE193">
        <v>9969</v>
      </c>
      <c r="AF193">
        <v>1007883.1023884465</v>
      </c>
    </row>
    <row r="194" spans="1:32" hidden="1" x14ac:dyDescent="0.25">
      <c r="A194" t="s">
        <v>314</v>
      </c>
      <c r="B194">
        <v>5</v>
      </c>
      <c r="C194">
        <v>2</v>
      </c>
      <c r="D194">
        <v>0</v>
      </c>
      <c r="E194" t="s">
        <v>343</v>
      </c>
      <c r="F194">
        <v>6691</v>
      </c>
      <c r="G194">
        <v>11243836.5</v>
      </c>
      <c r="H194">
        <v>0.90000000596046448</v>
      </c>
      <c r="I194">
        <v>0.71111111111111114</v>
      </c>
      <c r="J194">
        <v>3567550.8333333335</v>
      </c>
      <c r="K194">
        <v>9969</v>
      </c>
      <c r="L194">
        <v>2</v>
      </c>
      <c r="M194">
        <v>66</v>
      </c>
      <c r="N194">
        <v>0.72962962962962963</v>
      </c>
      <c r="O194">
        <v>2528743.8333333335</v>
      </c>
      <c r="P194">
        <v>10254</v>
      </c>
      <c r="Q194">
        <v>2</v>
      </c>
      <c r="R194">
        <v>67</v>
      </c>
      <c r="S194">
        <v>11.675757965607444</v>
      </c>
      <c r="T194">
        <v>0.92592592239379878</v>
      </c>
      <c r="W194">
        <f>Tabela2[[#This Row],[mlp_params]]</f>
        <v>9969</v>
      </c>
      <c r="X194">
        <f>Tabela2[[#This Row],[kan_test_acc]]</f>
        <v>0.90000000596046448</v>
      </c>
      <c r="Y194">
        <f>Tabela2[[#This Row],[kan_val_acc_1]]</f>
        <v>0.92592592239379878</v>
      </c>
      <c r="Z194">
        <f>Tabela2[[#This Row],[no_steps]]</f>
        <v>11.675757965607444</v>
      </c>
      <c r="AB194">
        <f t="shared" si="3"/>
        <v>9969</v>
      </c>
      <c r="AC194">
        <f>Tabela2[[#This Row],[kan_time_difference]]/Tabela2[[#This Row],[no_steps]]</f>
        <v>963006.98705131363</v>
      </c>
      <c r="AE194">
        <v>9969</v>
      </c>
      <c r="AF194">
        <v>963006.98705131363</v>
      </c>
    </row>
    <row r="195" spans="1:32" hidden="1" x14ac:dyDescent="0.25">
      <c r="A195" t="s">
        <v>314</v>
      </c>
      <c r="B195">
        <v>5</v>
      </c>
      <c r="C195">
        <v>3</v>
      </c>
      <c r="D195">
        <v>0</v>
      </c>
      <c r="E195" t="s">
        <v>335</v>
      </c>
      <c r="F195">
        <v>6208</v>
      </c>
      <c r="G195">
        <v>10527564.727272727</v>
      </c>
      <c r="H195">
        <v>0.82424243471839209</v>
      </c>
      <c r="I195">
        <v>0.72121212121212119</v>
      </c>
      <c r="J195">
        <v>4827031.7272727275</v>
      </c>
      <c r="K195">
        <v>9969</v>
      </c>
      <c r="L195">
        <v>2</v>
      </c>
      <c r="M195">
        <v>66</v>
      </c>
      <c r="N195">
        <v>0.68080808080808086</v>
      </c>
      <c r="O195">
        <v>1965738.9090909092</v>
      </c>
      <c r="P195">
        <v>10254</v>
      </c>
      <c r="Q195">
        <v>2</v>
      </c>
      <c r="R195">
        <v>67</v>
      </c>
      <c r="S195">
        <v>11.675900747790619</v>
      </c>
      <c r="T195">
        <v>0.84814814925193782</v>
      </c>
      <c r="W195">
        <f>Tabela2[[#This Row],[mlp_params]]</f>
        <v>9969</v>
      </c>
      <c r="X195">
        <f>Tabela2[[#This Row],[kan_test_acc]]</f>
        <v>0.82424243471839209</v>
      </c>
      <c r="Y195">
        <f>Tabela2[[#This Row],[kan_val_acc_1]]</f>
        <v>0.84814814925193782</v>
      </c>
      <c r="Z195">
        <f>Tabela2[[#This Row],[no_steps]]</f>
        <v>11.675900747790619</v>
      </c>
      <c r="AB195">
        <f t="shared" si="3"/>
        <v>9969</v>
      </c>
      <c r="AC195">
        <f>Tabela2[[#This Row],[kan_time_difference]]/Tabela2[[#This Row],[no_steps]]</f>
        <v>901649.04230320838</v>
      </c>
      <c r="AE195">
        <v>9969</v>
      </c>
      <c r="AF195">
        <v>901649.04230320838</v>
      </c>
    </row>
    <row r="196" spans="1:32" hidden="1" x14ac:dyDescent="0.25">
      <c r="A196" t="s">
        <v>314</v>
      </c>
      <c r="B196">
        <v>5</v>
      </c>
      <c r="C196">
        <v>4</v>
      </c>
      <c r="D196">
        <v>0</v>
      </c>
      <c r="E196" t="s">
        <v>333</v>
      </c>
      <c r="F196">
        <v>5805</v>
      </c>
      <c r="G196">
        <v>14061012.272727273</v>
      </c>
      <c r="H196">
        <v>0.73535354841839184</v>
      </c>
      <c r="I196">
        <v>0.73535353535353531</v>
      </c>
      <c r="J196">
        <v>5299181.1818181816</v>
      </c>
      <c r="K196">
        <v>9969</v>
      </c>
      <c r="L196">
        <v>2</v>
      </c>
      <c r="M196">
        <v>66</v>
      </c>
      <c r="N196">
        <v>0.68686868686868685</v>
      </c>
      <c r="O196">
        <v>3921413.9090909092</v>
      </c>
      <c r="P196">
        <v>10254</v>
      </c>
      <c r="Q196">
        <v>2</v>
      </c>
      <c r="R196">
        <v>67</v>
      </c>
      <c r="S196">
        <v>11.672791489719547</v>
      </c>
      <c r="T196">
        <v>0.85185185670852659</v>
      </c>
      <c r="W196">
        <f>Tabela2[[#This Row],[mlp_params]]</f>
        <v>9969</v>
      </c>
      <c r="X196">
        <f>Tabela2[[#This Row],[kan_test_acc]]</f>
        <v>0.73535354841839184</v>
      </c>
      <c r="Y196">
        <f>Tabela2[[#This Row],[kan_val_acc_1]]</f>
        <v>0.85185185670852659</v>
      </c>
      <c r="Z196">
        <f>Tabela2[[#This Row],[no_steps]]</f>
        <v>11.672791489719547</v>
      </c>
      <c r="AB196">
        <f t="shared" si="3"/>
        <v>9969</v>
      </c>
      <c r="AC196">
        <f>Tabela2[[#This Row],[kan_time_difference]]/Tabela2[[#This Row],[no_steps]]</f>
        <v>1204597.2281018707</v>
      </c>
      <c r="AE196">
        <v>9969</v>
      </c>
      <c r="AF196">
        <v>1204597.2281018707</v>
      </c>
    </row>
    <row r="197" spans="1:32" hidden="1" x14ac:dyDescent="0.25">
      <c r="A197" t="s">
        <v>314</v>
      </c>
      <c r="B197">
        <v>9</v>
      </c>
      <c r="C197">
        <v>2</v>
      </c>
      <c r="D197">
        <v>0</v>
      </c>
      <c r="E197" t="s">
        <v>321</v>
      </c>
      <c r="F197">
        <v>7557</v>
      </c>
      <c r="G197">
        <v>8738633.166666666</v>
      </c>
      <c r="H197">
        <v>0.77037038405736291</v>
      </c>
      <c r="I197">
        <v>0.68888888888888888</v>
      </c>
      <c r="J197">
        <v>4090118.6666666665</v>
      </c>
      <c r="K197">
        <v>9969</v>
      </c>
      <c r="L197">
        <v>2</v>
      </c>
      <c r="M197">
        <v>66</v>
      </c>
      <c r="N197">
        <v>0.63703703703703707</v>
      </c>
      <c r="O197">
        <v>3949205.6666666665</v>
      </c>
      <c r="P197">
        <v>10254</v>
      </c>
      <c r="Q197">
        <v>2</v>
      </c>
      <c r="R197">
        <v>67</v>
      </c>
      <c r="S197">
        <v>11.649739529923295</v>
      </c>
      <c r="T197">
        <v>0.77777776718139646</v>
      </c>
      <c r="W197">
        <f>Tabela2[[#This Row],[mlp_params]]</f>
        <v>9969</v>
      </c>
      <c r="X197">
        <f>Tabela2[[#This Row],[kan_test_acc]]</f>
        <v>0.77037038405736291</v>
      </c>
      <c r="Y197">
        <f>Tabela2[[#This Row],[kan_val_acc_1]]</f>
        <v>0.77777776718139646</v>
      </c>
      <c r="Z197">
        <f>Tabela2[[#This Row],[no_steps]]</f>
        <v>11.649739529923295</v>
      </c>
      <c r="AB197">
        <f t="shared" si="3"/>
        <v>9969</v>
      </c>
      <c r="AC197">
        <f>Tabela2[[#This Row],[kan_time_difference]]/Tabela2[[#This Row],[no_steps]]</f>
        <v>750114.03853457689</v>
      </c>
      <c r="AE197">
        <v>9969</v>
      </c>
      <c r="AF197">
        <v>750114.03853457689</v>
      </c>
    </row>
    <row r="198" spans="1:32" x14ac:dyDescent="0.25">
      <c r="A198" t="s">
        <v>314</v>
      </c>
      <c r="B198">
        <v>9</v>
      </c>
      <c r="C198">
        <v>4</v>
      </c>
      <c r="D198">
        <v>0</v>
      </c>
      <c r="E198" t="s">
        <v>358</v>
      </c>
      <c r="F198">
        <v>6428</v>
      </c>
      <c r="G198">
        <v>8308489.166666667</v>
      </c>
      <c r="H198">
        <v>0.50370371341705322</v>
      </c>
      <c r="I198">
        <v>0.67037037037037028</v>
      </c>
      <c r="J198">
        <v>5558059.166666667</v>
      </c>
      <c r="K198">
        <v>9969</v>
      </c>
      <c r="L198">
        <v>2</v>
      </c>
      <c r="M198">
        <v>66</v>
      </c>
      <c r="N198">
        <v>0.68518518518518512</v>
      </c>
      <c r="O198">
        <v>3442317.6666666665</v>
      </c>
      <c r="P198">
        <v>10254</v>
      </c>
      <c r="Q198">
        <v>2</v>
      </c>
      <c r="R198">
        <v>67</v>
      </c>
      <c r="S198">
        <v>11.621042905351116</v>
      </c>
      <c r="T198">
        <v>0.74074074029922488</v>
      </c>
      <c r="W198">
        <f>Tabela2[[#This Row],[mlp_params]]</f>
        <v>9969</v>
      </c>
      <c r="X198">
        <f>Tabela2[[#This Row],[kan_test_acc]]</f>
        <v>0.50370371341705322</v>
      </c>
      <c r="Y198">
        <f>Tabela2[[#This Row],[kan_val_acc_1]]</f>
        <v>0.74074074029922488</v>
      </c>
      <c r="Z198">
        <f>Tabela2[[#This Row],[no_steps]]</f>
        <v>11.621042905351116</v>
      </c>
      <c r="AB198">
        <f t="shared" si="3"/>
        <v>9969</v>
      </c>
      <c r="AC198">
        <f>Tabela2[[#This Row],[kan_time_difference]]/Tabela2[[#This Row],[no_steps]]</f>
        <v>714952.11181441171</v>
      </c>
      <c r="AE198">
        <v>9969</v>
      </c>
      <c r="AF198">
        <v>714952.11181441171</v>
      </c>
    </row>
    <row r="199" spans="1:32" hidden="1" x14ac:dyDescent="0.25">
      <c r="A199" t="s">
        <v>314</v>
      </c>
      <c r="B199">
        <v>3</v>
      </c>
      <c r="C199">
        <v>2</v>
      </c>
      <c r="D199">
        <v>0</v>
      </c>
      <c r="E199" t="s">
        <v>346</v>
      </c>
      <c r="F199">
        <v>6423</v>
      </c>
      <c r="G199">
        <v>9139681.333333334</v>
      </c>
      <c r="H199">
        <v>0.90370370944341027</v>
      </c>
      <c r="I199">
        <v>0.66666666666666674</v>
      </c>
      <c r="J199">
        <v>708744.83333333337</v>
      </c>
      <c r="K199">
        <v>10254</v>
      </c>
      <c r="L199">
        <v>2</v>
      </c>
      <c r="M199">
        <v>67</v>
      </c>
      <c r="N199">
        <v>0.67037037037037039</v>
      </c>
      <c r="O199">
        <v>510531.33333333331</v>
      </c>
      <c r="P199">
        <v>10543</v>
      </c>
      <c r="Q199">
        <v>2</v>
      </c>
      <c r="R199">
        <v>68</v>
      </c>
      <c r="S199">
        <v>11.676395197193866</v>
      </c>
      <c r="T199">
        <v>0.89629629850387571</v>
      </c>
      <c r="W199">
        <f>Tabela2[[#This Row],[mlp_params]]</f>
        <v>10254</v>
      </c>
      <c r="X199">
        <f>Tabela2[[#This Row],[kan_test_acc]]</f>
        <v>0.90370370944341027</v>
      </c>
      <c r="Y199">
        <f>Tabela2[[#This Row],[kan_val_acc_1]]</f>
        <v>0.89629629850387571</v>
      </c>
      <c r="Z199">
        <f>Tabela2[[#This Row],[no_steps]]</f>
        <v>11.676395197193866</v>
      </c>
      <c r="AB199">
        <f t="shared" si="3"/>
        <v>10254</v>
      </c>
      <c r="AC199">
        <f>Tabela2[[#This Row],[kan_time_difference]]/Tabela2[[#This Row],[no_steps]]</f>
        <v>782748.54344856634</v>
      </c>
      <c r="AE199">
        <v>10254</v>
      </c>
      <c r="AF199">
        <v>782748.54344856634</v>
      </c>
    </row>
    <row r="200" spans="1:32" hidden="1" x14ac:dyDescent="0.25">
      <c r="A200" t="s">
        <v>314</v>
      </c>
      <c r="B200">
        <v>3</v>
      </c>
      <c r="C200">
        <v>3</v>
      </c>
      <c r="D200">
        <v>0</v>
      </c>
      <c r="E200" t="s">
        <v>330</v>
      </c>
      <c r="F200">
        <v>5848</v>
      </c>
      <c r="G200">
        <v>12031238</v>
      </c>
      <c r="H200">
        <v>0.89696970311078161</v>
      </c>
      <c r="I200">
        <v>0.68888888888888888</v>
      </c>
      <c r="J200">
        <v>1296923.1818181819</v>
      </c>
      <c r="K200">
        <v>10254</v>
      </c>
      <c r="L200">
        <v>2</v>
      </c>
      <c r="M200">
        <v>67</v>
      </c>
      <c r="N200">
        <v>0.70909090909090911</v>
      </c>
      <c r="O200">
        <v>976159.27272727271</v>
      </c>
      <c r="P200">
        <v>10543</v>
      </c>
      <c r="Q200">
        <v>2</v>
      </c>
      <c r="R200">
        <v>68</v>
      </c>
      <c r="S200">
        <v>11.673643894183664</v>
      </c>
      <c r="T200">
        <v>0.9111111104488373</v>
      </c>
      <c r="W200">
        <f>Tabela2[[#This Row],[mlp_params]]</f>
        <v>10254</v>
      </c>
      <c r="X200">
        <f>Tabela2[[#This Row],[kan_test_acc]]</f>
        <v>0.89696970311078161</v>
      </c>
      <c r="Y200">
        <f>Tabela2[[#This Row],[kan_val_acc_1]]</f>
        <v>0.9111111104488373</v>
      </c>
      <c r="Z200">
        <f>Tabela2[[#This Row],[no_steps]]</f>
        <v>11.673643894183664</v>
      </c>
      <c r="AB200">
        <f t="shared" si="3"/>
        <v>10254</v>
      </c>
      <c r="AC200">
        <f>Tabela2[[#This Row],[kan_time_difference]]/Tabela2[[#This Row],[no_steps]]</f>
        <v>1030632.6035861438</v>
      </c>
      <c r="AE200">
        <v>10254</v>
      </c>
      <c r="AF200">
        <v>1030632.6035861438</v>
      </c>
    </row>
    <row r="201" spans="1:32" hidden="1" x14ac:dyDescent="0.25">
      <c r="A201" t="s">
        <v>314</v>
      </c>
      <c r="B201">
        <v>3</v>
      </c>
      <c r="C201">
        <v>5</v>
      </c>
      <c r="D201">
        <v>0</v>
      </c>
      <c r="E201" t="s">
        <v>319</v>
      </c>
      <c r="F201">
        <v>5238</v>
      </c>
      <c r="G201">
        <v>16136460</v>
      </c>
      <c r="H201">
        <v>0.76666667560736335</v>
      </c>
      <c r="I201">
        <v>0.72222222222222221</v>
      </c>
      <c r="J201">
        <v>3199058.8333333335</v>
      </c>
      <c r="K201">
        <v>10254</v>
      </c>
      <c r="L201">
        <v>2</v>
      </c>
      <c r="M201">
        <v>67</v>
      </c>
      <c r="N201">
        <v>0.68518518518518512</v>
      </c>
      <c r="O201">
        <v>2137455.1666666665</v>
      </c>
      <c r="P201">
        <v>10543</v>
      </c>
      <c r="Q201">
        <v>2</v>
      </c>
      <c r="R201">
        <v>68</v>
      </c>
      <c r="S201">
        <v>11.675437448182572</v>
      </c>
      <c r="T201">
        <v>0.84444446563720699</v>
      </c>
      <c r="W201">
        <f>Tabela2[[#This Row],[mlp_params]]</f>
        <v>10254</v>
      </c>
      <c r="X201">
        <f>Tabela2[[#This Row],[kan_test_acc]]</f>
        <v>0.76666667560736335</v>
      </c>
      <c r="Y201">
        <f>Tabela2[[#This Row],[kan_val_acc_1]]</f>
        <v>0.84444446563720699</v>
      </c>
      <c r="Z201">
        <f>Tabela2[[#This Row],[no_steps]]</f>
        <v>11.675437448182572</v>
      </c>
      <c r="AB201">
        <f t="shared" si="3"/>
        <v>10254</v>
      </c>
      <c r="AC201">
        <f>Tabela2[[#This Row],[kan_time_difference]]/Tabela2[[#This Row],[no_steps]]</f>
        <v>1382086.1163974495</v>
      </c>
      <c r="AE201">
        <v>10254</v>
      </c>
      <c r="AF201">
        <v>1382086.1163974495</v>
      </c>
    </row>
    <row r="202" spans="1:32" hidden="1" x14ac:dyDescent="0.25">
      <c r="A202" t="s">
        <v>314</v>
      </c>
      <c r="B202">
        <v>5</v>
      </c>
      <c r="C202">
        <v>2</v>
      </c>
      <c r="D202">
        <v>0</v>
      </c>
      <c r="E202" t="s">
        <v>331</v>
      </c>
      <c r="F202">
        <v>6855</v>
      </c>
      <c r="G202">
        <v>13989495</v>
      </c>
      <c r="H202">
        <v>0.78518519302209222</v>
      </c>
      <c r="I202">
        <v>0.68888888888888888</v>
      </c>
      <c r="J202">
        <v>4210565.833333333</v>
      </c>
      <c r="K202">
        <v>10254</v>
      </c>
      <c r="L202">
        <v>2</v>
      </c>
      <c r="M202">
        <v>67</v>
      </c>
      <c r="N202">
        <v>0.71851851851851856</v>
      </c>
      <c r="O202">
        <v>2990654.3333333335</v>
      </c>
      <c r="P202">
        <v>10543</v>
      </c>
      <c r="Q202">
        <v>2</v>
      </c>
      <c r="R202">
        <v>68</v>
      </c>
      <c r="S202">
        <v>11.676184351554127</v>
      </c>
      <c r="T202">
        <v>0.86666667461395264</v>
      </c>
      <c r="W202">
        <f>Tabela2[[#This Row],[mlp_params]]</f>
        <v>10254</v>
      </c>
      <c r="X202">
        <f>Tabela2[[#This Row],[kan_test_acc]]</f>
        <v>0.78518519302209222</v>
      </c>
      <c r="Y202">
        <f>Tabela2[[#This Row],[kan_val_acc_1]]</f>
        <v>0.86666667461395264</v>
      </c>
      <c r="Z202">
        <f>Tabela2[[#This Row],[no_steps]]</f>
        <v>11.676184351554127</v>
      </c>
      <c r="AB202">
        <f t="shared" si="3"/>
        <v>10254</v>
      </c>
      <c r="AC202">
        <f>Tabela2[[#This Row],[kan_time_difference]]/Tabela2[[#This Row],[no_steps]]</f>
        <v>1198122.1415143181</v>
      </c>
      <c r="AE202">
        <v>10254</v>
      </c>
      <c r="AF202">
        <v>1198122.1415143181</v>
      </c>
    </row>
    <row r="203" spans="1:32" hidden="1" x14ac:dyDescent="0.25">
      <c r="A203" t="s">
        <v>314</v>
      </c>
      <c r="B203">
        <v>5</v>
      </c>
      <c r="C203">
        <v>3</v>
      </c>
      <c r="D203">
        <v>0</v>
      </c>
      <c r="E203" t="s">
        <v>322</v>
      </c>
      <c r="F203">
        <v>6300</v>
      </c>
      <c r="G203">
        <v>13564523.166666666</v>
      </c>
      <c r="H203">
        <v>0.7925925999879837</v>
      </c>
      <c r="I203">
        <v>0.70370370370370372</v>
      </c>
      <c r="J203">
        <v>4975378.666666667</v>
      </c>
      <c r="K203">
        <v>10254</v>
      </c>
      <c r="L203">
        <v>2</v>
      </c>
      <c r="M203">
        <v>67</v>
      </c>
      <c r="N203">
        <v>0.69259259259259265</v>
      </c>
      <c r="O203">
        <v>3603179</v>
      </c>
      <c r="P203">
        <v>10543</v>
      </c>
      <c r="Q203">
        <v>2</v>
      </c>
      <c r="R203">
        <v>68</v>
      </c>
      <c r="S203">
        <v>11.675898394359018</v>
      </c>
      <c r="T203">
        <v>0.77777777910232548</v>
      </c>
      <c r="W203">
        <f>Tabela2[[#This Row],[mlp_params]]</f>
        <v>10254</v>
      </c>
      <c r="X203">
        <f>Tabela2[[#This Row],[kan_test_acc]]</f>
        <v>0.7925925999879837</v>
      </c>
      <c r="Y203">
        <f>Tabela2[[#This Row],[kan_val_acc_1]]</f>
        <v>0.77777777910232548</v>
      </c>
      <c r="Z203">
        <f>Tabela2[[#This Row],[no_steps]]</f>
        <v>11.675898394359018</v>
      </c>
      <c r="AB203">
        <f t="shared" si="3"/>
        <v>10254</v>
      </c>
      <c r="AC203">
        <f>Tabela2[[#This Row],[kan_time_difference]]/Tabela2[[#This Row],[no_steps]]</f>
        <v>1161754.1287632394</v>
      </c>
      <c r="AE203">
        <v>10254</v>
      </c>
      <c r="AF203">
        <v>1161754.1287632394</v>
      </c>
    </row>
    <row r="204" spans="1:32" hidden="1" x14ac:dyDescent="0.25">
      <c r="A204" t="s">
        <v>314</v>
      </c>
      <c r="B204">
        <v>5</v>
      </c>
      <c r="C204">
        <v>5</v>
      </c>
      <c r="D204">
        <v>0</v>
      </c>
      <c r="E204" t="s">
        <v>359</v>
      </c>
      <c r="F204">
        <v>5646</v>
      </c>
      <c r="G204">
        <v>9301937</v>
      </c>
      <c r="H204">
        <v>0.58518520494302118</v>
      </c>
      <c r="I204">
        <v>0.71111111111111114</v>
      </c>
      <c r="J204">
        <v>5771301.666666667</v>
      </c>
      <c r="K204">
        <v>10254</v>
      </c>
      <c r="L204">
        <v>2</v>
      </c>
      <c r="M204">
        <v>67</v>
      </c>
      <c r="N204">
        <v>0.6518518518518519</v>
      </c>
      <c r="O204">
        <v>3039967.5</v>
      </c>
      <c r="P204">
        <v>10543</v>
      </c>
      <c r="Q204">
        <v>2</v>
      </c>
      <c r="R204">
        <v>68</v>
      </c>
      <c r="S204">
        <v>11.666139898527822</v>
      </c>
      <c r="T204">
        <v>0.70370370149612427</v>
      </c>
      <c r="W204">
        <f>Tabela2[[#This Row],[mlp_params]]</f>
        <v>10254</v>
      </c>
      <c r="X204">
        <f>Tabela2[[#This Row],[kan_test_acc]]</f>
        <v>0.58518520494302118</v>
      </c>
      <c r="Y204">
        <f>Tabela2[[#This Row],[kan_val_acc_1]]</f>
        <v>0.70370370149612427</v>
      </c>
      <c r="Z204">
        <f>Tabela2[[#This Row],[no_steps]]</f>
        <v>11.666139898527822</v>
      </c>
      <c r="AB204">
        <f t="shared" si="3"/>
        <v>10254</v>
      </c>
      <c r="AC204">
        <f>Tabela2[[#This Row],[kan_time_difference]]/Tabela2[[#This Row],[no_steps]]</f>
        <v>797344.88707561558</v>
      </c>
      <c r="AE204">
        <v>10254</v>
      </c>
      <c r="AF204">
        <v>797344.88707561558</v>
      </c>
    </row>
    <row r="205" spans="1:32" hidden="1" x14ac:dyDescent="0.25">
      <c r="A205" t="s">
        <v>314</v>
      </c>
      <c r="B205">
        <v>9</v>
      </c>
      <c r="C205">
        <v>3</v>
      </c>
      <c r="D205">
        <v>0</v>
      </c>
      <c r="E205" t="s">
        <v>319</v>
      </c>
      <c r="F205">
        <v>7130</v>
      </c>
      <c r="G205">
        <v>12213458.666666666</v>
      </c>
      <c r="H205">
        <v>0.5518518636624018</v>
      </c>
      <c r="I205">
        <v>0.68148148148148147</v>
      </c>
      <c r="J205">
        <v>3088534.6666666665</v>
      </c>
      <c r="K205">
        <v>10254</v>
      </c>
      <c r="L205">
        <v>2</v>
      </c>
      <c r="M205">
        <v>67</v>
      </c>
      <c r="N205">
        <v>0.68888888888888888</v>
      </c>
      <c r="O205">
        <v>1617073.5</v>
      </c>
      <c r="P205">
        <v>10543</v>
      </c>
      <c r="Q205">
        <v>2</v>
      </c>
      <c r="R205">
        <v>68</v>
      </c>
      <c r="S205">
        <v>11.635496183206106</v>
      </c>
      <c r="T205">
        <v>0.80740741491317747</v>
      </c>
      <c r="W205">
        <f>Tabela2[[#This Row],[mlp_params]]</f>
        <v>10254</v>
      </c>
      <c r="X205">
        <f>Tabela2[[#This Row],[kan_test_acc]]</f>
        <v>0.5518518636624018</v>
      </c>
      <c r="Y205">
        <f>Tabela2[[#This Row],[kan_val_acc_1]]</f>
        <v>0.80740741491317747</v>
      </c>
      <c r="Z205">
        <f>Tabela2[[#This Row],[no_steps]]</f>
        <v>11.635496183206106</v>
      </c>
      <c r="AB205">
        <f t="shared" si="3"/>
        <v>10254</v>
      </c>
      <c r="AC205">
        <f>Tabela2[[#This Row],[kan_time_difference]]/Tabela2[[#This Row],[no_steps]]</f>
        <v>1049672.3538352195</v>
      </c>
      <c r="AE205">
        <v>10254</v>
      </c>
      <c r="AF205">
        <v>1049672.3538352195</v>
      </c>
    </row>
    <row r="206" spans="1:32" x14ac:dyDescent="0.25">
      <c r="A206" t="s">
        <v>314</v>
      </c>
      <c r="B206">
        <v>9</v>
      </c>
      <c r="C206">
        <v>4</v>
      </c>
      <c r="D206">
        <v>0</v>
      </c>
      <c r="E206" t="s">
        <v>317</v>
      </c>
      <c r="F206">
        <v>6575</v>
      </c>
      <c r="G206">
        <v>7287729.666666667</v>
      </c>
      <c r="H206">
        <v>0.84074075023333228</v>
      </c>
      <c r="I206">
        <v>0.6518518518518519</v>
      </c>
      <c r="J206">
        <v>6847152</v>
      </c>
      <c r="K206">
        <v>10254</v>
      </c>
      <c r="L206">
        <v>2</v>
      </c>
      <c r="M206">
        <v>67</v>
      </c>
      <c r="N206">
        <v>0.70370370370370372</v>
      </c>
      <c r="O206">
        <v>2666202.3333333335</v>
      </c>
      <c r="P206">
        <v>10543</v>
      </c>
      <c r="Q206">
        <v>2</v>
      </c>
      <c r="R206">
        <v>68</v>
      </c>
      <c r="S206">
        <v>11.620371114145714</v>
      </c>
      <c r="T206">
        <v>0.88148149251937868</v>
      </c>
      <c r="W206">
        <f>Tabela2[[#This Row],[mlp_params]]</f>
        <v>10254</v>
      </c>
      <c r="X206">
        <f>Tabela2[[#This Row],[kan_test_acc]]</f>
        <v>0.84074075023333228</v>
      </c>
      <c r="Y206">
        <f>Tabela2[[#This Row],[kan_val_acc_1]]</f>
        <v>0.88148149251937868</v>
      </c>
      <c r="Z206">
        <f>Tabela2[[#This Row],[no_steps]]</f>
        <v>11.620371114145714</v>
      </c>
      <c r="AB206">
        <f t="shared" si="3"/>
        <v>10254</v>
      </c>
      <c r="AC206">
        <f>Tabela2[[#This Row],[kan_time_difference]]/Tabela2[[#This Row],[no_steps]]</f>
        <v>627151.19810546888</v>
      </c>
      <c r="AE206">
        <v>10254</v>
      </c>
      <c r="AF206">
        <v>627151.19810546888</v>
      </c>
    </row>
    <row r="207" spans="1:32" hidden="1" x14ac:dyDescent="0.25">
      <c r="A207" t="s">
        <v>314</v>
      </c>
      <c r="B207">
        <v>9</v>
      </c>
      <c r="C207">
        <v>5</v>
      </c>
      <c r="D207">
        <v>0</v>
      </c>
      <c r="E207" t="s">
        <v>357</v>
      </c>
      <c r="F207">
        <v>6282</v>
      </c>
      <c r="G207">
        <v>8807108</v>
      </c>
      <c r="H207">
        <v>0.81851852933565772</v>
      </c>
      <c r="I207">
        <v>0.7592592592592593</v>
      </c>
      <c r="J207">
        <v>852351.33333333337</v>
      </c>
      <c r="K207">
        <v>10254</v>
      </c>
      <c r="L207">
        <v>2</v>
      </c>
      <c r="M207">
        <v>67</v>
      </c>
      <c r="N207">
        <v>0.79259259259259263</v>
      </c>
      <c r="O207">
        <v>513490.16666666669</v>
      </c>
      <c r="P207">
        <v>10543</v>
      </c>
      <c r="Q207">
        <v>2</v>
      </c>
      <c r="R207">
        <v>68</v>
      </c>
      <c r="S207">
        <v>11.589896988906498</v>
      </c>
      <c r="T207">
        <v>0.84444446563720699</v>
      </c>
      <c r="W207">
        <f>Tabela2[[#This Row],[mlp_params]]</f>
        <v>10254</v>
      </c>
      <c r="X207">
        <f>Tabela2[[#This Row],[kan_test_acc]]</f>
        <v>0.81851852933565772</v>
      </c>
      <c r="Y207">
        <f>Tabela2[[#This Row],[kan_val_acc_1]]</f>
        <v>0.84444446563720699</v>
      </c>
      <c r="Z207">
        <f>Tabela2[[#This Row],[no_steps]]</f>
        <v>11.589896988906498</v>
      </c>
      <c r="AB207">
        <f t="shared" si="3"/>
        <v>10254</v>
      </c>
      <c r="AC207">
        <f>Tabela2[[#This Row],[kan_time_difference]]/Tabela2[[#This Row],[no_steps]]</f>
        <v>759895.27848521003</v>
      </c>
      <c r="AE207">
        <v>10254</v>
      </c>
      <c r="AF207">
        <v>759895.27848521003</v>
      </c>
    </row>
    <row r="208" spans="1:32" hidden="1" x14ac:dyDescent="0.25">
      <c r="A208" t="s">
        <v>314</v>
      </c>
      <c r="B208">
        <v>3</v>
      </c>
      <c r="C208">
        <v>2</v>
      </c>
      <c r="D208">
        <v>0</v>
      </c>
      <c r="E208" t="s">
        <v>353</v>
      </c>
      <c r="F208">
        <v>6647</v>
      </c>
      <c r="G208">
        <v>7229134.5</v>
      </c>
      <c r="H208">
        <v>0.90740741292635596</v>
      </c>
      <c r="I208">
        <v>0.68518518518518523</v>
      </c>
      <c r="J208">
        <v>421306.33333333331</v>
      </c>
      <c r="K208">
        <v>10543</v>
      </c>
      <c r="L208">
        <v>2</v>
      </c>
      <c r="M208">
        <v>68</v>
      </c>
      <c r="N208">
        <v>0.61851851851851847</v>
      </c>
      <c r="O208">
        <v>605978.83333333337</v>
      </c>
      <c r="P208">
        <v>10836</v>
      </c>
      <c r="Q208">
        <v>2</v>
      </c>
      <c r="R208">
        <v>69</v>
      </c>
      <c r="S208">
        <v>11.675718203479747</v>
      </c>
      <c r="T208">
        <v>0.94074072837829592</v>
      </c>
      <c r="W208">
        <f>Tabela2[[#This Row],[mlp_params]]</f>
        <v>10543</v>
      </c>
      <c r="X208">
        <f>Tabela2[[#This Row],[kan_test_acc]]</f>
        <v>0.90740741292635596</v>
      </c>
      <c r="Y208">
        <f>Tabela2[[#This Row],[kan_val_acc_1]]</f>
        <v>0.94074072837829592</v>
      </c>
      <c r="Z208">
        <f>Tabela2[[#This Row],[no_steps]]</f>
        <v>11.675718203479747</v>
      </c>
      <c r="AB208">
        <f t="shared" si="3"/>
        <v>10543</v>
      </c>
      <c r="AC208">
        <f>Tabela2[[#This Row],[kan_time_difference]]/Tabela2[[#This Row],[no_steps]]</f>
        <v>619159.72739436966</v>
      </c>
      <c r="AE208">
        <v>10543</v>
      </c>
      <c r="AF208">
        <v>619159.72739436966</v>
      </c>
    </row>
    <row r="209" spans="1:32" hidden="1" x14ac:dyDescent="0.25">
      <c r="A209" t="s">
        <v>314</v>
      </c>
      <c r="B209">
        <v>3</v>
      </c>
      <c r="C209">
        <v>3</v>
      </c>
      <c r="D209">
        <v>0</v>
      </c>
      <c r="E209" t="s">
        <v>343</v>
      </c>
      <c r="F209">
        <v>6026</v>
      </c>
      <c r="G209">
        <v>10795566.545454545</v>
      </c>
      <c r="H209">
        <v>0.90707071260972461</v>
      </c>
      <c r="I209">
        <v>0.70707070707070707</v>
      </c>
      <c r="J209">
        <v>840388.18181818177</v>
      </c>
      <c r="K209">
        <v>10543</v>
      </c>
      <c r="L209">
        <v>2</v>
      </c>
      <c r="M209">
        <v>68</v>
      </c>
      <c r="N209">
        <v>0.64040404040404042</v>
      </c>
      <c r="O209">
        <v>727646.27272727271</v>
      </c>
      <c r="P209">
        <v>10836</v>
      </c>
      <c r="Q209">
        <v>2</v>
      </c>
      <c r="R209">
        <v>69</v>
      </c>
      <c r="S209">
        <v>11.673714667260182</v>
      </c>
      <c r="T209">
        <v>0.95555557012557979</v>
      </c>
      <c r="W209">
        <f>Tabela2[[#This Row],[mlp_params]]</f>
        <v>10543</v>
      </c>
      <c r="X209">
        <f>Tabela2[[#This Row],[kan_test_acc]]</f>
        <v>0.90707071260972461</v>
      </c>
      <c r="Y209">
        <f>Tabela2[[#This Row],[kan_val_acc_1]]</f>
        <v>0.95555557012557979</v>
      </c>
      <c r="Z209">
        <f>Tabela2[[#This Row],[no_steps]]</f>
        <v>11.673714667260182</v>
      </c>
      <c r="AB209">
        <f t="shared" si="3"/>
        <v>10543</v>
      </c>
      <c r="AC209">
        <f>Tabela2[[#This Row],[kan_time_difference]]/Tabela2[[#This Row],[no_steps]]</f>
        <v>924775.60512349429</v>
      </c>
      <c r="AE209">
        <v>10543</v>
      </c>
      <c r="AF209">
        <v>924775.60512349429</v>
      </c>
    </row>
    <row r="210" spans="1:32" hidden="1" x14ac:dyDescent="0.25">
      <c r="A210" t="s">
        <v>314</v>
      </c>
      <c r="B210">
        <v>3</v>
      </c>
      <c r="C210">
        <v>4</v>
      </c>
      <c r="D210">
        <v>0</v>
      </c>
      <c r="E210" t="s">
        <v>335</v>
      </c>
      <c r="F210">
        <v>5647</v>
      </c>
      <c r="G210">
        <v>11825309.0625</v>
      </c>
      <c r="H210">
        <v>0.81527778878808022</v>
      </c>
      <c r="I210">
        <v>0.67222222222222217</v>
      </c>
      <c r="J210">
        <v>1410411.3125</v>
      </c>
      <c r="K210">
        <v>10543</v>
      </c>
      <c r="L210">
        <v>2</v>
      </c>
      <c r="M210">
        <v>68</v>
      </c>
      <c r="N210">
        <v>0.69861111111111107</v>
      </c>
      <c r="O210">
        <v>1021042.9375</v>
      </c>
      <c r="P210">
        <v>10836</v>
      </c>
      <c r="Q210">
        <v>2</v>
      </c>
      <c r="R210">
        <v>69</v>
      </c>
      <c r="S210">
        <v>11.674440134015164</v>
      </c>
      <c r="T210">
        <v>0.8567901293436686</v>
      </c>
      <c r="W210">
        <f>Tabela2[[#This Row],[mlp_params]]</f>
        <v>10543</v>
      </c>
      <c r="X210">
        <f>Tabela2[[#This Row],[kan_test_acc]]</f>
        <v>0.81527778878808022</v>
      </c>
      <c r="Y210">
        <f>Tabela2[[#This Row],[kan_val_acc_1]]</f>
        <v>0.8567901293436686</v>
      </c>
      <c r="Z210">
        <f>Tabela2[[#This Row],[no_steps]]</f>
        <v>11.674440134015164</v>
      </c>
      <c r="AB210">
        <f t="shared" si="3"/>
        <v>10543</v>
      </c>
      <c r="AC210">
        <f>Tabela2[[#This Row],[kan_time_difference]]/Tabela2[[#This Row],[no_steps]]</f>
        <v>1012923.0118749128</v>
      </c>
      <c r="AE210">
        <v>10543</v>
      </c>
      <c r="AF210">
        <v>1012923.0118749128</v>
      </c>
    </row>
    <row r="211" spans="1:32" hidden="1" x14ac:dyDescent="0.25">
      <c r="A211" t="s">
        <v>314</v>
      </c>
      <c r="B211">
        <v>3</v>
      </c>
      <c r="C211">
        <v>5</v>
      </c>
      <c r="D211">
        <v>0</v>
      </c>
      <c r="E211" t="s">
        <v>333</v>
      </c>
      <c r="F211">
        <v>5324</v>
      </c>
      <c r="G211">
        <v>18933991.272727273</v>
      </c>
      <c r="H211">
        <v>0.7676767788150094</v>
      </c>
      <c r="I211">
        <v>0.70303030303030301</v>
      </c>
      <c r="J211">
        <v>2632776.6363636362</v>
      </c>
      <c r="K211">
        <v>10543</v>
      </c>
      <c r="L211">
        <v>2</v>
      </c>
      <c r="M211">
        <v>68</v>
      </c>
      <c r="N211">
        <v>0.68080808080808075</v>
      </c>
      <c r="O211">
        <v>1341055.4545454546</v>
      </c>
      <c r="P211">
        <v>10836</v>
      </c>
      <c r="Q211">
        <v>2</v>
      </c>
      <c r="R211">
        <v>69</v>
      </c>
      <c r="S211">
        <v>11.676421842288905</v>
      </c>
      <c r="T211">
        <v>0.81851852536201475</v>
      </c>
      <c r="W211">
        <f>Tabela2[[#This Row],[mlp_params]]</f>
        <v>10543</v>
      </c>
      <c r="X211">
        <f>Tabela2[[#This Row],[kan_test_acc]]</f>
        <v>0.7676767788150094</v>
      </c>
      <c r="Y211">
        <f>Tabela2[[#This Row],[kan_val_acc_1]]</f>
        <v>0.81851852536201475</v>
      </c>
      <c r="Z211">
        <f>Tabela2[[#This Row],[no_steps]]</f>
        <v>11.676421842288905</v>
      </c>
      <c r="AB211">
        <f t="shared" si="3"/>
        <v>10543</v>
      </c>
      <c r="AC211">
        <f>Tabela2[[#This Row],[kan_time_difference]]/Tabela2[[#This Row],[no_steps]]</f>
        <v>1621557.6593981364</v>
      </c>
      <c r="AE211">
        <v>10543</v>
      </c>
      <c r="AF211">
        <v>1621557.6593981364</v>
      </c>
    </row>
    <row r="212" spans="1:32" hidden="1" x14ac:dyDescent="0.25">
      <c r="A212" t="s">
        <v>314</v>
      </c>
      <c r="B212">
        <v>5</v>
      </c>
      <c r="C212">
        <v>2</v>
      </c>
      <c r="D212">
        <v>0</v>
      </c>
      <c r="E212" t="s">
        <v>344</v>
      </c>
      <c r="F212">
        <v>7133</v>
      </c>
      <c r="G212">
        <v>15338431.3125</v>
      </c>
      <c r="H212">
        <v>0.80833334289491177</v>
      </c>
      <c r="I212">
        <v>0.69166666666666665</v>
      </c>
      <c r="J212">
        <v>3078285.125</v>
      </c>
      <c r="K212">
        <v>10543</v>
      </c>
      <c r="L212">
        <v>2</v>
      </c>
      <c r="M212">
        <v>68</v>
      </c>
      <c r="N212">
        <v>0.6791666666666667</v>
      </c>
      <c r="O212">
        <v>2994864.0625</v>
      </c>
      <c r="P212">
        <v>10836</v>
      </c>
      <c r="Q212">
        <v>2</v>
      </c>
      <c r="R212">
        <v>69</v>
      </c>
      <c r="S212">
        <v>11.67820573240221</v>
      </c>
      <c r="T212">
        <v>0.90864197810490921</v>
      </c>
      <c r="W212">
        <f>Tabela2[[#This Row],[mlp_params]]</f>
        <v>10543</v>
      </c>
      <c r="X212">
        <f>Tabela2[[#This Row],[kan_test_acc]]</f>
        <v>0.80833334289491177</v>
      </c>
      <c r="Y212">
        <f>Tabela2[[#This Row],[kan_val_acc_1]]</f>
        <v>0.90864197810490921</v>
      </c>
      <c r="Z212">
        <f>Tabela2[[#This Row],[no_steps]]</f>
        <v>11.67820573240221</v>
      </c>
      <c r="AB212">
        <f t="shared" si="3"/>
        <v>10543</v>
      </c>
      <c r="AC212">
        <f>Tabela2[[#This Row],[kan_time_difference]]/Tabela2[[#This Row],[no_steps]]</f>
        <v>1313423.625509711</v>
      </c>
      <c r="AE212">
        <v>10543</v>
      </c>
      <c r="AF212">
        <v>1313423.625509711</v>
      </c>
    </row>
    <row r="213" spans="1:32" hidden="1" x14ac:dyDescent="0.25">
      <c r="A213" t="s">
        <v>314</v>
      </c>
      <c r="B213">
        <v>5</v>
      </c>
      <c r="C213">
        <v>3</v>
      </c>
      <c r="D213">
        <v>0</v>
      </c>
      <c r="E213" t="s">
        <v>349</v>
      </c>
      <c r="F213">
        <v>6472</v>
      </c>
      <c r="G213">
        <v>13142249.1875</v>
      </c>
      <c r="H213">
        <v>0.81388889811933041</v>
      </c>
      <c r="I213">
        <v>0.7</v>
      </c>
      <c r="J213">
        <v>4010121.625</v>
      </c>
      <c r="K213">
        <v>10543</v>
      </c>
      <c r="L213">
        <v>2</v>
      </c>
      <c r="M213">
        <v>68</v>
      </c>
      <c r="N213">
        <v>0.66805555555555551</v>
      </c>
      <c r="O213">
        <v>2580663.6875</v>
      </c>
      <c r="P213">
        <v>10836</v>
      </c>
      <c r="Q213">
        <v>2</v>
      </c>
      <c r="R213">
        <v>69</v>
      </c>
      <c r="S213">
        <v>11.675481789625605</v>
      </c>
      <c r="T213">
        <v>0.8666666666666667</v>
      </c>
      <c r="W213">
        <f>Tabela2[[#This Row],[mlp_params]]</f>
        <v>10543</v>
      </c>
      <c r="X213">
        <f>Tabela2[[#This Row],[kan_test_acc]]</f>
        <v>0.81388889811933041</v>
      </c>
      <c r="Y213">
        <f>Tabela2[[#This Row],[kan_val_acc_1]]</f>
        <v>0.8666666666666667</v>
      </c>
      <c r="Z213">
        <f>Tabela2[[#This Row],[no_steps]]</f>
        <v>11.675481789625605</v>
      </c>
      <c r="AB213">
        <f t="shared" si="3"/>
        <v>10543</v>
      </c>
      <c r="AC213">
        <f>Tabela2[[#This Row],[kan_time_difference]]/Tabela2[[#This Row],[no_steps]]</f>
        <v>1125627.9975681782</v>
      </c>
      <c r="AE213">
        <v>10543</v>
      </c>
      <c r="AF213">
        <v>1125627.9975681782</v>
      </c>
    </row>
    <row r="214" spans="1:32" hidden="1" x14ac:dyDescent="0.25">
      <c r="A214" t="s">
        <v>314</v>
      </c>
      <c r="B214">
        <v>5</v>
      </c>
      <c r="C214">
        <v>4</v>
      </c>
      <c r="D214">
        <v>0</v>
      </c>
      <c r="E214" t="s">
        <v>320</v>
      </c>
      <c r="F214">
        <v>6097</v>
      </c>
      <c r="G214">
        <v>11020276.666666666</v>
      </c>
      <c r="H214">
        <v>0.59259260694185889</v>
      </c>
      <c r="I214">
        <v>0.66296296296296298</v>
      </c>
      <c r="J214">
        <v>4943324.166666667</v>
      </c>
      <c r="K214">
        <v>10543</v>
      </c>
      <c r="L214">
        <v>2</v>
      </c>
      <c r="M214">
        <v>68</v>
      </c>
      <c r="N214">
        <v>0.67037037037037039</v>
      </c>
      <c r="O214">
        <v>3363845</v>
      </c>
      <c r="P214">
        <v>10836</v>
      </c>
      <c r="Q214">
        <v>2</v>
      </c>
      <c r="R214">
        <v>69</v>
      </c>
      <c r="S214">
        <v>11.672033292698305</v>
      </c>
      <c r="T214">
        <v>0.80000001192092896</v>
      </c>
      <c r="W214">
        <f>Tabela2[[#This Row],[mlp_params]]</f>
        <v>10543</v>
      </c>
      <c r="X214">
        <f>Tabela2[[#This Row],[kan_test_acc]]</f>
        <v>0.59259260694185889</v>
      </c>
      <c r="Y214">
        <f>Tabela2[[#This Row],[kan_val_acc_1]]</f>
        <v>0.80000001192092896</v>
      </c>
      <c r="Z214">
        <f>Tabela2[[#This Row],[no_steps]]</f>
        <v>11.672033292698305</v>
      </c>
      <c r="AB214">
        <f t="shared" si="3"/>
        <v>10543</v>
      </c>
      <c r="AC214">
        <f>Tabela2[[#This Row],[kan_time_difference]]/Tabela2[[#This Row],[no_steps]]</f>
        <v>944160.83216286229</v>
      </c>
      <c r="AE214">
        <v>10543</v>
      </c>
      <c r="AF214">
        <v>944160.83216286229</v>
      </c>
    </row>
    <row r="215" spans="1:32" hidden="1" x14ac:dyDescent="0.25">
      <c r="A215" t="s">
        <v>314</v>
      </c>
      <c r="B215">
        <v>5</v>
      </c>
      <c r="C215">
        <v>5</v>
      </c>
      <c r="D215">
        <v>0</v>
      </c>
      <c r="E215" t="s">
        <v>318</v>
      </c>
      <c r="F215">
        <v>5766</v>
      </c>
      <c r="G215">
        <v>11799420.181818182</v>
      </c>
      <c r="H215">
        <v>0.74343435601754626</v>
      </c>
      <c r="I215">
        <v>0.67474747474747476</v>
      </c>
      <c r="J215">
        <v>4763348.4545454541</v>
      </c>
      <c r="K215">
        <v>10543</v>
      </c>
      <c r="L215">
        <v>2</v>
      </c>
      <c r="M215">
        <v>68</v>
      </c>
      <c r="N215">
        <v>0.74747474747474751</v>
      </c>
      <c r="O215">
        <v>2647031.9090909092</v>
      </c>
      <c r="P215">
        <v>10836</v>
      </c>
      <c r="Q215">
        <v>2</v>
      </c>
      <c r="R215">
        <v>69</v>
      </c>
      <c r="S215">
        <v>11.665585900153802</v>
      </c>
      <c r="T215">
        <v>0.84814816117286684</v>
      </c>
      <c r="W215">
        <f>Tabela2[[#This Row],[mlp_params]]</f>
        <v>10543</v>
      </c>
      <c r="X215">
        <f>Tabela2[[#This Row],[kan_test_acc]]</f>
        <v>0.74343435601754626</v>
      </c>
      <c r="Y215">
        <f>Tabela2[[#This Row],[kan_val_acc_1]]</f>
        <v>0.84814816117286684</v>
      </c>
      <c r="Z215">
        <f>Tabela2[[#This Row],[no_steps]]</f>
        <v>11.665585900153802</v>
      </c>
      <c r="AB215">
        <f t="shared" si="3"/>
        <v>10543</v>
      </c>
      <c r="AC215">
        <f>Tabela2[[#This Row],[kan_time_difference]]/Tabela2[[#This Row],[no_steps]]</f>
        <v>1011472.5726431465</v>
      </c>
      <c r="AE215">
        <v>10543</v>
      </c>
      <c r="AF215">
        <v>1011472.5726431465</v>
      </c>
    </row>
    <row r="216" spans="1:32" hidden="1" x14ac:dyDescent="0.25">
      <c r="A216" t="s">
        <v>314</v>
      </c>
      <c r="B216">
        <v>9</v>
      </c>
      <c r="C216">
        <v>2</v>
      </c>
      <c r="D216">
        <v>0</v>
      </c>
      <c r="E216" t="s">
        <v>335</v>
      </c>
      <c r="F216">
        <v>7891</v>
      </c>
      <c r="G216">
        <v>9871792.375</v>
      </c>
      <c r="H216">
        <v>0.79722223430871964</v>
      </c>
      <c r="I216">
        <v>0.68055555555555558</v>
      </c>
      <c r="J216">
        <v>6566412.125</v>
      </c>
      <c r="K216">
        <v>10543</v>
      </c>
      <c r="L216">
        <v>2</v>
      </c>
      <c r="M216">
        <v>68</v>
      </c>
      <c r="N216">
        <v>0.68888888888888888</v>
      </c>
      <c r="O216">
        <v>2108968.0625</v>
      </c>
      <c r="P216">
        <v>10836</v>
      </c>
      <c r="Q216">
        <v>2</v>
      </c>
      <c r="R216">
        <v>69</v>
      </c>
      <c r="S216">
        <v>11.648534535765526</v>
      </c>
      <c r="T216">
        <v>0.81481481790542598</v>
      </c>
      <c r="W216">
        <f>Tabela2[[#This Row],[mlp_params]]</f>
        <v>10543</v>
      </c>
      <c r="X216">
        <f>Tabela2[[#This Row],[kan_test_acc]]</f>
        <v>0.79722223430871964</v>
      </c>
      <c r="Y216">
        <f>Tabela2[[#This Row],[kan_val_acc_1]]</f>
        <v>0.81481481790542598</v>
      </c>
      <c r="Z216">
        <f>Tabela2[[#This Row],[no_steps]]</f>
        <v>11.648534535765526</v>
      </c>
      <c r="AB216">
        <f t="shared" ref="AB216:AB279" si="4">W216</f>
        <v>10543</v>
      </c>
      <c r="AC216">
        <f>Tabela2[[#This Row],[kan_time_difference]]/Tabela2[[#This Row],[no_steps]]</f>
        <v>847470.75648784509</v>
      </c>
      <c r="AE216">
        <v>10543</v>
      </c>
      <c r="AF216">
        <v>847470.75648784509</v>
      </c>
    </row>
    <row r="217" spans="1:32" hidden="1" x14ac:dyDescent="0.25">
      <c r="A217" t="s">
        <v>314</v>
      </c>
      <c r="B217">
        <v>9</v>
      </c>
      <c r="C217">
        <v>3</v>
      </c>
      <c r="D217">
        <v>0</v>
      </c>
      <c r="E217" t="s">
        <v>333</v>
      </c>
      <c r="F217">
        <v>7248</v>
      </c>
      <c r="G217">
        <v>10030758</v>
      </c>
      <c r="H217">
        <v>0.69696970690380444</v>
      </c>
      <c r="I217">
        <v>0.65656565656565657</v>
      </c>
      <c r="J217">
        <v>5356262</v>
      </c>
      <c r="K217">
        <v>10543</v>
      </c>
      <c r="L217">
        <v>2</v>
      </c>
      <c r="M217">
        <v>68</v>
      </c>
      <c r="N217">
        <v>0.68888888888888888</v>
      </c>
      <c r="O217">
        <v>1766657.8181818181</v>
      </c>
      <c r="P217">
        <v>10836</v>
      </c>
      <c r="Q217">
        <v>2</v>
      </c>
      <c r="R217">
        <v>69</v>
      </c>
      <c r="S217">
        <v>11.634563091034538</v>
      </c>
      <c r="T217">
        <v>0.70740740895271303</v>
      </c>
      <c r="W217">
        <f>Tabela2[[#This Row],[mlp_params]]</f>
        <v>10543</v>
      </c>
      <c r="X217">
        <f>Tabela2[[#This Row],[kan_test_acc]]</f>
        <v>0.69696970690380444</v>
      </c>
      <c r="Y217">
        <f>Tabela2[[#This Row],[kan_val_acc_1]]</f>
        <v>0.70740740895271303</v>
      </c>
      <c r="Z217">
        <f>Tabela2[[#This Row],[no_steps]]</f>
        <v>11.634563091034538</v>
      </c>
      <c r="AB217">
        <f t="shared" si="4"/>
        <v>10543</v>
      </c>
      <c r="AC217">
        <f>Tabela2[[#This Row],[kan_time_difference]]/Tabela2[[#This Row],[no_steps]]</f>
        <v>862151.67011553596</v>
      </c>
      <c r="AE217">
        <v>10543</v>
      </c>
      <c r="AF217">
        <v>862151.67011553596</v>
      </c>
    </row>
    <row r="218" spans="1:32" x14ac:dyDescent="0.25">
      <c r="A218" t="s">
        <v>314</v>
      </c>
      <c r="B218">
        <v>9</v>
      </c>
      <c r="C218">
        <v>4</v>
      </c>
      <c r="D218">
        <v>0</v>
      </c>
      <c r="E218" t="s">
        <v>359</v>
      </c>
      <c r="F218">
        <v>6942</v>
      </c>
      <c r="G218">
        <v>10903301.714285715</v>
      </c>
      <c r="H218">
        <v>0.60317461831229069</v>
      </c>
      <c r="I218">
        <v>0.62857142857142856</v>
      </c>
      <c r="J218">
        <v>5401486.4285714282</v>
      </c>
      <c r="K218">
        <v>10543</v>
      </c>
      <c r="L218">
        <v>2</v>
      </c>
      <c r="M218">
        <v>68</v>
      </c>
      <c r="N218">
        <v>0.71111111111111114</v>
      </c>
      <c r="O218">
        <v>3429916.7142857141</v>
      </c>
      <c r="P218">
        <v>10836</v>
      </c>
      <c r="Q218">
        <v>2</v>
      </c>
      <c r="R218">
        <v>69</v>
      </c>
      <c r="S218">
        <v>11.619433848624775</v>
      </c>
      <c r="T218">
        <v>0.76543210943539941</v>
      </c>
      <c r="W218">
        <f>Tabela2[[#This Row],[mlp_params]]</f>
        <v>10543</v>
      </c>
      <c r="X218">
        <f>Tabela2[[#This Row],[kan_test_acc]]</f>
        <v>0.60317461831229069</v>
      </c>
      <c r="Y218">
        <f>Tabela2[[#This Row],[kan_val_acc_1]]</f>
        <v>0.76543210943539941</v>
      </c>
      <c r="Z218">
        <f>Tabela2[[#This Row],[no_steps]]</f>
        <v>11.619433848624775</v>
      </c>
      <c r="AB218">
        <f t="shared" si="4"/>
        <v>10543</v>
      </c>
      <c r="AC218">
        <f>Tabela2[[#This Row],[kan_time_difference]]/Tabela2[[#This Row],[no_steps]]</f>
        <v>938367.72568537679</v>
      </c>
      <c r="AE218">
        <v>10543</v>
      </c>
      <c r="AF218">
        <v>938367.72568537679</v>
      </c>
    </row>
    <row r="219" spans="1:32" hidden="1" x14ac:dyDescent="0.25">
      <c r="A219" t="s">
        <v>314</v>
      </c>
      <c r="B219">
        <v>9</v>
      </c>
      <c r="C219">
        <v>5</v>
      </c>
      <c r="D219">
        <v>0</v>
      </c>
      <c r="E219" t="s">
        <v>316</v>
      </c>
      <c r="F219">
        <v>6438</v>
      </c>
      <c r="G219">
        <v>11371970.666666666</v>
      </c>
      <c r="H219">
        <v>0.76666668057441711</v>
      </c>
      <c r="I219">
        <v>0.70740740740740737</v>
      </c>
      <c r="J219">
        <v>789128</v>
      </c>
      <c r="K219">
        <v>10543</v>
      </c>
      <c r="L219">
        <v>2</v>
      </c>
      <c r="M219">
        <v>68</v>
      </c>
      <c r="N219">
        <v>0.72962962962962963</v>
      </c>
      <c r="O219">
        <v>453663.5</v>
      </c>
      <c r="P219">
        <v>10836</v>
      </c>
      <c r="Q219">
        <v>2</v>
      </c>
      <c r="R219">
        <v>69</v>
      </c>
      <c r="S219">
        <v>11.590311336449339</v>
      </c>
      <c r="T219">
        <v>0.80740742683410649</v>
      </c>
      <c r="W219">
        <f>Tabela2[[#This Row],[mlp_params]]</f>
        <v>10543</v>
      </c>
      <c r="X219">
        <f>Tabela2[[#This Row],[kan_test_acc]]</f>
        <v>0.76666668057441711</v>
      </c>
      <c r="Y219">
        <f>Tabela2[[#This Row],[kan_val_acc_1]]</f>
        <v>0.80740742683410649</v>
      </c>
      <c r="Z219">
        <f>Tabela2[[#This Row],[no_steps]]</f>
        <v>11.590311336449339</v>
      </c>
      <c r="AB219">
        <f t="shared" si="4"/>
        <v>10543</v>
      </c>
      <c r="AC219">
        <f>Tabela2[[#This Row],[kan_time_difference]]/Tabela2[[#This Row],[no_steps]]</f>
        <v>981161.7942396393</v>
      </c>
      <c r="AE219">
        <v>10543</v>
      </c>
      <c r="AF219">
        <v>981161.7942396393</v>
      </c>
    </row>
    <row r="220" spans="1:32" hidden="1" x14ac:dyDescent="0.25">
      <c r="A220" t="s">
        <v>314</v>
      </c>
      <c r="B220">
        <v>3</v>
      </c>
      <c r="C220">
        <v>2</v>
      </c>
      <c r="D220">
        <v>0</v>
      </c>
      <c r="E220" t="s">
        <v>347</v>
      </c>
      <c r="F220">
        <v>6777</v>
      </c>
      <c r="G220">
        <v>8502183.333333334</v>
      </c>
      <c r="H220">
        <v>0.92592593034108484</v>
      </c>
      <c r="I220">
        <v>0.66666666666666674</v>
      </c>
      <c r="J220">
        <v>707337.66666666663</v>
      </c>
      <c r="K220">
        <v>10836</v>
      </c>
      <c r="L220">
        <v>2</v>
      </c>
      <c r="M220">
        <v>69</v>
      </c>
      <c r="N220">
        <v>0.6518518518518519</v>
      </c>
      <c r="O220">
        <v>623577.33333333337</v>
      </c>
      <c r="P220">
        <v>11133</v>
      </c>
      <c r="Q220">
        <v>2</v>
      </c>
      <c r="R220">
        <v>70</v>
      </c>
      <c r="S220">
        <v>11.675311249943817</v>
      </c>
      <c r="T220">
        <v>0.93333332538604741</v>
      </c>
      <c r="W220">
        <f>Tabela2[[#This Row],[mlp_params]]</f>
        <v>10836</v>
      </c>
      <c r="X220">
        <f>Tabela2[[#This Row],[kan_test_acc]]</f>
        <v>0.92592593034108484</v>
      </c>
      <c r="Y220">
        <f>Tabela2[[#This Row],[kan_val_acc_1]]</f>
        <v>0.93333332538604741</v>
      </c>
      <c r="Z220">
        <f>Tabela2[[#This Row],[no_steps]]</f>
        <v>11.675311249943817</v>
      </c>
      <c r="AB220">
        <f t="shared" si="4"/>
        <v>10836</v>
      </c>
      <c r="AC220">
        <f>Tabela2[[#This Row],[kan_time_difference]]/Tabela2[[#This Row],[no_steps]]</f>
        <v>728218.98717040604</v>
      </c>
      <c r="AE220">
        <v>10836</v>
      </c>
      <c r="AF220">
        <v>728218.98717040604</v>
      </c>
    </row>
    <row r="221" spans="1:32" hidden="1" x14ac:dyDescent="0.25">
      <c r="A221" t="s">
        <v>314</v>
      </c>
      <c r="B221">
        <v>3</v>
      </c>
      <c r="C221">
        <v>3</v>
      </c>
      <c r="D221">
        <v>0</v>
      </c>
      <c r="E221" t="s">
        <v>331</v>
      </c>
      <c r="F221">
        <v>6174</v>
      </c>
      <c r="G221">
        <v>10562922.333333334</v>
      </c>
      <c r="H221">
        <v>0.90740741292635596</v>
      </c>
      <c r="I221">
        <v>0.67777777777777781</v>
      </c>
      <c r="J221">
        <v>1026183</v>
      </c>
      <c r="K221">
        <v>10836</v>
      </c>
      <c r="L221">
        <v>2</v>
      </c>
      <c r="M221">
        <v>69</v>
      </c>
      <c r="N221">
        <v>0.64814814814814814</v>
      </c>
      <c r="O221">
        <v>824056.83333333337</v>
      </c>
      <c r="P221">
        <v>11133</v>
      </c>
      <c r="Q221">
        <v>2</v>
      </c>
      <c r="R221">
        <v>70</v>
      </c>
      <c r="S221">
        <v>11.673579279960839</v>
      </c>
      <c r="T221">
        <v>0.93333333730697632</v>
      </c>
      <c r="W221">
        <f>Tabela2[[#This Row],[mlp_params]]</f>
        <v>10836</v>
      </c>
      <c r="X221">
        <f>Tabela2[[#This Row],[kan_test_acc]]</f>
        <v>0.90740741292635596</v>
      </c>
      <c r="Y221">
        <f>Tabela2[[#This Row],[kan_val_acc_1]]</f>
        <v>0.93333333730697632</v>
      </c>
      <c r="Z221">
        <f>Tabela2[[#This Row],[no_steps]]</f>
        <v>11.673579279960839</v>
      </c>
      <c r="AB221">
        <f t="shared" si="4"/>
        <v>10836</v>
      </c>
      <c r="AC221">
        <f>Tabela2[[#This Row],[kan_time_difference]]/Tabela2[[#This Row],[no_steps]]</f>
        <v>904857.20617547981</v>
      </c>
      <c r="AE221">
        <v>10836</v>
      </c>
      <c r="AF221">
        <v>904857.20617547981</v>
      </c>
    </row>
    <row r="222" spans="1:32" hidden="1" x14ac:dyDescent="0.25">
      <c r="A222" t="s">
        <v>314</v>
      </c>
      <c r="B222">
        <v>3</v>
      </c>
      <c r="C222">
        <v>4</v>
      </c>
      <c r="D222">
        <v>0</v>
      </c>
      <c r="E222" t="s">
        <v>322</v>
      </c>
      <c r="F222">
        <v>5731</v>
      </c>
      <c r="G222">
        <v>13800305.166666666</v>
      </c>
      <c r="H222">
        <v>0.85185186068216956</v>
      </c>
      <c r="I222">
        <v>0.66296296296296298</v>
      </c>
      <c r="J222">
        <v>1500291.3333333333</v>
      </c>
      <c r="K222">
        <v>10836</v>
      </c>
      <c r="L222">
        <v>2</v>
      </c>
      <c r="M222">
        <v>69</v>
      </c>
      <c r="N222">
        <v>0.66296296296296298</v>
      </c>
      <c r="O222">
        <v>1127407.3333333333</v>
      </c>
      <c r="P222">
        <v>11133</v>
      </c>
      <c r="Q222">
        <v>2</v>
      </c>
      <c r="R222">
        <v>70</v>
      </c>
      <c r="S222">
        <v>11.674746584398413</v>
      </c>
      <c r="T222">
        <v>0.90370368957519531</v>
      </c>
      <c r="W222">
        <f>Tabela2[[#This Row],[mlp_params]]</f>
        <v>10836</v>
      </c>
      <c r="X222">
        <f>Tabela2[[#This Row],[kan_test_acc]]</f>
        <v>0.85185186068216956</v>
      </c>
      <c r="Y222">
        <f>Tabela2[[#This Row],[kan_val_acc_1]]</f>
        <v>0.90370368957519531</v>
      </c>
      <c r="Z222">
        <f>Tabela2[[#This Row],[no_steps]]</f>
        <v>11.674746584398413</v>
      </c>
      <c r="AB222">
        <f t="shared" si="4"/>
        <v>10836</v>
      </c>
      <c r="AC222">
        <f>Tabela2[[#This Row],[kan_time_difference]]/Tabela2[[#This Row],[no_steps]]</f>
        <v>1182064.644136152</v>
      </c>
      <c r="AE222">
        <v>10836</v>
      </c>
      <c r="AF222">
        <v>1182064.644136152</v>
      </c>
    </row>
    <row r="223" spans="1:32" hidden="1" x14ac:dyDescent="0.25">
      <c r="A223" t="s">
        <v>314</v>
      </c>
      <c r="B223">
        <v>3</v>
      </c>
      <c r="C223">
        <v>5</v>
      </c>
      <c r="D223">
        <v>0</v>
      </c>
      <c r="E223" t="s">
        <v>327</v>
      </c>
      <c r="F223">
        <v>5546</v>
      </c>
      <c r="G223">
        <v>14754483.666666666</v>
      </c>
      <c r="H223">
        <v>0.80370371540387475</v>
      </c>
      <c r="I223">
        <v>0.66296296296296298</v>
      </c>
      <c r="J223">
        <v>2193430.6666666665</v>
      </c>
      <c r="K223">
        <v>10836</v>
      </c>
      <c r="L223">
        <v>2</v>
      </c>
      <c r="M223">
        <v>69</v>
      </c>
      <c r="N223">
        <v>0.68888888888888888</v>
      </c>
      <c r="O223">
        <v>711572</v>
      </c>
      <c r="P223">
        <v>11133</v>
      </c>
      <c r="Q223">
        <v>2</v>
      </c>
      <c r="R223">
        <v>70</v>
      </c>
      <c r="S223">
        <v>11.676375686753293</v>
      </c>
      <c r="T223">
        <v>0.84444444179534917</v>
      </c>
      <c r="W223">
        <f>Tabela2[[#This Row],[mlp_params]]</f>
        <v>10836</v>
      </c>
      <c r="X223">
        <f>Tabela2[[#This Row],[kan_test_acc]]</f>
        <v>0.80370371540387475</v>
      </c>
      <c r="Y223">
        <f>Tabela2[[#This Row],[kan_val_acc_1]]</f>
        <v>0.84444444179534917</v>
      </c>
      <c r="Z223">
        <f>Tabela2[[#This Row],[no_steps]]</f>
        <v>11.676375686753293</v>
      </c>
      <c r="AB223">
        <f t="shared" si="4"/>
        <v>10836</v>
      </c>
      <c r="AC223">
        <f>Tabela2[[#This Row],[kan_time_difference]]/Tabela2[[#This Row],[no_steps]]</f>
        <v>1263618.4431274724</v>
      </c>
      <c r="AE223">
        <v>10836</v>
      </c>
      <c r="AF223">
        <v>1263618.4431274724</v>
      </c>
    </row>
    <row r="224" spans="1:32" hidden="1" x14ac:dyDescent="0.25">
      <c r="A224" t="s">
        <v>314</v>
      </c>
      <c r="B224">
        <v>5</v>
      </c>
      <c r="C224">
        <v>2</v>
      </c>
      <c r="D224">
        <v>0</v>
      </c>
      <c r="E224" t="s">
        <v>337</v>
      </c>
      <c r="F224">
        <v>7255</v>
      </c>
      <c r="G224">
        <v>16501520.5</v>
      </c>
      <c r="H224">
        <v>0.85925926764806115</v>
      </c>
      <c r="I224">
        <v>0.67407407407407405</v>
      </c>
      <c r="J224">
        <v>2545979.1666666665</v>
      </c>
      <c r="K224">
        <v>10836</v>
      </c>
      <c r="L224">
        <v>2</v>
      </c>
      <c r="M224">
        <v>69</v>
      </c>
      <c r="N224">
        <v>0.6518518518518519</v>
      </c>
      <c r="O224">
        <v>4085213</v>
      </c>
      <c r="P224">
        <v>11133</v>
      </c>
      <c r="Q224">
        <v>2</v>
      </c>
      <c r="R224">
        <v>70</v>
      </c>
      <c r="S224">
        <v>11.679187904227524</v>
      </c>
      <c r="T224">
        <v>0.85925927162170412</v>
      </c>
      <c r="W224">
        <f>Tabela2[[#This Row],[mlp_params]]</f>
        <v>10836</v>
      </c>
      <c r="X224">
        <f>Tabela2[[#This Row],[kan_test_acc]]</f>
        <v>0.85925926764806115</v>
      </c>
      <c r="Y224">
        <f>Tabela2[[#This Row],[kan_val_acc_1]]</f>
        <v>0.85925927162170412</v>
      </c>
      <c r="Z224">
        <f>Tabela2[[#This Row],[no_steps]]</f>
        <v>11.679187904227524</v>
      </c>
      <c r="AB224">
        <f t="shared" si="4"/>
        <v>10836</v>
      </c>
      <c r="AC224">
        <f>Tabela2[[#This Row],[kan_time_difference]]/Tabela2[[#This Row],[no_steps]]</f>
        <v>1412899.6498144304</v>
      </c>
      <c r="AE224">
        <v>10836</v>
      </c>
      <c r="AF224">
        <v>1412899.6498144304</v>
      </c>
    </row>
    <row r="225" spans="1:32" hidden="1" x14ac:dyDescent="0.25">
      <c r="A225" t="s">
        <v>314</v>
      </c>
      <c r="B225">
        <v>5</v>
      </c>
      <c r="C225">
        <v>3</v>
      </c>
      <c r="D225">
        <v>0</v>
      </c>
      <c r="E225" t="s">
        <v>323</v>
      </c>
      <c r="F225">
        <v>6654</v>
      </c>
      <c r="G225">
        <v>14584544.166666666</v>
      </c>
      <c r="H225">
        <v>0.78888890147209167</v>
      </c>
      <c r="I225">
        <v>0.67037037037037039</v>
      </c>
      <c r="J225">
        <v>6123721.166666667</v>
      </c>
      <c r="K225">
        <v>10836</v>
      </c>
      <c r="L225">
        <v>2</v>
      </c>
      <c r="M225">
        <v>69</v>
      </c>
      <c r="N225">
        <v>0.69259259259259254</v>
      </c>
      <c r="O225">
        <v>2731682</v>
      </c>
      <c r="P225">
        <v>11133</v>
      </c>
      <c r="Q225">
        <v>2</v>
      </c>
      <c r="R225">
        <v>70</v>
      </c>
      <c r="S225">
        <v>11.675691733152266</v>
      </c>
      <c r="T225">
        <v>0.8962962865829468</v>
      </c>
      <c r="W225">
        <f>Tabela2[[#This Row],[mlp_params]]</f>
        <v>10836</v>
      </c>
      <c r="X225">
        <f>Tabela2[[#This Row],[kan_test_acc]]</f>
        <v>0.78888890147209167</v>
      </c>
      <c r="Y225">
        <f>Tabela2[[#This Row],[kan_val_acc_1]]</f>
        <v>0.8962962865829468</v>
      </c>
      <c r="Z225">
        <f>Tabela2[[#This Row],[no_steps]]</f>
        <v>11.675691733152266</v>
      </c>
      <c r="AB225">
        <f t="shared" si="4"/>
        <v>10836</v>
      </c>
      <c r="AC225">
        <f>Tabela2[[#This Row],[kan_time_difference]]/Tabela2[[#This Row],[no_steps]]</f>
        <v>1249137.4815296747</v>
      </c>
      <c r="AE225">
        <v>10836</v>
      </c>
      <c r="AF225">
        <v>1249137.4815296747</v>
      </c>
    </row>
    <row r="226" spans="1:32" hidden="1" x14ac:dyDescent="0.25">
      <c r="A226" t="s">
        <v>314</v>
      </c>
      <c r="B226">
        <v>5</v>
      </c>
      <c r="C226">
        <v>4</v>
      </c>
      <c r="D226">
        <v>0</v>
      </c>
      <c r="E226" t="s">
        <v>334</v>
      </c>
      <c r="F226">
        <v>6287</v>
      </c>
      <c r="G226">
        <v>15894693.272727273</v>
      </c>
      <c r="H226">
        <v>0.6161616282029585</v>
      </c>
      <c r="I226">
        <v>0.67878787878787883</v>
      </c>
      <c r="J226">
        <v>4547490.1818181816</v>
      </c>
      <c r="K226">
        <v>10836</v>
      </c>
      <c r="L226">
        <v>2</v>
      </c>
      <c r="M226">
        <v>69</v>
      </c>
      <c r="N226">
        <v>0.67272727272727273</v>
      </c>
      <c r="O226">
        <v>2392280.5454545454</v>
      </c>
      <c r="P226">
        <v>11133</v>
      </c>
      <c r="Q226">
        <v>2</v>
      </c>
      <c r="R226">
        <v>70</v>
      </c>
      <c r="S226">
        <v>11.672184873949579</v>
      </c>
      <c r="T226">
        <v>0.78518519401550291</v>
      </c>
      <c r="W226">
        <f>Tabela2[[#This Row],[mlp_params]]</f>
        <v>10836</v>
      </c>
      <c r="X226">
        <f>Tabela2[[#This Row],[kan_test_acc]]</f>
        <v>0.6161616282029585</v>
      </c>
      <c r="Y226">
        <f>Tabela2[[#This Row],[kan_val_acc_1]]</f>
        <v>0.78518519401550291</v>
      </c>
      <c r="Z226">
        <f>Tabela2[[#This Row],[no_steps]]</f>
        <v>11.672184873949579</v>
      </c>
      <c r="AB226">
        <f t="shared" si="4"/>
        <v>10836</v>
      </c>
      <c r="AC226">
        <f>Tabela2[[#This Row],[kan_time_difference]]/Tabela2[[#This Row],[no_steps]]</f>
        <v>1361758.1836115059</v>
      </c>
      <c r="AE226">
        <v>10836</v>
      </c>
      <c r="AF226">
        <v>1361758.1836115059</v>
      </c>
    </row>
    <row r="227" spans="1:32" hidden="1" x14ac:dyDescent="0.25">
      <c r="A227" t="s">
        <v>314</v>
      </c>
      <c r="B227">
        <v>9</v>
      </c>
      <c r="C227">
        <v>2</v>
      </c>
      <c r="D227">
        <v>0</v>
      </c>
      <c r="E227" t="s">
        <v>322</v>
      </c>
      <c r="F227">
        <v>8007</v>
      </c>
      <c r="G227">
        <v>9058086.833333334</v>
      </c>
      <c r="H227">
        <v>0.83703704675038659</v>
      </c>
      <c r="I227">
        <v>0.64444444444444449</v>
      </c>
      <c r="J227">
        <v>7346906.333333333</v>
      </c>
      <c r="K227">
        <v>10836</v>
      </c>
      <c r="L227">
        <v>2</v>
      </c>
      <c r="M227">
        <v>69</v>
      </c>
      <c r="N227">
        <v>0.68888888888888888</v>
      </c>
      <c r="O227">
        <v>2754694.1666666665</v>
      </c>
      <c r="P227">
        <v>11133</v>
      </c>
      <c r="Q227">
        <v>2</v>
      </c>
      <c r="R227">
        <v>70</v>
      </c>
      <c r="S227">
        <v>11.647924265398959</v>
      </c>
      <c r="T227">
        <v>0.80000001192092896</v>
      </c>
      <c r="W227">
        <f>Tabela2[[#This Row],[mlp_params]]</f>
        <v>10836</v>
      </c>
      <c r="X227">
        <f>Tabela2[[#This Row],[kan_test_acc]]</f>
        <v>0.83703704675038659</v>
      </c>
      <c r="Y227">
        <f>Tabela2[[#This Row],[kan_val_acc_1]]</f>
        <v>0.80000001192092896</v>
      </c>
      <c r="Z227">
        <f>Tabela2[[#This Row],[no_steps]]</f>
        <v>11.647924265398959</v>
      </c>
      <c r="AB227">
        <f t="shared" si="4"/>
        <v>10836</v>
      </c>
      <c r="AC227">
        <f>Tabela2[[#This Row],[kan_time_difference]]/Tabela2[[#This Row],[no_steps]]</f>
        <v>777656.74183176714</v>
      </c>
      <c r="AE227">
        <v>10836</v>
      </c>
      <c r="AF227">
        <v>777656.74183176714</v>
      </c>
    </row>
    <row r="228" spans="1:32" hidden="1" x14ac:dyDescent="0.25">
      <c r="A228" t="s">
        <v>314</v>
      </c>
      <c r="B228">
        <v>9</v>
      </c>
      <c r="C228">
        <v>3</v>
      </c>
      <c r="D228">
        <v>0</v>
      </c>
      <c r="E228" t="s">
        <v>327</v>
      </c>
      <c r="F228">
        <v>7550</v>
      </c>
      <c r="G228">
        <v>10377157.666666666</v>
      </c>
      <c r="H228">
        <v>0.76666668057441711</v>
      </c>
      <c r="I228">
        <v>0.65925925925925921</v>
      </c>
      <c r="J228">
        <v>4541422</v>
      </c>
      <c r="K228">
        <v>10836</v>
      </c>
      <c r="L228">
        <v>2</v>
      </c>
      <c r="M228">
        <v>69</v>
      </c>
      <c r="N228">
        <v>0.66666666666666674</v>
      </c>
      <c r="O228">
        <v>1973627.8333333333</v>
      </c>
      <c r="P228">
        <v>11133</v>
      </c>
      <c r="Q228">
        <v>2</v>
      </c>
      <c r="R228">
        <v>70</v>
      </c>
      <c r="S228">
        <v>11.634124568878068</v>
      </c>
      <c r="T228">
        <v>0.77777777910232548</v>
      </c>
      <c r="W228">
        <f>Tabela2[[#This Row],[mlp_params]]</f>
        <v>10836</v>
      </c>
      <c r="X228">
        <f>Tabela2[[#This Row],[kan_test_acc]]</f>
        <v>0.76666668057441711</v>
      </c>
      <c r="Y228">
        <f>Tabela2[[#This Row],[kan_val_acc_1]]</f>
        <v>0.77777777910232548</v>
      </c>
      <c r="Z228">
        <f>Tabela2[[#This Row],[no_steps]]</f>
        <v>11.634124568878068</v>
      </c>
      <c r="AB228">
        <f t="shared" si="4"/>
        <v>10836</v>
      </c>
      <c r="AC228">
        <f>Tabela2[[#This Row],[kan_time_difference]]/Tabela2[[#This Row],[no_steps]]</f>
        <v>891958.61753329867</v>
      </c>
      <c r="AE228">
        <v>10836</v>
      </c>
      <c r="AF228">
        <v>891958.61753329867</v>
      </c>
    </row>
    <row r="229" spans="1:32" x14ac:dyDescent="0.25">
      <c r="A229" t="s">
        <v>314</v>
      </c>
      <c r="B229">
        <v>9</v>
      </c>
      <c r="C229">
        <v>4</v>
      </c>
      <c r="D229">
        <v>0</v>
      </c>
      <c r="E229" t="s">
        <v>318</v>
      </c>
      <c r="F229">
        <v>7089</v>
      </c>
      <c r="G229">
        <v>9157116.6875</v>
      </c>
      <c r="H229">
        <v>0.64027779549360275</v>
      </c>
      <c r="I229">
        <v>0.68888888888888888</v>
      </c>
      <c r="J229">
        <v>4406862.25</v>
      </c>
      <c r="K229">
        <v>10836</v>
      </c>
      <c r="L229">
        <v>2</v>
      </c>
      <c r="M229">
        <v>69</v>
      </c>
      <c r="N229">
        <v>0.67500000000000004</v>
      </c>
      <c r="O229">
        <v>1247663.6875</v>
      </c>
      <c r="P229">
        <v>11133</v>
      </c>
      <c r="Q229">
        <v>2</v>
      </c>
      <c r="R229">
        <v>70</v>
      </c>
      <c r="S229">
        <v>11.617752096625336</v>
      </c>
      <c r="T229">
        <v>0.74320987462997434</v>
      </c>
      <c r="W229">
        <f>Tabela2[[#This Row],[mlp_params]]</f>
        <v>10836</v>
      </c>
      <c r="X229">
        <f>Tabela2[[#This Row],[kan_test_acc]]</f>
        <v>0.64027779549360275</v>
      </c>
      <c r="Y229">
        <f>Tabela2[[#This Row],[kan_val_acc_1]]</f>
        <v>0.74320987462997434</v>
      </c>
      <c r="Z229">
        <f>Tabela2[[#This Row],[no_steps]]</f>
        <v>11.617752096625336</v>
      </c>
      <c r="AB229">
        <f t="shared" si="4"/>
        <v>10836</v>
      </c>
      <c r="AC229">
        <f>Tabela2[[#This Row],[kan_time_difference]]/Tabela2[[#This Row],[no_steps]]</f>
        <v>788200.38604197034</v>
      </c>
      <c r="AE229">
        <v>10836</v>
      </c>
      <c r="AF229">
        <v>788200.38604197034</v>
      </c>
    </row>
    <row r="230" spans="1:32" hidden="1" x14ac:dyDescent="0.25">
      <c r="A230" t="s">
        <v>314</v>
      </c>
      <c r="B230">
        <v>3</v>
      </c>
      <c r="C230">
        <v>2</v>
      </c>
      <c r="D230">
        <v>0</v>
      </c>
      <c r="E230" t="s">
        <v>354</v>
      </c>
      <c r="F230">
        <v>7033</v>
      </c>
      <c r="G230">
        <v>9968300.833333334</v>
      </c>
      <c r="H230">
        <v>0.92592593034108484</v>
      </c>
      <c r="I230">
        <v>0.7407407407407407</v>
      </c>
      <c r="J230">
        <v>657216</v>
      </c>
      <c r="K230">
        <v>11133</v>
      </c>
      <c r="L230">
        <v>2</v>
      </c>
      <c r="M230">
        <v>70</v>
      </c>
      <c r="N230">
        <v>0.6962962962962963</v>
      </c>
      <c r="O230">
        <v>634692.16666666663</v>
      </c>
      <c r="P230">
        <v>11434</v>
      </c>
      <c r="Q230">
        <v>2</v>
      </c>
      <c r="R230">
        <v>71</v>
      </c>
      <c r="S230">
        <v>11.675308919343967</v>
      </c>
      <c r="T230">
        <v>0.92592592239379878</v>
      </c>
      <c r="W230">
        <f>Tabela2[[#This Row],[mlp_params]]</f>
        <v>11133</v>
      </c>
      <c r="X230">
        <f>Tabela2[[#This Row],[kan_test_acc]]</f>
        <v>0.92592593034108484</v>
      </c>
      <c r="Y230">
        <f>Tabela2[[#This Row],[kan_val_acc_1]]</f>
        <v>0.92592592239379878</v>
      </c>
      <c r="Z230">
        <f>Tabela2[[#This Row],[no_steps]]</f>
        <v>11.675308919343967</v>
      </c>
      <c r="AB230">
        <f t="shared" si="4"/>
        <v>11133</v>
      </c>
      <c r="AC230">
        <f>Tabela2[[#This Row],[kan_time_difference]]/Tabela2[[#This Row],[no_steps]]</f>
        <v>853793.32591513568</v>
      </c>
      <c r="AE230">
        <v>11133</v>
      </c>
      <c r="AF230">
        <v>853793.32591513568</v>
      </c>
    </row>
    <row r="231" spans="1:32" hidden="1" x14ac:dyDescent="0.25">
      <c r="A231" t="s">
        <v>314</v>
      </c>
      <c r="B231">
        <v>3</v>
      </c>
      <c r="C231">
        <v>3</v>
      </c>
      <c r="D231">
        <v>0</v>
      </c>
      <c r="E231" t="s">
        <v>344</v>
      </c>
      <c r="F231">
        <v>6424</v>
      </c>
      <c r="G231">
        <v>12315548.625</v>
      </c>
      <c r="H231">
        <v>0.90555556118488312</v>
      </c>
      <c r="I231">
        <v>0.7055555555555556</v>
      </c>
      <c r="J231">
        <v>1065586.1875</v>
      </c>
      <c r="K231">
        <v>11133</v>
      </c>
      <c r="L231">
        <v>2</v>
      </c>
      <c r="M231">
        <v>70</v>
      </c>
      <c r="N231">
        <v>0.69861111111111107</v>
      </c>
      <c r="O231">
        <v>996681</v>
      </c>
      <c r="P231">
        <v>11434</v>
      </c>
      <c r="Q231">
        <v>2</v>
      </c>
      <c r="R231">
        <v>71</v>
      </c>
      <c r="S231">
        <v>11.674656468181617</v>
      </c>
      <c r="T231">
        <v>0.93827160994211833</v>
      </c>
      <c r="W231">
        <f>Tabela2[[#This Row],[mlp_params]]</f>
        <v>11133</v>
      </c>
      <c r="X231">
        <f>Tabela2[[#This Row],[kan_test_acc]]</f>
        <v>0.90555556118488312</v>
      </c>
      <c r="Y231">
        <f>Tabela2[[#This Row],[kan_val_acc_1]]</f>
        <v>0.93827160994211833</v>
      </c>
      <c r="Z231">
        <f>Tabela2[[#This Row],[no_steps]]</f>
        <v>11.674656468181617</v>
      </c>
      <c r="AB231">
        <f t="shared" si="4"/>
        <v>11133</v>
      </c>
      <c r="AC231">
        <f>Tabela2[[#This Row],[kan_time_difference]]/Tabela2[[#This Row],[no_steps]]</f>
        <v>1054896.0184451754</v>
      </c>
      <c r="AE231">
        <v>11133</v>
      </c>
      <c r="AF231">
        <v>1054896.0184451754</v>
      </c>
    </row>
    <row r="232" spans="1:32" hidden="1" x14ac:dyDescent="0.25">
      <c r="A232" t="s">
        <v>314</v>
      </c>
      <c r="B232">
        <v>3</v>
      </c>
      <c r="C232">
        <v>4</v>
      </c>
      <c r="D232">
        <v>0</v>
      </c>
      <c r="E232" t="s">
        <v>349</v>
      </c>
      <c r="F232">
        <v>5887</v>
      </c>
      <c r="G232">
        <v>13453207.6875</v>
      </c>
      <c r="H232">
        <v>0.84305556491017342</v>
      </c>
      <c r="I232">
        <v>0.72916666666666663</v>
      </c>
      <c r="J232">
        <v>1979435.375</v>
      </c>
      <c r="K232">
        <v>11133</v>
      </c>
      <c r="L232">
        <v>2</v>
      </c>
      <c r="M232">
        <v>70</v>
      </c>
      <c r="N232">
        <v>0.68333333333333335</v>
      </c>
      <c r="O232">
        <v>1207943.5625</v>
      </c>
      <c r="P232">
        <v>11434</v>
      </c>
      <c r="Q232">
        <v>2</v>
      </c>
      <c r="R232">
        <v>71</v>
      </c>
      <c r="S232">
        <v>11.675195983440501</v>
      </c>
      <c r="T232">
        <v>0.90370370944341027</v>
      </c>
      <c r="W232">
        <f>Tabela2[[#This Row],[mlp_params]]</f>
        <v>11133</v>
      </c>
      <c r="X232">
        <f>Tabela2[[#This Row],[kan_test_acc]]</f>
        <v>0.84305556491017342</v>
      </c>
      <c r="Y232">
        <f>Tabela2[[#This Row],[kan_val_acc_1]]</f>
        <v>0.90370370944341027</v>
      </c>
      <c r="Z232">
        <f>Tabela2[[#This Row],[no_steps]]</f>
        <v>11.675195983440501</v>
      </c>
      <c r="AB232">
        <f t="shared" si="4"/>
        <v>11133</v>
      </c>
      <c r="AC232">
        <f>Tabela2[[#This Row],[kan_time_difference]]/Tabela2[[#This Row],[no_steps]]</f>
        <v>1152289.6666215574</v>
      </c>
      <c r="AE232">
        <v>11133</v>
      </c>
      <c r="AF232">
        <v>1152289.6666215574</v>
      </c>
    </row>
    <row r="233" spans="1:32" hidden="1" x14ac:dyDescent="0.25">
      <c r="A233" t="s">
        <v>314</v>
      </c>
      <c r="B233">
        <v>3</v>
      </c>
      <c r="C233">
        <v>5</v>
      </c>
      <c r="D233">
        <v>0</v>
      </c>
      <c r="E233" t="s">
        <v>320</v>
      </c>
      <c r="F233">
        <v>5592</v>
      </c>
      <c r="G233">
        <v>16018557.166666666</v>
      </c>
      <c r="H233">
        <v>0.7925925999879837</v>
      </c>
      <c r="I233">
        <v>0.68518518518518512</v>
      </c>
      <c r="J233">
        <v>1692721.3333333333</v>
      </c>
      <c r="K233">
        <v>11133</v>
      </c>
      <c r="L233">
        <v>2</v>
      </c>
      <c r="M233">
        <v>70</v>
      </c>
      <c r="N233">
        <v>0.65925925925925921</v>
      </c>
      <c r="O233">
        <v>1454502.6666666667</v>
      </c>
      <c r="P233">
        <v>11434</v>
      </c>
      <c r="Q233">
        <v>2</v>
      </c>
      <c r="R233">
        <v>71</v>
      </c>
      <c r="S233">
        <v>11.676503923278117</v>
      </c>
      <c r="T233">
        <v>0.8592592597007751</v>
      </c>
      <c r="W233">
        <f>Tabela2[[#This Row],[mlp_params]]</f>
        <v>11133</v>
      </c>
      <c r="X233">
        <f>Tabela2[[#This Row],[kan_test_acc]]</f>
        <v>0.7925925999879837</v>
      </c>
      <c r="Y233">
        <f>Tabela2[[#This Row],[kan_val_acc_1]]</f>
        <v>0.8592592597007751</v>
      </c>
      <c r="Z233">
        <f>Tabela2[[#This Row],[no_steps]]</f>
        <v>11.676503923278117</v>
      </c>
      <c r="AB233">
        <f t="shared" si="4"/>
        <v>11133</v>
      </c>
      <c r="AC233">
        <f>Tabela2[[#This Row],[kan_time_difference]]/Tabela2[[#This Row],[no_steps]]</f>
        <v>1371862.4403261915</v>
      </c>
      <c r="AE233">
        <v>11133</v>
      </c>
      <c r="AF233">
        <v>1371862.4403261915</v>
      </c>
    </row>
    <row r="234" spans="1:32" hidden="1" x14ac:dyDescent="0.25">
      <c r="A234" t="s">
        <v>314</v>
      </c>
      <c r="B234">
        <v>5</v>
      </c>
      <c r="C234">
        <v>2</v>
      </c>
      <c r="D234">
        <v>0</v>
      </c>
      <c r="E234" t="s">
        <v>345</v>
      </c>
      <c r="F234">
        <v>7575</v>
      </c>
      <c r="G234">
        <v>15695082.090909092</v>
      </c>
      <c r="H234">
        <v>0.8606060689145868</v>
      </c>
      <c r="I234">
        <v>0.68282828282828278</v>
      </c>
      <c r="J234">
        <v>4587365.1818181816</v>
      </c>
      <c r="K234">
        <v>11133</v>
      </c>
      <c r="L234">
        <v>2</v>
      </c>
      <c r="M234">
        <v>70</v>
      </c>
      <c r="N234">
        <v>0.7151515151515152</v>
      </c>
      <c r="O234">
        <v>3570830.9090909092</v>
      </c>
      <c r="P234">
        <v>11434</v>
      </c>
      <c r="Q234">
        <v>2</v>
      </c>
      <c r="R234">
        <v>71</v>
      </c>
      <c r="S234">
        <v>11.680666152924053</v>
      </c>
      <c r="T234">
        <v>0.87777779102325437</v>
      </c>
      <c r="W234">
        <f>Tabela2[[#This Row],[mlp_params]]</f>
        <v>11133</v>
      </c>
      <c r="X234">
        <f>Tabela2[[#This Row],[kan_test_acc]]</f>
        <v>0.8606060689145868</v>
      </c>
      <c r="Y234">
        <f>Tabela2[[#This Row],[kan_val_acc_1]]</f>
        <v>0.87777779102325437</v>
      </c>
      <c r="Z234">
        <f>Tabela2[[#This Row],[no_steps]]</f>
        <v>11.680666152924053</v>
      </c>
      <c r="AB234">
        <f t="shared" si="4"/>
        <v>11133</v>
      </c>
      <c r="AC234">
        <f>Tabela2[[#This Row],[kan_time_difference]]/Tabela2[[#This Row],[no_steps]]</f>
        <v>1343680.3933464102</v>
      </c>
      <c r="AE234">
        <v>11133</v>
      </c>
      <c r="AF234">
        <v>1343680.3933464102</v>
      </c>
    </row>
    <row r="235" spans="1:32" hidden="1" x14ac:dyDescent="0.25">
      <c r="A235" t="s">
        <v>314</v>
      </c>
      <c r="B235">
        <v>5</v>
      </c>
      <c r="C235">
        <v>3</v>
      </c>
      <c r="D235">
        <v>0</v>
      </c>
      <c r="E235" t="s">
        <v>342</v>
      </c>
      <c r="F235">
        <v>6870</v>
      </c>
      <c r="G235">
        <v>12944009.875</v>
      </c>
      <c r="H235">
        <v>0.80972223356366158</v>
      </c>
      <c r="I235">
        <v>0.65694444444444444</v>
      </c>
      <c r="J235">
        <v>4448474.6875</v>
      </c>
      <c r="K235">
        <v>11133</v>
      </c>
      <c r="L235">
        <v>2</v>
      </c>
      <c r="M235">
        <v>70</v>
      </c>
      <c r="N235">
        <v>0.70833333333333337</v>
      </c>
      <c r="O235">
        <v>2284931.75</v>
      </c>
      <c r="P235">
        <v>11434</v>
      </c>
      <c r="Q235">
        <v>2</v>
      </c>
      <c r="R235">
        <v>71</v>
      </c>
      <c r="S235">
        <v>11.674978795589483</v>
      </c>
      <c r="T235">
        <v>0.88888889153798423</v>
      </c>
      <c r="W235">
        <f>Tabela2[[#This Row],[mlp_params]]</f>
        <v>11133</v>
      </c>
      <c r="X235">
        <f>Tabela2[[#This Row],[kan_test_acc]]</f>
        <v>0.80972223356366158</v>
      </c>
      <c r="Y235">
        <f>Tabela2[[#This Row],[kan_val_acc_1]]</f>
        <v>0.88888889153798423</v>
      </c>
      <c r="Z235">
        <f>Tabela2[[#This Row],[no_steps]]</f>
        <v>11.674978795589483</v>
      </c>
      <c r="AB235">
        <f t="shared" si="4"/>
        <v>11133</v>
      </c>
      <c r="AC235">
        <f>Tabela2[[#This Row],[kan_time_difference]]/Tabela2[[#This Row],[no_steps]]</f>
        <v>1108696.6496153232</v>
      </c>
      <c r="AE235">
        <v>11133</v>
      </c>
      <c r="AF235">
        <v>1108696.6496153232</v>
      </c>
    </row>
    <row r="236" spans="1:32" hidden="1" x14ac:dyDescent="0.25">
      <c r="A236" t="s">
        <v>314</v>
      </c>
      <c r="B236">
        <v>5</v>
      </c>
      <c r="C236">
        <v>4</v>
      </c>
      <c r="D236">
        <v>0</v>
      </c>
      <c r="E236" t="s">
        <v>321</v>
      </c>
      <c r="F236">
        <v>6483</v>
      </c>
      <c r="G236">
        <v>11279492.5</v>
      </c>
      <c r="H236">
        <v>0.77037038405736291</v>
      </c>
      <c r="I236">
        <v>0.67407407407407405</v>
      </c>
      <c r="J236">
        <v>5293244.833333333</v>
      </c>
      <c r="K236">
        <v>11133</v>
      </c>
      <c r="L236">
        <v>2</v>
      </c>
      <c r="M236">
        <v>70</v>
      </c>
      <c r="N236">
        <v>0.70740740740740737</v>
      </c>
      <c r="O236">
        <v>2510802.8333333335</v>
      </c>
      <c r="P236">
        <v>11434</v>
      </c>
      <c r="Q236">
        <v>2</v>
      </c>
      <c r="R236">
        <v>71</v>
      </c>
      <c r="S236">
        <v>11.671469377467865</v>
      </c>
      <c r="T236">
        <v>0.8</v>
      </c>
      <c r="W236">
        <f>Tabela2[[#This Row],[mlp_params]]</f>
        <v>11133</v>
      </c>
      <c r="X236">
        <f>Tabela2[[#This Row],[kan_test_acc]]</f>
        <v>0.77037038405736291</v>
      </c>
      <c r="Y236">
        <f>Tabela2[[#This Row],[kan_val_acc_1]]</f>
        <v>0.8</v>
      </c>
      <c r="Z236">
        <f>Tabela2[[#This Row],[no_steps]]</f>
        <v>11.671469377467865</v>
      </c>
      <c r="AB236">
        <f t="shared" si="4"/>
        <v>11133</v>
      </c>
      <c r="AC236">
        <f>Tabela2[[#This Row],[kan_time_difference]]/Tabela2[[#This Row],[no_steps]]</f>
        <v>966415.8072312139</v>
      </c>
      <c r="AE236">
        <v>11133</v>
      </c>
      <c r="AF236">
        <v>966415.8072312139</v>
      </c>
    </row>
    <row r="237" spans="1:32" hidden="1" x14ac:dyDescent="0.25">
      <c r="A237" t="s">
        <v>314</v>
      </c>
      <c r="B237">
        <v>5</v>
      </c>
      <c r="C237">
        <v>5</v>
      </c>
      <c r="D237">
        <v>0</v>
      </c>
      <c r="E237" t="s">
        <v>319</v>
      </c>
      <c r="F237">
        <v>6184</v>
      </c>
      <c r="G237">
        <v>12121302.833333334</v>
      </c>
      <c r="H237">
        <v>0.61851853132247925</v>
      </c>
      <c r="I237">
        <v>0.6518518518518519</v>
      </c>
      <c r="J237">
        <v>5485176.5</v>
      </c>
      <c r="K237">
        <v>11133</v>
      </c>
      <c r="L237">
        <v>2</v>
      </c>
      <c r="M237">
        <v>70</v>
      </c>
      <c r="N237">
        <v>0.64074074074074072</v>
      </c>
      <c r="O237">
        <v>3139575.5</v>
      </c>
      <c r="P237">
        <v>11434</v>
      </c>
      <c r="Q237">
        <v>2</v>
      </c>
      <c r="R237">
        <v>71</v>
      </c>
      <c r="S237">
        <v>11.665004363545693</v>
      </c>
      <c r="T237">
        <v>0.69629629850387575</v>
      </c>
      <c r="W237">
        <f>Tabela2[[#This Row],[mlp_params]]</f>
        <v>11133</v>
      </c>
      <c r="X237">
        <f>Tabela2[[#This Row],[kan_test_acc]]</f>
        <v>0.61851853132247925</v>
      </c>
      <c r="Y237">
        <f>Tabela2[[#This Row],[kan_val_acc_1]]</f>
        <v>0.69629629850387575</v>
      </c>
      <c r="Z237">
        <f>Tabela2[[#This Row],[no_steps]]</f>
        <v>11.665004363545693</v>
      </c>
      <c r="AB237">
        <f t="shared" si="4"/>
        <v>11133</v>
      </c>
      <c r="AC237">
        <f>Tabela2[[#This Row],[kan_time_difference]]/Tabela2[[#This Row],[no_steps]]</f>
        <v>1039116.8709043624</v>
      </c>
      <c r="AE237">
        <v>11133</v>
      </c>
      <c r="AF237">
        <v>1039116.8709043624</v>
      </c>
    </row>
    <row r="238" spans="1:32" hidden="1" x14ac:dyDescent="0.25">
      <c r="A238" t="s">
        <v>314</v>
      </c>
      <c r="B238">
        <v>9</v>
      </c>
      <c r="C238">
        <v>2</v>
      </c>
      <c r="D238">
        <v>0</v>
      </c>
      <c r="E238" t="s">
        <v>349</v>
      </c>
      <c r="F238">
        <v>8227</v>
      </c>
      <c r="G238">
        <v>9020459.5</v>
      </c>
      <c r="H238">
        <v>0.84444445371627808</v>
      </c>
      <c r="I238">
        <v>0.65138888888888891</v>
      </c>
      <c r="J238">
        <v>6202324</v>
      </c>
      <c r="K238">
        <v>11133</v>
      </c>
      <c r="L238">
        <v>2</v>
      </c>
      <c r="M238">
        <v>70</v>
      </c>
      <c r="N238">
        <v>0.74583333333333335</v>
      </c>
      <c r="O238">
        <v>2919903.875</v>
      </c>
      <c r="P238">
        <v>11434</v>
      </c>
      <c r="Q238">
        <v>2</v>
      </c>
      <c r="R238">
        <v>71</v>
      </c>
      <c r="S238">
        <v>11.645779579800958</v>
      </c>
      <c r="T238">
        <v>0.6666666706403096</v>
      </c>
      <c r="W238">
        <f>Tabela2[[#This Row],[mlp_params]]</f>
        <v>11133</v>
      </c>
      <c r="X238">
        <f>Tabela2[[#This Row],[kan_test_acc]]</f>
        <v>0.84444445371627808</v>
      </c>
      <c r="Y238">
        <f>Tabela2[[#This Row],[kan_val_acc_1]]</f>
        <v>0.6666666706403096</v>
      </c>
      <c r="Z238">
        <f>Tabela2[[#This Row],[no_steps]]</f>
        <v>11.645779579800958</v>
      </c>
      <c r="AB238">
        <f t="shared" si="4"/>
        <v>11133</v>
      </c>
      <c r="AC238">
        <f>Tabela2[[#This Row],[kan_time_difference]]/Tabela2[[#This Row],[no_steps]]</f>
        <v>774568.97051748692</v>
      </c>
      <c r="AE238">
        <v>11133</v>
      </c>
      <c r="AF238">
        <v>774568.97051748692</v>
      </c>
    </row>
    <row r="239" spans="1:32" hidden="1" x14ac:dyDescent="0.25">
      <c r="A239" t="s">
        <v>314</v>
      </c>
      <c r="B239">
        <v>9</v>
      </c>
      <c r="C239">
        <v>3</v>
      </c>
      <c r="D239">
        <v>0</v>
      </c>
      <c r="E239" t="s">
        <v>320</v>
      </c>
      <c r="F239">
        <v>7612</v>
      </c>
      <c r="G239">
        <v>12957701.833333334</v>
      </c>
      <c r="H239">
        <v>0.76666668057441711</v>
      </c>
      <c r="I239">
        <v>0.68518518518518512</v>
      </c>
      <c r="J239">
        <v>4126651.6666666665</v>
      </c>
      <c r="K239">
        <v>11133</v>
      </c>
      <c r="L239">
        <v>2</v>
      </c>
      <c r="M239">
        <v>70</v>
      </c>
      <c r="N239">
        <v>0.67777777777777781</v>
      </c>
      <c r="O239">
        <v>3881119.1666666665</v>
      </c>
      <c r="P239">
        <v>11434</v>
      </c>
      <c r="Q239">
        <v>2</v>
      </c>
      <c r="R239">
        <v>71</v>
      </c>
      <c r="S239">
        <v>11.634254188471056</v>
      </c>
      <c r="T239">
        <v>0.85185184478759768</v>
      </c>
      <c r="W239">
        <f>Tabela2[[#This Row],[mlp_params]]</f>
        <v>11133</v>
      </c>
      <c r="X239">
        <f>Tabela2[[#This Row],[kan_test_acc]]</f>
        <v>0.76666668057441711</v>
      </c>
      <c r="Y239">
        <f>Tabela2[[#This Row],[kan_val_acc_1]]</f>
        <v>0.85185184478759768</v>
      </c>
      <c r="Z239">
        <f>Tabela2[[#This Row],[no_steps]]</f>
        <v>11.634254188471056</v>
      </c>
      <c r="AB239">
        <f t="shared" si="4"/>
        <v>11133</v>
      </c>
      <c r="AC239">
        <f>Tabela2[[#This Row],[kan_time_difference]]/Tabela2[[#This Row],[no_steps]]</f>
        <v>1113754.4034557666</v>
      </c>
      <c r="AE239">
        <v>11133</v>
      </c>
      <c r="AF239">
        <v>1113754.4034557666</v>
      </c>
    </row>
    <row r="240" spans="1:32" hidden="1" x14ac:dyDescent="0.25">
      <c r="A240" t="s">
        <v>314</v>
      </c>
      <c r="B240">
        <v>9</v>
      </c>
      <c r="C240">
        <v>5</v>
      </c>
      <c r="D240">
        <v>0</v>
      </c>
      <c r="E240" t="s">
        <v>358</v>
      </c>
      <c r="F240">
        <v>6828</v>
      </c>
      <c r="G240">
        <v>9805153</v>
      </c>
      <c r="H240">
        <v>0.59259260197480523</v>
      </c>
      <c r="I240">
        <v>0.77777777777777779</v>
      </c>
      <c r="J240">
        <v>1312663.8333333333</v>
      </c>
      <c r="K240">
        <v>11133</v>
      </c>
      <c r="L240">
        <v>2</v>
      </c>
      <c r="M240">
        <v>70</v>
      </c>
      <c r="N240">
        <v>0.78148148148148144</v>
      </c>
      <c r="O240">
        <v>721393.83333333337</v>
      </c>
      <c r="P240">
        <v>11434</v>
      </c>
      <c r="Q240">
        <v>2</v>
      </c>
      <c r="R240">
        <v>71</v>
      </c>
      <c r="S240">
        <v>11.589933470616188</v>
      </c>
      <c r="T240">
        <v>0.71851851940155032</v>
      </c>
      <c r="W240">
        <f>Tabela2[[#This Row],[mlp_params]]</f>
        <v>11133</v>
      </c>
      <c r="X240">
        <f>Tabela2[[#This Row],[kan_test_acc]]</f>
        <v>0.59259260197480523</v>
      </c>
      <c r="Y240">
        <f>Tabela2[[#This Row],[kan_val_acc_1]]</f>
        <v>0.71851851940155032</v>
      </c>
      <c r="Z240">
        <f>Tabela2[[#This Row],[no_steps]]</f>
        <v>11.589933470616188</v>
      </c>
      <c r="AB240">
        <f t="shared" si="4"/>
        <v>11133</v>
      </c>
      <c r="AC240">
        <f>Tabela2[[#This Row],[kan_time_difference]]/Tabela2[[#This Row],[no_steps]]</f>
        <v>846005.97793411673</v>
      </c>
      <c r="AE240">
        <v>11133</v>
      </c>
      <c r="AF240">
        <v>846005.97793411673</v>
      </c>
    </row>
    <row r="241" spans="1:32" hidden="1" x14ac:dyDescent="0.25">
      <c r="A241" t="s">
        <v>314</v>
      </c>
      <c r="B241">
        <v>3</v>
      </c>
      <c r="C241">
        <v>3</v>
      </c>
      <c r="D241">
        <v>0</v>
      </c>
      <c r="E241" t="s">
        <v>337</v>
      </c>
      <c r="F241">
        <v>6534</v>
      </c>
      <c r="G241">
        <v>11685785.333333334</v>
      </c>
      <c r="H241">
        <v>0.90740741292635596</v>
      </c>
      <c r="I241">
        <v>0.6333333333333333</v>
      </c>
      <c r="J241">
        <v>1257150.3333333333</v>
      </c>
      <c r="K241">
        <v>11434</v>
      </c>
      <c r="L241">
        <v>2</v>
      </c>
      <c r="M241">
        <v>71</v>
      </c>
      <c r="N241">
        <v>0.62962962962962965</v>
      </c>
      <c r="O241">
        <v>857347.33333333337</v>
      </c>
      <c r="P241">
        <v>11739</v>
      </c>
      <c r="Q241">
        <v>2</v>
      </c>
      <c r="R241">
        <v>72</v>
      </c>
      <c r="S241">
        <v>11.674743253456631</v>
      </c>
      <c r="T241">
        <v>0.84444445371627808</v>
      </c>
      <c r="W241">
        <f>Tabela2[[#This Row],[mlp_params]]</f>
        <v>11434</v>
      </c>
      <c r="X241">
        <f>Tabela2[[#This Row],[kan_test_acc]]</f>
        <v>0.90740741292635596</v>
      </c>
      <c r="Y241">
        <f>Tabela2[[#This Row],[kan_val_acc_1]]</f>
        <v>0.84444445371627808</v>
      </c>
      <c r="Z241">
        <f>Tabela2[[#This Row],[no_steps]]</f>
        <v>11.674743253456631</v>
      </c>
      <c r="AB241">
        <f t="shared" si="4"/>
        <v>11434</v>
      </c>
      <c r="AC241">
        <f>Tabela2[[#This Row],[kan_time_difference]]/Tabela2[[#This Row],[no_steps]]</f>
        <v>1000945.8092256918</v>
      </c>
      <c r="AE241">
        <v>11434</v>
      </c>
      <c r="AF241">
        <v>1000945.8092256918</v>
      </c>
    </row>
    <row r="242" spans="1:32" hidden="1" x14ac:dyDescent="0.25">
      <c r="A242" t="s">
        <v>314</v>
      </c>
      <c r="B242">
        <v>3</v>
      </c>
      <c r="C242">
        <v>4</v>
      </c>
      <c r="D242">
        <v>0</v>
      </c>
      <c r="E242" t="s">
        <v>323</v>
      </c>
      <c r="F242">
        <v>6053</v>
      </c>
      <c r="G242">
        <v>15601988.166666666</v>
      </c>
      <c r="H242">
        <v>0.80000001192092896</v>
      </c>
      <c r="I242">
        <v>0.6333333333333333</v>
      </c>
      <c r="J242">
        <v>1450912.5</v>
      </c>
      <c r="K242">
        <v>11434</v>
      </c>
      <c r="L242">
        <v>2</v>
      </c>
      <c r="M242">
        <v>71</v>
      </c>
      <c r="N242">
        <v>0.64814814814814814</v>
      </c>
      <c r="O242">
        <v>811595.83333333337</v>
      </c>
      <c r="P242">
        <v>11739</v>
      </c>
      <c r="Q242">
        <v>2</v>
      </c>
      <c r="R242">
        <v>72</v>
      </c>
      <c r="S242">
        <v>11.675369848538217</v>
      </c>
      <c r="T242">
        <v>0.82222223281860352</v>
      </c>
      <c r="W242">
        <f>Tabela2[[#This Row],[mlp_params]]</f>
        <v>11434</v>
      </c>
      <c r="X242">
        <f>Tabela2[[#This Row],[kan_test_acc]]</f>
        <v>0.80000001192092896</v>
      </c>
      <c r="Y242">
        <f>Tabela2[[#This Row],[kan_val_acc_1]]</f>
        <v>0.82222223281860352</v>
      </c>
      <c r="Z242">
        <f>Tabela2[[#This Row],[no_steps]]</f>
        <v>11.675369848538217</v>
      </c>
      <c r="AB242">
        <f t="shared" si="4"/>
        <v>11434</v>
      </c>
      <c r="AC242">
        <f>Tabela2[[#This Row],[kan_time_difference]]/Tabela2[[#This Row],[no_steps]]</f>
        <v>1336316.396745245</v>
      </c>
      <c r="AE242">
        <v>11434</v>
      </c>
      <c r="AF242">
        <v>1336316.396745245</v>
      </c>
    </row>
    <row r="243" spans="1:32" hidden="1" x14ac:dyDescent="0.25">
      <c r="A243" t="s">
        <v>314</v>
      </c>
      <c r="B243">
        <v>3</v>
      </c>
      <c r="C243">
        <v>5</v>
      </c>
      <c r="D243">
        <v>0</v>
      </c>
      <c r="E243" t="s">
        <v>334</v>
      </c>
      <c r="F243">
        <v>5766</v>
      </c>
      <c r="G243">
        <v>15702586.5</v>
      </c>
      <c r="H243">
        <v>0.83703704675038659</v>
      </c>
      <c r="I243">
        <v>0.63703703703703707</v>
      </c>
      <c r="J243">
        <v>2982375.1666666665</v>
      </c>
      <c r="K243">
        <v>11434</v>
      </c>
      <c r="L243">
        <v>2</v>
      </c>
      <c r="M243">
        <v>71</v>
      </c>
      <c r="N243">
        <v>0.67037037037037039</v>
      </c>
      <c r="O243">
        <v>2437244.1666666665</v>
      </c>
      <c r="P243">
        <v>11739</v>
      </c>
      <c r="Q243">
        <v>2</v>
      </c>
      <c r="R243">
        <v>72</v>
      </c>
      <c r="S243">
        <v>11.67641418983701</v>
      </c>
      <c r="T243">
        <v>0.80740741491317747</v>
      </c>
      <c r="W243">
        <f>Tabela2[[#This Row],[mlp_params]]</f>
        <v>11434</v>
      </c>
      <c r="X243">
        <f>Tabela2[[#This Row],[kan_test_acc]]</f>
        <v>0.83703704675038659</v>
      </c>
      <c r="Y243">
        <f>Tabela2[[#This Row],[kan_val_acc_1]]</f>
        <v>0.80740741491317747</v>
      </c>
      <c r="Z243">
        <f>Tabela2[[#This Row],[no_steps]]</f>
        <v>11.67641418983701</v>
      </c>
      <c r="AB243">
        <f t="shared" si="4"/>
        <v>11434</v>
      </c>
      <c r="AC243">
        <f>Tabela2[[#This Row],[kan_time_difference]]/Tabela2[[#This Row],[no_steps]]</f>
        <v>1344812.3922896907</v>
      </c>
      <c r="AE243">
        <v>11434</v>
      </c>
      <c r="AF243">
        <v>1344812.3922896907</v>
      </c>
    </row>
    <row r="244" spans="1:32" hidden="1" x14ac:dyDescent="0.25">
      <c r="A244" t="s">
        <v>314</v>
      </c>
      <c r="B244">
        <v>5</v>
      </c>
      <c r="C244">
        <v>2</v>
      </c>
      <c r="D244">
        <v>0</v>
      </c>
      <c r="E244" t="s">
        <v>338</v>
      </c>
      <c r="F244">
        <v>7657</v>
      </c>
      <c r="G244">
        <v>13794569</v>
      </c>
      <c r="H244">
        <v>0.82592593630154931</v>
      </c>
      <c r="I244">
        <v>0.72222222222222221</v>
      </c>
      <c r="J244">
        <v>5627543.5</v>
      </c>
      <c r="K244">
        <v>11434</v>
      </c>
      <c r="L244">
        <v>2</v>
      </c>
      <c r="M244">
        <v>71</v>
      </c>
      <c r="N244">
        <v>0.68148148148148147</v>
      </c>
      <c r="O244">
        <v>4421055.5</v>
      </c>
      <c r="P244">
        <v>11739</v>
      </c>
      <c r="Q244">
        <v>2</v>
      </c>
      <c r="R244">
        <v>72</v>
      </c>
      <c r="S244">
        <v>11.680876562232495</v>
      </c>
      <c r="T244">
        <v>0.87407407760620115</v>
      </c>
      <c r="W244">
        <f>Tabela2[[#This Row],[mlp_params]]</f>
        <v>11434</v>
      </c>
      <c r="X244">
        <f>Tabela2[[#This Row],[kan_test_acc]]</f>
        <v>0.82592593630154931</v>
      </c>
      <c r="Y244">
        <f>Tabela2[[#This Row],[kan_val_acc_1]]</f>
        <v>0.87407407760620115</v>
      </c>
      <c r="Z244">
        <f>Tabela2[[#This Row],[no_steps]]</f>
        <v>11.680876562232495</v>
      </c>
      <c r="AB244">
        <f t="shared" si="4"/>
        <v>11434</v>
      </c>
      <c r="AC244">
        <f>Tabela2[[#This Row],[kan_time_difference]]/Tabela2[[#This Row],[no_steps]]</f>
        <v>1180953.2380987278</v>
      </c>
      <c r="AE244">
        <v>11434</v>
      </c>
      <c r="AF244">
        <v>1180953.2380987278</v>
      </c>
    </row>
    <row r="245" spans="1:32" hidden="1" x14ac:dyDescent="0.25">
      <c r="A245" t="s">
        <v>314</v>
      </c>
      <c r="B245">
        <v>5</v>
      </c>
      <c r="C245">
        <v>3</v>
      </c>
      <c r="D245">
        <v>0</v>
      </c>
      <c r="E245" t="s">
        <v>330</v>
      </c>
      <c r="F245">
        <v>7138</v>
      </c>
      <c r="G245">
        <v>12072923</v>
      </c>
      <c r="H245">
        <v>0.80808081681078126</v>
      </c>
      <c r="I245">
        <v>0.63838383838383839</v>
      </c>
      <c r="J245">
        <v>4041650.7272727271</v>
      </c>
      <c r="K245">
        <v>11434</v>
      </c>
      <c r="L245">
        <v>2</v>
      </c>
      <c r="M245">
        <v>71</v>
      </c>
      <c r="N245">
        <v>0.66868686868686866</v>
      </c>
      <c r="O245">
        <v>2341064.5454545454</v>
      </c>
      <c r="P245">
        <v>11739</v>
      </c>
      <c r="Q245">
        <v>2</v>
      </c>
      <c r="R245">
        <v>72</v>
      </c>
      <c r="S245">
        <v>11.674155398245093</v>
      </c>
      <c r="T245">
        <v>0.86666666865348818</v>
      </c>
      <c r="W245">
        <f>Tabela2[[#This Row],[mlp_params]]</f>
        <v>11434</v>
      </c>
      <c r="X245">
        <f>Tabela2[[#This Row],[kan_test_acc]]</f>
        <v>0.80808081681078126</v>
      </c>
      <c r="Y245">
        <f>Tabela2[[#This Row],[kan_val_acc_1]]</f>
        <v>0.86666666865348818</v>
      </c>
      <c r="Z245">
        <f>Tabela2[[#This Row],[no_steps]]</f>
        <v>11.674155398245093</v>
      </c>
      <c r="AB245">
        <f t="shared" si="4"/>
        <v>11434</v>
      </c>
      <c r="AC245">
        <f>Tabela2[[#This Row],[kan_time_difference]]/Tabela2[[#This Row],[no_steps]]</f>
        <v>1034158.1543290791</v>
      </c>
      <c r="AE245">
        <v>11434</v>
      </c>
      <c r="AF245">
        <v>1034158.1543290791</v>
      </c>
    </row>
    <row r="246" spans="1:32" hidden="1" x14ac:dyDescent="0.25">
      <c r="A246" t="s">
        <v>314</v>
      </c>
      <c r="B246">
        <v>5</v>
      </c>
      <c r="C246">
        <v>5</v>
      </c>
      <c r="D246">
        <v>0</v>
      </c>
      <c r="E246" t="s">
        <v>333</v>
      </c>
      <c r="F246">
        <v>6286</v>
      </c>
      <c r="G246">
        <v>10599197.272727273</v>
      </c>
      <c r="H246">
        <v>0.55757577581839124</v>
      </c>
      <c r="I246">
        <v>0.60404040404040404</v>
      </c>
      <c r="J246">
        <v>5793595</v>
      </c>
      <c r="K246">
        <v>11434</v>
      </c>
      <c r="L246">
        <v>2</v>
      </c>
      <c r="M246">
        <v>71</v>
      </c>
      <c r="N246">
        <v>0.61616161616161613</v>
      </c>
      <c r="O246">
        <v>2326150.0909090908</v>
      </c>
      <c r="P246">
        <v>11739</v>
      </c>
      <c r="Q246">
        <v>2</v>
      </c>
      <c r="R246">
        <v>72</v>
      </c>
      <c r="S246">
        <v>11.663246656143558</v>
      </c>
      <c r="T246">
        <v>0.76666665673255918</v>
      </c>
      <c r="W246">
        <f>Tabela2[[#This Row],[mlp_params]]</f>
        <v>11434</v>
      </c>
      <c r="X246">
        <f>Tabela2[[#This Row],[kan_test_acc]]</f>
        <v>0.55757577581839124</v>
      </c>
      <c r="Y246">
        <f>Tabela2[[#This Row],[kan_val_acc_1]]</f>
        <v>0.76666665673255918</v>
      </c>
      <c r="Z246">
        <f>Tabela2[[#This Row],[no_steps]]</f>
        <v>11.663246656143558</v>
      </c>
      <c r="AB246">
        <f t="shared" si="4"/>
        <v>11434</v>
      </c>
      <c r="AC246">
        <f>Tabela2[[#This Row],[kan_time_difference]]/Tabela2[[#This Row],[no_steps]]</f>
        <v>908769.02334430162</v>
      </c>
      <c r="AE246">
        <v>11434</v>
      </c>
      <c r="AF246">
        <v>908769.02334430162</v>
      </c>
    </row>
    <row r="247" spans="1:32" hidden="1" x14ac:dyDescent="0.25">
      <c r="A247" t="s">
        <v>314</v>
      </c>
      <c r="B247">
        <v>9</v>
      </c>
      <c r="C247">
        <v>2</v>
      </c>
      <c r="D247">
        <v>0</v>
      </c>
      <c r="E247" t="s">
        <v>323</v>
      </c>
      <c r="F247">
        <v>8457</v>
      </c>
      <c r="G247">
        <v>12627224.666666666</v>
      </c>
      <c r="H247">
        <v>0.88148148854573571</v>
      </c>
      <c r="I247">
        <v>0.65555555555555556</v>
      </c>
      <c r="J247">
        <v>3097479.6666666665</v>
      </c>
      <c r="K247">
        <v>11434</v>
      </c>
      <c r="L247">
        <v>2</v>
      </c>
      <c r="M247">
        <v>71</v>
      </c>
      <c r="N247">
        <v>0.64814814814814814</v>
      </c>
      <c r="O247">
        <v>1751234.3333333333</v>
      </c>
      <c r="P247">
        <v>11739</v>
      </c>
      <c r="Q247">
        <v>2</v>
      </c>
      <c r="R247">
        <v>72</v>
      </c>
      <c r="S247">
        <v>11.645661876100398</v>
      </c>
      <c r="T247">
        <v>0.78518517017364498</v>
      </c>
      <c r="W247">
        <f>Tabela2[[#This Row],[mlp_params]]</f>
        <v>11434</v>
      </c>
      <c r="X247">
        <f>Tabela2[[#This Row],[kan_test_acc]]</f>
        <v>0.88148148854573571</v>
      </c>
      <c r="Y247">
        <f>Tabela2[[#This Row],[kan_val_acc_1]]</f>
        <v>0.78518517017364498</v>
      </c>
      <c r="Z247">
        <f>Tabela2[[#This Row],[no_steps]]</f>
        <v>11.645661876100398</v>
      </c>
      <c r="AB247">
        <f t="shared" si="4"/>
        <v>11434</v>
      </c>
      <c r="AC247">
        <f>Tabela2[[#This Row],[kan_time_difference]]/Tabela2[[#This Row],[no_steps]]</f>
        <v>1084285.7023507322</v>
      </c>
      <c r="AE247">
        <v>11434</v>
      </c>
      <c r="AF247">
        <v>1084285.7023507322</v>
      </c>
    </row>
    <row r="248" spans="1:32" hidden="1" x14ac:dyDescent="0.25">
      <c r="A248" t="s">
        <v>314</v>
      </c>
      <c r="B248">
        <v>9</v>
      </c>
      <c r="C248">
        <v>3</v>
      </c>
      <c r="D248">
        <v>0</v>
      </c>
      <c r="E248" t="s">
        <v>334</v>
      </c>
      <c r="F248">
        <v>7850</v>
      </c>
      <c r="G248">
        <v>12622269</v>
      </c>
      <c r="H248">
        <v>0.68518520394961036</v>
      </c>
      <c r="I248">
        <v>0.67777777777777781</v>
      </c>
      <c r="J248">
        <v>4427954.666666667</v>
      </c>
      <c r="K248">
        <v>11434</v>
      </c>
      <c r="L248">
        <v>2</v>
      </c>
      <c r="M248">
        <v>71</v>
      </c>
      <c r="N248">
        <v>0.6962962962962963</v>
      </c>
      <c r="O248">
        <v>1752210.6666666667</v>
      </c>
      <c r="P248">
        <v>11739</v>
      </c>
      <c r="Q248">
        <v>2</v>
      </c>
      <c r="R248">
        <v>72</v>
      </c>
      <c r="S248">
        <v>11.634180962809749</v>
      </c>
      <c r="T248">
        <v>0.77037036418914795</v>
      </c>
      <c r="W248">
        <f>Tabela2[[#This Row],[mlp_params]]</f>
        <v>11434</v>
      </c>
      <c r="X248">
        <f>Tabela2[[#This Row],[kan_test_acc]]</f>
        <v>0.68518520394961036</v>
      </c>
      <c r="Y248">
        <f>Tabela2[[#This Row],[kan_val_acc_1]]</f>
        <v>0.77037036418914795</v>
      </c>
      <c r="Z248">
        <f>Tabela2[[#This Row],[no_steps]]</f>
        <v>11.634180962809749</v>
      </c>
      <c r="AB248">
        <f t="shared" si="4"/>
        <v>11434</v>
      </c>
      <c r="AC248">
        <f>Tabela2[[#This Row],[kan_time_difference]]/Tabela2[[#This Row],[no_steps]]</f>
        <v>1084929.7462665236</v>
      </c>
      <c r="AE248">
        <v>11434</v>
      </c>
      <c r="AF248">
        <v>1084929.7462665236</v>
      </c>
    </row>
    <row r="249" spans="1:32" x14ac:dyDescent="0.25">
      <c r="A249" t="s">
        <v>314</v>
      </c>
      <c r="B249">
        <v>9</v>
      </c>
      <c r="C249">
        <v>4</v>
      </c>
      <c r="D249">
        <v>0</v>
      </c>
      <c r="E249" t="s">
        <v>326</v>
      </c>
      <c r="F249">
        <v>7473</v>
      </c>
      <c r="G249">
        <v>9827608.3636363633</v>
      </c>
      <c r="H249">
        <v>0.60808082602240821</v>
      </c>
      <c r="I249">
        <v>0.70101010101010108</v>
      </c>
      <c r="J249">
        <v>2986431.1818181816</v>
      </c>
      <c r="K249">
        <v>11434</v>
      </c>
      <c r="L249">
        <v>2</v>
      </c>
      <c r="M249">
        <v>71</v>
      </c>
      <c r="N249">
        <v>0.75757575757575757</v>
      </c>
      <c r="O249">
        <v>1294321.7272727273</v>
      </c>
      <c r="P249">
        <v>11739</v>
      </c>
      <c r="Q249">
        <v>2</v>
      </c>
      <c r="R249">
        <v>72</v>
      </c>
      <c r="S249">
        <v>11.616757580619284</v>
      </c>
      <c r="T249">
        <v>0.72222223281860354</v>
      </c>
      <c r="W249">
        <f>Tabela2[[#This Row],[mlp_params]]</f>
        <v>11434</v>
      </c>
      <c r="X249">
        <f>Tabela2[[#This Row],[kan_test_acc]]</f>
        <v>0.60808082602240821</v>
      </c>
      <c r="Y249">
        <f>Tabela2[[#This Row],[kan_val_acc_1]]</f>
        <v>0.72222223281860354</v>
      </c>
      <c r="Z249">
        <f>Tabela2[[#This Row],[no_steps]]</f>
        <v>11.616757580619284</v>
      </c>
      <c r="AB249">
        <f t="shared" si="4"/>
        <v>11434</v>
      </c>
      <c r="AC249">
        <f>Tabela2[[#This Row],[kan_time_difference]]/Tabela2[[#This Row],[no_steps]]</f>
        <v>845985.49082509626</v>
      </c>
      <c r="AE249">
        <v>11434</v>
      </c>
      <c r="AF249">
        <v>845985.49082509626</v>
      </c>
    </row>
    <row r="250" spans="1:32" hidden="1" x14ac:dyDescent="0.25">
      <c r="A250" t="s">
        <v>314</v>
      </c>
      <c r="B250">
        <v>9</v>
      </c>
      <c r="C250">
        <v>5</v>
      </c>
      <c r="D250">
        <v>0</v>
      </c>
      <c r="E250" t="s">
        <v>317</v>
      </c>
      <c r="F250">
        <v>6984</v>
      </c>
      <c r="G250">
        <v>11637967.833333334</v>
      </c>
      <c r="H250">
        <v>0.86296297113100684</v>
      </c>
      <c r="I250">
        <v>0.76296296296296295</v>
      </c>
      <c r="J250">
        <v>634821.83333333337</v>
      </c>
      <c r="K250">
        <v>11434</v>
      </c>
      <c r="L250">
        <v>2</v>
      </c>
      <c r="M250">
        <v>71</v>
      </c>
      <c r="N250">
        <v>0.71481481481481479</v>
      </c>
      <c r="O250">
        <v>427182</v>
      </c>
      <c r="P250">
        <v>11739</v>
      </c>
      <c r="Q250">
        <v>2</v>
      </c>
      <c r="R250">
        <v>72</v>
      </c>
      <c r="S250">
        <v>11.590387204054162</v>
      </c>
      <c r="T250">
        <v>0.89629629850387571</v>
      </c>
      <c r="W250">
        <f>Tabela2[[#This Row],[mlp_params]]</f>
        <v>11434</v>
      </c>
      <c r="X250">
        <f>Tabela2[[#This Row],[kan_test_acc]]</f>
        <v>0.86296297113100684</v>
      </c>
      <c r="Y250">
        <f>Tabela2[[#This Row],[kan_val_acc_1]]</f>
        <v>0.89629629850387571</v>
      </c>
      <c r="Z250">
        <f>Tabela2[[#This Row],[no_steps]]</f>
        <v>11.590387204054162</v>
      </c>
      <c r="AB250">
        <f t="shared" si="4"/>
        <v>11434</v>
      </c>
      <c r="AC250">
        <f>Tabela2[[#This Row],[kan_time_difference]]/Tabela2[[#This Row],[no_steps]]</f>
        <v>1004105.1803051523</v>
      </c>
      <c r="AE250">
        <v>11434</v>
      </c>
      <c r="AF250">
        <v>1004105.1803051523</v>
      </c>
    </row>
    <row r="251" spans="1:32" hidden="1" x14ac:dyDescent="0.25">
      <c r="A251" t="s">
        <v>314</v>
      </c>
      <c r="B251">
        <v>3</v>
      </c>
      <c r="C251">
        <v>2</v>
      </c>
      <c r="D251">
        <v>0</v>
      </c>
      <c r="E251" t="s">
        <v>355</v>
      </c>
      <c r="F251">
        <v>7419</v>
      </c>
      <c r="G251">
        <v>8559436.166666666</v>
      </c>
      <c r="H251">
        <v>0.92592593034108484</v>
      </c>
      <c r="I251">
        <v>0.7</v>
      </c>
      <c r="J251">
        <v>907132.5</v>
      </c>
      <c r="K251">
        <v>11739</v>
      </c>
      <c r="L251">
        <v>2</v>
      </c>
      <c r="M251">
        <v>72</v>
      </c>
      <c r="N251">
        <v>0.64814814814814814</v>
      </c>
      <c r="O251">
        <v>580027.5</v>
      </c>
      <c r="P251">
        <v>12048</v>
      </c>
      <c r="Q251">
        <v>2</v>
      </c>
      <c r="R251">
        <v>73</v>
      </c>
      <c r="S251">
        <v>11.674812452270787</v>
      </c>
      <c r="T251">
        <v>0.89629629850387571</v>
      </c>
      <c r="W251">
        <f>Tabela2[[#This Row],[mlp_params]]</f>
        <v>11739</v>
      </c>
      <c r="X251">
        <f>Tabela2[[#This Row],[kan_test_acc]]</f>
        <v>0.92592593034108484</v>
      </c>
      <c r="Y251">
        <f>Tabela2[[#This Row],[kan_val_acc_1]]</f>
        <v>0.89629629850387571</v>
      </c>
      <c r="Z251">
        <f>Tabela2[[#This Row],[no_steps]]</f>
        <v>11.674812452270787</v>
      </c>
      <c r="AB251">
        <f t="shared" si="4"/>
        <v>11739</v>
      </c>
      <c r="AC251">
        <f>Tabela2[[#This Row],[kan_time_difference]]/Tabela2[[#This Row],[no_steps]]</f>
        <v>733154.06150287483</v>
      </c>
      <c r="AE251">
        <v>11739</v>
      </c>
      <c r="AF251">
        <v>733154.06150287483</v>
      </c>
    </row>
    <row r="252" spans="1:32" hidden="1" x14ac:dyDescent="0.25">
      <c r="A252" t="s">
        <v>314</v>
      </c>
      <c r="B252">
        <v>3</v>
      </c>
      <c r="C252">
        <v>4</v>
      </c>
      <c r="D252">
        <v>0</v>
      </c>
      <c r="E252" t="s">
        <v>342</v>
      </c>
      <c r="F252">
        <v>6249</v>
      </c>
      <c r="G252">
        <v>13922304.5</v>
      </c>
      <c r="H252">
        <v>0.83750000968575478</v>
      </c>
      <c r="I252">
        <v>0.69444444444444442</v>
      </c>
      <c r="J252">
        <v>1680294.875</v>
      </c>
      <c r="K252">
        <v>11739</v>
      </c>
      <c r="L252">
        <v>2</v>
      </c>
      <c r="M252">
        <v>72</v>
      </c>
      <c r="N252">
        <v>0.65972222222222221</v>
      </c>
      <c r="O252">
        <v>1097393.25</v>
      </c>
      <c r="P252">
        <v>12048</v>
      </c>
      <c r="Q252">
        <v>2</v>
      </c>
      <c r="R252">
        <v>73</v>
      </c>
      <c r="S252">
        <v>11.675730376627948</v>
      </c>
      <c r="T252">
        <v>0.87407408555348709</v>
      </c>
      <c r="W252">
        <f>Tabela2[[#This Row],[mlp_params]]</f>
        <v>11739</v>
      </c>
      <c r="X252">
        <f>Tabela2[[#This Row],[kan_test_acc]]</f>
        <v>0.83750000968575478</v>
      </c>
      <c r="Y252">
        <f>Tabela2[[#This Row],[kan_val_acc_1]]</f>
        <v>0.87407408555348709</v>
      </c>
      <c r="Z252">
        <f>Tabela2[[#This Row],[no_steps]]</f>
        <v>11.675730376627948</v>
      </c>
      <c r="AB252">
        <f t="shared" si="4"/>
        <v>11739</v>
      </c>
      <c r="AC252">
        <f>Tabela2[[#This Row],[kan_time_difference]]/Tabela2[[#This Row],[no_steps]]</f>
        <v>1192414.0118779347</v>
      </c>
      <c r="AE252">
        <v>11739</v>
      </c>
      <c r="AF252">
        <v>1192414.0118779347</v>
      </c>
    </row>
    <row r="253" spans="1:32" hidden="1" x14ac:dyDescent="0.25">
      <c r="A253" t="s">
        <v>314</v>
      </c>
      <c r="B253">
        <v>3</v>
      </c>
      <c r="C253">
        <v>5</v>
      </c>
      <c r="D253">
        <v>0</v>
      </c>
      <c r="E253" t="s">
        <v>321</v>
      </c>
      <c r="F253">
        <v>5946</v>
      </c>
      <c r="G253">
        <v>12209074.666666666</v>
      </c>
      <c r="H253">
        <v>0.71481482684612274</v>
      </c>
      <c r="I253">
        <v>0.68518518518518523</v>
      </c>
      <c r="J253">
        <v>1770043.8333333333</v>
      </c>
      <c r="K253">
        <v>11739</v>
      </c>
      <c r="L253">
        <v>2</v>
      </c>
      <c r="M253">
        <v>72</v>
      </c>
      <c r="N253">
        <v>0.79259259259259263</v>
      </c>
      <c r="O253">
        <v>992106.83333333337</v>
      </c>
      <c r="P253">
        <v>12048</v>
      </c>
      <c r="Q253">
        <v>2</v>
      </c>
      <c r="R253">
        <v>73</v>
      </c>
      <c r="S253">
        <v>11.675845242244684</v>
      </c>
      <c r="T253">
        <v>0.7555555462837219</v>
      </c>
      <c r="W253">
        <f>Tabela2[[#This Row],[mlp_params]]</f>
        <v>11739</v>
      </c>
      <c r="X253">
        <f>Tabela2[[#This Row],[kan_test_acc]]</f>
        <v>0.71481482684612274</v>
      </c>
      <c r="Y253">
        <f>Tabela2[[#This Row],[kan_val_acc_1]]</f>
        <v>0.7555555462837219</v>
      </c>
      <c r="Z253">
        <f>Tabela2[[#This Row],[no_steps]]</f>
        <v>11.675845242244684</v>
      </c>
      <c r="AB253">
        <f t="shared" si="4"/>
        <v>11739</v>
      </c>
      <c r="AC253">
        <f>Tabela2[[#This Row],[kan_time_difference]]/Tabela2[[#This Row],[no_steps]]</f>
        <v>1045669.449479571</v>
      </c>
      <c r="AE253">
        <v>11739</v>
      </c>
      <c r="AF253">
        <v>1045669.449479571</v>
      </c>
    </row>
    <row r="254" spans="1:32" hidden="1" x14ac:dyDescent="0.25">
      <c r="A254" t="s">
        <v>314</v>
      </c>
      <c r="B254">
        <v>5</v>
      </c>
      <c r="C254">
        <v>2</v>
      </c>
      <c r="D254">
        <v>0</v>
      </c>
      <c r="E254" t="s">
        <v>346</v>
      </c>
      <c r="F254">
        <v>8017</v>
      </c>
      <c r="G254">
        <v>12702188.636363637</v>
      </c>
      <c r="H254">
        <v>0.8888888955116272</v>
      </c>
      <c r="I254">
        <v>0.70101010101010097</v>
      </c>
      <c r="J254">
        <v>4802884.9090909092</v>
      </c>
      <c r="K254">
        <v>11739</v>
      </c>
      <c r="L254">
        <v>2</v>
      </c>
      <c r="M254">
        <v>72</v>
      </c>
      <c r="N254">
        <v>0.66868686868686866</v>
      </c>
      <c r="O254">
        <v>3380303.6363636362</v>
      </c>
      <c r="P254">
        <v>12048</v>
      </c>
      <c r="Q254">
        <v>2</v>
      </c>
      <c r="R254">
        <v>73</v>
      </c>
      <c r="S254">
        <v>11.68068449197861</v>
      </c>
      <c r="T254">
        <v>0.86666667461395264</v>
      </c>
      <c r="W254">
        <f>Tabela2[[#This Row],[mlp_params]]</f>
        <v>11739</v>
      </c>
      <c r="X254">
        <f>Tabela2[[#This Row],[kan_test_acc]]</f>
        <v>0.8888888955116272</v>
      </c>
      <c r="Y254">
        <f>Tabela2[[#This Row],[kan_val_acc_1]]</f>
        <v>0.86666667461395264</v>
      </c>
      <c r="Z254">
        <f>Tabela2[[#This Row],[no_steps]]</f>
        <v>11.68068449197861</v>
      </c>
      <c r="AB254">
        <f t="shared" si="4"/>
        <v>11739</v>
      </c>
      <c r="AC254">
        <f>Tabela2[[#This Row],[kan_time_difference]]/Tabela2[[#This Row],[no_steps]]</f>
        <v>1087452.4215671194</v>
      </c>
      <c r="AE254">
        <v>11739</v>
      </c>
      <c r="AF254">
        <v>1087452.4215671194</v>
      </c>
    </row>
    <row r="255" spans="1:32" hidden="1" x14ac:dyDescent="0.25">
      <c r="A255" t="s">
        <v>314</v>
      </c>
      <c r="B255">
        <v>5</v>
      </c>
      <c r="C255">
        <v>3</v>
      </c>
      <c r="D255">
        <v>0</v>
      </c>
      <c r="E255" t="s">
        <v>343</v>
      </c>
      <c r="F255">
        <v>7356</v>
      </c>
      <c r="G255">
        <v>12251885.727272727</v>
      </c>
      <c r="H255">
        <v>0.74141415682705969</v>
      </c>
      <c r="I255">
        <v>0.72121212121212119</v>
      </c>
      <c r="J255">
        <v>4111595.6363636362</v>
      </c>
      <c r="K255">
        <v>11739</v>
      </c>
      <c r="L255">
        <v>2</v>
      </c>
      <c r="M255">
        <v>72</v>
      </c>
      <c r="N255">
        <v>0.70909090909090911</v>
      </c>
      <c r="O255">
        <v>2020100.0909090908</v>
      </c>
      <c r="P255">
        <v>12048</v>
      </c>
      <c r="Q255">
        <v>2</v>
      </c>
      <c r="R255">
        <v>73</v>
      </c>
      <c r="S255">
        <v>11.673459876281671</v>
      </c>
      <c r="T255">
        <v>0.86296296715736387</v>
      </c>
      <c r="W255">
        <f>Tabela2[[#This Row],[mlp_params]]</f>
        <v>11739</v>
      </c>
      <c r="X255">
        <f>Tabela2[[#This Row],[kan_test_acc]]</f>
        <v>0.74141415682705969</v>
      </c>
      <c r="Y255">
        <f>Tabela2[[#This Row],[kan_val_acc_1]]</f>
        <v>0.86296296715736387</v>
      </c>
      <c r="Z255">
        <f>Tabela2[[#This Row],[no_steps]]</f>
        <v>11.673459876281671</v>
      </c>
      <c r="AB255">
        <f t="shared" si="4"/>
        <v>11739</v>
      </c>
      <c r="AC255">
        <f>Tabela2[[#This Row],[kan_time_difference]]/Tabela2[[#This Row],[no_steps]]</f>
        <v>1049550.5066296849</v>
      </c>
      <c r="AE255">
        <v>11739</v>
      </c>
      <c r="AF255">
        <v>1049550.5066296849</v>
      </c>
    </row>
    <row r="256" spans="1:32" hidden="1" x14ac:dyDescent="0.25">
      <c r="A256" t="s">
        <v>314</v>
      </c>
      <c r="B256">
        <v>5</v>
      </c>
      <c r="C256">
        <v>4</v>
      </c>
      <c r="D256">
        <v>0</v>
      </c>
      <c r="E256" t="s">
        <v>322</v>
      </c>
      <c r="F256">
        <v>6869</v>
      </c>
      <c r="G256">
        <v>15906569.1875</v>
      </c>
      <c r="H256">
        <v>0.75694445893168449</v>
      </c>
      <c r="I256">
        <v>0.65138888888888891</v>
      </c>
      <c r="J256">
        <v>3964559.3125</v>
      </c>
      <c r="K256">
        <v>11739</v>
      </c>
      <c r="L256">
        <v>2</v>
      </c>
      <c r="M256">
        <v>72</v>
      </c>
      <c r="N256">
        <v>0.66111111111111109</v>
      </c>
      <c r="O256">
        <v>3231877.125</v>
      </c>
      <c r="P256">
        <v>12048</v>
      </c>
      <c r="Q256">
        <v>2</v>
      </c>
      <c r="R256">
        <v>73</v>
      </c>
      <c r="S256">
        <v>11.671983880446646</v>
      </c>
      <c r="T256">
        <v>0.82469136317571001</v>
      </c>
      <c r="W256">
        <f>Tabela2[[#This Row],[mlp_params]]</f>
        <v>11739</v>
      </c>
      <c r="X256">
        <f>Tabela2[[#This Row],[kan_test_acc]]</f>
        <v>0.75694445893168449</v>
      </c>
      <c r="Y256">
        <f>Tabela2[[#This Row],[kan_val_acc_1]]</f>
        <v>0.82469136317571001</v>
      </c>
      <c r="Z256">
        <f>Tabela2[[#This Row],[no_steps]]</f>
        <v>11.671983880446646</v>
      </c>
      <c r="AB256">
        <f t="shared" si="4"/>
        <v>11739</v>
      </c>
      <c r="AC256">
        <f>Tabela2[[#This Row],[kan_time_difference]]/Tabela2[[#This Row],[no_steps]]</f>
        <v>1362799.1051416111</v>
      </c>
      <c r="AE256">
        <v>11739</v>
      </c>
      <c r="AF256">
        <v>1362799.1051416111</v>
      </c>
    </row>
    <row r="257" spans="1:32" hidden="1" x14ac:dyDescent="0.25">
      <c r="A257" t="s">
        <v>314</v>
      </c>
      <c r="B257">
        <v>9</v>
      </c>
      <c r="C257">
        <v>2</v>
      </c>
      <c r="D257">
        <v>0</v>
      </c>
      <c r="E257" t="s">
        <v>342</v>
      </c>
      <c r="F257">
        <v>8733</v>
      </c>
      <c r="G257">
        <v>10588656.0625</v>
      </c>
      <c r="H257">
        <v>0.84444445371627808</v>
      </c>
      <c r="I257">
        <v>0.72361111111111109</v>
      </c>
      <c r="J257">
        <v>5866952.3125</v>
      </c>
      <c r="K257">
        <v>11739</v>
      </c>
      <c r="L257">
        <v>2</v>
      </c>
      <c r="M257">
        <v>72</v>
      </c>
      <c r="N257">
        <v>0.70138888888888884</v>
      </c>
      <c r="O257">
        <v>2568496</v>
      </c>
      <c r="P257">
        <v>12048</v>
      </c>
      <c r="Q257">
        <v>2</v>
      </c>
      <c r="R257">
        <v>73</v>
      </c>
      <c r="S257">
        <v>11.644666312042228</v>
      </c>
      <c r="T257">
        <v>0.76543209950129187</v>
      </c>
      <c r="W257">
        <f>Tabela2[[#This Row],[mlp_params]]</f>
        <v>11739</v>
      </c>
      <c r="X257">
        <f>Tabela2[[#This Row],[kan_test_acc]]</f>
        <v>0.84444445371627808</v>
      </c>
      <c r="Y257">
        <f>Tabela2[[#This Row],[kan_val_acc_1]]</f>
        <v>0.76543209950129187</v>
      </c>
      <c r="Z257">
        <f>Tabela2[[#This Row],[no_steps]]</f>
        <v>11.644666312042228</v>
      </c>
      <c r="AB257">
        <f t="shared" si="4"/>
        <v>11739</v>
      </c>
      <c r="AC257">
        <f>Tabela2[[#This Row],[kan_time_difference]]/Tabela2[[#This Row],[no_steps]]</f>
        <v>909313.82478086441</v>
      </c>
      <c r="AE257">
        <v>11739</v>
      </c>
      <c r="AF257">
        <v>909313.82478086441</v>
      </c>
    </row>
    <row r="258" spans="1:32" hidden="1" x14ac:dyDescent="0.25">
      <c r="A258" t="s">
        <v>314</v>
      </c>
      <c r="B258">
        <v>9</v>
      </c>
      <c r="C258">
        <v>3</v>
      </c>
      <c r="D258">
        <v>0</v>
      </c>
      <c r="E258" t="s">
        <v>321</v>
      </c>
      <c r="F258">
        <v>8094</v>
      </c>
      <c r="G258">
        <v>13657032.666666666</v>
      </c>
      <c r="H258">
        <v>0.69259260594844818</v>
      </c>
      <c r="I258">
        <v>0.71111111111111103</v>
      </c>
      <c r="J258">
        <v>4094790.3333333335</v>
      </c>
      <c r="K258">
        <v>11739</v>
      </c>
      <c r="L258">
        <v>2</v>
      </c>
      <c r="M258">
        <v>72</v>
      </c>
      <c r="N258">
        <v>0.67407407407407405</v>
      </c>
      <c r="O258">
        <v>2035399.3333333333</v>
      </c>
      <c r="P258">
        <v>12048</v>
      </c>
      <c r="Q258">
        <v>2</v>
      </c>
      <c r="R258">
        <v>73</v>
      </c>
      <c r="S258">
        <v>11.634391598751165</v>
      </c>
      <c r="T258">
        <v>0.88148148059844966</v>
      </c>
      <c r="W258">
        <f>Tabela2[[#This Row],[mlp_params]]</f>
        <v>11739</v>
      </c>
      <c r="X258">
        <f>Tabela2[[#This Row],[kan_test_acc]]</f>
        <v>0.69259260594844818</v>
      </c>
      <c r="Y258">
        <f>Tabela2[[#This Row],[kan_val_acc_1]]</f>
        <v>0.88148148059844966</v>
      </c>
      <c r="Z258">
        <f>Tabela2[[#This Row],[no_steps]]</f>
        <v>11.634391598751165</v>
      </c>
      <c r="AB258">
        <f t="shared" si="4"/>
        <v>11739</v>
      </c>
      <c r="AC258">
        <f>Tabela2[[#This Row],[kan_time_difference]]/Tabela2[[#This Row],[no_steps]]</f>
        <v>1173850.1795085366</v>
      </c>
      <c r="AE258">
        <v>11739</v>
      </c>
      <c r="AF258">
        <v>1173850.1795085366</v>
      </c>
    </row>
    <row r="259" spans="1:32" x14ac:dyDescent="0.25">
      <c r="A259" t="s">
        <v>314</v>
      </c>
      <c r="B259">
        <v>9</v>
      </c>
      <c r="C259">
        <v>4</v>
      </c>
      <c r="D259">
        <v>0</v>
      </c>
      <c r="E259" t="s">
        <v>319</v>
      </c>
      <c r="F259">
        <v>7603</v>
      </c>
      <c r="G259">
        <v>10120984.909090908</v>
      </c>
      <c r="H259">
        <v>0.65252526781775733</v>
      </c>
      <c r="I259">
        <v>0.69494949494949498</v>
      </c>
      <c r="J259">
        <v>3309255.4545454546</v>
      </c>
      <c r="K259">
        <v>11739</v>
      </c>
      <c r="L259">
        <v>2</v>
      </c>
      <c r="M259">
        <v>72</v>
      </c>
      <c r="N259">
        <v>0.74141414141414141</v>
      </c>
      <c r="O259">
        <v>1226572.6363636365</v>
      </c>
      <c r="P259">
        <v>12048</v>
      </c>
      <c r="Q259">
        <v>2</v>
      </c>
      <c r="R259">
        <v>73</v>
      </c>
      <c r="S259">
        <v>11.61560357615363</v>
      </c>
      <c r="T259">
        <v>0.78888888955116276</v>
      </c>
      <c r="W259">
        <f>Tabela2[[#This Row],[mlp_params]]</f>
        <v>11739</v>
      </c>
      <c r="X259">
        <f>Tabela2[[#This Row],[kan_test_acc]]</f>
        <v>0.65252526781775733</v>
      </c>
      <c r="Y259">
        <f>Tabela2[[#This Row],[kan_val_acc_1]]</f>
        <v>0.78888888955116276</v>
      </c>
      <c r="Z259">
        <f>Tabela2[[#This Row],[no_steps]]</f>
        <v>11.61560357615363</v>
      </c>
      <c r="AB259">
        <f t="shared" si="4"/>
        <v>11739</v>
      </c>
      <c r="AC259">
        <f>Tabela2[[#This Row],[kan_time_difference]]/Tabela2[[#This Row],[no_steps]]</f>
        <v>871326.64632846857</v>
      </c>
      <c r="AE259">
        <v>11739</v>
      </c>
      <c r="AF259">
        <v>871326.64632846857</v>
      </c>
    </row>
    <row r="260" spans="1:32" hidden="1" x14ac:dyDescent="0.25">
      <c r="A260" t="s">
        <v>314</v>
      </c>
      <c r="B260">
        <v>9</v>
      </c>
      <c r="C260">
        <v>5</v>
      </c>
      <c r="D260">
        <v>0</v>
      </c>
      <c r="E260" t="s">
        <v>325</v>
      </c>
      <c r="F260">
        <v>7324</v>
      </c>
      <c r="G260">
        <v>8895134.333333334</v>
      </c>
      <c r="H260">
        <v>0.59629631042480469</v>
      </c>
      <c r="I260">
        <v>0.73333333333333339</v>
      </c>
      <c r="J260">
        <v>984772.83333333337</v>
      </c>
      <c r="K260">
        <v>11739</v>
      </c>
      <c r="L260">
        <v>2</v>
      </c>
      <c r="M260">
        <v>72</v>
      </c>
      <c r="N260">
        <v>0.72592592592592586</v>
      </c>
      <c r="O260">
        <v>849664.33333333337</v>
      </c>
      <c r="P260">
        <v>12048</v>
      </c>
      <c r="Q260">
        <v>2</v>
      </c>
      <c r="R260">
        <v>73</v>
      </c>
      <c r="S260">
        <v>11.58969284357188</v>
      </c>
      <c r="T260">
        <v>0.70370370149612427</v>
      </c>
      <c r="W260">
        <f>Tabela2[[#This Row],[mlp_params]]</f>
        <v>11739</v>
      </c>
      <c r="X260">
        <f>Tabela2[[#This Row],[kan_test_acc]]</f>
        <v>0.59629631042480469</v>
      </c>
      <c r="Y260">
        <f>Tabela2[[#This Row],[kan_val_acc_1]]</f>
        <v>0.70370370149612427</v>
      </c>
      <c r="Z260">
        <f>Tabela2[[#This Row],[no_steps]]</f>
        <v>11.58969284357188</v>
      </c>
      <c r="AB260">
        <f t="shared" si="4"/>
        <v>11739</v>
      </c>
      <c r="AC260">
        <f>Tabela2[[#This Row],[kan_time_difference]]/Tabela2[[#This Row],[no_steps]]</f>
        <v>767503.88930858858</v>
      </c>
      <c r="AE260">
        <v>11739</v>
      </c>
      <c r="AF260">
        <v>767503.88930858858</v>
      </c>
    </row>
    <row r="261" spans="1:32" hidden="1" x14ac:dyDescent="0.25">
      <c r="A261" t="s">
        <v>314</v>
      </c>
      <c r="B261">
        <v>3</v>
      </c>
      <c r="C261">
        <v>3</v>
      </c>
      <c r="D261">
        <v>0</v>
      </c>
      <c r="E261" t="s">
        <v>338</v>
      </c>
      <c r="F261">
        <v>6896</v>
      </c>
      <c r="G261">
        <v>12450640.363636363</v>
      </c>
      <c r="H261">
        <v>0.92323232780803333</v>
      </c>
      <c r="I261">
        <v>0.68888888888888888</v>
      </c>
      <c r="J261">
        <v>1486446.0909090908</v>
      </c>
      <c r="K261">
        <v>12048</v>
      </c>
      <c r="L261">
        <v>2</v>
      </c>
      <c r="M261">
        <v>73</v>
      </c>
      <c r="N261">
        <v>0.6707070707070707</v>
      </c>
      <c r="O261">
        <v>1372000.0909090908</v>
      </c>
      <c r="P261">
        <v>12361</v>
      </c>
      <c r="Q261">
        <v>2</v>
      </c>
      <c r="R261">
        <v>74</v>
      </c>
      <c r="S261">
        <v>11.675391041592606</v>
      </c>
      <c r="T261">
        <v>0.94444445371627805</v>
      </c>
      <c r="W261">
        <f>Tabela2[[#This Row],[mlp_params]]</f>
        <v>12048</v>
      </c>
      <c r="X261">
        <f>Tabela2[[#This Row],[kan_test_acc]]</f>
        <v>0.92323232780803333</v>
      </c>
      <c r="Y261">
        <f>Tabela2[[#This Row],[kan_val_acc_1]]</f>
        <v>0.94444445371627805</v>
      </c>
      <c r="Z261">
        <f>Tabela2[[#This Row],[no_steps]]</f>
        <v>11.675391041592606</v>
      </c>
      <c r="AB261">
        <f t="shared" si="4"/>
        <v>12048</v>
      </c>
      <c r="AC261">
        <f>Tabela2[[#This Row],[kan_time_difference]]/Tabela2[[#This Row],[no_steps]]</f>
        <v>1066400.2875177367</v>
      </c>
      <c r="AE261">
        <v>12048</v>
      </c>
      <c r="AF261">
        <v>1066400.2875177367</v>
      </c>
    </row>
    <row r="262" spans="1:32" hidden="1" x14ac:dyDescent="0.25">
      <c r="A262" t="s">
        <v>314</v>
      </c>
      <c r="B262">
        <v>3</v>
      </c>
      <c r="C262">
        <v>4</v>
      </c>
      <c r="D262">
        <v>0</v>
      </c>
      <c r="E262" t="s">
        <v>330</v>
      </c>
      <c r="F262">
        <v>6493</v>
      </c>
      <c r="G262">
        <v>16338808.333333334</v>
      </c>
      <c r="H262">
        <v>0.87407408157984412</v>
      </c>
      <c r="I262">
        <v>0.67037037037037039</v>
      </c>
      <c r="J262">
        <v>1491394.3333333333</v>
      </c>
      <c r="K262">
        <v>12048</v>
      </c>
      <c r="L262">
        <v>2</v>
      </c>
      <c r="M262">
        <v>73</v>
      </c>
      <c r="N262">
        <v>0.65925925925925921</v>
      </c>
      <c r="O262">
        <v>655776</v>
      </c>
      <c r="P262">
        <v>12361</v>
      </c>
      <c r="Q262">
        <v>2</v>
      </c>
      <c r="R262">
        <v>74</v>
      </c>
      <c r="S262">
        <v>11.676123867335269</v>
      </c>
      <c r="T262">
        <v>0.92592593431472781</v>
      </c>
      <c r="W262">
        <f>Tabela2[[#This Row],[mlp_params]]</f>
        <v>12048</v>
      </c>
      <c r="X262">
        <f>Tabela2[[#This Row],[kan_test_acc]]</f>
        <v>0.87407408157984412</v>
      </c>
      <c r="Y262">
        <f>Tabela2[[#This Row],[kan_val_acc_1]]</f>
        <v>0.92592593431472781</v>
      </c>
      <c r="Z262">
        <f>Tabela2[[#This Row],[no_steps]]</f>
        <v>11.676123867335269</v>
      </c>
      <c r="AB262">
        <f t="shared" si="4"/>
        <v>12048</v>
      </c>
      <c r="AC262">
        <f>Tabela2[[#This Row],[kan_time_difference]]/Tabela2[[#This Row],[no_steps]]</f>
        <v>1399334.9607263275</v>
      </c>
      <c r="AE262">
        <v>12048</v>
      </c>
      <c r="AF262">
        <v>1399334.9607263275</v>
      </c>
    </row>
    <row r="263" spans="1:32" hidden="1" x14ac:dyDescent="0.25">
      <c r="A263" t="s">
        <v>314</v>
      </c>
      <c r="B263">
        <v>5</v>
      </c>
      <c r="C263">
        <v>3</v>
      </c>
      <c r="D263">
        <v>0</v>
      </c>
      <c r="E263" t="s">
        <v>331</v>
      </c>
      <c r="F263">
        <v>7536</v>
      </c>
      <c r="G263">
        <v>13422105.166666666</v>
      </c>
      <c r="H263">
        <v>0.78148149450620019</v>
      </c>
      <c r="I263">
        <v>0.67777777777777781</v>
      </c>
      <c r="J263">
        <v>3065301.8333333335</v>
      </c>
      <c r="K263">
        <v>12048</v>
      </c>
      <c r="L263">
        <v>2</v>
      </c>
      <c r="M263">
        <v>73</v>
      </c>
      <c r="N263">
        <v>0.65925925925925932</v>
      </c>
      <c r="O263">
        <v>2708104</v>
      </c>
      <c r="P263">
        <v>12361</v>
      </c>
      <c r="Q263">
        <v>2</v>
      </c>
      <c r="R263">
        <v>74</v>
      </c>
      <c r="S263">
        <v>11.673203998644528</v>
      </c>
      <c r="T263">
        <v>0.92592593431472781</v>
      </c>
      <c r="W263">
        <f>Tabela2[[#This Row],[mlp_params]]</f>
        <v>12048</v>
      </c>
      <c r="X263">
        <f>Tabela2[[#This Row],[kan_test_acc]]</f>
        <v>0.78148149450620019</v>
      </c>
      <c r="Y263">
        <f>Tabela2[[#This Row],[kan_val_acc_1]]</f>
        <v>0.92592593431472781</v>
      </c>
      <c r="Z263">
        <f>Tabela2[[#This Row],[no_steps]]</f>
        <v>11.673203998644528</v>
      </c>
      <c r="AB263">
        <f t="shared" si="4"/>
        <v>12048</v>
      </c>
      <c r="AC263">
        <f>Tabela2[[#This Row],[kan_time_difference]]/Tabela2[[#This Row],[no_steps]]</f>
        <v>1149821.8628086357</v>
      </c>
      <c r="AE263">
        <v>12048</v>
      </c>
      <c r="AF263">
        <v>1149821.8628086357</v>
      </c>
    </row>
    <row r="264" spans="1:32" hidden="1" x14ac:dyDescent="0.25">
      <c r="A264" t="s">
        <v>314</v>
      </c>
      <c r="B264">
        <v>5</v>
      </c>
      <c r="C264">
        <v>4</v>
      </c>
      <c r="D264">
        <v>0</v>
      </c>
      <c r="E264" t="s">
        <v>328</v>
      </c>
      <c r="F264">
        <v>6915</v>
      </c>
      <c r="G264">
        <v>12978727.090909092</v>
      </c>
      <c r="H264">
        <v>0.7030303207310763</v>
      </c>
      <c r="I264">
        <v>0.63838383838383839</v>
      </c>
      <c r="J264">
        <v>3912707</v>
      </c>
      <c r="K264">
        <v>12048</v>
      </c>
      <c r="L264">
        <v>2</v>
      </c>
      <c r="M264">
        <v>73</v>
      </c>
      <c r="N264">
        <v>0.69292929292929295</v>
      </c>
      <c r="O264">
        <v>2930671.0909090908</v>
      </c>
      <c r="P264">
        <v>12361</v>
      </c>
      <c r="Q264">
        <v>2</v>
      </c>
      <c r="R264">
        <v>74</v>
      </c>
      <c r="S264">
        <v>11.671338060672177</v>
      </c>
      <c r="T264">
        <v>0.80740740895271301</v>
      </c>
      <c r="W264">
        <f>Tabela2[[#This Row],[mlp_params]]</f>
        <v>12048</v>
      </c>
      <c r="X264">
        <f>Tabela2[[#This Row],[kan_test_acc]]</f>
        <v>0.7030303207310763</v>
      </c>
      <c r="Y264">
        <f>Tabela2[[#This Row],[kan_val_acc_1]]</f>
        <v>0.80740740895271301</v>
      </c>
      <c r="Z264">
        <f>Tabela2[[#This Row],[no_steps]]</f>
        <v>11.671338060672177</v>
      </c>
      <c r="AB264">
        <f t="shared" si="4"/>
        <v>12048</v>
      </c>
      <c r="AC264">
        <f>Tabela2[[#This Row],[kan_time_difference]]/Tabela2[[#This Row],[no_steps]]</f>
        <v>1112017.0646622174</v>
      </c>
      <c r="AE264">
        <v>12048</v>
      </c>
      <c r="AF264">
        <v>1112017.0646622174</v>
      </c>
    </row>
    <row r="265" spans="1:32" hidden="1" x14ac:dyDescent="0.25">
      <c r="A265" t="s">
        <v>314</v>
      </c>
      <c r="B265">
        <v>5</v>
      </c>
      <c r="C265">
        <v>5</v>
      </c>
      <c r="D265">
        <v>0</v>
      </c>
      <c r="E265" t="s">
        <v>320</v>
      </c>
      <c r="F265">
        <v>6602</v>
      </c>
      <c r="G265">
        <v>18273947.166666668</v>
      </c>
      <c r="H265">
        <v>0.76296297709147132</v>
      </c>
      <c r="I265">
        <v>0.66666666666666663</v>
      </c>
      <c r="J265">
        <v>3028797.3333333335</v>
      </c>
      <c r="K265">
        <v>12048</v>
      </c>
      <c r="L265">
        <v>2</v>
      </c>
      <c r="M265">
        <v>73</v>
      </c>
      <c r="N265">
        <v>0.64814814814814814</v>
      </c>
      <c r="O265">
        <v>3061085.6666666665</v>
      </c>
      <c r="P265">
        <v>12361</v>
      </c>
      <c r="Q265">
        <v>2</v>
      </c>
      <c r="R265">
        <v>74</v>
      </c>
      <c r="S265">
        <v>11.663828903654485</v>
      </c>
      <c r="T265">
        <v>0.83703703880310054</v>
      </c>
      <c r="W265">
        <f>Tabela2[[#This Row],[mlp_params]]</f>
        <v>12048</v>
      </c>
      <c r="X265">
        <f>Tabela2[[#This Row],[kan_test_acc]]</f>
        <v>0.76296297709147132</v>
      </c>
      <c r="Y265">
        <f>Tabela2[[#This Row],[kan_val_acc_1]]</f>
        <v>0.83703703880310054</v>
      </c>
      <c r="Z265">
        <f>Tabela2[[#This Row],[no_steps]]</f>
        <v>11.663828903654485</v>
      </c>
      <c r="AB265">
        <f t="shared" si="4"/>
        <v>12048</v>
      </c>
      <c r="AC265">
        <f>Tabela2[[#This Row],[kan_time_difference]]/Tabela2[[#This Row],[no_steps]]</f>
        <v>1566719.4124342063</v>
      </c>
      <c r="AE265">
        <v>12048</v>
      </c>
      <c r="AF265">
        <v>1566719.4124342063</v>
      </c>
    </row>
    <row r="266" spans="1:32" hidden="1" x14ac:dyDescent="0.25">
      <c r="A266" t="s">
        <v>314</v>
      </c>
      <c r="B266">
        <v>9</v>
      </c>
      <c r="C266">
        <v>2</v>
      </c>
      <c r="D266">
        <v>0</v>
      </c>
      <c r="E266" t="s">
        <v>330</v>
      </c>
      <c r="F266">
        <v>9073</v>
      </c>
      <c r="G266">
        <v>11931357</v>
      </c>
      <c r="H266">
        <v>0.63333335518836975</v>
      </c>
      <c r="I266">
        <v>0.73703703703703705</v>
      </c>
      <c r="J266">
        <v>4685137.333333333</v>
      </c>
      <c r="K266">
        <v>12048</v>
      </c>
      <c r="L266">
        <v>2</v>
      </c>
      <c r="M266">
        <v>73</v>
      </c>
      <c r="N266">
        <v>0.67407407407407405</v>
      </c>
      <c r="O266">
        <v>1900365.1666666667</v>
      </c>
      <c r="P266">
        <v>12361</v>
      </c>
      <c r="Q266">
        <v>2</v>
      </c>
      <c r="R266">
        <v>74</v>
      </c>
      <c r="S266">
        <v>11.64434444671712</v>
      </c>
      <c r="T266">
        <v>0.83703703880310054</v>
      </c>
      <c r="W266">
        <f>Tabela2[[#This Row],[mlp_params]]</f>
        <v>12048</v>
      </c>
      <c r="X266">
        <f>Tabela2[[#This Row],[kan_test_acc]]</f>
        <v>0.63333335518836975</v>
      </c>
      <c r="Y266">
        <f>Tabela2[[#This Row],[kan_val_acc_1]]</f>
        <v>0.83703703880310054</v>
      </c>
      <c r="Z266">
        <f>Tabela2[[#This Row],[no_steps]]</f>
        <v>11.64434444671712</v>
      </c>
      <c r="AB266">
        <f t="shared" si="4"/>
        <v>12048</v>
      </c>
      <c r="AC266">
        <f>Tabela2[[#This Row],[kan_time_difference]]/Tabela2[[#This Row],[no_steps]]</f>
        <v>1024648.2362829619</v>
      </c>
      <c r="AE266">
        <v>12048</v>
      </c>
      <c r="AF266">
        <v>1024648.2362829619</v>
      </c>
    </row>
    <row r="267" spans="1:32" x14ac:dyDescent="0.25">
      <c r="A267" t="s">
        <v>314</v>
      </c>
      <c r="B267">
        <v>9</v>
      </c>
      <c r="C267">
        <v>4</v>
      </c>
      <c r="D267">
        <v>0</v>
      </c>
      <c r="E267" t="s">
        <v>333</v>
      </c>
      <c r="F267">
        <v>7729</v>
      </c>
      <c r="G267">
        <v>11322620.636363637</v>
      </c>
      <c r="H267">
        <v>0.63030304692008277</v>
      </c>
      <c r="I267">
        <v>0.71313131313131317</v>
      </c>
      <c r="J267">
        <v>2795796.4545454546</v>
      </c>
      <c r="K267">
        <v>12048</v>
      </c>
      <c r="L267">
        <v>2</v>
      </c>
      <c r="M267">
        <v>73</v>
      </c>
      <c r="N267">
        <v>0.66868686868686866</v>
      </c>
      <c r="O267">
        <v>2159038</v>
      </c>
      <c r="P267">
        <v>12361</v>
      </c>
      <c r="Q267">
        <v>2</v>
      </c>
      <c r="R267">
        <v>74</v>
      </c>
      <c r="S267">
        <v>11.615091768854693</v>
      </c>
      <c r="T267">
        <v>0.71481482386589046</v>
      </c>
      <c r="W267">
        <f>Tabela2[[#This Row],[mlp_params]]</f>
        <v>12048</v>
      </c>
      <c r="X267">
        <f>Tabela2[[#This Row],[kan_test_acc]]</f>
        <v>0.63030304692008277</v>
      </c>
      <c r="Y267">
        <f>Tabela2[[#This Row],[kan_val_acc_1]]</f>
        <v>0.71481482386589046</v>
      </c>
      <c r="Z267">
        <f>Tabela2[[#This Row],[no_steps]]</f>
        <v>11.615091768854693</v>
      </c>
      <c r="AB267">
        <f t="shared" si="4"/>
        <v>12048</v>
      </c>
      <c r="AC267">
        <f>Tabela2[[#This Row],[kan_time_difference]]/Tabela2[[#This Row],[no_steps]]</f>
        <v>974819.73123317852</v>
      </c>
      <c r="AE267">
        <v>12048</v>
      </c>
      <c r="AF267">
        <v>974819.73123317852</v>
      </c>
    </row>
    <row r="268" spans="1:32" hidden="1" x14ac:dyDescent="0.25">
      <c r="A268" t="s">
        <v>314</v>
      </c>
      <c r="B268">
        <v>9</v>
      </c>
      <c r="C268">
        <v>5</v>
      </c>
      <c r="D268">
        <v>0</v>
      </c>
      <c r="E268" t="s">
        <v>359</v>
      </c>
      <c r="F268">
        <v>7374</v>
      </c>
      <c r="G268">
        <v>9574854.666666666</v>
      </c>
      <c r="H268">
        <v>0.52962964276472724</v>
      </c>
      <c r="I268">
        <v>0.76666666666666661</v>
      </c>
      <c r="J268">
        <v>855732.16666666663</v>
      </c>
      <c r="K268">
        <v>12048</v>
      </c>
      <c r="L268">
        <v>2</v>
      </c>
      <c r="M268">
        <v>73</v>
      </c>
      <c r="N268">
        <v>0.7407407407407407</v>
      </c>
      <c r="O268">
        <v>1183506</v>
      </c>
      <c r="P268">
        <v>12361</v>
      </c>
      <c r="Q268">
        <v>2</v>
      </c>
      <c r="R268">
        <v>74</v>
      </c>
      <c r="S268">
        <v>11.589038385437277</v>
      </c>
      <c r="T268">
        <v>0.70370370149612427</v>
      </c>
      <c r="W268">
        <f>Tabela2[[#This Row],[mlp_params]]</f>
        <v>12048</v>
      </c>
      <c r="X268">
        <f>Tabela2[[#This Row],[kan_test_acc]]</f>
        <v>0.52962964276472724</v>
      </c>
      <c r="Y268">
        <f>Tabela2[[#This Row],[kan_val_acc_1]]</f>
        <v>0.70370370149612427</v>
      </c>
      <c r="Z268">
        <f>Tabela2[[#This Row],[no_steps]]</f>
        <v>11.589038385437277</v>
      </c>
      <c r="AB268">
        <f t="shared" si="4"/>
        <v>12048</v>
      </c>
      <c r="AC268">
        <f>Tabela2[[#This Row],[kan_time_difference]]/Tabela2[[#This Row],[no_steps]]</f>
        <v>826199.23657327576</v>
      </c>
      <c r="AE268">
        <v>12048</v>
      </c>
      <c r="AF268">
        <v>826199.23657327576</v>
      </c>
    </row>
    <row r="269" spans="1:32" hidden="1" x14ac:dyDescent="0.25">
      <c r="A269" t="s">
        <v>314</v>
      </c>
      <c r="B269">
        <v>3</v>
      </c>
      <c r="C269">
        <v>3</v>
      </c>
      <c r="D269">
        <v>0</v>
      </c>
      <c r="E269" t="s">
        <v>352</v>
      </c>
      <c r="F269">
        <v>7038</v>
      </c>
      <c r="G269">
        <v>11995791.727272727</v>
      </c>
      <c r="H269">
        <v>0.8888888955116272</v>
      </c>
      <c r="I269">
        <v>0.70505050505050504</v>
      </c>
      <c r="J269">
        <v>895756.63636363635</v>
      </c>
      <c r="K269">
        <v>12361</v>
      </c>
      <c r="L269">
        <v>2</v>
      </c>
      <c r="M269">
        <v>74</v>
      </c>
      <c r="N269">
        <v>0.68888888888888888</v>
      </c>
      <c r="O269">
        <v>560120.36363636365</v>
      </c>
      <c r="P269">
        <v>12678</v>
      </c>
      <c r="Q269">
        <v>2</v>
      </c>
      <c r="R269">
        <v>75</v>
      </c>
      <c r="S269">
        <v>11.675549633577615</v>
      </c>
      <c r="T269">
        <v>0.92222222089767458</v>
      </c>
      <c r="W269">
        <f>Tabela2[[#This Row],[mlp_params]]</f>
        <v>12361</v>
      </c>
      <c r="X269">
        <f>Tabela2[[#This Row],[kan_test_acc]]</f>
        <v>0.8888888955116272</v>
      </c>
      <c r="Y269">
        <f>Tabela2[[#This Row],[kan_val_acc_1]]</f>
        <v>0.92222222089767458</v>
      </c>
      <c r="Z269">
        <f>Tabela2[[#This Row],[no_steps]]</f>
        <v>11.675549633577615</v>
      </c>
      <c r="AB269">
        <f t="shared" si="4"/>
        <v>12361</v>
      </c>
      <c r="AC269">
        <f>Tabela2[[#This Row],[kan_time_difference]]/Tabela2[[#This Row],[no_steps]]</f>
        <v>1027428.4383815328</v>
      </c>
      <c r="AE269">
        <v>12361</v>
      </c>
      <c r="AF269">
        <v>1027428.4383815328</v>
      </c>
    </row>
    <row r="270" spans="1:32" hidden="1" x14ac:dyDescent="0.25">
      <c r="A270" t="s">
        <v>314</v>
      </c>
      <c r="B270">
        <v>3</v>
      </c>
      <c r="C270">
        <v>4</v>
      </c>
      <c r="D270">
        <v>0</v>
      </c>
      <c r="E270" t="s">
        <v>343</v>
      </c>
      <c r="F270">
        <v>6691</v>
      </c>
      <c r="G270">
        <v>15177377</v>
      </c>
      <c r="H270">
        <v>0.83888889849185944</v>
      </c>
      <c r="I270">
        <v>0.68888888888888888</v>
      </c>
      <c r="J270">
        <v>1494549.125</v>
      </c>
      <c r="K270">
        <v>12361</v>
      </c>
      <c r="L270">
        <v>2</v>
      </c>
      <c r="M270">
        <v>74</v>
      </c>
      <c r="N270">
        <v>0.68333333333333335</v>
      </c>
      <c r="O270">
        <v>792214.75</v>
      </c>
      <c r="P270">
        <v>12678</v>
      </c>
      <c r="Q270">
        <v>2</v>
      </c>
      <c r="R270">
        <v>75</v>
      </c>
      <c r="S270">
        <v>11.676615384615385</v>
      </c>
      <c r="T270">
        <v>0.87901235421498614</v>
      </c>
      <c r="W270">
        <f>Tabela2[[#This Row],[mlp_params]]</f>
        <v>12361</v>
      </c>
      <c r="X270">
        <f>Tabela2[[#This Row],[kan_test_acc]]</f>
        <v>0.83888889849185944</v>
      </c>
      <c r="Y270">
        <f>Tabela2[[#This Row],[kan_val_acc_1]]</f>
        <v>0.87901235421498614</v>
      </c>
      <c r="Z270">
        <f>Tabela2[[#This Row],[no_steps]]</f>
        <v>11.676615384615385</v>
      </c>
      <c r="AB270">
        <f t="shared" si="4"/>
        <v>12361</v>
      </c>
      <c r="AC270">
        <f>Tabela2[[#This Row],[kan_time_difference]]/Tabela2[[#This Row],[no_steps]]</f>
        <v>1299809.6194893145</v>
      </c>
      <c r="AE270">
        <v>12361</v>
      </c>
      <c r="AF270">
        <v>1299809.6194893145</v>
      </c>
    </row>
    <row r="271" spans="1:32" hidden="1" x14ac:dyDescent="0.25">
      <c r="A271" t="s">
        <v>314</v>
      </c>
      <c r="B271">
        <v>3</v>
      </c>
      <c r="C271">
        <v>5</v>
      </c>
      <c r="D271">
        <v>0</v>
      </c>
      <c r="E271" t="s">
        <v>322</v>
      </c>
      <c r="F271">
        <v>6300</v>
      </c>
      <c r="G271">
        <v>17064014.625</v>
      </c>
      <c r="H271">
        <v>0.76805556751787663</v>
      </c>
      <c r="I271">
        <v>0.69305555555555554</v>
      </c>
      <c r="J271">
        <v>3091045.9375</v>
      </c>
      <c r="K271">
        <v>12361</v>
      </c>
      <c r="L271">
        <v>2</v>
      </c>
      <c r="M271">
        <v>74</v>
      </c>
      <c r="N271">
        <v>0.67777777777777781</v>
      </c>
      <c r="O271">
        <v>1643602.875</v>
      </c>
      <c r="P271">
        <v>12678</v>
      </c>
      <c r="Q271">
        <v>2</v>
      </c>
      <c r="R271">
        <v>75</v>
      </c>
      <c r="S271">
        <v>11.676158133054685</v>
      </c>
      <c r="T271">
        <v>0.7827160517374675</v>
      </c>
      <c r="W271">
        <f>Tabela2[[#This Row],[mlp_params]]</f>
        <v>12361</v>
      </c>
      <c r="X271">
        <f>Tabela2[[#This Row],[kan_test_acc]]</f>
        <v>0.76805556751787663</v>
      </c>
      <c r="Y271">
        <f>Tabela2[[#This Row],[kan_val_acc_1]]</f>
        <v>0.7827160517374675</v>
      </c>
      <c r="Z271">
        <f>Tabela2[[#This Row],[no_steps]]</f>
        <v>11.676158133054685</v>
      </c>
      <c r="AB271">
        <f t="shared" si="4"/>
        <v>12361</v>
      </c>
      <c r="AC271">
        <f>Tabela2[[#This Row],[kan_time_difference]]/Tabela2[[#This Row],[no_steps]]</f>
        <v>1461440.8635570405</v>
      </c>
      <c r="AE271">
        <v>12361</v>
      </c>
      <c r="AF271">
        <v>1461440.8635570405</v>
      </c>
    </row>
    <row r="272" spans="1:32" hidden="1" x14ac:dyDescent="0.25">
      <c r="A272" t="s">
        <v>314</v>
      </c>
      <c r="B272">
        <v>5</v>
      </c>
      <c r="C272">
        <v>2</v>
      </c>
      <c r="D272">
        <v>0</v>
      </c>
      <c r="E272" t="s">
        <v>347</v>
      </c>
      <c r="F272">
        <v>8459</v>
      </c>
      <c r="G272">
        <v>18658079.5</v>
      </c>
      <c r="H272">
        <v>0.90000000596046448</v>
      </c>
      <c r="I272">
        <v>0.65555555555555556</v>
      </c>
      <c r="J272">
        <v>3438146.1666666665</v>
      </c>
      <c r="K272">
        <v>12361</v>
      </c>
      <c r="L272">
        <v>2</v>
      </c>
      <c r="M272">
        <v>74</v>
      </c>
      <c r="N272">
        <v>0.72962962962962963</v>
      </c>
      <c r="O272">
        <v>2022575.5</v>
      </c>
      <c r="P272">
        <v>12678</v>
      </c>
      <c r="Q272">
        <v>2</v>
      </c>
      <c r="R272">
        <v>75</v>
      </c>
      <c r="S272">
        <v>11.682006757623711</v>
      </c>
      <c r="T272">
        <v>0.8888888955116272</v>
      </c>
      <c r="W272">
        <f>Tabela2[[#This Row],[mlp_params]]</f>
        <v>12361</v>
      </c>
      <c r="X272">
        <f>Tabela2[[#This Row],[kan_test_acc]]</f>
        <v>0.90000000596046448</v>
      </c>
      <c r="Y272">
        <f>Tabela2[[#This Row],[kan_val_acc_1]]</f>
        <v>0.8888888955116272</v>
      </c>
      <c r="Z272">
        <f>Tabela2[[#This Row],[no_steps]]</f>
        <v>11.682006757623711</v>
      </c>
      <c r="AB272">
        <f t="shared" si="4"/>
        <v>12361</v>
      </c>
      <c r="AC272">
        <f>Tabela2[[#This Row],[kan_time_difference]]/Tabela2[[#This Row],[no_steps]]</f>
        <v>1597163.9023255729</v>
      </c>
      <c r="AE272">
        <v>12361</v>
      </c>
      <c r="AF272">
        <v>1597163.9023255729</v>
      </c>
    </row>
    <row r="273" spans="1:32" hidden="1" x14ac:dyDescent="0.25">
      <c r="A273" t="s">
        <v>314</v>
      </c>
      <c r="B273">
        <v>5</v>
      </c>
      <c r="C273">
        <v>4</v>
      </c>
      <c r="D273">
        <v>0</v>
      </c>
      <c r="E273" t="s">
        <v>323</v>
      </c>
      <c r="F273">
        <v>7255</v>
      </c>
      <c r="G273">
        <v>15308888.3125</v>
      </c>
      <c r="H273">
        <v>0.65277779288589954</v>
      </c>
      <c r="I273">
        <v>0.67083333333333328</v>
      </c>
      <c r="J273">
        <v>4806421.5625</v>
      </c>
      <c r="K273">
        <v>12361</v>
      </c>
      <c r="L273">
        <v>2</v>
      </c>
      <c r="M273">
        <v>74</v>
      </c>
      <c r="N273">
        <v>0.65416666666666667</v>
      </c>
      <c r="O273">
        <v>2774593.8125</v>
      </c>
      <c r="P273">
        <v>12678</v>
      </c>
      <c r="Q273">
        <v>2</v>
      </c>
      <c r="R273">
        <v>75</v>
      </c>
      <c r="S273">
        <v>11.671516625435029</v>
      </c>
      <c r="T273">
        <v>0.8</v>
      </c>
      <c r="W273">
        <f>Tabela2[[#This Row],[mlp_params]]</f>
        <v>12361</v>
      </c>
      <c r="X273">
        <f>Tabela2[[#This Row],[kan_test_acc]]</f>
        <v>0.65277779288589954</v>
      </c>
      <c r="Y273">
        <f>Tabela2[[#This Row],[kan_val_acc_1]]</f>
        <v>0.8</v>
      </c>
      <c r="Z273">
        <f>Tabela2[[#This Row],[no_steps]]</f>
        <v>11.671516625435029</v>
      </c>
      <c r="AB273">
        <f t="shared" si="4"/>
        <v>12361</v>
      </c>
      <c r="AC273">
        <f>Tabela2[[#This Row],[kan_time_difference]]/Tabela2[[#This Row],[no_steps]]</f>
        <v>1311645.1617897085</v>
      </c>
      <c r="AE273">
        <v>12361</v>
      </c>
      <c r="AF273">
        <v>1311645.1617897085</v>
      </c>
    </row>
    <row r="274" spans="1:32" hidden="1" x14ac:dyDescent="0.25">
      <c r="A274" t="s">
        <v>314</v>
      </c>
      <c r="B274">
        <v>5</v>
      </c>
      <c r="C274">
        <v>5</v>
      </c>
      <c r="D274">
        <v>0</v>
      </c>
      <c r="E274" t="s">
        <v>334</v>
      </c>
      <c r="F274">
        <v>6808</v>
      </c>
      <c r="G274">
        <v>15606147.545454545</v>
      </c>
      <c r="H274">
        <v>0.71515153212980787</v>
      </c>
      <c r="I274">
        <v>0.69696969696969691</v>
      </c>
      <c r="J274">
        <v>5212018</v>
      </c>
      <c r="K274">
        <v>12361</v>
      </c>
      <c r="L274">
        <v>2</v>
      </c>
      <c r="M274">
        <v>74</v>
      </c>
      <c r="N274">
        <v>0.6767676767676768</v>
      </c>
      <c r="O274">
        <v>2701548.3636363638</v>
      </c>
      <c r="P274">
        <v>12678</v>
      </c>
      <c r="Q274">
        <v>2</v>
      </c>
      <c r="R274">
        <v>75</v>
      </c>
      <c r="S274">
        <v>11.663774853679797</v>
      </c>
      <c r="T274">
        <v>0.83333333730697634</v>
      </c>
      <c r="W274">
        <f>Tabela2[[#This Row],[mlp_params]]</f>
        <v>12361</v>
      </c>
      <c r="X274">
        <f>Tabela2[[#This Row],[kan_test_acc]]</f>
        <v>0.71515153212980787</v>
      </c>
      <c r="Y274">
        <f>Tabela2[[#This Row],[kan_val_acc_1]]</f>
        <v>0.83333333730697634</v>
      </c>
      <c r="Z274">
        <f>Tabela2[[#This Row],[no_steps]]</f>
        <v>11.663774853679797</v>
      </c>
      <c r="AB274">
        <f t="shared" si="4"/>
        <v>12361</v>
      </c>
      <c r="AC274">
        <f>Tabela2[[#This Row],[kan_time_difference]]/Tabela2[[#This Row],[no_steps]]</f>
        <v>1338001.4396052039</v>
      </c>
      <c r="AE274">
        <v>12361</v>
      </c>
      <c r="AF274">
        <v>1338001.4396052039</v>
      </c>
    </row>
    <row r="275" spans="1:32" hidden="1" x14ac:dyDescent="0.25">
      <c r="A275" t="s">
        <v>314</v>
      </c>
      <c r="B275">
        <v>9</v>
      </c>
      <c r="C275">
        <v>2</v>
      </c>
      <c r="D275">
        <v>0</v>
      </c>
      <c r="E275" t="s">
        <v>343</v>
      </c>
      <c r="F275">
        <v>9351</v>
      </c>
      <c r="G275">
        <v>11833743.1875</v>
      </c>
      <c r="H275">
        <v>0.78333334624767303</v>
      </c>
      <c r="I275">
        <v>0.6791666666666667</v>
      </c>
      <c r="J275">
        <v>4972436.1875</v>
      </c>
      <c r="K275">
        <v>12361</v>
      </c>
      <c r="L275">
        <v>2</v>
      </c>
      <c r="M275">
        <v>74</v>
      </c>
      <c r="N275">
        <v>0.72499999999999998</v>
      </c>
      <c r="O275">
        <v>2612932.9375</v>
      </c>
      <c r="P275">
        <v>12678</v>
      </c>
      <c r="Q275">
        <v>2</v>
      </c>
      <c r="R275">
        <v>75</v>
      </c>
      <c r="S275">
        <v>11.643800335227505</v>
      </c>
      <c r="T275">
        <v>0.81234567960103354</v>
      </c>
      <c r="W275">
        <f>Tabela2[[#This Row],[mlp_params]]</f>
        <v>12361</v>
      </c>
      <c r="X275">
        <f>Tabela2[[#This Row],[kan_test_acc]]</f>
        <v>0.78333334624767303</v>
      </c>
      <c r="Y275">
        <f>Tabela2[[#This Row],[kan_val_acc_1]]</f>
        <v>0.81234567960103354</v>
      </c>
      <c r="Z275">
        <f>Tabela2[[#This Row],[no_steps]]</f>
        <v>11.643800335227505</v>
      </c>
      <c r="AB275">
        <f t="shared" si="4"/>
        <v>12361</v>
      </c>
      <c r="AC275">
        <f>Tabela2[[#This Row],[kan_time_difference]]/Tabela2[[#This Row],[no_steps]]</f>
        <v>1016312.7885058143</v>
      </c>
      <c r="AE275">
        <v>12361</v>
      </c>
      <c r="AF275">
        <v>1016312.7885058143</v>
      </c>
    </row>
    <row r="276" spans="1:32" hidden="1" x14ac:dyDescent="0.25">
      <c r="A276" t="s">
        <v>314</v>
      </c>
      <c r="B276">
        <v>9</v>
      </c>
      <c r="C276">
        <v>3</v>
      </c>
      <c r="D276">
        <v>0</v>
      </c>
      <c r="E276" t="s">
        <v>322</v>
      </c>
      <c r="F276">
        <v>8576</v>
      </c>
      <c r="G276">
        <v>11786506.125</v>
      </c>
      <c r="H276">
        <v>0.67777778953313828</v>
      </c>
      <c r="I276">
        <v>0.73888888888888893</v>
      </c>
      <c r="J276">
        <v>4778405.625</v>
      </c>
      <c r="K276">
        <v>12361</v>
      </c>
      <c r="L276">
        <v>2</v>
      </c>
      <c r="M276">
        <v>74</v>
      </c>
      <c r="N276">
        <v>0.67777777777777781</v>
      </c>
      <c r="O276">
        <v>2028801.4375</v>
      </c>
      <c r="P276">
        <v>12678</v>
      </c>
      <c r="Q276">
        <v>2</v>
      </c>
      <c r="R276">
        <v>75</v>
      </c>
      <c r="S276">
        <v>11.633615624620122</v>
      </c>
      <c r="T276">
        <v>0.81481482187906906</v>
      </c>
      <c r="W276">
        <f>Tabela2[[#This Row],[mlp_params]]</f>
        <v>12361</v>
      </c>
      <c r="X276">
        <f>Tabela2[[#This Row],[kan_test_acc]]</f>
        <v>0.67777778953313828</v>
      </c>
      <c r="Y276">
        <f>Tabela2[[#This Row],[kan_val_acc_1]]</f>
        <v>0.81481482187906906</v>
      </c>
      <c r="Z276">
        <f>Tabela2[[#This Row],[no_steps]]</f>
        <v>11.633615624620122</v>
      </c>
      <c r="AB276">
        <f t="shared" si="4"/>
        <v>12361</v>
      </c>
      <c r="AC276">
        <f>Tabela2[[#This Row],[kan_time_difference]]/Tabela2[[#This Row],[no_steps]]</f>
        <v>1013142.1309860296</v>
      </c>
      <c r="AE276">
        <v>12361</v>
      </c>
      <c r="AF276">
        <v>1013142.1309860296</v>
      </c>
    </row>
    <row r="277" spans="1:32" x14ac:dyDescent="0.25">
      <c r="A277" t="s">
        <v>314</v>
      </c>
      <c r="B277">
        <v>9</v>
      </c>
      <c r="C277">
        <v>4</v>
      </c>
      <c r="D277">
        <v>0</v>
      </c>
      <c r="E277" t="s">
        <v>320</v>
      </c>
      <c r="F277">
        <v>8117</v>
      </c>
      <c r="G277">
        <v>7257559.5</v>
      </c>
      <c r="H277">
        <v>0.67037039001782739</v>
      </c>
      <c r="I277">
        <v>0.69259259259259265</v>
      </c>
      <c r="J277">
        <v>2972938.3333333335</v>
      </c>
      <c r="K277">
        <v>12361</v>
      </c>
      <c r="L277">
        <v>2</v>
      </c>
      <c r="M277">
        <v>74</v>
      </c>
      <c r="N277">
        <v>0.75555555555555554</v>
      </c>
      <c r="O277">
        <v>761824</v>
      </c>
      <c r="P277">
        <v>12678</v>
      </c>
      <c r="Q277">
        <v>2</v>
      </c>
      <c r="R277">
        <v>75</v>
      </c>
      <c r="S277">
        <v>11.614102564102565</v>
      </c>
      <c r="T277">
        <v>0.6740740895271301</v>
      </c>
      <c r="W277">
        <f>Tabela2[[#This Row],[mlp_params]]</f>
        <v>12361</v>
      </c>
      <c r="X277">
        <f>Tabela2[[#This Row],[kan_test_acc]]</f>
        <v>0.67037039001782739</v>
      </c>
      <c r="Y277">
        <f>Tabela2[[#This Row],[kan_val_acc_1]]</f>
        <v>0.6740740895271301</v>
      </c>
      <c r="Z277">
        <f>Tabela2[[#This Row],[no_steps]]</f>
        <v>11.614102564102565</v>
      </c>
      <c r="AB277">
        <f t="shared" si="4"/>
        <v>12361</v>
      </c>
      <c r="AC277">
        <f>Tabela2[[#This Row],[kan_time_difference]]/Tabela2[[#This Row],[no_steps]]</f>
        <v>624891.97593553364</v>
      </c>
      <c r="AE277">
        <v>12361</v>
      </c>
      <c r="AF277">
        <v>624891.97593553364</v>
      </c>
    </row>
    <row r="278" spans="1:32" hidden="1" x14ac:dyDescent="0.25">
      <c r="A278" t="s">
        <v>314</v>
      </c>
      <c r="B278">
        <v>9</v>
      </c>
      <c r="C278">
        <v>5</v>
      </c>
      <c r="D278">
        <v>0</v>
      </c>
      <c r="E278" t="s">
        <v>318</v>
      </c>
      <c r="F278">
        <v>7530</v>
      </c>
      <c r="G278">
        <v>11059183.166666666</v>
      </c>
      <c r="H278">
        <v>0.68888890246550238</v>
      </c>
      <c r="I278">
        <v>0.77407407407407403</v>
      </c>
      <c r="J278">
        <v>1250593.6666666667</v>
      </c>
      <c r="K278">
        <v>12361</v>
      </c>
      <c r="L278">
        <v>2</v>
      </c>
      <c r="M278">
        <v>74</v>
      </c>
      <c r="N278">
        <v>0.77037037037037037</v>
      </c>
      <c r="O278">
        <v>1122972.1666666667</v>
      </c>
      <c r="P278">
        <v>12678</v>
      </c>
      <c r="Q278">
        <v>2</v>
      </c>
      <c r="R278">
        <v>75</v>
      </c>
      <c r="S278">
        <v>11.589254628896978</v>
      </c>
      <c r="T278">
        <v>0.75555555820465092</v>
      </c>
      <c r="W278">
        <f>Tabela2[[#This Row],[mlp_params]]</f>
        <v>12361</v>
      </c>
      <c r="X278">
        <f>Tabela2[[#This Row],[kan_test_acc]]</f>
        <v>0.68888890246550238</v>
      </c>
      <c r="Y278">
        <f>Tabela2[[#This Row],[kan_val_acc_1]]</f>
        <v>0.75555555820465092</v>
      </c>
      <c r="Z278">
        <f>Tabela2[[#This Row],[no_steps]]</f>
        <v>11.589254628896978</v>
      </c>
      <c r="AB278">
        <f t="shared" si="4"/>
        <v>12361</v>
      </c>
      <c r="AC278">
        <f>Tabela2[[#This Row],[kan_time_difference]]/Tabela2[[#This Row],[no_steps]]</f>
        <v>954261.81586272025</v>
      </c>
      <c r="AE278">
        <v>12361</v>
      </c>
      <c r="AF278">
        <v>954261.81586272025</v>
      </c>
    </row>
    <row r="279" spans="1:32" hidden="1" x14ac:dyDescent="0.25">
      <c r="A279" t="s">
        <v>314</v>
      </c>
      <c r="B279">
        <v>3</v>
      </c>
      <c r="C279">
        <v>3</v>
      </c>
      <c r="D279">
        <v>0</v>
      </c>
      <c r="E279" t="s">
        <v>346</v>
      </c>
      <c r="F279">
        <v>7220</v>
      </c>
      <c r="G279">
        <v>10679301.166666666</v>
      </c>
      <c r="H279">
        <v>0.80000000695387519</v>
      </c>
      <c r="I279">
        <v>0.70740740740740737</v>
      </c>
      <c r="J279">
        <v>785795.5</v>
      </c>
      <c r="K279">
        <v>12678</v>
      </c>
      <c r="L279">
        <v>2</v>
      </c>
      <c r="M279">
        <v>75</v>
      </c>
      <c r="N279">
        <v>0.65555555555555556</v>
      </c>
      <c r="O279">
        <v>429751.66666666669</v>
      </c>
      <c r="P279">
        <v>12999</v>
      </c>
      <c r="Q279">
        <v>2</v>
      </c>
      <c r="R279">
        <v>76</v>
      </c>
      <c r="S279">
        <v>11.675236445983748</v>
      </c>
      <c r="T279">
        <v>0.90370370149612422</v>
      </c>
      <c r="W279">
        <f>Tabela2[[#This Row],[mlp_params]]</f>
        <v>12678</v>
      </c>
      <c r="X279">
        <f>Tabela2[[#This Row],[kan_test_acc]]</f>
        <v>0.80000000695387519</v>
      </c>
      <c r="Y279">
        <f>Tabela2[[#This Row],[kan_val_acc_1]]</f>
        <v>0.90370370149612422</v>
      </c>
      <c r="Z279">
        <f>Tabela2[[#This Row],[no_steps]]</f>
        <v>11.675236445983748</v>
      </c>
      <c r="AB279">
        <f t="shared" si="4"/>
        <v>12678</v>
      </c>
      <c r="AC279">
        <f>Tabela2[[#This Row],[kan_time_difference]]/Tabela2[[#This Row],[no_steps]]</f>
        <v>914696.77861130761</v>
      </c>
      <c r="AE279">
        <v>12678</v>
      </c>
      <c r="AF279">
        <v>914696.77861130761</v>
      </c>
    </row>
    <row r="280" spans="1:32" hidden="1" x14ac:dyDescent="0.25">
      <c r="A280" t="s">
        <v>314</v>
      </c>
      <c r="B280">
        <v>3</v>
      </c>
      <c r="C280">
        <v>4</v>
      </c>
      <c r="D280">
        <v>0</v>
      </c>
      <c r="E280" t="s">
        <v>331</v>
      </c>
      <c r="F280">
        <v>6855</v>
      </c>
      <c r="G280">
        <v>15209024.5</v>
      </c>
      <c r="H280">
        <v>0.84074075023333228</v>
      </c>
      <c r="I280">
        <v>0.67037037037037039</v>
      </c>
      <c r="J280">
        <v>1623432.8333333333</v>
      </c>
      <c r="K280">
        <v>12678</v>
      </c>
      <c r="L280">
        <v>2</v>
      </c>
      <c r="M280">
        <v>75</v>
      </c>
      <c r="N280">
        <v>0.6333333333333333</v>
      </c>
      <c r="O280">
        <v>631912.33333333337</v>
      </c>
      <c r="P280">
        <v>12999</v>
      </c>
      <c r="Q280">
        <v>2</v>
      </c>
      <c r="R280">
        <v>76</v>
      </c>
      <c r="S280">
        <v>11.676700650377922</v>
      </c>
      <c r="T280">
        <v>0.92592592239379878</v>
      </c>
      <c r="W280">
        <f>Tabela2[[#This Row],[mlp_params]]</f>
        <v>12678</v>
      </c>
      <c r="X280">
        <f>Tabela2[[#This Row],[kan_test_acc]]</f>
        <v>0.84074075023333228</v>
      </c>
      <c r="Y280">
        <f>Tabela2[[#This Row],[kan_val_acc_1]]</f>
        <v>0.92592592239379878</v>
      </c>
      <c r="Z280">
        <f>Tabela2[[#This Row],[no_steps]]</f>
        <v>11.676700650377922</v>
      </c>
      <c r="AB280">
        <f t="shared" ref="AB280:AB343" si="5">W280</f>
        <v>12678</v>
      </c>
      <c r="AC280">
        <f>Tabela2[[#This Row],[kan_time_difference]]/Tabela2[[#This Row],[no_steps]]</f>
        <v>1302510.4398396779</v>
      </c>
      <c r="AE280">
        <v>12678</v>
      </c>
      <c r="AF280">
        <v>1302510.4398396779</v>
      </c>
    </row>
    <row r="281" spans="1:32" hidden="1" x14ac:dyDescent="0.25">
      <c r="A281" t="s">
        <v>314</v>
      </c>
      <c r="B281">
        <v>3</v>
      </c>
      <c r="C281">
        <v>5</v>
      </c>
      <c r="D281">
        <v>0</v>
      </c>
      <c r="E281" t="s">
        <v>341</v>
      </c>
      <c r="F281">
        <v>6384</v>
      </c>
      <c r="G281">
        <v>14638101.25</v>
      </c>
      <c r="H281">
        <v>0.75277779251337051</v>
      </c>
      <c r="I281">
        <v>0.70833333333333337</v>
      </c>
      <c r="J281">
        <v>3149639.625</v>
      </c>
      <c r="K281">
        <v>12678</v>
      </c>
      <c r="L281">
        <v>2</v>
      </c>
      <c r="M281">
        <v>75</v>
      </c>
      <c r="N281">
        <v>0.66111111111111109</v>
      </c>
      <c r="O281">
        <v>1181164.75</v>
      </c>
      <c r="P281">
        <v>12999</v>
      </c>
      <c r="Q281">
        <v>2</v>
      </c>
      <c r="R281">
        <v>76</v>
      </c>
      <c r="S281">
        <v>11.675339366515837</v>
      </c>
      <c r="T281">
        <v>0.76296296914418538</v>
      </c>
      <c r="W281">
        <f>Tabela2[[#This Row],[mlp_params]]</f>
        <v>12678</v>
      </c>
      <c r="X281">
        <f>Tabela2[[#This Row],[kan_test_acc]]</f>
        <v>0.75277779251337051</v>
      </c>
      <c r="Y281">
        <f>Tabela2[[#This Row],[kan_val_acc_1]]</f>
        <v>0.76296296914418538</v>
      </c>
      <c r="Z281">
        <f>Tabela2[[#This Row],[no_steps]]</f>
        <v>11.675339366515837</v>
      </c>
      <c r="AB281">
        <f t="shared" si="5"/>
        <v>12678</v>
      </c>
      <c r="AC281">
        <f>Tabela2[[#This Row],[kan_time_difference]]/Tabela2[[#This Row],[no_steps]]</f>
        <v>1253762.3781610308</v>
      </c>
      <c r="AE281">
        <v>12678</v>
      </c>
      <c r="AF281">
        <v>1253762.3781610308</v>
      </c>
    </row>
    <row r="282" spans="1:32" hidden="1" x14ac:dyDescent="0.25">
      <c r="A282" t="s">
        <v>314</v>
      </c>
      <c r="B282">
        <v>5</v>
      </c>
      <c r="C282">
        <v>3</v>
      </c>
      <c r="D282">
        <v>0</v>
      </c>
      <c r="E282" t="s">
        <v>344</v>
      </c>
      <c r="F282">
        <v>7842</v>
      </c>
      <c r="G282">
        <v>16695516.875</v>
      </c>
      <c r="H282">
        <v>0.82777778618037701</v>
      </c>
      <c r="I282">
        <v>0.71388888888888891</v>
      </c>
      <c r="J282">
        <v>4698918</v>
      </c>
      <c r="K282">
        <v>12678</v>
      </c>
      <c r="L282">
        <v>2</v>
      </c>
      <c r="M282">
        <v>75</v>
      </c>
      <c r="N282">
        <v>0.69861111111111107</v>
      </c>
      <c r="O282">
        <v>2741199.4375</v>
      </c>
      <c r="P282">
        <v>12999</v>
      </c>
      <c r="Q282">
        <v>2</v>
      </c>
      <c r="R282">
        <v>76</v>
      </c>
      <c r="S282">
        <v>11.674314256688113</v>
      </c>
      <c r="T282">
        <v>0.86419752836227415</v>
      </c>
      <c r="W282">
        <f>Tabela2[[#This Row],[mlp_params]]</f>
        <v>12678</v>
      </c>
      <c r="X282">
        <f>Tabela2[[#This Row],[kan_test_acc]]</f>
        <v>0.82777778618037701</v>
      </c>
      <c r="Y282">
        <f>Tabela2[[#This Row],[kan_val_acc_1]]</f>
        <v>0.86419752836227415</v>
      </c>
      <c r="Z282">
        <f>Tabela2[[#This Row],[no_steps]]</f>
        <v>11.674314256688113</v>
      </c>
      <c r="AB282">
        <f t="shared" si="5"/>
        <v>12678</v>
      </c>
      <c r="AC282">
        <f>Tabela2[[#This Row],[kan_time_difference]]/Tabela2[[#This Row],[no_steps]]</f>
        <v>1430106.8574914611</v>
      </c>
      <c r="AE282">
        <v>12678</v>
      </c>
      <c r="AF282">
        <v>1430106.8574914611</v>
      </c>
    </row>
    <row r="283" spans="1:32" hidden="1" x14ac:dyDescent="0.25">
      <c r="A283" t="s">
        <v>314</v>
      </c>
      <c r="B283">
        <v>5</v>
      </c>
      <c r="C283">
        <v>4</v>
      </c>
      <c r="D283">
        <v>0</v>
      </c>
      <c r="E283" t="s">
        <v>329</v>
      </c>
      <c r="F283">
        <v>7349</v>
      </c>
      <c r="G283">
        <v>18061516.363636363</v>
      </c>
      <c r="H283">
        <v>0.68888890472325415</v>
      </c>
      <c r="I283">
        <v>0.70707070707070707</v>
      </c>
      <c r="J283">
        <v>3017729.1818181816</v>
      </c>
      <c r="K283">
        <v>12678</v>
      </c>
      <c r="L283">
        <v>2</v>
      </c>
      <c r="M283">
        <v>75</v>
      </c>
      <c r="N283">
        <v>0.62222222222222223</v>
      </c>
      <c r="O283">
        <v>3649266.3636363638</v>
      </c>
      <c r="P283">
        <v>12999</v>
      </c>
      <c r="Q283">
        <v>2</v>
      </c>
      <c r="R283">
        <v>76</v>
      </c>
      <c r="S283">
        <v>11.672506286672254</v>
      </c>
      <c r="T283">
        <v>0.84074074029922485</v>
      </c>
      <c r="W283">
        <f>Tabela2[[#This Row],[mlp_params]]</f>
        <v>12678</v>
      </c>
      <c r="X283">
        <f>Tabela2[[#This Row],[kan_test_acc]]</f>
        <v>0.68888890472325415</v>
      </c>
      <c r="Y283">
        <f>Tabela2[[#This Row],[kan_val_acc_1]]</f>
        <v>0.84074074029922485</v>
      </c>
      <c r="Z283">
        <f>Tabela2[[#This Row],[no_steps]]</f>
        <v>11.672506286672254</v>
      </c>
      <c r="AB283">
        <f t="shared" si="5"/>
        <v>12678</v>
      </c>
      <c r="AC283">
        <f>Tabela2[[#This Row],[kan_time_difference]]/Tabela2[[#This Row],[no_steps]]</f>
        <v>1547355.4624904443</v>
      </c>
      <c r="AE283">
        <v>12678</v>
      </c>
      <c r="AF283">
        <v>1547355.4624904443</v>
      </c>
    </row>
    <row r="284" spans="1:32" hidden="1" x14ac:dyDescent="0.25">
      <c r="A284" t="s">
        <v>314</v>
      </c>
      <c r="B284">
        <v>5</v>
      </c>
      <c r="C284">
        <v>5</v>
      </c>
      <c r="D284">
        <v>0</v>
      </c>
      <c r="E284" t="s">
        <v>321</v>
      </c>
      <c r="F284">
        <v>7020</v>
      </c>
      <c r="G284">
        <v>13921216.333333334</v>
      </c>
      <c r="H284">
        <v>0.6777777920166651</v>
      </c>
      <c r="I284">
        <v>0.71481481481481479</v>
      </c>
      <c r="J284">
        <v>5429758.666666667</v>
      </c>
      <c r="K284">
        <v>12678</v>
      </c>
      <c r="L284">
        <v>2</v>
      </c>
      <c r="M284">
        <v>75</v>
      </c>
      <c r="N284">
        <v>0.65925925925925921</v>
      </c>
      <c r="O284">
        <v>4428398.5</v>
      </c>
      <c r="P284">
        <v>12999</v>
      </c>
      <c r="Q284">
        <v>2</v>
      </c>
      <c r="R284">
        <v>76</v>
      </c>
      <c r="S284">
        <v>11.663402083246877</v>
      </c>
      <c r="T284">
        <v>0.72592592239379883</v>
      </c>
      <c r="W284">
        <f>Tabela2[[#This Row],[mlp_params]]</f>
        <v>12678</v>
      </c>
      <c r="X284">
        <f>Tabela2[[#This Row],[kan_test_acc]]</f>
        <v>0.6777777920166651</v>
      </c>
      <c r="Y284">
        <f>Tabela2[[#This Row],[kan_val_acc_1]]</f>
        <v>0.72592592239379883</v>
      </c>
      <c r="Z284">
        <f>Tabela2[[#This Row],[no_steps]]</f>
        <v>11.663402083246877</v>
      </c>
      <c r="AB284">
        <f t="shared" si="5"/>
        <v>12678</v>
      </c>
      <c r="AC284">
        <f>Tabela2[[#This Row],[kan_time_difference]]/Tabela2[[#This Row],[no_steps]]</f>
        <v>1193581.1038641585</v>
      </c>
      <c r="AE284">
        <v>12678</v>
      </c>
      <c r="AF284">
        <v>1193581.1038641585</v>
      </c>
    </row>
    <row r="285" spans="1:32" hidden="1" x14ac:dyDescent="0.25">
      <c r="A285" t="s">
        <v>314</v>
      </c>
      <c r="B285">
        <v>9</v>
      </c>
      <c r="C285">
        <v>2</v>
      </c>
      <c r="D285">
        <v>0</v>
      </c>
      <c r="E285" t="s">
        <v>331</v>
      </c>
      <c r="F285">
        <v>9579</v>
      </c>
      <c r="G285">
        <v>10643709.666666666</v>
      </c>
      <c r="H285">
        <v>0.85555556416511536</v>
      </c>
      <c r="I285">
        <v>0.65925925925925921</v>
      </c>
      <c r="J285">
        <v>4735888.166666667</v>
      </c>
      <c r="K285">
        <v>12678</v>
      </c>
      <c r="L285">
        <v>2</v>
      </c>
      <c r="M285">
        <v>75</v>
      </c>
      <c r="N285">
        <v>0.73333333333333339</v>
      </c>
      <c r="O285">
        <v>3717236</v>
      </c>
      <c r="P285">
        <v>12999</v>
      </c>
      <c r="Q285">
        <v>2</v>
      </c>
      <c r="R285">
        <v>76</v>
      </c>
      <c r="S285">
        <v>11.643111129276168</v>
      </c>
      <c r="T285">
        <v>0.84444445371627808</v>
      </c>
      <c r="W285">
        <f>Tabela2[[#This Row],[mlp_params]]</f>
        <v>12678</v>
      </c>
      <c r="X285">
        <f>Tabela2[[#This Row],[kan_test_acc]]</f>
        <v>0.85555556416511536</v>
      </c>
      <c r="Y285">
        <f>Tabela2[[#This Row],[kan_val_acc_1]]</f>
        <v>0.84444445371627808</v>
      </c>
      <c r="Z285">
        <f>Tabela2[[#This Row],[no_steps]]</f>
        <v>11.643111129276168</v>
      </c>
      <c r="AB285">
        <f t="shared" si="5"/>
        <v>12678</v>
      </c>
      <c r="AC285">
        <f>Tabela2[[#This Row],[kan_time_difference]]/Tabela2[[#This Row],[no_steps]]</f>
        <v>914163.71006744541</v>
      </c>
      <c r="AE285">
        <v>12678</v>
      </c>
      <c r="AF285">
        <v>914163.71006744541</v>
      </c>
    </row>
    <row r="286" spans="1:32" hidden="1" x14ac:dyDescent="0.25">
      <c r="A286" t="s">
        <v>314</v>
      </c>
      <c r="B286">
        <v>9</v>
      </c>
      <c r="C286">
        <v>3</v>
      </c>
      <c r="D286">
        <v>0</v>
      </c>
      <c r="E286" t="s">
        <v>341</v>
      </c>
      <c r="F286">
        <v>8692</v>
      </c>
      <c r="G286">
        <v>12856017.3125</v>
      </c>
      <c r="H286">
        <v>0.7375000137835741</v>
      </c>
      <c r="I286">
        <v>0.70138888888888895</v>
      </c>
      <c r="J286">
        <v>6018603</v>
      </c>
      <c r="K286">
        <v>12678</v>
      </c>
      <c r="L286">
        <v>2</v>
      </c>
      <c r="M286">
        <v>75</v>
      </c>
      <c r="N286">
        <v>0.66805555555555562</v>
      </c>
      <c r="O286">
        <v>2079083.75</v>
      </c>
      <c r="P286">
        <v>12999</v>
      </c>
      <c r="Q286">
        <v>2</v>
      </c>
      <c r="R286">
        <v>76</v>
      </c>
      <c r="S286">
        <v>11.633367078355942</v>
      </c>
      <c r="T286">
        <v>0.77037038008371994</v>
      </c>
      <c r="W286">
        <f>Tabela2[[#This Row],[mlp_params]]</f>
        <v>12678</v>
      </c>
      <c r="X286">
        <f>Tabela2[[#This Row],[kan_test_acc]]</f>
        <v>0.7375000137835741</v>
      </c>
      <c r="Y286">
        <f>Tabela2[[#This Row],[kan_val_acc_1]]</f>
        <v>0.77037038008371994</v>
      </c>
      <c r="Z286">
        <f>Tabela2[[#This Row],[no_steps]]</f>
        <v>11.633367078355942</v>
      </c>
      <c r="AB286">
        <f t="shared" si="5"/>
        <v>12678</v>
      </c>
      <c r="AC286">
        <f>Tabela2[[#This Row],[kan_time_difference]]/Tabela2[[#This Row],[no_steps]]</f>
        <v>1105098.569133851</v>
      </c>
      <c r="AE286">
        <v>12678</v>
      </c>
      <c r="AF286">
        <v>1105098.569133851</v>
      </c>
    </row>
    <row r="287" spans="1:32" hidden="1" x14ac:dyDescent="0.25">
      <c r="A287" t="s">
        <v>314</v>
      </c>
      <c r="B287">
        <v>3</v>
      </c>
      <c r="C287">
        <v>3</v>
      </c>
      <c r="D287">
        <v>0</v>
      </c>
      <c r="E287" t="s">
        <v>353</v>
      </c>
      <c r="F287">
        <v>7472</v>
      </c>
      <c r="G287">
        <v>12813678</v>
      </c>
      <c r="H287">
        <v>0.91111111640930176</v>
      </c>
      <c r="I287">
        <v>0.71111111111111114</v>
      </c>
      <c r="J287">
        <v>777128.5</v>
      </c>
      <c r="K287">
        <v>12999</v>
      </c>
      <c r="L287">
        <v>2</v>
      </c>
      <c r="M287">
        <v>76</v>
      </c>
      <c r="N287">
        <v>0.65925925925925921</v>
      </c>
      <c r="O287">
        <v>749559.5</v>
      </c>
      <c r="P287">
        <v>13324</v>
      </c>
      <c r="Q287">
        <v>2</v>
      </c>
      <c r="R287">
        <v>77</v>
      </c>
      <c r="S287">
        <v>11.675544901673547</v>
      </c>
      <c r="T287">
        <v>0.95555557012557979</v>
      </c>
      <c r="W287">
        <f>Tabela2[[#This Row],[mlp_params]]</f>
        <v>12999</v>
      </c>
      <c r="X287">
        <f>Tabela2[[#This Row],[kan_test_acc]]</f>
        <v>0.91111111640930176</v>
      </c>
      <c r="Y287">
        <f>Tabela2[[#This Row],[kan_val_acc_1]]</f>
        <v>0.95555557012557979</v>
      </c>
      <c r="Z287">
        <f>Tabela2[[#This Row],[no_steps]]</f>
        <v>11.675544901673547</v>
      </c>
      <c r="AB287">
        <f t="shared" si="5"/>
        <v>12999</v>
      </c>
      <c r="AC287">
        <f>Tabela2[[#This Row],[kan_time_difference]]/Tabela2[[#This Row],[no_steps]]</f>
        <v>1097480.0840484384</v>
      </c>
      <c r="AE287">
        <v>12999</v>
      </c>
      <c r="AF287">
        <v>1097480.0840484384</v>
      </c>
    </row>
    <row r="288" spans="1:32" hidden="1" x14ac:dyDescent="0.25">
      <c r="A288" t="s">
        <v>314</v>
      </c>
      <c r="B288">
        <v>3</v>
      </c>
      <c r="C288">
        <v>5</v>
      </c>
      <c r="D288">
        <v>0</v>
      </c>
      <c r="E288" t="s">
        <v>323</v>
      </c>
      <c r="F288">
        <v>6654</v>
      </c>
      <c r="G288">
        <v>17382542.363636363</v>
      </c>
      <c r="H288">
        <v>0.77171718532388855</v>
      </c>
      <c r="I288">
        <v>0.67474747474747476</v>
      </c>
      <c r="J288">
        <v>2735396.4545454546</v>
      </c>
      <c r="K288">
        <v>12999</v>
      </c>
      <c r="L288">
        <v>2</v>
      </c>
      <c r="M288">
        <v>76</v>
      </c>
      <c r="N288">
        <v>0.68888888888888888</v>
      </c>
      <c r="O288">
        <v>2470916.8181818184</v>
      </c>
      <c r="P288">
        <v>13324</v>
      </c>
      <c r="Q288">
        <v>2</v>
      </c>
      <c r="R288">
        <v>77</v>
      </c>
      <c r="S288">
        <v>11.675712111328549</v>
      </c>
      <c r="T288">
        <v>0.78888889551162722</v>
      </c>
      <c r="W288">
        <f>Tabela2[[#This Row],[mlp_params]]</f>
        <v>12999</v>
      </c>
      <c r="X288">
        <f>Tabela2[[#This Row],[kan_test_acc]]</f>
        <v>0.77171718532388855</v>
      </c>
      <c r="Y288">
        <f>Tabela2[[#This Row],[kan_val_acc_1]]</f>
        <v>0.78888889551162722</v>
      </c>
      <c r="Z288">
        <f>Tabela2[[#This Row],[no_steps]]</f>
        <v>11.675712111328549</v>
      </c>
      <c r="AB288">
        <f t="shared" si="5"/>
        <v>12999</v>
      </c>
      <c r="AC288">
        <f>Tabela2[[#This Row],[kan_time_difference]]/Tabela2[[#This Row],[no_steps]]</f>
        <v>1488777.9176030445</v>
      </c>
      <c r="AE288">
        <v>12999</v>
      </c>
      <c r="AF288">
        <v>1488777.9176030445</v>
      </c>
    </row>
    <row r="289" spans="1:32" hidden="1" x14ac:dyDescent="0.25">
      <c r="A289" t="s">
        <v>314</v>
      </c>
      <c r="B289">
        <v>5</v>
      </c>
      <c r="C289">
        <v>2</v>
      </c>
      <c r="D289">
        <v>0</v>
      </c>
      <c r="E289" t="s">
        <v>354</v>
      </c>
      <c r="F289">
        <v>8779</v>
      </c>
      <c r="G289">
        <v>16069155.363636363</v>
      </c>
      <c r="H289">
        <v>0.88282828981226136</v>
      </c>
      <c r="I289">
        <v>0.6767676767676768</v>
      </c>
      <c r="J289">
        <v>4470419.5454545459</v>
      </c>
      <c r="K289">
        <v>12999</v>
      </c>
      <c r="L289">
        <v>2</v>
      </c>
      <c r="M289">
        <v>76</v>
      </c>
      <c r="N289">
        <v>0.70303030303030301</v>
      </c>
      <c r="O289">
        <v>2944736.8181818184</v>
      </c>
      <c r="P289">
        <v>13324</v>
      </c>
      <c r="Q289">
        <v>2</v>
      </c>
      <c r="R289">
        <v>77</v>
      </c>
      <c r="S289">
        <v>11.683011285909712</v>
      </c>
      <c r="T289">
        <v>0.88518518805503843</v>
      </c>
      <c r="W289">
        <f>Tabela2[[#This Row],[mlp_params]]</f>
        <v>12999</v>
      </c>
      <c r="X289">
        <f>Tabela2[[#This Row],[kan_test_acc]]</f>
        <v>0.88282828981226136</v>
      </c>
      <c r="Y289">
        <f>Tabela2[[#This Row],[kan_val_acc_1]]</f>
        <v>0.88518518805503843</v>
      </c>
      <c r="Z289">
        <f>Tabela2[[#This Row],[no_steps]]</f>
        <v>11.683011285909712</v>
      </c>
      <c r="AB289">
        <f t="shared" si="5"/>
        <v>12999</v>
      </c>
      <c r="AC289">
        <f>Tabela2[[#This Row],[kan_time_difference]]/Tabela2[[#This Row],[no_steps]]</f>
        <v>1375429.2425461025</v>
      </c>
      <c r="AE289">
        <v>12999</v>
      </c>
      <c r="AF289">
        <v>1375429.2425461025</v>
      </c>
    </row>
    <row r="290" spans="1:32" hidden="1" x14ac:dyDescent="0.25">
      <c r="A290" t="s">
        <v>314</v>
      </c>
      <c r="B290">
        <v>5</v>
      </c>
      <c r="C290">
        <v>3</v>
      </c>
      <c r="D290">
        <v>0</v>
      </c>
      <c r="E290" t="s">
        <v>337</v>
      </c>
      <c r="F290">
        <v>7976</v>
      </c>
      <c r="G290">
        <v>12398726.333333334</v>
      </c>
      <c r="H290">
        <v>0.6629629681507746</v>
      </c>
      <c r="I290">
        <v>0.7</v>
      </c>
      <c r="J290">
        <v>5229612.666666667</v>
      </c>
      <c r="K290">
        <v>12999</v>
      </c>
      <c r="L290">
        <v>2</v>
      </c>
      <c r="M290">
        <v>76</v>
      </c>
      <c r="N290">
        <v>0.72222222222222221</v>
      </c>
      <c r="O290">
        <v>2487628.3333333335</v>
      </c>
      <c r="P290">
        <v>13324</v>
      </c>
      <c r="Q290">
        <v>2</v>
      </c>
      <c r="R290">
        <v>77</v>
      </c>
      <c r="S290">
        <v>11.673846804909013</v>
      </c>
      <c r="T290">
        <v>0.78518519401550291</v>
      </c>
      <c r="W290">
        <f>Tabela2[[#This Row],[mlp_params]]</f>
        <v>12999</v>
      </c>
      <c r="X290">
        <f>Tabela2[[#This Row],[kan_test_acc]]</f>
        <v>0.6629629681507746</v>
      </c>
      <c r="Y290">
        <f>Tabela2[[#This Row],[kan_val_acc_1]]</f>
        <v>0.78518519401550291</v>
      </c>
      <c r="Z290">
        <f>Tabela2[[#This Row],[no_steps]]</f>
        <v>11.673846804909013</v>
      </c>
      <c r="AB290">
        <f t="shared" si="5"/>
        <v>12999</v>
      </c>
      <c r="AC290">
        <f>Tabela2[[#This Row],[kan_time_difference]]/Tabela2[[#This Row],[no_steps]]</f>
        <v>1062094.3156560441</v>
      </c>
      <c r="AE290">
        <v>12999</v>
      </c>
      <c r="AF290">
        <v>1062094.3156560441</v>
      </c>
    </row>
    <row r="291" spans="1:32" hidden="1" x14ac:dyDescent="0.25">
      <c r="A291" t="s">
        <v>314</v>
      </c>
      <c r="B291">
        <v>5</v>
      </c>
      <c r="C291">
        <v>4</v>
      </c>
      <c r="D291">
        <v>0</v>
      </c>
      <c r="E291" t="s">
        <v>342</v>
      </c>
      <c r="F291">
        <v>7491</v>
      </c>
      <c r="G291">
        <v>15437188</v>
      </c>
      <c r="H291">
        <v>0.80740741888682044</v>
      </c>
      <c r="I291">
        <v>0.72222222222222221</v>
      </c>
      <c r="J291">
        <v>3404818.1666666665</v>
      </c>
      <c r="K291">
        <v>12999</v>
      </c>
      <c r="L291">
        <v>2</v>
      </c>
      <c r="M291">
        <v>76</v>
      </c>
      <c r="N291">
        <v>0.6962962962962963</v>
      </c>
      <c r="O291">
        <v>5213831.5</v>
      </c>
      <c r="P291">
        <v>13324</v>
      </c>
      <c r="Q291">
        <v>2</v>
      </c>
      <c r="R291">
        <v>77</v>
      </c>
      <c r="S291">
        <v>11.672421017346853</v>
      </c>
      <c r="T291">
        <v>0.88148148059844966</v>
      </c>
      <c r="W291">
        <f>Tabela2[[#This Row],[mlp_params]]</f>
        <v>12999</v>
      </c>
      <c r="X291">
        <f>Tabela2[[#This Row],[kan_test_acc]]</f>
        <v>0.80740741888682044</v>
      </c>
      <c r="Y291">
        <f>Tabela2[[#This Row],[kan_val_acc_1]]</f>
        <v>0.88148148059844966</v>
      </c>
      <c r="Z291">
        <f>Tabela2[[#This Row],[no_steps]]</f>
        <v>11.672421017346853</v>
      </c>
      <c r="AB291">
        <f t="shared" si="5"/>
        <v>12999</v>
      </c>
      <c r="AC291">
        <f>Tabela2[[#This Row],[kan_time_difference]]/Tabela2[[#This Row],[no_steps]]</f>
        <v>1322535.2287291707</v>
      </c>
      <c r="AE291">
        <v>12999</v>
      </c>
      <c r="AF291">
        <v>1322535.2287291707</v>
      </c>
    </row>
    <row r="292" spans="1:32" hidden="1" x14ac:dyDescent="0.25">
      <c r="A292" t="s">
        <v>314</v>
      </c>
      <c r="B292">
        <v>9</v>
      </c>
      <c r="C292">
        <v>3</v>
      </c>
      <c r="D292">
        <v>0</v>
      </c>
      <c r="E292" t="s">
        <v>323</v>
      </c>
      <c r="F292">
        <v>9058</v>
      </c>
      <c r="G292">
        <v>12355653</v>
      </c>
      <c r="H292">
        <v>0.69898991151289502</v>
      </c>
      <c r="I292">
        <v>0.69494949494949498</v>
      </c>
      <c r="J292">
        <v>5635043</v>
      </c>
      <c r="K292">
        <v>12999</v>
      </c>
      <c r="L292">
        <v>2</v>
      </c>
      <c r="M292">
        <v>76</v>
      </c>
      <c r="N292">
        <v>0.69898989898989905</v>
      </c>
      <c r="O292">
        <v>1984833.3636363635</v>
      </c>
      <c r="P292">
        <v>13324</v>
      </c>
      <c r="Q292">
        <v>2</v>
      </c>
      <c r="R292">
        <v>77</v>
      </c>
      <c r="S292">
        <v>11.632963652554036</v>
      </c>
      <c r="T292">
        <v>0.76666667461395266</v>
      </c>
      <c r="W292">
        <f>Tabela2[[#This Row],[mlp_params]]</f>
        <v>12999</v>
      </c>
      <c r="X292">
        <f>Tabela2[[#This Row],[kan_test_acc]]</f>
        <v>0.69898991151289502</v>
      </c>
      <c r="Y292">
        <f>Tabela2[[#This Row],[kan_val_acc_1]]</f>
        <v>0.76666667461395266</v>
      </c>
      <c r="Z292">
        <f>Tabela2[[#This Row],[no_steps]]</f>
        <v>11.632963652554036</v>
      </c>
      <c r="AB292">
        <f t="shared" si="5"/>
        <v>12999</v>
      </c>
      <c r="AC292">
        <f>Tabela2[[#This Row],[kan_time_difference]]/Tabela2[[#This Row],[no_steps]]</f>
        <v>1062124.2676441525</v>
      </c>
      <c r="AE292">
        <v>12999</v>
      </c>
      <c r="AF292">
        <v>1062124.2676441525</v>
      </c>
    </row>
    <row r="293" spans="1:32" x14ac:dyDescent="0.25">
      <c r="A293" t="s">
        <v>314</v>
      </c>
      <c r="B293">
        <v>9</v>
      </c>
      <c r="C293">
        <v>4</v>
      </c>
      <c r="D293">
        <v>0</v>
      </c>
      <c r="E293" t="s">
        <v>334</v>
      </c>
      <c r="F293">
        <v>8371</v>
      </c>
      <c r="G293">
        <v>11044494</v>
      </c>
      <c r="H293">
        <v>0.62010583423432852</v>
      </c>
      <c r="I293">
        <v>0.73968253968253972</v>
      </c>
      <c r="J293">
        <v>2854558.3809523811</v>
      </c>
      <c r="K293">
        <v>12999</v>
      </c>
      <c r="L293">
        <v>2</v>
      </c>
      <c r="M293">
        <v>76</v>
      </c>
      <c r="N293">
        <v>0.70158730158730154</v>
      </c>
      <c r="O293">
        <v>1704315.7142857143</v>
      </c>
      <c r="P293">
        <v>13324</v>
      </c>
      <c r="Q293">
        <v>2</v>
      </c>
      <c r="R293">
        <v>77</v>
      </c>
      <c r="S293">
        <v>11.613186021376245</v>
      </c>
      <c r="T293">
        <v>0.7703703701496124</v>
      </c>
      <c r="W293">
        <f>Tabela2[[#This Row],[mlp_params]]</f>
        <v>12999</v>
      </c>
      <c r="X293">
        <f>Tabela2[[#This Row],[kan_test_acc]]</f>
        <v>0.62010583423432852</v>
      </c>
      <c r="Y293">
        <f>Tabela2[[#This Row],[kan_val_acc_1]]</f>
        <v>0.7703703701496124</v>
      </c>
      <c r="Z293">
        <f>Tabela2[[#This Row],[no_steps]]</f>
        <v>11.613186021376245</v>
      </c>
      <c r="AB293">
        <f t="shared" si="5"/>
        <v>12999</v>
      </c>
      <c r="AC293">
        <f>Tabela2[[#This Row],[kan_time_difference]]/Tabela2[[#This Row],[no_steps]]</f>
        <v>951030.49065696006</v>
      </c>
      <c r="AE293">
        <v>12999</v>
      </c>
      <c r="AF293">
        <v>951030.49065696006</v>
      </c>
    </row>
    <row r="294" spans="1:32" hidden="1" x14ac:dyDescent="0.25">
      <c r="A294" t="s">
        <v>314</v>
      </c>
      <c r="B294">
        <v>9</v>
      </c>
      <c r="C294">
        <v>5</v>
      </c>
      <c r="D294">
        <v>0</v>
      </c>
      <c r="E294" t="s">
        <v>319</v>
      </c>
      <c r="F294">
        <v>8076</v>
      </c>
      <c r="G294">
        <v>9561735.166666666</v>
      </c>
      <c r="H294">
        <v>0.50000001490116119</v>
      </c>
      <c r="I294">
        <v>0.71851851851851856</v>
      </c>
      <c r="J294">
        <v>1241479.1666666667</v>
      </c>
      <c r="K294">
        <v>12999</v>
      </c>
      <c r="L294">
        <v>2</v>
      </c>
      <c r="M294">
        <v>76</v>
      </c>
      <c r="N294">
        <v>0.76296296296296295</v>
      </c>
      <c r="O294">
        <v>761084.5</v>
      </c>
      <c r="P294">
        <v>13324</v>
      </c>
      <c r="Q294">
        <v>2</v>
      </c>
      <c r="R294">
        <v>77</v>
      </c>
      <c r="S294">
        <v>11.588561031563959</v>
      </c>
      <c r="T294">
        <v>0.69629629850387575</v>
      </c>
      <c r="W294">
        <f>Tabela2[[#This Row],[mlp_params]]</f>
        <v>12999</v>
      </c>
      <c r="X294">
        <f>Tabela2[[#This Row],[kan_test_acc]]</f>
        <v>0.50000001490116119</v>
      </c>
      <c r="Y294">
        <f>Tabela2[[#This Row],[kan_val_acc_1]]</f>
        <v>0.69629629850387575</v>
      </c>
      <c r="Z294">
        <f>Tabela2[[#This Row],[no_steps]]</f>
        <v>11.588561031563959</v>
      </c>
      <c r="AB294">
        <f t="shared" si="5"/>
        <v>12999</v>
      </c>
      <c r="AC294">
        <f>Tabela2[[#This Row],[kan_time_difference]]/Tabela2[[#This Row],[no_steps]]</f>
        <v>825101.16144905367</v>
      </c>
      <c r="AE294">
        <v>12999</v>
      </c>
      <c r="AF294">
        <v>825101.16144905367</v>
      </c>
    </row>
    <row r="295" spans="1:32" hidden="1" x14ac:dyDescent="0.25">
      <c r="A295" t="s">
        <v>314</v>
      </c>
      <c r="B295">
        <v>3</v>
      </c>
      <c r="C295">
        <v>3</v>
      </c>
      <c r="D295">
        <v>0</v>
      </c>
      <c r="E295" t="s">
        <v>347</v>
      </c>
      <c r="F295">
        <v>7618</v>
      </c>
      <c r="G295">
        <v>15171384.5</v>
      </c>
      <c r="H295">
        <v>0.90000000596046448</v>
      </c>
      <c r="I295">
        <v>0.76666666666666661</v>
      </c>
      <c r="J295">
        <v>916303.83333333337</v>
      </c>
      <c r="K295">
        <v>13324</v>
      </c>
      <c r="L295">
        <v>2</v>
      </c>
      <c r="M295">
        <v>77</v>
      </c>
      <c r="N295">
        <v>0.68888888888888888</v>
      </c>
      <c r="O295">
        <v>795722.66666666663</v>
      </c>
      <c r="P295">
        <v>13653</v>
      </c>
      <c r="Q295">
        <v>2</v>
      </c>
      <c r="R295">
        <v>78</v>
      </c>
      <c r="S295">
        <v>11.676296986641814</v>
      </c>
      <c r="T295">
        <v>0.88888888359069829</v>
      </c>
      <c r="W295">
        <f>Tabela2[[#This Row],[mlp_params]]</f>
        <v>13324</v>
      </c>
      <c r="X295">
        <f>Tabela2[[#This Row],[kan_test_acc]]</f>
        <v>0.90000000596046448</v>
      </c>
      <c r="Y295">
        <f>Tabela2[[#This Row],[kan_val_acc_1]]</f>
        <v>0.88888888359069829</v>
      </c>
      <c r="Z295">
        <f>Tabela2[[#This Row],[no_steps]]</f>
        <v>11.676296986641814</v>
      </c>
      <c r="AB295">
        <f t="shared" si="5"/>
        <v>13324</v>
      </c>
      <c r="AC295">
        <f>Tabela2[[#This Row],[kan_time_difference]]/Tabela2[[#This Row],[no_steps]]</f>
        <v>1299331.8444500612</v>
      </c>
      <c r="AE295">
        <v>13324</v>
      </c>
      <c r="AF295">
        <v>1299331.8444500612</v>
      </c>
    </row>
    <row r="296" spans="1:32" hidden="1" x14ac:dyDescent="0.25">
      <c r="A296" t="s">
        <v>314</v>
      </c>
      <c r="B296">
        <v>3</v>
      </c>
      <c r="C296">
        <v>4</v>
      </c>
      <c r="D296">
        <v>0</v>
      </c>
      <c r="E296" t="s">
        <v>344</v>
      </c>
      <c r="F296">
        <v>7133</v>
      </c>
      <c r="G296">
        <v>14902777.5625</v>
      </c>
      <c r="H296">
        <v>0.84444445185363293</v>
      </c>
      <c r="I296">
        <v>0.66805555555555551</v>
      </c>
      <c r="J296">
        <v>1310140.625</v>
      </c>
      <c r="K296">
        <v>13324</v>
      </c>
      <c r="L296">
        <v>2</v>
      </c>
      <c r="M296">
        <v>77</v>
      </c>
      <c r="N296">
        <v>0.65138888888888891</v>
      </c>
      <c r="O296">
        <v>913266.0625</v>
      </c>
      <c r="P296">
        <v>13653</v>
      </c>
      <c r="Q296">
        <v>2</v>
      </c>
      <c r="R296">
        <v>78</v>
      </c>
      <c r="S296">
        <v>11.676839978921482</v>
      </c>
      <c r="T296">
        <v>0.90617284377415974</v>
      </c>
      <c r="W296">
        <f>Tabela2[[#This Row],[mlp_params]]</f>
        <v>13324</v>
      </c>
      <c r="X296">
        <f>Tabela2[[#This Row],[kan_test_acc]]</f>
        <v>0.84444445185363293</v>
      </c>
      <c r="Y296">
        <f>Tabela2[[#This Row],[kan_val_acc_1]]</f>
        <v>0.90617284377415974</v>
      </c>
      <c r="Z296">
        <f>Tabela2[[#This Row],[no_steps]]</f>
        <v>11.676839978921482</v>
      </c>
      <c r="AB296">
        <f t="shared" si="5"/>
        <v>13324</v>
      </c>
      <c r="AC296">
        <f>Tabela2[[#This Row],[kan_time_difference]]/Tabela2[[#This Row],[no_steps]]</f>
        <v>1276268.030511837</v>
      </c>
      <c r="AE296">
        <v>13324</v>
      </c>
      <c r="AF296">
        <v>1276268.030511837</v>
      </c>
    </row>
    <row r="297" spans="1:32" hidden="1" x14ac:dyDescent="0.25">
      <c r="A297" t="s">
        <v>314</v>
      </c>
      <c r="B297">
        <v>3</v>
      </c>
      <c r="C297">
        <v>5</v>
      </c>
      <c r="D297">
        <v>0</v>
      </c>
      <c r="E297" t="s">
        <v>329</v>
      </c>
      <c r="F297">
        <v>6740</v>
      </c>
      <c r="G297">
        <v>20081695.545454547</v>
      </c>
      <c r="H297">
        <v>0.80808081952008337</v>
      </c>
      <c r="I297">
        <v>0.70303030303030301</v>
      </c>
      <c r="J297">
        <v>2805578.5454545454</v>
      </c>
      <c r="K297">
        <v>13324</v>
      </c>
      <c r="L297">
        <v>2</v>
      </c>
      <c r="M297">
        <v>77</v>
      </c>
      <c r="N297">
        <v>0.73333333333333328</v>
      </c>
      <c r="O297">
        <v>2931714.6363636362</v>
      </c>
      <c r="P297">
        <v>13653</v>
      </c>
      <c r="Q297">
        <v>2</v>
      </c>
      <c r="R297">
        <v>78</v>
      </c>
      <c r="S297">
        <v>11.676953838129183</v>
      </c>
      <c r="T297">
        <v>0.86666668057441709</v>
      </c>
      <c r="W297">
        <f>Tabela2[[#This Row],[mlp_params]]</f>
        <v>13324</v>
      </c>
      <c r="X297">
        <f>Tabela2[[#This Row],[kan_test_acc]]</f>
        <v>0.80808081952008337</v>
      </c>
      <c r="Y297">
        <f>Tabela2[[#This Row],[kan_val_acc_1]]</f>
        <v>0.86666668057441709</v>
      </c>
      <c r="Z297">
        <f>Tabela2[[#This Row],[no_steps]]</f>
        <v>11.676953838129183</v>
      </c>
      <c r="AB297">
        <f t="shared" si="5"/>
        <v>13324</v>
      </c>
      <c r="AC297">
        <f>Tabela2[[#This Row],[kan_time_difference]]/Tabela2[[#This Row],[no_steps]]</f>
        <v>1719771.767863041</v>
      </c>
      <c r="AE297">
        <v>13324</v>
      </c>
      <c r="AF297">
        <v>1719771.767863041</v>
      </c>
    </row>
    <row r="298" spans="1:32" hidden="1" x14ac:dyDescent="0.25">
      <c r="A298" t="s">
        <v>314</v>
      </c>
      <c r="B298">
        <v>5</v>
      </c>
      <c r="C298">
        <v>3</v>
      </c>
      <c r="D298">
        <v>0</v>
      </c>
      <c r="E298" t="s">
        <v>345</v>
      </c>
      <c r="F298">
        <v>8328</v>
      </c>
      <c r="G298">
        <v>15180692.454545455</v>
      </c>
      <c r="H298">
        <v>0.68080808764154266</v>
      </c>
      <c r="I298">
        <v>0.74545454545454548</v>
      </c>
      <c r="J298">
        <v>3946142.1818181816</v>
      </c>
      <c r="K298">
        <v>13324</v>
      </c>
      <c r="L298">
        <v>2</v>
      </c>
      <c r="M298">
        <v>77</v>
      </c>
      <c r="N298">
        <v>0.73333333333333328</v>
      </c>
      <c r="O298">
        <v>3593411.4545454546</v>
      </c>
      <c r="P298">
        <v>13653</v>
      </c>
      <c r="Q298">
        <v>2</v>
      </c>
      <c r="R298">
        <v>78</v>
      </c>
      <c r="S298">
        <v>11.673998561820566</v>
      </c>
      <c r="T298">
        <v>0.84814814925193782</v>
      </c>
      <c r="W298">
        <f>Tabela2[[#This Row],[mlp_params]]</f>
        <v>13324</v>
      </c>
      <c r="X298">
        <f>Tabela2[[#This Row],[kan_test_acc]]</f>
        <v>0.68080808764154266</v>
      </c>
      <c r="Y298">
        <f>Tabela2[[#This Row],[kan_val_acc_1]]</f>
        <v>0.84814814925193782</v>
      </c>
      <c r="Z298">
        <f>Tabela2[[#This Row],[no_steps]]</f>
        <v>11.673998561820566</v>
      </c>
      <c r="AB298">
        <f t="shared" si="5"/>
        <v>13324</v>
      </c>
      <c r="AC298">
        <f>Tabela2[[#This Row],[kan_time_difference]]/Tabela2[[#This Row],[no_steps]]</f>
        <v>1300384.9858431041</v>
      </c>
      <c r="AE298">
        <v>13324</v>
      </c>
      <c r="AF298">
        <v>1300384.9858431041</v>
      </c>
    </row>
    <row r="299" spans="1:32" hidden="1" x14ac:dyDescent="0.25">
      <c r="A299" t="s">
        <v>314</v>
      </c>
      <c r="B299">
        <v>5</v>
      </c>
      <c r="C299">
        <v>4</v>
      </c>
      <c r="D299">
        <v>0</v>
      </c>
      <c r="E299" t="s">
        <v>330</v>
      </c>
      <c r="F299">
        <v>7783</v>
      </c>
      <c r="G299">
        <v>16274506.833333334</v>
      </c>
      <c r="H299">
        <v>0.84814815719922387</v>
      </c>
      <c r="I299">
        <v>0.69259259259259265</v>
      </c>
      <c r="J299">
        <v>3578049.8333333335</v>
      </c>
      <c r="K299">
        <v>13324</v>
      </c>
      <c r="L299">
        <v>2</v>
      </c>
      <c r="M299">
        <v>77</v>
      </c>
      <c r="N299">
        <v>0.65925925925925932</v>
      </c>
      <c r="O299">
        <v>6663803.5</v>
      </c>
      <c r="P299">
        <v>13653</v>
      </c>
      <c r="Q299">
        <v>2</v>
      </c>
      <c r="R299">
        <v>78</v>
      </c>
      <c r="S299">
        <v>11.672754691689008</v>
      </c>
      <c r="T299">
        <v>0.8888888955116272</v>
      </c>
      <c r="W299">
        <f>Tabela2[[#This Row],[mlp_params]]</f>
        <v>13324</v>
      </c>
      <c r="X299">
        <f>Tabela2[[#This Row],[kan_test_acc]]</f>
        <v>0.84814815719922387</v>
      </c>
      <c r="Y299">
        <f>Tabela2[[#This Row],[kan_val_acc_1]]</f>
        <v>0.8888888955116272</v>
      </c>
      <c r="Z299">
        <f>Tabela2[[#This Row],[no_steps]]</f>
        <v>11.672754691689008</v>
      </c>
      <c r="AB299">
        <f t="shared" si="5"/>
        <v>13324</v>
      </c>
      <c r="AC299">
        <f>Tabela2[[#This Row],[kan_time_difference]]/Tabela2[[#This Row],[no_steps]]</f>
        <v>1394230.1764399083</v>
      </c>
      <c r="AE299">
        <v>13324</v>
      </c>
      <c r="AF299">
        <v>1394230.1764399083</v>
      </c>
    </row>
    <row r="300" spans="1:32" hidden="1" x14ac:dyDescent="0.25">
      <c r="A300" t="s">
        <v>314</v>
      </c>
      <c r="B300">
        <v>5</v>
      </c>
      <c r="C300">
        <v>5</v>
      </c>
      <c r="D300">
        <v>0</v>
      </c>
      <c r="E300" t="s">
        <v>335</v>
      </c>
      <c r="F300">
        <v>7330</v>
      </c>
      <c r="G300">
        <v>13287548.0625</v>
      </c>
      <c r="H300">
        <v>0.60694445855915546</v>
      </c>
      <c r="I300">
        <v>0.67638888888888893</v>
      </c>
      <c r="J300">
        <v>5528601.125</v>
      </c>
      <c r="K300">
        <v>13324</v>
      </c>
      <c r="L300">
        <v>2</v>
      </c>
      <c r="M300">
        <v>77</v>
      </c>
      <c r="N300">
        <v>0.6791666666666667</v>
      </c>
      <c r="O300">
        <v>3817403</v>
      </c>
      <c r="P300">
        <v>13653</v>
      </c>
      <c r="Q300">
        <v>2</v>
      </c>
      <c r="R300">
        <v>78</v>
      </c>
      <c r="S300">
        <v>11.661883631236263</v>
      </c>
      <c r="T300">
        <v>0.78271604776382442</v>
      </c>
      <c r="W300">
        <f>Tabela2[[#This Row],[mlp_params]]</f>
        <v>13324</v>
      </c>
      <c r="X300">
        <f>Tabela2[[#This Row],[kan_test_acc]]</f>
        <v>0.60694445855915546</v>
      </c>
      <c r="Y300">
        <f>Tabela2[[#This Row],[kan_val_acc_1]]</f>
        <v>0.78271604776382442</v>
      </c>
      <c r="Z300">
        <f>Tabela2[[#This Row],[no_steps]]</f>
        <v>11.661883631236263</v>
      </c>
      <c r="AB300">
        <f t="shared" si="5"/>
        <v>13324</v>
      </c>
      <c r="AC300">
        <f>Tabela2[[#This Row],[kan_time_difference]]/Tabela2[[#This Row],[no_steps]]</f>
        <v>1139399.8159019018</v>
      </c>
      <c r="AE300">
        <v>13324</v>
      </c>
      <c r="AF300">
        <v>1139399.8159019018</v>
      </c>
    </row>
    <row r="301" spans="1:32" hidden="1" x14ac:dyDescent="0.25">
      <c r="A301" t="s">
        <v>314</v>
      </c>
      <c r="B301">
        <v>9</v>
      </c>
      <c r="C301">
        <v>2</v>
      </c>
      <c r="D301">
        <v>0</v>
      </c>
      <c r="E301" t="s">
        <v>344</v>
      </c>
      <c r="F301">
        <v>9969</v>
      </c>
      <c r="G301">
        <v>10749678.125</v>
      </c>
      <c r="H301">
        <v>0.82777778804302216</v>
      </c>
      <c r="I301">
        <v>0.7055555555555556</v>
      </c>
      <c r="J301">
        <v>6220472.9375</v>
      </c>
      <c r="K301">
        <v>13324</v>
      </c>
      <c r="L301">
        <v>2</v>
      </c>
      <c r="M301">
        <v>77</v>
      </c>
      <c r="N301">
        <v>0.68888888888888888</v>
      </c>
      <c r="O301">
        <v>2774416.25</v>
      </c>
      <c r="P301">
        <v>13653</v>
      </c>
      <c r="Q301">
        <v>2</v>
      </c>
      <c r="R301">
        <v>78</v>
      </c>
      <c r="S301">
        <v>11.641792264019932</v>
      </c>
      <c r="T301">
        <v>0.85432100296020508</v>
      </c>
      <c r="W301">
        <f>Tabela2[[#This Row],[mlp_params]]</f>
        <v>13324</v>
      </c>
      <c r="X301">
        <f>Tabela2[[#This Row],[kan_test_acc]]</f>
        <v>0.82777778804302216</v>
      </c>
      <c r="Y301">
        <f>Tabela2[[#This Row],[kan_val_acc_1]]</f>
        <v>0.85432100296020508</v>
      </c>
      <c r="Z301">
        <f>Tabela2[[#This Row],[no_steps]]</f>
        <v>11.641792264019932</v>
      </c>
      <c r="AB301">
        <f t="shared" si="5"/>
        <v>13324</v>
      </c>
      <c r="AC301">
        <f>Tabela2[[#This Row],[kan_time_difference]]/Tabela2[[#This Row],[no_steps]]</f>
        <v>923369.69095582515</v>
      </c>
      <c r="AE301">
        <v>13324</v>
      </c>
      <c r="AF301">
        <v>923369.69095582515</v>
      </c>
    </row>
    <row r="302" spans="1:32" hidden="1" x14ac:dyDescent="0.25">
      <c r="A302" t="s">
        <v>314</v>
      </c>
      <c r="B302">
        <v>9</v>
      </c>
      <c r="C302">
        <v>3</v>
      </c>
      <c r="D302">
        <v>0</v>
      </c>
      <c r="E302" t="s">
        <v>329</v>
      </c>
      <c r="F302">
        <v>9176</v>
      </c>
      <c r="G302">
        <v>12364307.727272727</v>
      </c>
      <c r="H302">
        <v>0.68484849550507287</v>
      </c>
      <c r="I302">
        <v>0.70707070707070707</v>
      </c>
      <c r="J302">
        <v>4872741.2727272725</v>
      </c>
      <c r="K302">
        <v>13324</v>
      </c>
      <c r="L302">
        <v>2</v>
      </c>
      <c r="M302">
        <v>77</v>
      </c>
      <c r="N302">
        <v>0.70303030303030301</v>
      </c>
      <c r="O302">
        <v>2085909.7272727273</v>
      </c>
      <c r="P302">
        <v>13653</v>
      </c>
      <c r="Q302">
        <v>2</v>
      </c>
      <c r="R302">
        <v>78</v>
      </c>
      <c r="S302">
        <v>11.632479669862848</v>
      </c>
      <c r="T302">
        <v>0.76296296715736389</v>
      </c>
      <c r="W302">
        <f>Tabela2[[#This Row],[mlp_params]]</f>
        <v>13324</v>
      </c>
      <c r="X302">
        <f>Tabela2[[#This Row],[kan_test_acc]]</f>
        <v>0.68484849550507287</v>
      </c>
      <c r="Y302">
        <f>Tabela2[[#This Row],[kan_val_acc_1]]</f>
        <v>0.76296296715736389</v>
      </c>
      <c r="Z302">
        <f>Tabela2[[#This Row],[no_steps]]</f>
        <v>11.632479669862848</v>
      </c>
      <c r="AB302">
        <f t="shared" si="5"/>
        <v>13324</v>
      </c>
      <c r="AC302">
        <f>Tabela2[[#This Row],[kan_time_difference]]/Tabela2[[#This Row],[no_steps]]</f>
        <v>1062912.4725062603</v>
      </c>
      <c r="AE302">
        <v>13324</v>
      </c>
      <c r="AF302">
        <v>1062912.4725062603</v>
      </c>
    </row>
    <row r="303" spans="1:32" x14ac:dyDescent="0.25">
      <c r="A303" t="s">
        <v>314</v>
      </c>
      <c r="B303">
        <v>9</v>
      </c>
      <c r="C303">
        <v>4</v>
      </c>
      <c r="D303">
        <v>0</v>
      </c>
      <c r="E303" t="s">
        <v>321</v>
      </c>
      <c r="F303">
        <v>8631</v>
      </c>
      <c r="G303">
        <v>13415512.666666666</v>
      </c>
      <c r="H303">
        <v>0.64074075718720758</v>
      </c>
      <c r="I303">
        <v>0.68518518518518512</v>
      </c>
      <c r="J303">
        <v>717979.66666666663</v>
      </c>
      <c r="K303">
        <v>13324</v>
      </c>
      <c r="L303">
        <v>2</v>
      </c>
      <c r="M303">
        <v>77</v>
      </c>
      <c r="N303">
        <v>0.75185185185185188</v>
      </c>
      <c r="O303">
        <v>1223308.3333333333</v>
      </c>
      <c r="P303">
        <v>13653</v>
      </c>
      <c r="Q303">
        <v>2</v>
      </c>
      <c r="R303">
        <v>78</v>
      </c>
      <c r="S303">
        <v>11.613639092328011</v>
      </c>
      <c r="T303">
        <v>0.77777776718139646</v>
      </c>
      <c r="W303">
        <f>Tabela2[[#This Row],[mlp_params]]</f>
        <v>13324</v>
      </c>
      <c r="X303">
        <f>Tabela2[[#This Row],[kan_test_acc]]</f>
        <v>0.64074075718720758</v>
      </c>
      <c r="Y303">
        <f>Tabela2[[#This Row],[kan_val_acc_1]]</f>
        <v>0.77777776718139646</v>
      </c>
      <c r="Z303">
        <f>Tabela2[[#This Row],[no_steps]]</f>
        <v>11.613639092328011</v>
      </c>
      <c r="AB303">
        <f t="shared" si="5"/>
        <v>13324</v>
      </c>
      <c r="AC303">
        <f>Tabela2[[#This Row],[kan_time_difference]]/Tabela2[[#This Row],[no_steps]]</f>
        <v>1155151.504193804</v>
      </c>
      <c r="AE303">
        <v>13324</v>
      </c>
      <c r="AF303">
        <v>1155151.504193804</v>
      </c>
    </row>
    <row r="304" spans="1:32" hidden="1" x14ac:dyDescent="0.25">
      <c r="A304" t="s">
        <v>314</v>
      </c>
      <c r="B304">
        <v>9</v>
      </c>
      <c r="C304">
        <v>5</v>
      </c>
      <c r="D304">
        <v>0</v>
      </c>
      <c r="E304" t="s">
        <v>333</v>
      </c>
      <c r="F304">
        <v>8210</v>
      </c>
      <c r="G304">
        <v>10197821.090909092</v>
      </c>
      <c r="H304">
        <v>0.63232325152917346</v>
      </c>
      <c r="I304">
        <v>0.71111111111111103</v>
      </c>
      <c r="J304">
        <v>1130184.2727272727</v>
      </c>
      <c r="K304">
        <v>13324</v>
      </c>
      <c r="L304">
        <v>2</v>
      </c>
      <c r="M304">
        <v>77</v>
      </c>
      <c r="N304">
        <v>0.78989898989898988</v>
      </c>
      <c r="O304">
        <v>750680.18181818177</v>
      </c>
      <c r="P304">
        <v>13653</v>
      </c>
      <c r="Q304">
        <v>2</v>
      </c>
      <c r="R304">
        <v>78</v>
      </c>
      <c r="S304">
        <v>11.587474795397936</v>
      </c>
      <c r="T304">
        <v>0.6962962925434113</v>
      </c>
      <c r="W304">
        <f>Tabela2[[#This Row],[mlp_params]]</f>
        <v>13324</v>
      </c>
      <c r="X304">
        <f>Tabela2[[#This Row],[kan_test_acc]]</f>
        <v>0.63232325152917346</v>
      </c>
      <c r="Y304">
        <f>Tabela2[[#This Row],[kan_val_acc_1]]</f>
        <v>0.6962962925434113</v>
      </c>
      <c r="Z304">
        <f>Tabela2[[#This Row],[no_steps]]</f>
        <v>11.587474795397936</v>
      </c>
      <c r="AB304">
        <f t="shared" si="5"/>
        <v>13324</v>
      </c>
      <c r="AC304">
        <f>Tabela2[[#This Row],[kan_time_difference]]/Tabela2[[#This Row],[no_steps]]</f>
        <v>880072.77435108146</v>
      </c>
      <c r="AE304">
        <v>13324</v>
      </c>
      <c r="AF304">
        <v>880072.77435108146</v>
      </c>
    </row>
    <row r="305" spans="1:32" hidden="1" x14ac:dyDescent="0.25">
      <c r="A305" t="s">
        <v>314</v>
      </c>
      <c r="B305">
        <v>3</v>
      </c>
      <c r="C305">
        <v>4</v>
      </c>
      <c r="D305">
        <v>0</v>
      </c>
      <c r="E305" t="s">
        <v>337</v>
      </c>
      <c r="F305">
        <v>7255</v>
      </c>
      <c r="G305">
        <v>14515957.5</v>
      </c>
      <c r="H305">
        <v>0.85555556416511536</v>
      </c>
      <c r="I305">
        <v>0.6962962962962963</v>
      </c>
      <c r="J305">
        <v>1792579.8333333333</v>
      </c>
      <c r="K305">
        <v>13653</v>
      </c>
      <c r="L305">
        <v>2</v>
      </c>
      <c r="M305">
        <v>78</v>
      </c>
      <c r="N305">
        <v>0.66296296296296298</v>
      </c>
      <c r="O305">
        <v>897540.66666666663</v>
      </c>
      <c r="P305">
        <v>13986</v>
      </c>
      <c r="Q305">
        <v>2</v>
      </c>
      <c r="R305">
        <v>79</v>
      </c>
      <c r="S305">
        <v>11.676661691105453</v>
      </c>
      <c r="T305">
        <v>0.91111110448837285</v>
      </c>
      <c r="W305">
        <f>Tabela2[[#This Row],[mlp_params]]</f>
        <v>13653</v>
      </c>
      <c r="X305">
        <f>Tabela2[[#This Row],[kan_test_acc]]</f>
        <v>0.85555556416511536</v>
      </c>
      <c r="Y305">
        <f>Tabela2[[#This Row],[kan_val_acc_1]]</f>
        <v>0.91111110448837285</v>
      </c>
      <c r="Z305">
        <f>Tabela2[[#This Row],[no_steps]]</f>
        <v>11.676661691105453</v>
      </c>
      <c r="AB305">
        <f t="shared" si="5"/>
        <v>13653</v>
      </c>
      <c r="AC305">
        <f>Tabela2[[#This Row],[kan_time_difference]]/Tabela2[[#This Row],[no_steps]]</f>
        <v>1243159.8931274463</v>
      </c>
      <c r="AE305">
        <v>13653</v>
      </c>
      <c r="AF305">
        <v>1243159.8931274463</v>
      </c>
    </row>
    <row r="306" spans="1:32" hidden="1" x14ac:dyDescent="0.25">
      <c r="A306" t="s">
        <v>314</v>
      </c>
      <c r="B306">
        <v>3</v>
      </c>
      <c r="C306">
        <v>5</v>
      </c>
      <c r="D306">
        <v>0</v>
      </c>
      <c r="E306" t="s">
        <v>342</v>
      </c>
      <c r="F306">
        <v>6870</v>
      </c>
      <c r="G306">
        <v>19097830.166666668</v>
      </c>
      <c r="H306">
        <v>0.70000001291433966</v>
      </c>
      <c r="I306">
        <v>0.69259259259259265</v>
      </c>
      <c r="J306">
        <v>2008533.6666666667</v>
      </c>
      <c r="K306">
        <v>13653</v>
      </c>
      <c r="L306">
        <v>2</v>
      </c>
      <c r="M306">
        <v>78</v>
      </c>
      <c r="N306">
        <v>0.68888888888888888</v>
      </c>
      <c r="O306">
        <v>1516296.3333333333</v>
      </c>
      <c r="P306">
        <v>13986</v>
      </c>
      <c r="Q306">
        <v>2</v>
      </c>
      <c r="R306">
        <v>79</v>
      </c>
      <c r="S306">
        <v>11.677472622979316</v>
      </c>
      <c r="T306">
        <v>0.785185182094574</v>
      </c>
      <c r="W306">
        <f>Tabela2[[#This Row],[mlp_params]]</f>
        <v>13653</v>
      </c>
      <c r="X306">
        <f>Tabela2[[#This Row],[kan_test_acc]]</f>
        <v>0.70000001291433966</v>
      </c>
      <c r="Y306">
        <f>Tabela2[[#This Row],[kan_val_acc_1]]</f>
        <v>0.785185182094574</v>
      </c>
      <c r="Z306">
        <f>Tabela2[[#This Row],[no_steps]]</f>
        <v>11.677472622979316</v>
      </c>
      <c r="AB306">
        <f t="shared" si="5"/>
        <v>13653</v>
      </c>
      <c r="AC306">
        <f>Tabela2[[#This Row],[kan_time_difference]]/Tabela2[[#This Row],[no_steps]]</f>
        <v>1635442.0843672394</v>
      </c>
      <c r="AE306">
        <v>13653</v>
      </c>
      <c r="AF306">
        <v>1635442.0843672394</v>
      </c>
    </row>
    <row r="307" spans="1:32" hidden="1" x14ac:dyDescent="0.25">
      <c r="A307" t="s">
        <v>314</v>
      </c>
      <c r="B307">
        <v>5</v>
      </c>
      <c r="C307">
        <v>2</v>
      </c>
      <c r="D307">
        <v>0</v>
      </c>
      <c r="E307" t="s">
        <v>355</v>
      </c>
      <c r="F307">
        <v>9261</v>
      </c>
      <c r="G307">
        <v>19342046.166666668</v>
      </c>
      <c r="H307">
        <v>0.8888888955116272</v>
      </c>
      <c r="I307">
        <v>0.67777777777777781</v>
      </c>
      <c r="J307">
        <v>2883992.5</v>
      </c>
      <c r="K307">
        <v>13653</v>
      </c>
      <c r="L307">
        <v>2</v>
      </c>
      <c r="M307">
        <v>78</v>
      </c>
      <c r="N307">
        <v>0.71481481481481479</v>
      </c>
      <c r="O307">
        <v>3219220.8333333335</v>
      </c>
      <c r="P307">
        <v>13986</v>
      </c>
      <c r="Q307">
        <v>2</v>
      </c>
      <c r="R307">
        <v>79</v>
      </c>
      <c r="S307">
        <v>11.684032823318232</v>
      </c>
      <c r="T307">
        <v>0.94814814329147334</v>
      </c>
      <c r="W307">
        <f>Tabela2[[#This Row],[mlp_params]]</f>
        <v>13653</v>
      </c>
      <c r="X307">
        <f>Tabela2[[#This Row],[kan_test_acc]]</f>
        <v>0.8888888955116272</v>
      </c>
      <c r="Y307">
        <f>Tabela2[[#This Row],[kan_val_acc_1]]</f>
        <v>0.94814814329147334</v>
      </c>
      <c r="Z307">
        <f>Tabela2[[#This Row],[no_steps]]</f>
        <v>11.684032823318232</v>
      </c>
      <c r="AB307">
        <f t="shared" si="5"/>
        <v>13653</v>
      </c>
      <c r="AC307">
        <f>Tabela2[[#This Row],[kan_time_difference]]/Tabela2[[#This Row],[no_steps]]</f>
        <v>1655425.5246583244</v>
      </c>
      <c r="AE307">
        <v>13653</v>
      </c>
      <c r="AF307">
        <v>1655425.5246583244</v>
      </c>
    </row>
    <row r="308" spans="1:32" hidden="1" x14ac:dyDescent="0.25">
      <c r="A308" t="s">
        <v>314</v>
      </c>
      <c r="B308">
        <v>5</v>
      </c>
      <c r="C308">
        <v>3</v>
      </c>
      <c r="D308">
        <v>0</v>
      </c>
      <c r="E308" t="s">
        <v>338</v>
      </c>
      <c r="F308">
        <v>8418</v>
      </c>
      <c r="G308">
        <v>17241415.666666668</v>
      </c>
      <c r="H308">
        <v>0.60370371242364251</v>
      </c>
      <c r="I308">
        <v>0.73703703703703705</v>
      </c>
      <c r="J308">
        <v>5429133.666666667</v>
      </c>
      <c r="K308">
        <v>13653</v>
      </c>
      <c r="L308">
        <v>2</v>
      </c>
      <c r="M308">
        <v>78</v>
      </c>
      <c r="N308">
        <v>0.67407407407407405</v>
      </c>
      <c r="O308">
        <v>5023193.166666667</v>
      </c>
      <c r="P308">
        <v>13986</v>
      </c>
      <c r="Q308">
        <v>2</v>
      </c>
      <c r="R308">
        <v>79</v>
      </c>
      <c r="S308">
        <v>11.674461876770838</v>
      </c>
      <c r="T308">
        <v>0.79259259700775142</v>
      </c>
      <c r="W308">
        <f>Tabela2[[#This Row],[mlp_params]]</f>
        <v>13653</v>
      </c>
      <c r="X308">
        <f>Tabela2[[#This Row],[kan_test_acc]]</f>
        <v>0.60370371242364251</v>
      </c>
      <c r="Y308">
        <f>Tabela2[[#This Row],[kan_val_acc_1]]</f>
        <v>0.79259259700775142</v>
      </c>
      <c r="Z308">
        <f>Tabela2[[#This Row],[no_steps]]</f>
        <v>11.674461876770838</v>
      </c>
      <c r="AB308">
        <f t="shared" si="5"/>
        <v>13653</v>
      </c>
      <c r="AC308">
        <f>Tabela2[[#This Row],[kan_time_difference]]/Tabela2[[#This Row],[no_steps]]</f>
        <v>1476848.8559607728</v>
      </c>
      <c r="AE308">
        <v>13653</v>
      </c>
      <c r="AF308">
        <v>1476848.8559607728</v>
      </c>
    </row>
    <row r="309" spans="1:32" hidden="1" x14ac:dyDescent="0.25">
      <c r="A309" t="s">
        <v>314</v>
      </c>
      <c r="B309">
        <v>5</v>
      </c>
      <c r="C309">
        <v>5</v>
      </c>
      <c r="D309">
        <v>0</v>
      </c>
      <c r="E309" t="s">
        <v>322</v>
      </c>
      <c r="F309">
        <v>7438</v>
      </c>
      <c r="G309">
        <v>17101288.166666668</v>
      </c>
      <c r="H309">
        <v>0.57037038604418433</v>
      </c>
      <c r="I309">
        <v>0.67037037037037039</v>
      </c>
      <c r="J309">
        <v>4792916</v>
      </c>
      <c r="K309">
        <v>13653</v>
      </c>
      <c r="L309">
        <v>2</v>
      </c>
      <c r="M309">
        <v>78</v>
      </c>
      <c r="N309">
        <v>0.66296296296296298</v>
      </c>
      <c r="O309">
        <v>2109415.1666666665</v>
      </c>
      <c r="P309">
        <v>13986</v>
      </c>
      <c r="Q309">
        <v>2</v>
      </c>
      <c r="R309">
        <v>79</v>
      </c>
      <c r="S309">
        <v>11.662133587628011</v>
      </c>
      <c r="T309">
        <v>0.77777777910232548</v>
      </c>
      <c r="W309">
        <f>Tabela2[[#This Row],[mlp_params]]</f>
        <v>13653</v>
      </c>
      <c r="X309">
        <f>Tabela2[[#This Row],[kan_test_acc]]</f>
        <v>0.57037038604418433</v>
      </c>
      <c r="Y309">
        <f>Tabela2[[#This Row],[kan_val_acc_1]]</f>
        <v>0.77777777910232548</v>
      </c>
      <c r="Z309">
        <f>Tabela2[[#This Row],[no_steps]]</f>
        <v>11.662133587628011</v>
      </c>
      <c r="AB309">
        <f t="shared" si="5"/>
        <v>13653</v>
      </c>
      <c r="AC309">
        <f>Tabela2[[#This Row],[kan_time_difference]]/Tabela2[[#This Row],[no_steps]]</f>
        <v>1466394.4670303627</v>
      </c>
      <c r="AE309">
        <v>13653</v>
      </c>
      <c r="AF309">
        <v>1466394.4670303627</v>
      </c>
    </row>
    <row r="310" spans="1:32" hidden="1" x14ac:dyDescent="0.25">
      <c r="A310" t="s">
        <v>314</v>
      </c>
      <c r="B310">
        <v>9</v>
      </c>
      <c r="C310">
        <v>2</v>
      </c>
      <c r="D310">
        <v>0</v>
      </c>
      <c r="E310" t="s">
        <v>337</v>
      </c>
      <c r="F310">
        <v>10139</v>
      </c>
      <c r="G310">
        <v>12110983.833333334</v>
      </c>
      <c r="H310">
        <v>0.68148150046666467</v>
      </c>
      <c r="I310">
        <v>0.69259259259259265</v>
      </c>
      <c r="J310">
        <v>6208420</v>
      </c>
      <c r="K310">
        <v>13653</v>
      </c>
      <c r="L310">
        <v>2</v>
      </c>
      <c r="M310">
        <v>78</v>
      </c>
      <c r="N310">
        <v>0.6962962962962963</v>
      </c>
      <c r="O310">
        <v>3335989.8333333335</v>
      </c>
      <c r="P310">
        <v>13986</v>
      </c>
      <c r="Q310">
        <v>2</v>
      </c>
      <c r="R310">
        <v>79</v>
      </c>
      <c r="S310">
        <v>11.641349177181592</v>
      </c>
      <c r="T310">
        <v>0.8592592597007751</v>
      </c>
      <c r="W310">
        <f>Tabela2[[#This Row],[mlp_params]]</f>
        <v>13653</v>
      </c>
      <c r="X310">
        <f>Tabela2[[#This Row],[kan_test_acc]]</f>
        <v>0.68148150046666467</v>
      </c>
      <c r="Y310">
        <f>Tabela2[[#This Row],[kan_val_acc_1]]</f>
        <v>0.8592592597007751</v>
      </c>
      <c r="Z310">
        <f>Tabela2[[#This Row],[no_steps]]</f>
        <v>11.641349177181592</v>
      </c>
      <c r="AB310">
        <f t="shared" si="5"/>
        <v>13653</v>
      </c>
      <c r="AC310">
        <f>Tabela2[[#This Row],[kan_time_difference]]/Tabela2[[#This Row],[no_steps]]</f>
        <v>1040341.9439623271</v>
      </c>
      <c r="AE310">
        <v>13653</v>
      </c>
      <c r="AF310">
        <v>1040341.9439623271</v>
      </c>
    </row>
    <row r="311" spans="1:32" hidden="1" x14ac:dyDescent="0.25">
      <c r="A311" t="s">
        <v>314</v>
      </c>
      <c r="B311">
        <v>9</v>
      </c>
      <c r="C311">
        <v>3</v>
      </c>
      <c r="D311">
        <v>0</v>
      </c>
      <c r="E311" t="s">
        <v>342</v>
      </c>
      <c r="F311">
        <v>9354</v>
      </c>
      <c r="G311">
        <v>13748164.5</v>
      </c>
      <c r="H311">
        <v>0.67407408853371942</v>
      </c>
      <c r="I311">
        <v>0.68888888888888888</v>
      </c>
      <c r="J311">
        <v>5329465.833333333</v>
      </c>
      <c r="K311">
        <v>13653</v>
      </c>
      <c r="L311">
        <v>2</v>
      </c>
      <c r="M311">
        <v>78</v>
      </c>
      <c r="N311">
        <v>0.66296296296296298</v>
      </c>
      <c r="O311">
        <v>4658015.333333333</v>
      </c>
      <c r="P311">
        <v>13986</v>
      </c>
      <c r="Q311">
        <v>2</v>
      </c>
      <c r="R311">
        <v>79</v>
      </c>
      <c r="S311">
        <v>11.632528414836386</v>
      </c>
      <c r="T311">
        <v>0.86666667461395264</v>
      </c>
      <c r="W311">
        <f>Tabela2[[#This Row],[mlp_params]]</f>
        <v>13653</v>
      </c>
      <c r="X311">
        <f>Tabela2[[#This Row],[kan_test_acc]]</f>
        <v>0.67407408853371942</v>
      </c>
      <c r="Y311">
        <f>Tabela2[[#This Row],[kan_val_acc_1]]</f>
        <v>0.86666667461395264</v>
      </c>
      <c r="Z311">
        <f>Tabela2[[#This Row],[no_steps]]</f>
        <v>11.632528414836386</v>
      </c>
      <c r="AB311">
        <f t="shared" si="5"/>
        <v>13653</v>
      </c>
      <c r="AC311">
        <f>Tabela2[[#This Row],[kan_time_difference]]/Tabela2[[#This Row],[no_steps]]</f>
        <v>1181872.4192812014</v>
      </c>
      <c r="AE311">
        <v>13653</v>
      </c>
      <c r="AF311">
        <v>1181872.4192812014</v>
      </c>
    </row>
    <row r="312" spans="1:32" hidden="1" x14ac:dyDescent="0.25">
      <c r="A312" t="s">
        <v>314</v>
      </c>
      <c r="B312">
        <v>3</v>
      </c>
      <c r="C312">
        <v>3</v>
      </c>
      <c r="D312">
        <v>0</v>
      </c>
      <c r="E312" t="s">
        <v>354</v>
      </c>
      <c r="F312">
        <v>7906</v>
      </c>
      <c r="G312">
        <v>12595081</v>
      </c>
      <c r="H312">
        <v>0.92592593034108484</v>
      </c>
      <c r="I312">
        <v>0.70740740740740737</v>
      </c>
      <c r="J312">
        <v>1037230.8333333334</v>
      </c>
      <c r="K312">
        <v>13986</v>
      </c>
      <c r="L312">
        <v>2</v>
      </c>
      <c r="M312">
        <v>79</v>
      </c>
      <c r="N312">
        <v>0.68888888888888888</v>
      </c>
      <c r="O312">
        <v>578114.16666666663</v>
      </c>
      <c r="P312">
        <v>14323</v>
      </c>
      <c r="Q312">
        <v>2</v>
      </c>
      <c r="R312">
        <v>80</v>
      </c>
      <c r="S312">
        <v>11.676338790540841</v>
      </c>
      <c r="T312">
        <v>0.92592593431472781</v>
      </c>
      <c r="W312">
        <f>Tabela2[[#This Row],[mlp_params]]</f>
        <v>13986</v>
      </c>
      <c r="X312">
        <f>Tabela2[[#This Row],[kan_test_acc]]</f>
        <v>0.92592593034108484</v>
      </c>
      <c r="Y312">
        <f>Tabela2[[#This Row],[kan_val_acc_1]]</f>
        <v>0.92592593431472781</v>
      </c>
      <c r="Z312">
        <f>Tabela2[[#This Row],[no_steps]]</f>
        <v>11.676338790540841</v>
      </c>
      <c r="AB312">
        <f t="shared" si="5"/>
        <v>13986</v>
      </c>
      <c r="AC312">
        <f>Tabela2[[#This Row],[kan_time_difference]]/Tabela2[[#This Row],[no_steps]]</f>
        <v>1078684.1000368579</v>
      </c>
      <c r="AE312">
        <v>13986</v>
      </c>
      <c r="AF312">
        <v>1078684.1000368579</v>
      </c>
    </row>
    <row r="313" spans="1:32" hidden="1" x14ac:dyDescent="0.25">
      <c r="A313" t="s">
        <v>314</v>
      </c>
      <c r="B313">
        <v>3</v>
      </c>
      <c r="C313">
        <v>5</v>
      </c>
      <c r="D313">
        <v>0</v>
      </c>
      <c r="E313" t="s">
        <v>330</v>
      </c>
      <c r="F313">
        <v>7138</v>
      </c>
      <c r="G313">
        <v>14665881.363636363</v>
      </c>
      <c r="H313">
        <v>0.81212122331966052</v>
      </c>
      <c r="I313">
        <v>0.70707070707070707</v>
      </c>
      <c r="J313">
        <v>2269409.9090909092</v>
      </c>
      <c r="K313">
        <v>13986</v>
      </c>
      <c r="L313">
        <v>2</v>
      </c>
      <c r="M313">
        <v>79</v>
      </c>
      <c r="N313">
        <v>0.66666666666666663</v>
      </c>
      <c r="O313">
        <v>1169022.6363636365</v>
      </c>
      <c r="P313">
        <v>14323</v>
      </c>
      <c r="Q313">
        <v>2</v>
      </c>
      <c r="R313">
        <v>80</v>
      </c>
      <c r="S313">
        <v>11.676888329062242</v>
      </c>
      <c r="T313">
        <v>0.80740740299224856</v>
      </c>
      <c r="W313">
        <f>Tabela2[[#This Row],[mlp_params]]</f>
        <v>13986</v>
      </c>
      <c r="X313">
        <f>Tabela2[[#This Row],[kan_test_acc]]</f>
        <v>0.81212122331966052</v>
      </c>
      <c r="Y313">
        <f>Tabela2[[#This Row],[kan_val_acc_1]]</f>
        <v>0.80740740299224856</v>
      </c>
      <c r="Z313">
        <f>Tabela2[[#This Row],[no_steps]]</f>
        <v>11.676888329062242</v>
      </c>
      <c r="AB313">
        <f t="shared" si="5"/>
        <v>13986</v>
      </c>
      <c r="AC313">
        <f>Tabela2[[#This Row],[kan_time_difference]]/Tabela2[[#This Row],[no_steps]]</f>
        <v>1255975.1322734593</v>
      </c>
      <c r="AE313">
        <v>13986</v>
      </c>
      <c r="AF313">
        <v>1255975.1322734593</v>
      </c>
    </row>
    <row r="314" spans="1:32" hidden="1" x14ac:dyDescent="0.25">
      <c r="A314" t="s">
        <v>314</v>
      </c>
      <c r="B314">
        <v>5</v>
      </c>
      <c r="C314">
        <v>3</v>
      </c>
      <c r="D314">
        <v>0</v>
      </c>
      <c r="E314" t="s">
        <v>352</v>
      </c>
      <c r="F314">
        <v>8592</v>
      </c>
      <c r="G314">
        <v>16530115.666666666</v>
      </c>
      <c r="H314">
        <v>0.70000000794728601</v>
      </c>
      <c r="I314">
        <v>0.67777777777777781</v>
      </c>
      <c r="J314">
        <v>5504050</v>
      </c>
      <c r="K314">
        <v>13986</v>
      </c>
      <c r="L314">
        <v>2</v>
      </c>
      <c r="M314">
        <v>79</v>
      </c>
      <c r="N314">
        <v>0.66666666666666663</v>
      </c>
      <c r="O314">
        <v>3474060.1666666665</v>
      </c>
      <c r="P314">
        <v>14323</v>
      </c>
      <c r="Q314">
        <v>2</v>
      </c>
      <c r="R314">
        <v>80</v>
      </c>
      <c r="S314">
        <v>11.674671289054242</v>
      </c>
      <c r="T314">
        <v>0.81481481790542598</v>
      </c>
      <c r="W314">
        <f>Tabela2[[#This Row],[mlp_params]]</f>
        <v>13986</v>
      </c>
      <c r="X314">
        <f>Tabela2[[#This Row],[kan_test_acc]]</f>
        <v>0.70000000794728601</v>
      </c>
      <c r="Y314">
        <f>Tabela2[[#This Row],[kan_val_acc_1]]</f>
        <v>0.81481481790542598</v>
      </c>
      <c r="Z314">
        <f>Tabela2[[#This Row],[no_steps]]</f>
        <v>11.674671289054242</v>
      </c>
      <c r="AB314">
        <f t="shared" si="5"/>
        <v>13986</v>
      </c>
      <c r="AC314">
        <f>Tabela2[[#This Row],[kan_time_difference]]/Tabela2[[#This Row],[no_steps]]</f>
        <v>1415895.5963209616</v>
      </c>
      <c r="AE314">
        <v>13986</v>
      </c>
      <c r="AF314">
        <v>1415895.5963209616</v>
      </c>
    </row>
    <row r="315" spans="1:32" hidden="1" x14ac:dyDescent="0.25">
      <c r="A315" t="s">
        <v>314</v>
      </c>
      <c r="B315">
        <v>5</v>
      </c>
      <c r="C315">
        <v>4</v>
      </c>
      <c r="D315">
        <v>0</v>
      </c>
      <c r="E315" t="s">
        <v>343</v>
      </c>
      <c r="F315">
        <v>8021</v>
      </c>
      <c r="G315">
        <v>14717934.6875</v>
      </c>
      <c r="H315">
        <v>0.72638890147209167</v>
      </c>
      <c r="I315">
        <v>0.7</v>
      </c>
      <c r="J315">
        <v>4013466.0625</v>
      </c>
      <c r="K315">
        <v>13986</v>
      </c>
      <c r="L315">
        <v>2</v>
      </c>
      <c r="M315">
        <v>79</v>
      </c>
      <c r="N315">
        <v>0.66666666666666663</v>
      </c>
      <c r="O315">
        <v>3445681.3125</v>
      </c>
      <c r="P315">
        <v>14323</v>
      </c>
      <c r="Q315">
        <v>2</v>
      </c>
      <c r="R315">
        <v>80</v>
      </c>
      <c r="S315">
        <v>11.672429671801741</v>
      </c>
      <c r="T315">
        <v>0.81481481790542598</v>
      </c>
      <c r="W315">
        <f>Tabela2[[#This Row],[mlp_params]]</f>
        <v>13986</v>
      </c>
      <c r="X315">
        <f>Tabela2[[#This Row],[kan_test_acc]]</f>
        <v>0.72638890147209167</v>
      </c>
      <c r="Y315">
        <f>Tabela2[[#This Row],[kan_val_acc_1]]</f>
        <v>0.81481481790542598</v>
      </c>
      <c r="Z315">
        <f>Tabela2[[#This Row],[no_steps]]</f>
        <v>11.672429671801741</v>
      </c>
      <c r="AB315">
        <f t="shared" si="5"/>
        <v>13986</v>
      </c>
      <c r="AC315">
        <f>Tabela2[[#This Row],[kan_time_difference]]/Tabela2[[#This Row],[no_steps]]</f>
        <v>1260914.4026847805</v>
      </c>
      <c r="AE315">
        <v>13986</v>
      </c>
      <c r="AF315">
        <v>1260914.4026847805</v>
      </c>
    </row>
    <row r="316" spans="1:32" hidden="1" x14ac:dyDescent="0.25">
      <c r="A316" t="s">
        <v>314</v>
      </c>
      <c r="B316">
        <v>5</v>
      </c>
      <c r="C316">
        <v>5</v>
      </c>
      <c r="D316">
        <v>0</v>
      </c>
      <c r="E316" t="s">
        <v>349</v>
      </c>
      <c r="F316">
        <v>7642</v>
      </c>
      <c r="G316">
        <v>16458040.75</v>
      </c>
      <c r="H316">
        <v>0.56111112423241138</v>
      </c>
      <c r="I316">
        <v>0.70833333333333337</v>
      </c>
      <c r="J316">
        <v>4414209.4375</v>
      </c>
      <c r="K316">
        <v>13986</v>
      </c>
      <c r="L316">
        <v>2</v>
      </c>
      <c r="M316">
        <v>79</v>
      </c>
      <c r="N316">
        <v>0.70277777777777772</v>
      </c>
      <c r="O316">
        <v>3580438</v>
      </c>
      <c r="P316">
        <v>14323</v>
      </c>
      <c r="Q316">
        <v>2</v>
      </c>
      <c r="R316">
        <v>80</v>
      </c>
      <c r="S316">
        <v>11.662233271182929</v>
      </c>
      <c r="T316">
        <v>0.68148148059844971</v>
      </c>
      <c r="W316">
        <f>Tabela2[[#This Row],[mlp_params]]</f>
        <v>13986</v>
      </c>
      <c r="X316">
        <f>Tabela2[[#This Row],[kan_test_acc]]</f>
        <v>0.56111112423241138</v>
      </c>
      <c r="Y316">
        <f>Tabela2[[#This Row],[kan_val_acc_1]]</f>
        <v>0.68148148059844971</v>
      </c>
      <c r="Z316">
        <f>Tabela2[[#This Row],[no_steps]]</f>
        <v>11.662233271182929</v>
      </c>
      <c r="AB316">
        <f t="shared" si="5"/>
        <v>13986</v>
      </c>
      <c r="AC316">
        <f>Tabela2[[#This Row],[kan_time_difference]]/Tabela2[[#This Row],[no_steps]]</f>
        <v>1411225.4803432361</v>
      </c>
      <c r="AE316">
        <v>13986</v>
      </c>
      <c r="AF316">
        <v>1411225.4803432361</v>
      </c>
    </row>
    <row r="317" spans="1:32" hidden="1" x14ac:dyDescent="0.25">
      <c r="A317" t="s">
        <v>314</v>
      </c>
      <c r="B317">
        <v>9</v>
      </c>
      <c r="C317">
        <v>3</v>
      </c>
      <c r="D317">
        <v>0</v>
      </c>
      <c r="E317" t="s">
        <v>330</v>
      </c>
      <c r="F317">
        <v>9718</v>
      </c>
      <c r="G317">
        <v>11013744.727272727</v>
      </c>
      <c r="H317">
        <v>0.78787879781289538</v>
      </c>
      <c r="I317">
        <v>0.68484848484848482</v>
      </c>
      <c r="J317">
        <v>4713744.5454545459</v>
      </c>
      <c r="K317">
        <v>13986</v>
      </c>
      <c r="L317">
        <v>2</v>
      </c>
      <c r="M317">
        <v>79</v>
      </c>
      <c r="N317">
        <v>0.70707070707070707</v>
      </c>
      <c r="O317">
        <v>3675310.2727272729</v>
      </c>
      <c r="P317">
        <v>14323</v>
      </c>
      <c r="Q317">
        <v>2</v>
      </c>
      <c r="R317">
        <v>80</v>
      </c>
      <c r="S317">
        <v>11.631559796231908</v>
      </c>
      <c r="T317">
        <v>0.82962963581085203</v>
      </c>
      <c r="W317">
        <f>Tabela2[[#This Row],[mlp_params]]</f>
        <v>13986</v>
      </c>
      <c r="X317">
        <f>Tabela2[[#This Row],[kan_test_acc]]</f>
        <v>0.78787879781289538</v>
      </c>
      <c r="Y317">
        <f>Tabela2[[#This Row],[kan_val_acc_1]]</f>
        <v>0.82962963581085203</v>
      </c>
      <c r="Z317">
        <f>Tabela2[[#This Row],[no_steps]]</f>
        <v>11.631559796231908</v>
      </c>
      <c r="AB317">
        <f t="shared" si="5"/>
        <v>13986</v>
      </c>
      <c r="AC317">
        <f>Tabela2[[#This Row],[kan_time_difference]]/Tabela2[[#This Row],[no_steps]]</f>
        <v>946884.58987595758</v>
      </c>
      <c r="AE317">
        <v>13986</v>
      </c>
      <c r="AF317">
        <v>946884.58987595758</v>
      </c>
    </row>
    <row r="318" spans="1:32" x14ac:dyDescent="0.25">
      <c r="A318" t="s">
        <v>314</v>
      </c>
      <c r="B318">
        <v>9</v>
      </c>
      <c r="C318">
        <v>4</v>
      </c>
      <c r="D318">
        <v>0</v>
      </c>
      <c r="E318" t="s">
        <v>322</v>
      </c>
      <c r="F318">
        <v>9145</v>
      </c>
      <c r="G318">
        <v>10509950.666666666</v>
      </c>
      <c r="H318">
        <v>0.60000001763304078</v>
      </c>
      <c r="I318">
        <v>0.67777777777777781</v>
      </c>
      <c r="J318">
        <v>2335487.5833333335</v>
      </c>
      <c r="K318">
        <v>13986</v>
      </c>
      <c r="L318">
        <v>2</v>
      </c>
      <c r="M318">
        <v>79</v>
      </c>
      <c r="N318">
        <v>0.71018518518518514</v>
      </c>
      <c r="O318">
        <v>1665009.5833333333</v>
      </c>
      <c r="P318">
        <v>14323</v>
      </c>
      <c r="Q318">
        <v>2</v>
      </c>
      <c r="R318">
        <v>80</v>
      </c>
      <c r="S318">
        <v>11.611610891207869</v>
      </c>
      <c r="T318">
        <v>0.72624798961307691</v>
      </c>
      <c r="W318">
        <f>Tabela2[[#This Row],[mlp_params]]</f>
        <v>13986</v>
      </c>
      <c r="X318">
        <f>Tabela2[[#This Row],[kan_test_acc]]</f>
        <v>0.60000001763304078</v>
      </c>
      <c r="Y318">
        <f>Tabela2[[#This Row],[kan_val_acc_1]]</f>
        <v>0.72624798961307691</v>
      </c>
      <c r="Z318">
        <f>Tabela2[[#This Row],[no_steps]]</f>
        <v>11.611610891207869</v>
      </c>
      <c r="AB318">
        <f t="shared" si="5"/>
        <v>13986</v>
      </c>
      <c r="AC318">
        <f>Tabela2[[#This Row],[kan_time_difference]]/Tabela2[[#This Row],[no_steps]]</f>
        <v>905124.25581059011</v>
      </c>
      <c r="AE318">
        <v>13986</v>
      </c>
      <c r="AF318">
        <v>905124.25581059011</v>
      </c>
    </row>
    <row r="319" spans="1:32" hidden="1" x14ac:dyDescent="0.25">
      <c r="A319" t="s">
        <v>314</v>
      </c>
      <c r="B319">
        <v>9</v>
      </c>
      <c r="C319">
        <v>5</v>
      </c>
      <c r="D319">
        <v>0</v>
      </c>
      <c r="E319" t="s">
        <v>320</v>
      </c>
      <c r="F319">
        <v>8622</v>
      </c>
      <c r="G319">
        <v>10347987.166666666</v>
      </c>
      <c r="H319">
        <v>0.55555557211240136</v>
      </c>
      <c r="I319">
        <v>0.68148148148148147</v>
      </c>
      <c r="J319">
        <v>1308118.5</v>
      </c>
      <c r="K319">
        <v>13986</v>
      </c>
      <c r="L319">
        <v>2</v>
      </c>
      <c r="M319">
        <v>79</v>
      </c>
      <c r="N319">
        <v>0.71851851851851856</v>
      </c>
      <c r="O319">
        <v>733386</v>
      </c>
      <c r="P319">
        <v>14323</v>
      </c>
      <c r="Q319">
        <v>2</v>
      </c>
      <c r="R319">
        <v>80</v>
      </c>
      <c r="S319">
        <v>11.586940195264635</v>
      </c>
      <c r="T319">
        <v>0.68148149251937862</v>
      </c>
      <c r="W319">
        <f>Tabela2[[#This Row],[mlp_params]]</f>
        <v>13986</v>
      </c>
      <c r="X319">
        <f>Tabela2[[#This Row],[kan_test_acc]]</f>
        <v>0.55555557211240136</v>
      </c>
      <c r="Y319">
        <f>Tabela2[[#This Row],[kan_val_acc_1]]</f>
        <v>0.68148149251937862</v>
      </c>
      <c r="Z319">
        <f>Tabela2[[#This Row],[no_steps]]</f>
        <v>11.586940195264635</v>
      </c>
      <c r="AB319">
        <f t="shared" si="5"/>
        <v>13986</v>
      </c>
      <c r="AC319">
        <f>Tabela2[[#This Row],[kan_time_difference]]/Tabela2[[#This Row],[no_steps]]</f>
        <v>893073.32153968432</v>
      </c>
      <c r="AE319">
        <v>13986</v>
      </c>
      <c r="AF319">
        <v>893073.32153968432</v>
      </c>
    </row>
    <row r="320" spans="1:32" hidden="1" x14ac:dyDescent="0.25">
      <c r="A320" t="s">
        <v>314</v>
      </c>
      <c r="B320">
        <v>3</v>
      </c>
      <c r="C320">
        <v>4</v>
      </c>
      <c r="D320">
        <v>0</v>
      </c>
      <c r="E320" t="s">
        <v>338</v>
      </c>
      <c r="F320">
        <v>7657</v>
      </c>
      <c r="G320">
        <v>15713790.272727273</v>
      </c>
      <c r="H320">
        <v>0.83232324231754651</v>
      </c>
      <c r="I320">
        <v>0.68080808080808075</v>
      </c>
      <c r="J320">
        <v>1341014.2727272727</v>
      </c>
      <c r="K320">
        <v>14323</v>
      </c>
      <c r="L320">
        <v>2</v>
      </c>
      <c r="M320">
        <v>80</v>
      </c>
      <c r="N320">
        <v>0.73737373737373735</v>
      </c>
      <c r="O320">
        <v>1005664.6363636364</v>
      </c>
      <c r="P320">
        <v>14664</v>
      </c>
      <c r="Q320">
        <v>2</v>
      </c>
      <c r="R320">
        <v>81</v>
      </c>
      <c r="S320">
        <v>11.676773882136118</v>
      </c>
      <c r="T320">
        <v>0.91111111640930176</v>
      </c>
      <c r="W320">
        <f>Tabela2[[#This Row],[mlp_params]]</f>
        <v>14323</v>
      </c>
      <c r="X320">
        <f>Tabela2[[#This Row],[kan_test_acc]]</f>
        <v>0.83232324231754651</v>
      </c>
      <c r="Y320">
        <f>Tabela2[[#This Row],[kan_val_acc_1]]</f>
        <v>0.91111111640930176</v>
      </c>
      <c r="Z320">
        <f>Tabela2[[#This Row],[no_steps]]</f>
        <v>11.676773882136118</v>
      </c>
      <c r="AB320">
        <f t="shared" si="5"/>
        <v>14323</v>
      </c>
      <c r="AC320">
        <f>Tabela2[[#This Row],[kan_time_difference]]/Tabela2[[#This Row],[no_steps]]</f>
        <v>1345730.4587157625</v>
      </c>
      <c r="AE320">
        <v>14323</v>
      </c>
      <c r="AF320">
        <v>1345730.4587157625</v>
      </c>
    </row>
    <row r="321" spans="1:32" hidden="1" x14ac:dyDescent="0.25">
      <c r="A321" t="s">
        <v>314</v>
      </c>
      <c r="B321">
        <v>5</v>
      </c>
      <c r="C321">
        <v>3</v>
      </c>
      <c r="D321">
        <v>0</v>
      </c>
      <c r="E321" t="s">
        <v>346</v>
      </c>
      <c r="F321">
        <v>8814</v>
      </c>
      <c r="G321">
        <v>21943413.833333332</v>
      </c>
      <c r="H321">
        <v>0.81111111740271247</v>
      </c>
      <c r="I321">
        <v>0.66296296296296298</v>
      </c>
      <c r="J321">
        <v>5827601.333333333</v>
      </c>
      <c r="K321">
        <v>14323</v>
      </c>
      <c r="L321">
        <v>2</v>
      </c>
      <c r="M321">
        <v>80</v>
      </c>
      <c r="N321">
        <v>0.70370370370370372</v>
      </c>
      <c r="O321">
        <v>2164476.1666666665</v>
      </c>
      <c r="P321">
        <v>14664</v>
      </c>
      <c r="Q321">
        <v>2</v>
      </c>
      <c r="R321">
        <v>81</v>
      </c>
      <c r="S321">
        <v>11.675979542668752</v>
      </c>
      <c r="T321">
        <v>0.79259259700775142</v>
      </c>
      <c r="W321">
        <f>Tabela2[[#This Row],[mlp_params]]</f>
        <v>14323</v>
      </c>
      <c r="X321">
        <f>Tabela2[[#This Row],[kan_test_acc]]</f>
        <v>0.81111111740271247</v>
      </c>
      <c r="Y321">
        <f>Tabela2[[#This Row],[kan_val_acc_1]]</f>
        <v>0.79259259700775142</v>
      </c>
      <c r="Z321">
        <f>Tabela2[[#This Row],[no_steps]]</f>
        <v>11.675979542668752</v>
      </c>
      <c r="AB321">
        <f t="shared" si="5"/>
        <v>14323</v>
      </c>
      <c r="AC321">
        <f>Tabela2[[#This Row],[kan_time_difference]]/Tabela2[[#This Row],[no_steps]]</f>
        <v>1879363.8472166914</v>
      </c>
      <c r="AE321">
        <v>14323</v>
      </c>
      <c r="AF321">
        <v>1879363.8472166914</v>
      </c>
    </row>
    <row r="322" spans="1:32" hidden="1" x14ac:dyDescent="0.25">
      <c r="A322" t="s">
        <v>314</v>
      </c>
      <c r="B322">
        <v>5</v>
      </c>
      <c r="C322">
        <v>4</v>
      </c>
      <c r="D322">
        <v>0</v>
      </c>
      <c r="E322" t="s">
        <v>331</v>
      </c>
      <c r="F322">
        <v>8217</v>
      </c>
      <c r="G322">
        <v>13983644.666666666</v>
      </c>
      <c r="H322">
        <v>0.73703705271085107</v>
      </c>
      <c r="I322">
        <v>0.66666666666666663</v>
      </c>
      <c r="J322">
        <v>3623415.3333333335</v>
      </c>
      <c r="K322">
        <v>14323</v>
      </c>
      <c r="L322">
        <v>2</v>
      </c>
      <c r="M322">
        <v>80</v>
      </c>
      <c r="N322">
        <v>0.71851851851851856</v>
      </c>
      <c r="O322">
        <v>4662558.5</v>
      </c>
      <c r="P322">
        <v>14664</v>
      </c>
      <c r="Q322">
        <v>2</v>
      </c>
      <c r="R322">
        <v>81</v>
      </c>
      <c r="S322">
        <v>11.672218967104712</v>
      </c>
      <c r="T322">
        <v>0.82962963581085203</v>
      </c>
      <c r="W322">
        <f>Tabela2[[#This Row],[mlp_params]]</f>
        <v>14323</v>
      </c>
      <c r="X322">
        <f>Tabela2[[#This Row],[kan_test_acc]]</f>
        <v>0.73703705271085107</v>
      </c>
      <c r="Y322">
        <f>Tabela2[[#This Row],[kan_val_acc_1]]</f>
        <v>0.82962963581085203</v>
      </c>
      <c r="Z322">
        <f>Tabela2[[#This Row],[no_steps]]</f>
        <v>11.672218967104712</v>
      </c>
      <c r="AB322">
        <f t="shared" si="5"/>
        <v>14323</v>
      </c>
      <c r="AC322">
        <f>Tabela2[[#This Row],[kan_time_difference]]/Tabela2[[#This Row],[no_steps]]</f>
        <v>1198027.9590432753</v>
      </c>
      <c r="AE322">
        <v>14323</v>
      </c>
      <c r="AF322">
        <v>1198027.9590432753</v>
      </c>
    </row>
    <row r="323" spans="1:32" hidden="1" x14ac:dyDescent="0.25">
      <c r="A323" t="s">
        <v>314</v>
      </c>
      <c r="B323">
        <v>5</v>
      </c>
      <c r="C323">
        <v>5</v>
      </c>
      <c r="D323">
        <v>0</v>
      </c>
      <c r="E323" t="s">
        <v>323</v>
      </c>
      <c r="F323">
        <v>7856</v>
      </c>
      <c r="G323">
        <v>10634195.333333334</v>
      </c>
      <c r="H323">
        <v>0.52962964276472724</v>
      </c>
      <c r="I323">
        <v>0.76296296296296295</v>
      </c>
      <c r="J323">
        <v>4315158.833333333</v>
      </c>
      <c r="K323">
        <v>14323</v>
      </c>
      <c r="L323">
        <v>2</v>
      </c>
      <c r="M323">
        <v>80</v>
      </c>
      <c r="N323">
        <v>0.72222222222222221</v>
      </c>
      <c r="O323">
        <v>2354776.6666666665</v>
      </c>
      <c r="P323">
        <v>14664</v>
      </c>
      <c r="Q323">
        <v>2</v>
      </c>
      <c r="R323">
        <v>81</v>
      </c>
      <c r="S323">
        <v>11.661240213744252</v>
      </c>
      <c r="T323">
        <v>0.73333333730697636</v>
      </c>
      <c r="W323">
        <f>Tabela2[[#This Row],[mlp_params]]</f>
        <v>14323</v>
      </c>
      <c r="X323">
        <f>Tabela2[[#This Row],[kan_test_acc]]</f>
        <v>0.52962964276472724</v>
      </c>
      <c r="Y323">
        <f>Tabela2[[#This Row],[kan_val_acc_1]]</f>
        <v>0.73333333730697636</v>
      </c>
      <c r="Z323">
        <f>Tabela2[[#This Row],[no_steps]]</f>
        <v>11.661240213744252</v>
      </c>
      <c r="AB323">
        <f t="shared" si="5"/>
        <v>14323</v>
      </c>
      <c r="AC323">
        <f>Tabela2[[#This Row],[kan_time_difference]]/Tabela2[[#This Row],[no_steps]]</f>
        <v>911926.61658745224</v>
      </c>
      <c r="AE323">
        <v>14323</v>
      </c>
      <c r="AF323">
        <v>911926.61658745224</v>
      </c>
    </row>
    <row r="324" spans="1:32" hidden="1" x14ac:dyDescent="0.25">
      <c r="A324" t="s">
        <v>314</v>
      </c>
      <c r="B324">
        <v>9</v>
      </c>
      <c r="C324">
        <v>2</v>
      </c>
      <c r="D324">
        <v>0</v>
      </c>
      <c r="E324" t="s">
        <v>338</v>
      </c>
      <c r="F324">
        <v>10701</v>
      </c>
      <c r="G324">
        <v>13357189.545454545</v>
      </c>
      <c r="H324">
        <v>0.80404041572050611</v>
      </c>
      <c r="I324">
        <v>0.69292929292929295</v>
      </c>
      <c r="J324">
        <v>4587479.5454545459</v>
      </c>
      <c r="K324">
        <v>14323</v>
      </c>
      <c r="L324">
        <v>2</v>
      </c>
      <c r="M324">
        <v>80</v>
      </c>
      <c r="N324">
        <v>0.74343434343434345</v>
      </c>
      <c r="O324">
        <v>3148707.5454545454</v>
      </c>
      <c r="P324">
        <v>14664</v>
      </c>
      <c r="Q324">
        <v>2</v>
      </c>
      <c r="R324">
        <v>81</v>
      </c>
      <c r="S324">
        <v>11.641346938775511</v>
      </c>
      <c r="T324">
        <v>0.7888888835906982</v>
      </c>
      <c r="W324">
        <f>Tabela2[[#This Row],[mlp_params]]</f>
        <v>14323</v>
      </c>
      <c r="X324">
        <f>Tabela2[[#This Row],[kan_test_acc]]</f>
        <v>0.80404041572050611</v>
      </c>
      <c r="Y324">
        <f>Tabela2[[#This Row],[kan_val_acc_1]]</f>
        <v>0.7888888835906982</v>
      </c>
      <c r="Z324">
        <f>Tabela2[[#This Row],[no_steps]]</f>
        <v>11.641346938775511</v>
      </c>
      <c r="AB324">
        <f t="shared" si="5"/>
        <v>14323</v>
      </c>
      <c r="AC324">
        <f>Tabela2[[#This Row],[kan_time_difference]]/Tabela2[[#This Row],[no_steps]]</f>
        <v>1147392.1029673833</v>
      </c>
      <c r="AE324">
        <v>14323</v>
      </c>
      <c r="AF324">
        <v>1147392.1029673833</v>
      </c>
    </row>
    <row r="325" spans="1:32" x14ac:dyDescent="0.25">
      <c r="A325" t="s">
        <v>314</v>
      </c>
      <c r="B325">
        <v>9</v>
      </c>
      <c r="C325">
        <v>4</v>
      </c>
      <c r="D325">
        <v>0</v>
      </c>
      <c r="E325" t="s">
        <v>328</v>
      </c>
      <c r="F325">
        <v>9207</v>
      </c>
      <c r="G325">
        <v>8590890.625</v>
      </c>
      <c r="H325">
        <v>0.56527779251337051</v>
      </c>
      <c r="I325">
        <v>0.70416666666666661</v>
      </c>
      <c r="J325">
        <v>2652256.875</v>
      </c>
      <c r="K325">
        <v>14323</v>
      </c>
      <c r="L325">
        <v>2</v>
      </c>
      <c r="M325">
        <v>80</v>
      </c>
      <c r="N325">
        <v>0.71666666666666667</v>
      </c>
      <c r="O325">
        <v>2293059.5625</v>
      </c>
      <c r="P325">
        <v>14664</v>
      </c>
      <c r="Q325">
        <v>2</v>
      </c>
      <c r="R325">
        <v>81</v>
      </c>
      <c r="S325">
        <v>11.609301953889799</v>
      </c>
      <c r="T325">
        <v>0.65925925970077515</v>
      </c>
      <c r="W325">
        <f>Tabela2[[#This Row],[mlp_params]]</f>
        <v>14323</v>
      </c>
      <c r="X325">
        <f>Tabela2[[#This Row],[kan_test_acc]]</f>
        <v>0.56527779251337051</v>
      </c>
      <c r="Y325">
        <f>Tabela2[[#This Row],[kan_val_acc_1]]</f>
        <v>0.65925925970077515</v>
      </c>
      <c r="Z325">
        <f>Tabela2[[#This Row],[no_steps]]</f>
        <v>11.609301953889799</v>
      </c>
      <c r="AB325">
        <f t="shared" si="5"/>
        <v>14323</v>
      </c>
      <c r="AC325">
        <f>Tabela2[[#This Row],[kan_time_difference]]/Tabela2[[#This Row],[no_steps]]</f>
        <v>740000.61839390313</v>
      </c>
      <c r="AE325">
        <v>14323</v>
      </c>
      <c r="AF325">
        <v>740000.61839390313</v>
      </c>
    </row>
    <row r="326" spans="1:32" hidden="1" x14ac:dyDescent="0.25">
      <c r="A326" t="s">
        <v>314</v>
      </c>
      <c r="B326">
        <v>9</v>
      </c>
      <c r="C326">
        <v>5</v>
      </c>
      <c r="D326">
        <v>0</v>
      </c>
      <c r="E326" t="s">
        <v>334</v>
      </c>
      <c r="F326">
        <v>8892</v>
      </c>
      <c r="G326">
        <v>9713717.0909090918</v>
      </c>
      <c r="H326">
        <v>0.43232324042103509</v>
      </c>
      <c r="I326">
        <v>0.67272727272727273</v>
      </c>
      <c r="J326">
        <v>935112.45454545459</v>
      </c>
      <c r="K326">
        <v>14323</v>
      </c>
      <c r="L326">
        <v>2</v>
      </c>
      <c r="M326">
        <v>80</v>
      </c>
      <c r="N326">
        <v>0.68686868686868685</v>
      </c>
      <c r="O326">
        <v>896461.54545454541</v>
      </c>
      <c r="P326">
        <v>14664</v>
      </c>
      <c r="Q326">
        <v>2</v>
      </c>
      <c r="R326">
        <v>81</v>
      </c>
      <c r="S326">
        <v>11.585539312524693</v>
      </c>
      <c r="T326">
        <v>0.66296296715736391</v>
      </c>
      <c r="W326">
        <f>Tabela2[[#This Row],[mlp_params]]</f>
        <v>14323</v>
      </c>
      <c r="X326">
        <f>Tabela2[[#This Row],[kan_test_acc]]</f>
        <v>0.43232324042103509</v>
      </c>
      <c r="Y326">
        <f>Tabela2[[#This Row],[kan_val_acc_1]]</f>
        <v>0.66296296715736391</v>
      </c>
      <c r="Z326">
        <f>Tabela2[[#This Row],[no_steps]]</f>
        <v>11.585539312524693</v>
      </c>
      <c r="AB326">
        <f t="shared" si="5"/>
        <v>14323</v>
      </c>
      <c r="AC326">
        <f>Tabela2[[#This Row],[kan_time_difference]]/Tabela2[[#This Row],[no_steps]]</f>
        <v>838434.60618254996</v>
      </c>
      <c r="AE326">
        <v>14323</v>
      </c>
      <c r="AF326">
        <v>838434.60618254996</v>
      </c>
    </row>
    <row r="327" spans="1:32" hidden="1" x14ac:dyDescent="0.25">
      <c r="A327" t="s">
        <v>314</v>
      </c>
      <c r="B327">
        <v>3</v>
      </c>
      <c r="C327">
        <v>3</v>
      </c>
      <c r="D327">
        <v>0</v>
      </c>
      <c r="E327" t="s">
        <v>355</v>
      </c>
      <c r="F327">
        <v>8340</v>
      </c>
      <c r="G327">
        <v>12350982.833333334</v>
      </c>
      <c r="H327">
        <v>0.92222222685813904</v>
      </c>
      <c r="I327">
        <v>0.67037037037037039</v>
      </c>
      <c r="J327">
        <v>2211869.6666666665</v>
      </c>
      <c r="K327">
        <v>14664</v>
      </c>
      <c r="L327">
        <v>2</v>
      </c>
      <c r="M327">
        <v>81</v>
      </c>
      <c r="N327">
        <v>0.71481481481481479</v>
      </c>
      <c r="O327">
        <v>1388965.8333333333</v>
      </c>
      <c r="P327">
        <v>15009</v>
      </c>
      <c r="Q327">
        <v>2</v>
      </c>
      <c r="R327">
        <v>82</v>
      </c>
      <c r="S327">
        <v>11.676424927921934</v>
      </c>
      <c r="T327">
        <v>0.94074074029922483</v>
      </c>
      <c r="W327">
        <f>Tabela2[[#This Row],[mlp_params]]</f>
        <v>14664</v>
      </c>
      <c r="X327">
        <f>Tabela2[[#This Row],[kan_test_acc]]</f>
        <v>0.92222222685813904</v>
      </c>
      <c r="Y327">
        <f>Tabela2[[#This Row],[kan_val_acc_1]]</f>
        <v>0.94074074029922483</v>
      </c>
      <c r="Z327">
        <f>Tabela2[[#This Row],[no_steps]]</f>
        <v>11.676424927921934</v>
      </c>
      <c r="AB327">
        <f t="shared" si="5"/>
        <v>14664</v>
      </c>
      <c r="AC327">
        <f>Tabela2[[#This Row],[kan_time_difference]]/Tabela2[[#This Row],[no_steps]]</f>
        <v>1057770.9281372866</v>
      </c>
      <c r="AE327">
        <v>14664</v>
      </c>
      <c r="AF327">
        <v>1057770.9281372866</v>
      </c>
    </row>
    <row r="328" spans="1:32" hidden="1" x14ac:dyDescent="0.25">
      <c r="A328" t="s">
        <v>314</v>
      </c>
      <c r="B328">
        <v>3</v>
      </c>
      <c r="C328">
        <v>4</v>
      </c>
      <c r="D328">
        <v>0</v>
      </c>
      <c r="E328" t="s">
        <v>352</v>
      </c>
      <c r="F328">
        <v>7815</v>
      </c>
      <c r="G328">
        <v>15891178.363636363</v>
      </c>
      <c r="H328">
        <v>0.82222223281860352</v>
      </c>
      <c r="I328">
        <v>0.66262626262626267</v>
      </c>
      <c r="J328">
        <v>1338219.7272727273</v>
      </c>
      <c r="K328">
        <v>14664</v>
      </c>
      <c r="L328">
        <v>2</v>
      </c>
      <c r="M328">
        <v>81</v>
      </c>
      <c r="N328">
        <v>0.64040404040404042</v>
      </c>
      <c r="O328">
        <v>752562.54545454541</v>
      </c>
      <c r="P328">
        <v>15009</v>
      </c>
      <c r="Q328">
        <v>2</v>
      </c>
      <c r="R328">
        <v>82</v>
      </c>
      <c r="S328">
        <v>11.676798245614036</v>
      </c>
      <c r="T328">
        <v>0.92592592239379878</v>
      </c>
      <c r="W328">
        <f>Tabela2[[#This Row],[mlp_params]]</f>
        <v>14664</v>
      </c>
      <c r="X328">
        <f>Tabela2[[#This Row],[kan_test_acc]]</f>
        <v>0.82222223281860352</v>
      </c>
      <c r="Y328">
        <f>Tabela2[[#This Row],[kan_val_acc_1]]</f>
        <v>0.92592592239379878</v>
      </c>
      <c r="Z328">
        <f>Tabela2[[#This Row],[no_steps]]</f>
        <v>11.676798245614036</v>
      </c>
      <c r="AB328">
        <f t="shared" si="5"/>
        <v>14664</v>
      </c>
      <c r="AC328">
        <f>Tabela2[[#This Row],[kan_time_difference]]/Tabela2[[#This Row],[no_steps]]</f>
        <v>1360919.1517550889</v>
      </c>
      <c r="AE328">
        <v>14664</v>
      </c>
      <c r="AF328">
        <v>1360919.1517550889</v>
      </c>
    </row>
    <row r="329" spans="1:32" hidden="1" x14ac:dyDescent="0.25">
      <c r="A329" t="s">
        <v>314</v>
      </c>
      <c r="B329">
        <v>3</v>
      </c>
      <c r="C329">
        <v>5</v>
      </c>
      <c r="D329">
        <v>0</v>
      </c>
      <c r="E329" t="s">
        <v>343</v>
      </c>
      <c r="F329">
        <v>7356</v>
      </c>
      <c r="G329">
        <v>17739662.181818184</v>
      </c>
      <c r="H329">
        <v>0.80808081952008337</v>
      </c>
      <c r="I329">
        <v>0.70101010101010097</v>
      </c>
      <c r="J329">
        <v>1966968</v>
      </c>
      <c r="K329">
        <v>14664</v>
      </c>
      <c r="L329">
        <v>2</v>
      </c>
      <c r="M329">
        <v>81</v>
      </c>
      <c r="N329">
        <v>0.70505050505050504</v>
      </c>
      <c r="O329">
        <v>712916.54545454541</v>
      </c>
      <c r="P329">
        <v>15009</v>
      </c>
      <c r="Q329">
        <v>2</v>
      </c>
      <c r="R329">
        <v>82</v>
      </c>
      <c r="S329">
        <v>11.677476773465312</v>
      </c>
      <c r="T329">
        <v>0.86666666865348818</v>
      </c>
      <c r="W329">
        <f>Tabela2[[#This Row],[mlp_params]]</f>
        <v>14664</v>
      </c>
      <c r="X329">
        <f>Tabela2[[#This Row],[kan_test_acc]]</f>
        <v>0.80808081952008337</v>
      </c>
      <c r="Y329">
        <f>Tabela2[[#This Row],[kan_val_acc_1]]</f>
        <v>0.86666666865348818</v>
      </c>
      <c r="Z329">
        <f>Tabela2[[#This Row],[no_steps]]</f>
        <v>11.677476773465312</v>
      </c>
      <c r="AB329">
        <f t="shared" si="5"/>
        <v>14664</v>
      </c>
      <c r="AC329">
        <f>Tabela2[[#This Row],[kan_time_difference]]/Tabela2[[#This Row],[no_steps]]</f>
        <v>1519134.8718524496</v>
      </c>
      <c r="AE329">
        <v>14664</v>
      </c>
      <c r="AF329">
        <v>1519134.8718524496</v>
      </c>
    </row>
    <row r="330" spans="1:32" hidden="1" x14ac:dyDescent="0.25">
      <c r="A330" t="s">
        <v>314</v>
      </c>
      <c r="B330">
        <v>5</v>
      </c>
      <c r="C330">
        <v>3</v>
      </c>
      <c r="D330">
        <v>0</v>
      </c>
      <c r="E330" t="s">
        <v>353</v>
      </c>
      <c r="F330">
        <v>9122</v>
      </c>
      <c r="G330">
        <v>18785836.333333332</v>
      </c>
      <c r="H330">
        <v>0.8851851920286814</v>
      </c>
      <c r="I330">
        <v>0.64444444444444438</v>
      </c>
      <c r="J330">
        <v>4695764.333333333</v>
      </c>
      <c r="K330">
        <v>14664</v>
      </c>
      <c r="L330">
        <v>2</v>
      </c>
      <c r="M330">
        <v>81</v>
      </c>
      <c r="N330">
        <v>0.66666666666666674</v>
      </c>
      <c r="O330">
        <v>1976030.8333333333</v>
      </c>
      <c r="P330">
        <v>15009</v>
      </c>
      <c r="Q330">
        <v>2</v>
      </c>
      <c r="R330">
        <v>82</v>
      </c>
      <c r="S330">
        <v>11.676695541939573</v>
      </c>
      <c r="T330">
        <v>0.8592592597007751</v>
      </c>
      <c r="W330">
        <f>Tabela2[[#This Row],[mlp_params]]</f>
        <v>14664</v>
      </c>
      <c r="X330">
        <f>Tabela2[[#This Row],[kan_test_acc]]</f>
        <v>0.8851851920286814</v>
      </c>
      <c r="Y330">
        <f>Tabela2[[#This Row],[kan_val_acc_1]]</f>
        <v>0.8592592597007751</v>
      </c>
      <c r="Z330">
        <f>Tabela2[[#This Row],[no_steps]]</f>
        <v>11.676695541939573</v>
      </c>
      <c r="AB330">
        <f t="shared" si="5"/>
        <v>14664</v>
      </c>
      <c r="AC330">
        <f>Tabela2[[#This Row],[kan_time_difference]]/Tabela2[[#This Row],[no_steps]]</f>
        <v>1608831.5624792669</v>
      </c>
      <c r="AE330">
        <v>14664</v>
      </c>
      <c r="AF330">
        <v>1608831.5624792669</v>
      </c>
    </row>
    <row r="331" spans="1:32" hidden="1" x14ac:dyDescent="0.25">
      <c r="A331" t="s">
        <v>314</v>
      </c>
      <c r="B331">
        <v>5</v>
      </c>
      <c r="C331">
        <v>4</v>
      </c>
      <c r="D331">
        <v>0</v>
      </c>
      <c r="E331" t="s">
        <v>344</v>
      </c>
      <c r="F331">
        <v>8551</v>
      </c>
      <c r="G331">
        <v>14207639.125</v>
      </c>
      <c r="H331">
        <v>0.68333335220813751</v>
      </c>
      <c r="I331">
        <v>0.65416666666666667</v>
      </c>
      <c r="J331">
        <v>4398509.125</v>
      </c>
      <c r="K331">
        <v>14664</v>
      </c>
      <c r="L331">
        <v>2</v>
      </c>
      <c r="M331">
        <v>81</v>
      </c>
      <c r="N331">
        <v>0.67361111111111105</v>
      </c>
      <c r="O331">
        <v>4564717.625</v>
      </c>
      <c r="P331">
        <v>15009</v>
      </c>
      <c r="Q331">
        <v>2</v>
      </c>
      <c r="R331">
        <v>82</v>
      </c>
      <c r="S331">
        <v>11.671267252195735</v>
      </c>
      <c r="T331">
        <v>0.78518518606821697</v>
      </c>
      <c r="W331">
        <f>Tabela2[[#This Row],[mlp_params]]</f>
        <v>14664</v>
      </c>
      <c r="X331">
        <f>Tabela2[[#This Row],[kan_test_acc]]</f>
        <v>0.68333335220813751</v>
      </c>
      <c r="Y331">
        <f>Tabela2[[#This Row],[kan_val_acc_1]]</f>
        <v>0.78518518606821697</v>
      </c>
      <c r="Z331">
        <f>Tabela2[[#This Row],[no_steps]]</f>
        <v>11.671267252195735</v>
      </c>
      <c r="AB331">
        <f t="shared" si="5"/>
        <v>14664</v>
      </c>
      <c r="AC331">
        <f>Tabela2[[#This Row],[kan_time_difference]]/Tabela2[[#This Row],[no_steps]]</f>
        <v>1217317.6072484411</v>
      </c>
      <c r="AE331">
        <v>14664</v>
      </c>
      <c r="AF331">
        <v>1217317.6072484411</v>
      </c>
    </row>
    <row r="332" spans="1:32" hidden="1" x14ac:dyDescent="0.25">
      <c r="A332" t="s">
        <v>314</v>
      </c>
      <c r="B332">
        <v>5</v>
      </c>
      <c r="C332">
        <v>5</v>
      </c>
      <c r="D332">
        <v>0</v>
      </c>
      <c r="E332" t="s">
        <v>342</v>
      </c>
      <c r="F332">
        <v>8112</v>
      </c>
      <c r="G332">
        <v>13950010</v>
      </c>
      <c r="H332">
        <v>0.64861112646758556</v>
      </c>
      <c r="I332">
        <v>0.65138888888888891</v>
      </c>
      <c r="J332">
        <v>4238990.75</v>
      </c>
      <c r="K332">
        <v>14664</v>
      </c>
      <c r="L332">
        <v>2</v>
      </c>
      <c r="M332">
        <v>81</v>
      </c>
      <c r="N332">
        <v>0.6958333333333333</v>
      </c>
      <c r="O332">
        <v>3977146.875</v>
      </c>
      <c r="P332">
        <v>15009</v>
      </c>
      <c r="Q332">
        <v>2</v>
      </c>
      <c r="R332">
        <v>82</v>
      </c>
      <c r="S332">
        <v>11.659932938692718</v>
      </c>
      <c r="T332">
        <v>0.88148148457209274</v>
      </c>
      <c r="W332">
        <f>Tabela2[[#This Row],[mlp_params]]</f>
        <v>14664</v>
      </c>
      <c r="X332">
        <f>Tabela2[[#This Row],[kan_test_acc]]</f>
        <v>0.64861112646758556</v>
      </c>
      <c r="Y332">
        <f>Tabela2[[#This Row],[kan_val_acc_1]]</f>
        <v>0.88148148457209274</v>
      </c>
      <c r="Z332">
        <f>Tabela2[[#This Row],[no_steps]]</f>
        <v>11.659932938692718</v>
      </c>
      <c r="AB332">
        <f t="shared" si="5"/>
        <v>14664</v>
      </c>
      <c r="AC332">
        <f>Tabela2[[#This Row],[kan_time_difference]]/Tabela2[[#This Row],[no_steps]]</f>
        <v>1196405.6803198082</v>
      </c>
      <c r="AE332">
        <v>14664</v>
      </c>
      <c r="AF332">
        <v>1196405.6803198082</v>
      </c>
    </row>
    <row r="333" spans="1:32" hidden="1" x14ac:dyDescent="0.25">
      <c r="A333" t="s">
        <v>314</v>
      </c>
      <c r="B333">
        <v>9</v>
      </c>
      <c r="C333">
        <v>2</v>
      </c>
      <c r="D333">
        <v>0</v>
      </c>
      <c r="E333" t="s">
        <v>352</v>
      </c>
      <c r="F333">
        <v>10923</v>
      </c>
      <c r="G333">
        <v>11523212.636363637</v>
      </c>
      <c r="H333">
        <v>0.87676768411289563</v>
      </c>
      <c r="I333">
        <v>0.62828282828282833</v>
      </c>
      <c r="J333">
        <v>5914772.5454545459</v>
      </c>
      <c r="K333">
        <v>14664</v>
      </c>
      <c r="L333">
        <v>2</v>
      </c>
      <c r="M333">
        <v>81</v>
      </c>
      <c r="N333">
        <v>0.64848484848484844</v>
      </c>
      <c r="O333">
        <v>2902784.6363636362</v>
      </c>
      <c r="P333">
        <v>15009</v>
      </c>
      <c r="Q333">
        <v>2</v>
      </c>
      <c r="R333">
        <v>82</v>
      </c>
      <c r="S333">
        <v>11.640447146179266</v>
      </c>
      <c r="T333">
        <v>0.75555555820465092</v>
      </c>
      <c r="W333">
        <f>Tabela2[[#This Row],[mlp_params]]</f>
        <v>14664</v>
      </c>
      <c r="X333">
        <f>Tabela2[[#This Row],[kan_test_acc]]</f>
        <v>0.87676768411289563</v>
      </c>
      <c r="Y333">
        <f>Tabela2[[#This Row],[kan_val_acc_1]]</f>
        <v>0.75555555820465092</v>
      </c>
      <c r="Z333">
        <f>Tabela2[[#This Row],[no_steps]]</f>
        <v>11.640447146179266</v>
      </c>
      <c r="AB333">
        <f t="shared" si="5"/>
        <v>14664</v>
      </c>
      <c r="AC333">
        <f>Tabela2[[#This Row],[kan_time_difference]]/Tabela2[[#This Row],[no_steps]]</f>
        <v>989928.69360228069</v>
      </c>
      <c r="AE333">
        <v>14664</v>
      </c>
      <c r="AF333">
        <v>989928.69360228069</v>
      </c>
    </row>
    <row r="334" spans="1:32" hidden="1" x14ac:dyDescent="0.25">
      <c r="A334" t="s">
        <v>314</v>
      </c>
      <c r="B334">
        <v>9</v>
      </c>
      <c r="C334">
        <v>3</v>
      </c>
      <c r="D334">
        <v>0</v>
      </c>
      <c r="E334" t="s">
        <v>343</v>
      </c>
      <c r="F334">
        <v>10016</v>
      </c>
      <c r="G334">
        <v>11428234.272727273</v>
      </c>
      <c r="H334">
        <v>0.63636365261944861</v>
      </c>
      <c r="I334">
        <v>0.74141414141414141</v>
      </c>
      <c r="J334">
        <v>4881141</v>
      </c>
      <c r="K334">
        <v>14664</v>
      </c>
      <c r="L334">
        <v>2</v>
      </c>
      <c r="M334">
        <v>81</v>
      </c>
      <c r="N334">
        <v>0.73333333333333339</v>
      </c>
      <c r="O334">
        <v>1935059.5454545454</v>
      </c>
      <c r="P334">
        <v>15009</v>
      </c>
      <c r="Q334">
        <v>2</v>
      </c>
      <c r="R334">
        <v>82</v>
      </c>
      <c r="S334">
        <v>11.630672863204687</v>
      </c>
      <c r="T334">
        <v>0.82962962985038757</v>
      </c>
      <c r="W334">
        <f>Tabela2[[#This Row],[mlp_params]]</f>
        <v>14664</v>
      </c>
      <c r="X334">
        <f>Tabela2[[#This Row],[kan_test_acc]]</f>
        <v>0.63636365261944861</v>
      </c>
      <c r="Y334">
        <f>Tabela2[[#This Row],[kan_val_acc_1]]</f>
        <v>0.82962962985038757</v>
      </c>
      <c r="Z334">
        <f>Tabela2[[#This Row],[no_steps]]</f>
        <v>11.630672863204687</v>
      </c>
      <c r="AB334">
        <f t="shared" si="5"/>
        <v>14664</v>
      </c>
      <c r="AC334">
        <f>Tabela2[[#This Row],[kan_time_difference]]/Tabela2[[#This Row],[no_steps]]</f>
        <v>982594.42141839815</v>
      </c>
      <c r="AE334">
        <v>14664</v>
      </c>
      <c r="AF334">
        <v>982594.42141839815</v>
      </c>
    </row>
    <row r="335" spans="1:32" hidden="1" x14ac:dyDescent="0.25">
      <c r="A335" t="s">
        <v>314</v>
      </c>
      <c r="B335">
        <v>9</v>
      </c>
      <c r="C335">
        <v>5</v>
      </c>
      <c r="D335">
        <v>0</v>
      </c>
      <c r="E335" t="s">
        <v>340</v>
      </c>
      <c r="F335">
        <v>9096</v>
      </c>
      <c r="G335">
        <v>9785736.166666666</v>
      </c>
      <c r="H335">
        <v>0.48518520096937817</v>
      </c>
      <c r="I335">
        <v>0.71851851851851856</v>
      </c>
      <c r="J335">
        <v>580681.83333333337</v>
      </c>
      <c r="K335">
        <v>14664</v>
      </c>
      <c r="L335">
        <v>2</v>
      </c>
      <c r="M335">
        <v>81</v>
      </c>
      <c r="N335">
        <v>0.66666666666666674</v>
      </c>
      <c r="O335">
        <v>687405.33333333337</v>
      </c>
      <c r="P335">
        <v>15009</v>
      </c>
      <c r="Q335">
        <v>2</v>
      </c>
      <c r="R335">
        <v>82</v>
      </c>
      <c r="S335">
        <v>11.584768525833464</v>
      </c>
      <c r="T335">
        <v>0.68888889551162724</v>
      </c>
      <c r="W335">
        <f>Tabela2[[#This Row],[mlp_params]]</f>
        <v>14664</v>
      </c>
      <c r="X335">
        <f>Tabela2[[#This Row],[kan_test_acc]]</f>
        <v>0.48518520096937817</v>
      </c>
      <c r="Y335">
        <f>Tabela2[[#This Row],[kan_val_acc_1]]</f>
        <v>0.68888889551162724</v>
      </c>
      <c r="Z335">
        <f>Tabela2[[#This Row],[no_steps]]</f>
        <v>11.584768525833464</v>
      </c>
      <c r="AB335">
        <f t="shared" si="5"/>
        <v>14664</v>
      </c>
      <c r="AC335">
        <f>Tabela2[[#This Row],[kan_time_difference]]/Tabela2[[#This Row],[no_steps]]</f>
        <v>844707.09491043829</v>
      </c>
      <c r="AE335">
        <v>14664</v>
      </c>
      <c r="AF335">
        <v>844707.09491043829</v>
      </c>
    </row>
    <row r="336" spans="1:32" hidden="1" x14ac:dyDescent="0.25">
      <c r="A336" t="s">
        <v>314</v>
      </c>
      <c r="B336">
        <v>3</v>
      </c>
      <c r="C336">
        <v>4</v>
      </c>
      <c r="D336">
        <v>0</v>
      </c>
      <c r="E336" t="s">
        <v>346</v>
      </c>
      <c r="F336">
        <v>8017</v>
      </c>
      <c r="G336">
        <v>16032632.166666666</v>
      </c>
      <c r="H336">
        <v>0.82592593630154931</v>
      </c>
      <c r="I336">
        <v>0.69259259259259265</v>
      </c>
      <c r="J336">
        <v>1411697.1666666667</v>
      </c>
      <c r="K336">
        <v>15009</v>
      </c>
      <c r="L336">
        <v>2</v>
      </c>
      <c r="M336">
        <v>82</v>
      </c>
      <c r="N336">
        <v>0.68888888888888888</v>
      </c>
      <c r="O336">
        <v>764526.5</v>
      </c>
      <c r="P336">
        <v>15358</v>
      </c>
      <c r="Q336">
        <v>2</v>
      </c>
      <c r="R336">
        <v>83</v>
      </c>
      <c r="S336">
        <v>11.676970972551082</v>
      </c>
      <c r="T336">
        <v>0.90370370149612422</v>
      </c>
      <c r="W336">
        <f>Tabela2[[#This Row],[mlp_params]]</f>
        <v>15009</v>
      </c>
      <c r="X336">
        <f>Tabela2[[#This Row],[kan_test_acc]]</f>
        <v>0.82592593630154931</v>
      </c>
      <c r="Y336">
        <f>Tabela2[[#This Row],[kan_val_acc_1]]</f>
        <v>0.90370370149612422</v>
      </c>
      <c r="Z336">
        <f>Tabela2[[#This Row],[no_steps]]</f>
        <v>11.676970972551082</v>
      </c>
      <c r="AB336">
        <f t="shared" si="5"/>
        <v>15009</v>
      </c>
      <c r="AC336">
        <f>Tabela2[[#This Row],[kan_time_difference]]/Tabela2[[#This Row],[no_steps]]</f>
        <v>1373012.93326449</v>
      </c>
      <c r="AE336">
        <v>15009</v>
      </c>
      <c r="AF336">
        <v>1373012.93326449</v>
      </c>
    </row>
    <row r="337" spans="1:32" hidden="1" x14ac:dyDescent="0.25">
      <c r="A337" t="s">
        <v>314</v>
      </c>
      <c r="B337">
        <v>3</v>
      </c>
      <c r="C337">
        <v>5</v>
      </c>
      <c r="D337">
        <v>0</v>
      </c>
      <c r="E337" t="s">
        <v>331</v>
      </c>
      <c r="F337">
        <v>7536</v>
      </c>
      <c r="G337">
        <v>16220422.5</v>
      </c>
      <c r="H337">
        <v>0.74444445967674255</v>
      </c>
      <c r="I337">
        <v>0.7</v>
      </c>
      <c r="J337">
        <v>2331201.6666666665</v>
      </c>
      <c r="K337">
        <v>15009</v>
      </c>
      <c r="L337">
        <v>2</v>
      </c>
      <c r="M337">
        <v>82</v>
      </c>
      <c r="N337">
        <v>0.6518518518518519</v>
      </c>
      <c r="O337">
        <v>841498.66666666663</v>
      </c>
      <c r="P337">
        <v>15358</v>
      </c>
      <c r="Q337">
        <v>2</v>
      </c>
      <c r="R337">
        <v>83</v>
      </c>
      <c r="S337">
        <v>11.677256944444444</v>
      </c>
      <c r="T337">
        <v>0.7481481552124023</v>
      </c>
      <c r="W337">
        <f>Tabela2[[#This Row],[mlp_params]]</f>
        <v>15009</v>
      </c>
      <c r="X337">
        <f>Tabela2[[#This Row],[kan_test_acc]]</f>
        <v>0.74444445967674255</v>
      </c>
      <c r="Y337">
        <f>Tabela2[[#This Row],[kan_val_acc_1]]</f>
        <v>0.7481481552124023</v>
      </c>
      <c r="Z337">
        <f>Tabela2[[#This Row],[no_steps]]</f>
        <v>11.677256944444444</v>
      </c>
      <c r="AB337">
        <f t="shared" si="5"/>
        <v>15009</v>
      </c>
      <c r="AC337">
        <f>Tabela2[[#This Row],[kan_time_difference]]/Tabela2[[#This Row],[no_steps]]</f>
        <v>1389061.0249624597</v>
      </c>
      <c r="AE337">
        <v>15009</v>
      </c>
      <c r="AF337">
        <v>1389061.0249624597</v>
      </c>
    </row>
    <row r="338" spans="1:32" hidden="1" x14ac:dyDescent="0.25">
      <c r="A338" t="s">
        <v>314</v>
      </c>
      <c r="B338">
        <v>5</v>
      </c>
      <c r="C338">
        <v>3</v>
      </c>
      <c r="D338">
        <v>0</v>
      </c>
      <c r="E338" t="s">
        <v>347</v>
      </c>
      <c r="F338">
        <v>9300</v>
      </c>
      <c r="G338">
        <v>21772874.833333332</v>
      </c>
      <c r="H338">
        <v>0.829629639784495</v>
      </c>
      <c r="I338">
        <v>0.66666666666666674</v>
      </c>
      <c r="J338">
        <v>4301215.833333333</v>
      </c>
      <c r="K338">
        <v>15009</v>
      </c>
      <c r="L338">
        <v>2</v>
      </c>
      <c r="M338">
        <v>82</v>
      </c>
      <c r="N338">
        <v>0.66296296296296298</v>
      </c>
      <c r="O338">
        <v>2190770.3333333335</v>
      </c>
      <c r="P338">
        <v>15358</v>
      </c>
      <c r="Q338">
        <v>2</v>
      </c>
      <c r="R338">
        <v>83</v>
      </c>
      <c r="S338">
        <v>11.677875881880782</v>
      </c>
      <c r="T338">
        <v>0.87407408952713017</v>
      </c>
      <c r="W338">
        <f>Tabela2[[#This Row],[mlp_params]]</f>
        <v>15009</v>
      </c>
      <c r="X338">
        <f>Tabela2[[#This Row],[kan_test_acc]]</f>
        <v>0.829629639784495</v>
      </c>
      <c r="Y338">
        <f>Tabela2[[#This Row],[kan_val_acc_1]]</f>
        <v>0.87407408952713017</v>
      </c>
      <c r="Z338">
        <f>Tabela2[[#This Row],[no_steps]]</f>
        <v>11.677875881880782</v>
      </c>
      <c r="AB338">
        <f t="shared" si="5"/>
        <v>15009</v>
      </c>
      <c r="AC338">
        <f>Tabela2[[#This Row],[kan_time_difference]]/Tabela2[[#This Row],[no_steps]]</f>
        <v>1864455.0647361991</v>
      </c>
      <c r="AE338">
        <v>15009</v>
      </c>
      <c r="AF338">
        <v>1864455.0647361991</v>
      </c>
    </row>
    <row r="339" spans="1:32" hidden="1" x14ac:dyDescent="0.25">
      <c r="A339" t="s">
        <v>314</v>
      </c>
      <c r="B339">
        <v>5</v>
      </c>
      <c r="C339">
        <v>4</v>
      </c>
      <c r="D339">
        <v>0</v>
      </c>
      <c r="E339" t="s">
        <v>337</v>
      </c>
      <c r="F339">
        <v>8697</v>
      </c>
      <c r="G339">
        <v>13092491.833333334</v>
      </c>
      <c r="H339">
        <v>0.71481483181317651</v>
      </c>
      <c r="I339">
        <v>0.70370370370370372</v>
      </c>
      <c r="J339">
        <v>5781446.833333333</v>
      </c>
      <c r="K339">
        <v>15009</v>
      </c>
      <c r="L339">
        <v>2</v>
      </c>
      <c r="M339">
        <v>82</v>
      </c>
      <c r="N339">
        <v>0.62592592592592589</v>
      </c>
      <c r="O339">
        <v>2730657.8333333335</v>
      </c>
      <c r="P339">
        <v>15358</v>
      </c>
      <c r="Q339">
        <v>2</v>
      </c>
      <c r="R339">
        <v>83</v>
      </c>
      <c r="S339">
        <v>11.670764341863189</v>
      </c>
      <c r="T339">
        <v>0.72592592239379883</v>
      </c>
      <c r="W339">
        <f>Tabela2[[#This Row],[mlp_params]]</f>
        <v>15009</v>
      </c>
      <c r="X339">
        <f>Tabela2[[#This Row],[kan_test_acc]]</f>
        <v>0.71481483181317651</v>
      </c>
      <c r="Y339">
        <f>Tabela2[[#This Row],[kan_val_acc_1]]</f>
        <v>0.72592592239379883</v>
      </c>
      <c r="Z339">
        <f>Tabela2[[#This Row],[no_steps]]</f>
        <v>11.670764341863189</v>
      </c>
      <c r="AB339">
        <f t="shared" si="5"/>
        <v>15009</v>
      </c>
      <c r="AC339">
        <f>Tabela2[[#This Row],[kan_time_difference]]/Tabela2[[#This Row],[no_steps]]</f>
        <v>1121819.5698091846</v>
      </c>
      <c r="AE339">
        <v>15009</v>
      </c>
      <c r="AF339">
        <v>1121819.5698091846</v>
      </c>
    </row>
    <row r="340" spans="1:32" hidden="1" x14ac:dyDescent="0.25">
      <c r="A340" t="s">
        <v>314</v>
      </c>
      <c r="B340">
        <v>5</v>
      </c>
      <c r="C340">
        <v>5</v>
      </c>
      <c r="D340">
        <v>0</v>
      </c>
      <c r="E340" t="s">
        <v>350</v>
      </c>
      <c r="F340">
        <v>8268</v>
      </c>
      <c r="G340">
        <v>16672303.5</v>
      </c>
      <c r="H340">
        <v>0.47407408555348712</v>
      </c>
      <c r="I340">
        <v>0.68518518518518523</v>
      </c>
      <c r="J340">
        <v>3593688.5</v>
      </c>
      <c r="K340">
        <v>15009</v>
      </c>
      <c r="L340">
        <v>2</v>
      </c>
      <c r="M340">
        <v>82</v>
      </c>
      <c r="N340">
        <v>0.73703703703703705</v>
      </c>
      <c r="O340">
        <v>2982817.8333333335</v>
      </c>
      <c r="P340">
        <v>15358</v>
      </c>
      <c r="Q340">
        <v>2</v>
      </c>
      <c r="R340">
        <v>83</v>
      </c>
      <c r="S340">
        <v>11.659810453999917</v>
      </c>
      <c r="T340">
        <v>0.85185185670852659</v>
      </c>
      <c r="W340">
        <f>Tabela2[[#This Row],[mlp_params]]</f>
        <v>15009</v>
      </c>
      <c r="X340">
        <f>Tabela2[[#This Row],[kan_test_acc]]</f>
        <v>0.47407408555348712</v>
      </c>
      <c r="Y340">
        <f>Tabela2[[#This Row],[kan_val_acc_1]]</f>
        <v>0.85185185670852659</v>
      </c>
      <c r="Z340">
        <f>Tabela2[[#This Row],[no_steps]]</f>
        <v>11.659810453999917</v>
      </c>
      <c r="AB340">
        <f t="shared" si="5"/>
        <v>15009</v>
      </c>
      <c r="AC340">
        <f>Tabela2[[#This Row],[kan_time_difference]]/Tabela2[[#This Row],[no_steps]]</f>
        <v>1429894.8997305988</v>
      </c>
      <c r="AE340">
        <v>15009</v>
      </c>
      <c r="AF340">
        <v>1429894.8997305988</v>
      </c>
    </row>
    <row r="341" spans="1:32" hidden="1" x14ac:dyDescent="0.25">
      <c r="A341" t="s">
        <v>314</v>
      </c>
      <c r="B341">
        <v>9</v>
      </c>
      <c r="C341">
        <v>2</v>
      </c>
      <c r="D341">
        <v>0</v>
      </c>
      <c r="E341" t="s">
        <v>346</v>
      </c>
      <c r="F341">
        <v>11205</v>
      </c>
      <c r="G341">
        <v>13503487.833333334</v>
      </c>
      <c r="H341">
        <v>0.86666667461395264</v>
      </c>
      <c r="I341">
        <v>0.68888888888888888</v>
      </c>
      <c r="J341">
        <v>3899201.8333333335</v>
      </c>
      <c r="K341">
        <v>15009</v>
      </c>
      <c r="L341">
        <v>2</v>
      </c>
      <c r="M341">
        <v>82</v>
      </c>
      <c r="N341">
        <v>0.72962962962962963</v>
      </c>
      <c r="O341">
        <v>4479494.5</v>
      </c>
      <c r="P341">
        <v>15358</v>
      </c>
      <c r="Q341">
        <v>2</v>
      </c>
      <c r="R341">
        <v>83</v>
      </c>
      <c r="S341">
        <v>11.640208834686137</v>
      </c>
      <c r="T341">
        <v>0.8962962865829468</v>
      </c>
      <c r="W341">
        <f>Tabela2[[#This Row],[mlp_params]]</f>
        <v>15009</v>
      </c>
      <c r="X341">
        <f>Tabela2[[#This Row],[kan_test_acc]]</f>
        <v>0.86666667461395264</v>
      </c>
      <c r="Y341">
        <f>Tabela2[[#This Row],[kan_val_acc_1]]</f>
        <v>0.8962962865829468</v>
      </c>
      <c r="Z341">
        <f>Tabela2[[#This Row],[no_steps]]</f>
        <v>11.640208834686137</v>
      </c>
      <c r="AB341">
        <f t="shared" si="5"/>
        <v>15009</v>
      </c>
      <c r="AC341">
        <f>Tabela2[[#This Row],[kan_time_difference]]/Tabela2[[#This Row],[no_steps]]</f>
        <v>1160072.6434645138</v>
      </c>
      <c r="AE341">
        <v>15009</v>
      </c>
      <c r="AF341">
        <v>1160072.6434645138</v>
      </c>
    </row>
    <row r="342" spans="1:32" hidden="1" x14ac:dyDescent="0.25">
      <c r="A342" t="s">
        <v>314</v>
      </c>
      <c r="B342">
        <v>9</v>
      </c>
      <c r="C342">
        <v>3</v>
      </c>
      <c r="D342">
        <v>0</v>
      </c>
      <c r="E342" t="s">
        <v>331</v>
      </c>
      <c r="F342">
        <v>10260</v>
      </c>
      <c r="G342">
        <v>11937546.333333334</v>
      </c>
      <c r="H342">
        <v>0.71481482684612274</v>
      </c>
      <c r="I342">
        <v>0.69259259259259265</v>
      </c>
      <c r="J342">
        <v>4607508.333333333</v>
      </c>
      <c r="K342">
        <v>15009</v>
      </c>
      <c r="L342">
        <v>2</v>
      </c>
      <c r="M342">
        <v>82</v>
      </c>
      <c r="N342">
        <v>0.71481481481481479</v>
      </c>
      <c r="O342">
        <v>2076786.3333333333</v>
      </c>
      <c r="P342">
        <v>15358</v>
      </c>
      <c r="Q342">
        <v>2</v>
      </c>
      <c r="R342">
        <v>83</v>
      </c>
      <c r="S342">
        <v>11.630277564542848</v>
      </c>
      <c r="T342">
        <v>0.79259258508682251</v>
      </c>
      <c r="W342">
        <f>Tabela2[[#This Row],[mlp_params]]</f>
        <v>15009</v>
      </c>
      <c r="X342">
        <f>Tabela2[[#This Row],[kan_test_acc]]</f>
        <v>0.71481482684612274</v>
      </c>
      <c r="Y342">
        <f>Tabela2[[#This Row],[kan_val_acc_1]]</f>
        <v>0.79259258508682251</v>
      </c>
      <c r="Z342">
        <f>Tabela2[[#This Row],[no_steps]]</f>
        <v>11.630277564542848</v>
      </c>
      <c r="AB342">
        <f t="shared" si="5"/>
        <v>15009</v>
      </c>
      <c r="AC342">
        <f>Tabela2[[#This Row],[kan_time_difference]]/Tabela2[[#This Row],[no_steps]]</f>
        <v>1026419.7279115035</v>
      </c>
      <c r="AE342">
        <v>15009</v>
      </c>
      <c r="AF342">
        <v>1026419.7279115035</v>
      </c>
    </row>
    <row r="343" spans="1:32" x14ac:dyDescent="0.25">
      <c r="A343" t="s">
        <v>314</v>
      </c>
      <c r="B343">
        <v>9</v>
      </c>
      <c r="C343">
        <v>4</v>
      </c>
      <c r="D343">
        <v>0</v>
      </c>
      <c r="E343" t="s">
        <v>323</v>
      </c>
      <c r="F343">
        <v>9659</v>
      </c>
      <c r="G343">
        <v>9984912.5625</v>
      </c>
      <c r="H343">
        <v>0.6125000175088644</v>
      </c>
      <c r="I343">
        <v>0.66805555555555551</v>
      </c>
      <c r="J343">
        <v>1024324.9375</v>
      </c>
      <c r="K343">
        <v>15009</v>
      </c>
      <c r="L343">
        <v>2</v>
      </c>
      <c r="M343">
        <v>82</v>
      </c>
      <c r="N343">
        <v>0.74722222222222223</v>
      </c>
      <c r="O343">
        <v>848014.875</v>
      </c>
      <c r="P343">
        <v>15358</v>
      </c>
      <c r="Q343">
        <v>2</v>
      </c>
      <c r="R343">
        <v>83</v>
      </c>
      <c r="S343">
        <v>11.607954318572055</v>
      </c>
      <c r="T343">
        <v>0.69876544475555424</v>
      </c>
      <c r="W343">
        <f>Tabela2[[#This Row],[mlp_params]]</f>
        <v>15009</v>
      </c>
      <c r="X343">
        <f>Tabela2[[#This Row],[kan_test_acc]]</f>
        <v>0.6125000175088644</v>
      </c>
      <c r="Y343">
        <f>Tabela2[[#This Row],[kan_val_acc_1]]</f>
        <v>0.69876544475555424</v>
      </c>
      <c r="Z343">
        <f>Tabela2[[#This Row],[no_steps]]</f>
        <v>11.607954318572055</v>
      </c>
      <c r="AB343">
        <f t="shared" si="5"/>
        <v>15009</v>
      </c>
      <c r="AC343">
        <f>Tabela2[[#This Row],[kan_time_difference]]/Tabela2[[#This Row],[no_steps]]</f>
        <v>860178.48524134164</v>
      </c>
      <c r="AE343">
        <v>15009</v>
      </c>
      <c r="AF343">
        <v>860178.48524134164</v>
      </c>
    </row>
    <row r="344" spans="1:32" hidden="1" x14ac:dyDescent="0.25">
      <c r="A344" t="s">
        <v>314</v>
      </c>
      <c r="B344">
        <v>9</v>
      </c>
      <c r="C344">
        <v>5</v>
      </c>
      <c r="D344">
        <v>0</v>
      </c>
      <c r="E344" t="s">
        <v>321</v>
      </c>
      <c r="F344">
        <v>9168</v>
      </c>
      <c r="G344">
        <v>10016779</v>
      </c>
      <c r="H344">
        <v>0.45555556317170459</v>
      </c>
      <c r="I344">
        <v>0.75555555555555554</v>
      </c>
      <c r="J344">
        <v>868358</v>
      </c>
      <c r="K344">
        <v>15009</v>
      </c>
      <c r="L344">
        <v>2</v>
      </c>
      <c r="M344">
        <v>82</v>
      </c>
      <c r="N344">
        <v>0.81481481481481477</v>
      </c>
      <c r="O344">
        <v>736889.16666666663</v>
      </c>
      <c r="P344">
        <v>15358</v>
      </c>
      <c r="Q344">
        <v>2</v>
      </c>
      <c r="R344">
        <v>83</v>
      </c>
      <c r="S344">
        <v>11.583998104415134</v>
      </c>
      <c r="T344">
        <v>0.69629629850387575</v>
      </c>
      <c r="W344">
        <f>Tabela2[[#This Row],[mlp_params]]</f>
        <v>15009</v>
      </c>
      <c r="X344">
        <f>Tabela2[[#This Row],[kan_test_acc]]</f>
        <v>0.45555556317170459</v>
      </c>
      <c r="Y344">
        <f>Tabela2[[#This Row],[kan_val_acc_1]]</f>
        <v>0.69629629850387575</v>
      </c>
      <c r="Z344">
        <f>Tabela2[[#This Row],[no_steps]]</f>
        <v>11.583998104415134</v>
      </c>
      <c r="AB344">
        <f t="shared" ref="AB344:AB407" si="6">W344</f>
        <v>15009</v>
      </c>
      <c r="AC344">
        <f>Tabela2[[#This Row],[kan_time_difference]]/Tabela2[[#This Row],[no_steps]]</f>
        <v>864708.27340537962</v>
      </c>
      <c r="AE344">
        <v>15009</v>
      </c>
      <c r="AF344">
        <v>864708.27340537962</v>
      </c>
    </row>
    <row r="345" spans="1:32" hidden="1" x14ac:dyDescent="0.25">
      <c r="A345" t="s">
        <v>314</v>
      </c>
      <c r="B345">
        <v>3</v>
      </c>
      <c r="C345">
        <v>5</v>
      </c>
      <c r="D345">
        <v>0</v>
      </c>
      <c r="E345" t="s">
        <v>344</v>
      </c>
      <c r="F345">
        <v>7842</v>
      </c>
      <c r="G345">
        <v>16981180.6875</v>
      </c>
      <c r="H345">
        <v>0.78888890147209167</v>
      </c>
      <c r="I345">
        <v>0.66111111111111109</v>
      </c>
      <c r="J345">
        <v>2306655.875</v>
      </c>
      <c r="K345">
        <v>15358</v>
      </c>
      <c r="L345">
        <v>2</v>
      </c>
      <c r="M345">
        <v>83</v>
      </c>
      <c r="N345">
        <v>0.67638888888888893</v>
      </c>
      <c r="O345">
        <v>1130768.6875</v>
      </c>
      <c r="P345">
        <v>15711</v>
      </c>
      <c r="Q345">
        <v>2</v>
      </c>
      <c r="R345">
        <v>84</v>
      </c>
      <c r="S345">
        <v>11.677741151977793</v>
      </c>
      <c r="T345">
        <v>0.80246913830439248</v>
      </c>
      <c r="W345">
        <f>Tabela2[[#This Row],[mlp_params]]</f>
        <v>15358</v>
      </c>
      <c r="X345">
        <f>Tabela2[[#This Row],[kan_test_acc]]</f>
        <v>0.78888890147209167</v>
      </c>
      <c r="Y345">
        <f>Tabela2[[#This Row],[kan_val_acc_1]]</f>
        <v>0.80246913830439248</v>
      </c>
      <c r="Z345">
        <f>Tabela2[[#This Row],[no_steps]]</f>
        <v>11.677741151977793</v>
      </c>
      <c r="AB345">
        <f t="shared" si="6"/>
        <v>15358</v>
      </c>
      <c r="AC345">
        <f>Tabela2[[#This Row],[kan_time_difference]]/Tabela2[[#This Row],[no_steps]]</f>
        <v>1454149.4340816068</v>
      </c>
      <c r="AE345">
        <v>15358</v>
      </c>
      <c r="AF345">
        <v>1454149.4340816068</v>
      </c>
    </row>
    <row r="346" spans="1:32" hidden="1" x14ac:dyDescent="0.25">
      <c r="A346" t="s">
        <v>314</v>
      </c>
      <c r="B346">
        <v>5</v>
      </c>
      <c r="C346">
        <v>5</v>
      </c>
      <c r="D346">
        <v>0</v>
      </c>
      <c r="E346" t="s">
        <v>330</v>
      </c>
      <c r="F346">
        <v>8428</v>
      </c>
      <c r="G346">
        <v>17421257.166666668</v>
      </c>
      <c r="H346">
        <v>0.54814816514650977</v>
      </c>
      <c r="I346">
        <v>0.6333333333333333</v>
      </c>
      <c r="J346">
        <v>3325758.5</v>
      </c>
      <c r="K346">
        <v>15358</v>
      </c>
      <c r="L346">
        <v>2</v>
      </c>
      <c r="M346">
        <v>83</v>
      </c>
      <c r="N346">
        <v>0.73333333333333328</v>
      </c>
      <c r="O346">
        <v>6866173.5</v>
      </c>
      <c r="P346">
        <v>15711</v>
      </c>
      <c r="Q346">
        <v>2</v>
      </c>
      <c r="R346">
        <v>84</v>
      </c>
      <c r="S346">
        <v>11.659853531383177</v>
      </c>
      <c r="T346">
        <v>0.7481481552124023</v>
      </c>
      <c r="W346">
        <f>Tabela2[[#This Row],[mlp_params]]</f>
        <v>15358</v>
      </c>
      <c r="X346">
        <f>Tabela2[[#This Row],[kan_test_acc]]</f>
        <v>0.54814816514650977</v>
      </c>
      <c r="Y346">
        <f>Tabela2[[#This Row],[kan_val_acc_1]]</f>
        <v>0.7481481552124023</v>
      </c>
      <c r="Z346">
        <f>Tabela2[[#This Row],[no_steps]]</f>
        <v>11.659853531383177</v>
      </c>
      <c r="AB346">
        <f t="shared" si="6"/>
        <v>15358</v>
      </c>
      <c r="AC346">
        <f>Tabela2[[#This Row],[kan_time_difference]]/Tabela2[[#This Row],[no_steps]]</f>
        <v>1494123.1568455242</v>
      </c>
      <c r="AE346">
        <v>15358</v>
      </c>
      <c r="AF346">
        <v>1494123.1568455242</v>
      </c>
    </row>
    <row r="347" spans="1:32" hidden="1" x14ac:dyDescent="0.25">
      <c r="A347" t="s">
        <v>314</v>
      </c>
      <c r="B347">
        <v>9</v>
      </c>
      <c r="C347">
        <v>3</v>
      </c>
      <c r="D347">
        <v>0</v>
      </c>
      <c r="E347" t="s">
        <v>344</v>
      </c>
      <c r="F347">
        <v>10678</v>
      </c>
      <c r="G347">
        <v>10661325.5625</v>
      </c>
      <c r="H347">
        <v>0.6319444552063942</v>
      </c>
      <c r="I347">
        <v>0.68333333333333335</v>
      </c>
      <c r="J347">
        <v>6136914.75</v>
      </c>
      <c r="K347">
        <v>15358</v>
      </c>
      <c r="L347">
        <v>2</v>
      </c>
      <c r="M347">
        <v>83</v>
      </c>
      <c r="N347">
        <v>0.6694444444444444</v>
      </c>
      <c r="O347">
        <v>3984691.625</v>
      </c>
      <c r="P347">
        <v>15711</v>
      </c>
      <c r="Q347">
        <v>2</v>
      </c>
      <c r="R347">
        <v>84</v>
      </c>
      <c r="S347">
        <v>11.62845722130254</v>
      </c>
      <c r="T347">
        <v>0.83950618108113606</v>
      </c>
      <c r="W347">
        <f>Tabela2[[#This Row],[mlp_params]]</f>
        <v>15358</v>
      </c>
      <c r="X347">
        <f>Tabela2[[#This Row],[kan_test_acc]]</f>
        <v>0.6319444552063942</v>
      </c>
      <c r="Y347">
        <f>Tabela2[[#This Row],[kan_val_acc_1]]</f>
        <v>0.83950618108113606</v>
      </c>
      <c r="Z347">
        <f>Tabela2[[#This Row],[no_steps]]</f>
        <v>11.62845722130254</v>
      </c>
      <c r="AB347">
        <f t="shared" si="6"/>
        <v>15358</v>
      </c>
      <c r="AC347">
        <f>Tabela2[[#This Row],[kan_time_difference]]/Tabela2[[#This Row],[no_steps]]</f>
        <v>916830.61300420656</v>
      </c>
      <c r="AE347">
        <v>15358</v>
      </c>
      <c r="AF347">
        <v>916830.61300420656</v>
      </c>
    </row>
    <row r="348" spans="1:32" x14ac:dyDescent="0.25">
      <c r="A348" t="s">
        <v>314</v>
      </c>
      <c r="B348">
        <v>9</v>
      </c>
      <c r="C348">
        <v>4</v>
      </c>
      <c r="D348">
        <v>0</v>
      </c>
      <c r="E348" t="s">
        <v>342</v>
      </c>
      <c r="F348">
        <v>9975</v>
      </c>
      <c r="G348">
        <v>10161183.333333334</v>
      </c>
      <c r="H348">
        <v>0.63597885341871352</v>
      </c>
      <c r="I348">
        <v>0.72592592592592597</v>
      </c>
      <c r="J348">
        <v>1262354.857142857</v>
      </c>
      <c r="K348">
        <v>15358</v>
      </c>
      <c r="L348">
        <v>2</v>
      </c>
      <c r="M348">
        <v>83</v>
      </c>
      <c r="N348">
        <v>0.70370370370370372</v>
      </c>
      <c r="O348">
        <v>1647157.6666666667</v>
      </c>
      <c r="P348">
        <v>15711</v>
      </c>
      <c r="Q348">
        <v>2</v>
      </c>
      <c r="R348">
        <v>84</v>
      </c>
      <c r="S348">
        <v>11.606048515799554</v>
      </c>
      <c r="T348">
        <v>0.70925925970077519</v>
      </c>
      <c r="W348">
        <f>Tabela2[[#This Row],[mlp_params]]</f>
        <v>15358</v>
      </c>
      <c r="X348">
        <f>Tabela2[[#This Row],[kan_test_acc]]</f>
        <v>0.63597885341871352</v>
      </c>
      <c r="Y348">
        <f>Tabela2[[#This Row],[kan_val_acc_1]]</f>
        <v>0.70925925970077519</v>
      </c>
      <c r="Z348">
        <f>Tabela2[[#This Row],[no_steps]]</f>
        <v>11.606048515799554</v>
      </c>
      <c r="AB348">
        <f t="shared" si="6"/>
        <v>15358</v>
      </c>
      <c r="AC348">
        <f>Tabela2[[#This Row],[kan_time_difference]]/Tabela2[[#This Row],[no_steps]]</f>
        <v>875507.56999686023</v>
      </c>
      <c r="AE348">
        <v>15358</v>
      </c>
      <c r="AF348">
        <v>875507.56999686023</v>
      </c>
    </row>
    <row r="349" spans="1:32" hidden="1" x14ac:dyDescent="0.25">
      <c r="A349" t="s">
        <v>314</v>
      </c>
      <c r="B349">
        <v>3</v>
      </c>
      <c r="C349">
        <v>4</v>
      </c>
      <c r="D349">
        <v>0</v>
      </c>
      <c r="E349" t="s">
        <v>347</v>
      </c>
      <c r="F349">
        <v>8459</v>
      </c>
      <c r="G349">
        <v>17132458</v>
      </c>
      <c r="H349">
        <v>0.85925926764806115</v>
      </c>
      <c r="I349">
        <v>0.64814814814814814</v>
      </c>
      <c r="J349">
        <v>1041286.1666666666</v>
      </c>
      <c r="K349">
        <v>15711</v>
      </c>
      <c r="L349">
        <v>2</v>
      </c>
      <c r="M349">
        <v>84</v>
      </c>
      <c r="N349">
        <v>0.75185185185185188</v>
      </c>
      <c r="O349">
        <v>1123903.6666666667</v>
      </c>
      <c r="P349">
        <v>16068</v>
      </c>
      <c r="Q349">
        <v>2</v>
      </c>
      <c r="R349">
        <v>85</v>
      </c>
      <c r="S349">
        <v>11.677012098895318</v>
      </c>
      <c r="T349">
        <v>0.91111111640930176</v>
      </c>
      <c r="W349">
        <f>Tabela2[[#This Row],[mlp_params]]</f>
        <v>15711</v>
      </c>
      <c r="X349">
        <f>Tabela2[[#This Row],[kan_test_acc]]</f>
        <v>0.85925926764806115</v>
      </c>
      <c r="Y349">
        <f>Tabela2[[#This Row],[kan_val_acc_1]]</f>
        <v>0.91111111640930176</v>
      </c>
      <c r="Z349">
        <f>Tabela2[[#This Row],[no_steps]]</f>
        <v>11.677012098895318</v>
      </c>
      <c r="AB349">
        <f t="shared" si="6"/>
        <v>15711</v>
      </c>
      <c r="AC349">
        <f>Tabela2[[#This Row],[kan_time_difference]]/Tabela2[[#This Row],[no_steps]]</f>
        <v>1467195.3625551851</v>
      </c>
      <c r="AE349">
        <v>15711</v>
      </c>
      <c r="AF349">
        <v>1467195.3625551851</v>
      </c>
    </row>
    <row r="350" spans="1:32" hidden="1" x14ac:dyDescent="0.25">
      <c r="A350" t="s">
        <v>314</v>
      </c>
      <c r="B350">
        <v>3</v>
      </c>
      <c r="C350">
        <v>5</v>
      </c>
      <c r="D350">
        <v>0</v>
      </c>
      <c r="E350" t="s">
        <v>337</v>
      </c>
      <c r="F350">
        <v>7976</v>
      </c>
      <c r="G350">
        <v>16672274.5</v>
      </c>
      <c r="H350">
        <v>0.75555557012557983</v>
      </c>
      <c r="I350">
        <v>0.68148148148148147</v>
      </c>
      <c r="J350">
        <v>2096934.6666666667</v>
      </c>
      <c r="K350">
        <v>15711</v>
      </c>
      <c r="L350">
        <v>2</v>
      </c>
      <c r="M350">
        <v>84</v>
      </c>
      <c r="N350">
        <v>0.66296296296296298</v>
      </c>
      <c r="O350">
        <v>761222.83333333337</v>
      </c>
      <c r="P350">
        <v>16068</v>
      </c>
      <c r="Q350">
        <v>2</v>
      </c>
      <c r="R350">
        <v>85</v>
      </c>
      <c r="S350">
        <v>11.677521463879975</v>
      </c>
      <c r="T350">
        <v>0.79259259700775142</v>
      </c>
      <c r="W350">
        <f>Tabela2[[#This Row],[mlp_params]]</f>
        <v>15711</v>
      </c>
      <c r="X350">
        <f>Tabela2[[#This Row],[kan_test_acc]]</f>
        <v>0.75555557012557983</v>
      </c>
      <c r="Y350">
        <f>Tabela2[[#This Row],[kan_val_acc_1]]</f>
        <v>0.79259259700775142</v>
      </c>
      <c r="Z350">
        <f>Tabela2[[#This Row],[no_steps]]</f>
        <v>11.677521463879975</v>
      </c>
      <c r="AB350">
        <f t="shared" si="6"/>
        <v>15711</v>
      </c>
      <c r="AC350">
        <f>Tabela2[[#This Row],[kan_time_difference]]/Tabela2[[#This Row],[no_steps]]</f>
        <v>1427723.7298659151</v>
      </c>
      <c r="AE350">
        <v>15711</v>
      </c>
      <c r="AF350">
        <v>1427723.7298659151</v>
      </c>
    </row>
    <row r="351" spans="1:32" hidden="1" x14ac:dyDescent="0.25">
      <c r="A351" t="s">
        <v>314</v>
      </c>
      <c r="B351">
        <v>5</v>
      </c>
      <c r="C351">
        <v>3</v>
      </c>
      <c r="D351">
        <v>0</v>
      </c>
      <c r="E351" t="s">
        <v>354</v>
      </c>
      <c r="F351">
        <v>9652</v>
      </c>
      <c r="G351">
        <v>19721957.666666668</v>
      </c>
      <c r="H351">
        <v>0.87407408157984412</v>
      </c>
      <c r="I351">
        <v>0.67407407407407405</v>
      </c>
      <c r="J351">
        <v>4365042.666666667</v>
      </c>
      <c r="K351">
        <v>15711</v>
      </c>
      <c r="L351">
        <v>2</v>
      </c>
      <c r="M351">
        <v>84</v>
      </c>
      <c r="N351">
        <v>0.73703703703703705</v>
      </c>
      <c r="O351">
        <v>4204126.5</v>
      </c>
      <c r="P351">
        <v>16068</v>
      </c>
      <c r="Q351">
        <v>2</v>
      </c>
      <c r="R351">
        <v>85</v>
      </c>
      <c r="S351">
        <v>11.678675507876843</v>
      </c>
      <c r="T351">
        <v>0.92592592239379878</v>
      </c>
      <c r="W351">
        <f>Tabela2[[#This Row],[mlp_params]]</f>
        <v>15711</v>
      </c>
      <c r="X351">
        <f>Tabela2[[#This Row],[kan_test_acc]]</f>
        <v>0.87407408157984412</v>
      </c>
      <c r="Y351">
        <f>Tabela2[[#This Row],[kan_val_acc_1]]</f>
        <v>0.92592592239379878</v>
      </c>
      <c r="Z351">
        <f>Tabela2[[#This Row],[no_steps]]</f>
        <v>11.678675507876843</v>
      </c>
      <c r="AB351">
        <f t="shared" si="6"/>
        <v>15711</v>
      </c>
      <c r="AC351">
        <f>Tabela2[[#This Row],[kan_time_difference]]/Tabela2[[#This Row],[no_steps]]</f>
        <v>1688715.2702688694</v>
      </c>
      <c r="AE351">
        <v>15711</v>
      </c>
      <c r="AF351">
        <v>1688715.2702688694</v>
      </c>
    </row>
    <row r="352" spans="1:32" hidden="1" x14ac:dyDescent="0.25">
      <c r="A352" t="s">
        <v>314</v>
      </c>
      <c r="B352">
        <v>5</v>
      </c>
      <c r="C352">
        <v>4</v>
      </c>
      <c r="D352">
        <v>0</v>
      </c>
      <c r="E352" t="s">
        <v>338</v>
      </c>
      <c r="F352">
        <v>9179</v>
      </c>
      <c r="G352">
        <v>14371397.090909092</v>
      </c>
      <c r="H352">
        <v>0.72929294542832812</v>
      </c>
      <c r="I352">
        <v>0.64040404040404042</v>
      </c>
      <c r="J352">
        <v>5370897.0909090908</v>
      </c>
      <c r="K352">
        <v>15711</v>
      </c>
      <c r="L352">
        <v>2</v>
      </c>
      <c r="M352">
        <v>84</v>
      </c>
      <c r="N352">
        <v>0.69494949494949498</v>
      </c>
      <c r="O352">
        <v>4982701.6363636367</v>
      </c>
      <c r="P352">
        <v>16068</v>
      </c>
      <c r="Q352">
        <v>2</v>
      </c>
      <c r="R352">
        <v>85</v>
      </c>
      <c r="S352">
        <v>11.670121619927279</v>
      </c>
      <c r="T352">
        <v>0.88148148655891423</v>
      </c>
      <c r="W352">
        <f>Tabela2[[#This Row],[mlp_params]]</f>
        <v>15711</v>
      </c>
      <c r="X352">
        <f>Tabela2[[#This Row],[kan_test_acc]]</f>
        <v>0.72929294542832812</v>
      </c>
      <c r="Y352">
        <f>Tabela2[[#This Row],[kan_val_acc_1]]</f>
        <v>0.88148148655891423</v>
      </c>
      <c r="Z352">
        <f>Tabela2[[#This Row],[no_steps]]</f>
        <v>11.670121619927279</v>
      </c>
      <c r="AB352">
        <f t="shared" si="6"/>
        <v>15711</v>
      </c>
      <c r="AC352">
        <f>Tabela2[[#This Row],[kan_time_difference]]/Tabela2[[#This Row],[no_steps]]</f>
        <v>1231469.3504452652</v>
      </c>
      <c r="AE352">
        <v>15711</v>
      </c>
      <c r="AF352">
        <v>1231469.3504452652</v>
      </c>
    </row>
    <row r="353" spans="1:32" hidden="1" x14ac:dyDescent="0.25">
      <c r="A353" t="s">
        <v>314</v>
      </c>
      <c r="B353">
        <v>5</v>
      </c>
      <c r="C353">
        <v>5</v>
      </c>
      <c r="D353">
        <v>0</v>
      </c>
      <c r="E353" t="s">
        <v>343</v>
      </c>
      <c r="F353">
        <v>8686</v>
      </c>
      <c r="G353">
        <v>16582840.727272727</v>
      </c>
      <c r="H353">
        <v>0.70909092101183802</v>
      </c>
      <c r="I353">
        <v>0.66060606060606064</v>
      </c>
      <c r="J353">
        <v>4560171.5454545459</v>
      </c>
      <c r="K353">
        <v>15711</v>
      </c>
      <c r="L353">
        <v>2</v>
      </c>
      <c r="M353">
        <v>84</v>
      </c>
      <c r="N353">
        <v>0.67878787878787883</v>
      </c>
      <c r="O353">
        <v>4153185.3636363638</v>
      </c>
      <c r="P353">
        <v>16068</v>
      </c>
      <c r="Q353">
        <v>2</v>
      </c>
      <c r="R353">
        <v>85</v>
      </c>
      <c r="S353">
        <v>11.660132340777501</v>
      </c>
      <c r="T353">
        <v>0.81111111640930178</v>
      </c>
      <c r="W353">
        <f>Tabela2[[#This Row],[mlp_params]]</f>
        <v>15711</v>
      </c>
      <c r="X353">
        <f>Tabela2[[#This Row],[kan_test_acc]]</f>
        <v>0.70909092101183802</v>
      </c>
      <c r="Y353">
        <f>Tabela2[[#This Row],[kan_val_acc_1]]</f>
        <v>0.81111111640930178</v>
      </c>
      <c r="Z353">
        <f>Tabela2[[#This Row],[no_steps]]</f>
        <v>11.660132340777501</v>
      </c>
      <c r="AB353">
        <f t="shared" si="6"/>
        <v>15711</v>
      </c>
      <c r="AC353">
        <f>Tabela2[[#This Row],[kan_time_difference]]/Tabela2[[#This Row],[no_steps]]</f>
        <v>1422182.8914651047</v>
      </c>
      <c r="AE353">
        <v>15711</v>
      </c>
      <c r="AF353">
        <v>1422182.8914651047</v>
      </c>
    </row>
    <row r="354" spans="1:32" hidden="1" x14ac:dyDescent="0.25">
      <c r="A354" t="s">
        <v>314</v>
      </c>
      <c r="B354">
        <v>9</v>
      </c>
      <c r="C354">
        <v>2</v>
      </c>
      <c r="D354">
        <v>0</v>
      </c>
      <c r="E354" t="s">
        <v>347</v>
      </c>
      <c r="F354">
        <v>11823</v>
      </c>
      <c r="G354">
        <v>17322683</v>
      </c>
      <c r="H354">
        <v>0.81481482585271203</v>
      </c>
      <c r="I354">
        <v>0.6518518518518519</v>
      </c>
      <c r="J354">
        <v>3732634</v>
      </c>
      <c r="K354">
        <v>15711</v>
      </c>
      <c r="L354">
        <v>2</v>
      </c>
      <c r="M354">
        <v>84</v>
      </c>
      <c r="N354">
        <v>0.72592592592592586</v>
      </c>
      <c r="O354">
        <v>3139462</v>
      </c>
      <c r="P354">
        <v>16068</v>
      </c>
      <c r="Q354">
        <v>2</v>
      </c>
      <c r="R354">
        <v>85</v>
      </c>
      <c r="S354">
        <v>11.640500754393834</v>
      </c>
      <c r="T354">
        <v>0.78518519401550291</v>
      </c>
      <c r="W354">
        <f>Tabela2[[#This Row],[mlp_params]]</f>
        <v>15711</v>
      </c>
      <c r="X354">
        <f>Tabela2[[#This Row],[kan_test_acc]]</f>
        <v>0.81481482585271203</v>
      </c>
      <c r="Y354">
        <f>Tabela2[[#This Row],[kan_val_acc_1]]</f>
        <v>0.78518519401550291</v>
      </c>
      <c r="Z354">
        <f>Tabela2[[#This Row],[no_steps]]</f>
        <v>11.640500754393834</v>
      </c>
      <c r="AB354">
        <f t="shared" si="6"/>
        <v>15711</v>
      </c>
      <c r="AC354">
        <f>Tabela2[[#This Row],[kan_time_difference]]/Tabela2[[#This Row],[no_steps]]</f>
        <v>1488138.9869298676</v>
      </c>
      <c r="AE354">
        <v>15711</v>
      </c>
      <c r="AF354">
        <v>1488138.9869298676</v>
      </c>
    </row>
    <row r="355" spans="1:32" hidden="1" x14ac:dyDescent="0.25">
      <c r="A355" t="s">
        <v>314</v>
      </c>
      <c r="B355">
        <v>9</v>
      </c>
      <c r="C355">
        <v>3</v>
      </c>
      <c r="D355">
        <v>0</v>
      </c>
      <c r="E355" t="s">
        <v>337</v>
      </c>
      <c r="F355">
        <v>10860</v>
      </c>
      <c r="G355">
        <v>12982258.666666666</v>
      </c>
      <c r="H355">
        <v>0.69259260594844818</v>
      </c>
      <c r="I355">
        <v>0.66666666666666663</v>
      </c>
      <c r="J355">
        <v>3818376.8333333335</v>
      </c>
      <c r="K355">
        <v>15711</v>
      </c>
      <c r="L355">
        <v>2</v>
      </c>
      <c r="M355">
        <v>84</v>
      </c>
      <c r="N355">
        <v>0.68888888888888888</v>
      </c>
      <c r="O355">
        <v>4217191.166666667</v>
      </c>
      <c r="P355">
        <v>16068</v>
      </c>
      <c r="Q355">
        <v>2</v>
      </c>
      <c r="R355">
        <v>85</v>
      </c>
      <c r="S355">
        <v>11.628143543373834</v>
      </c>
      <c r="T355">
        <v>0.8</v>
      </c>
      <c r="W355">
        <f>Tabela2[[#This Row],[mlp_params]]</f>
        <v>15711</v>
      </c>
      <c r="X355">
        <f>Tabela2[[#This Row],[kan_test_acc]]</f>
        <v>0.69259260594844818</v>
      </c>
      <c r="Y355">
        <f>Tabela2[[#This Row],[kan_val_acc_1]]</f>
        <v>0.8</v>
      </c>
      <c r="Z355">
        <f>Tabela2[[#This Row],[no_steps]]</f>
        <v>11.628143543373834</v>
      </c>
      <c r="AB355">
        <f t="shared" si="6"/>
        <v>15711</v>
      </c>
      <c r="AC355">
        <f>Tabela2[[#This Row],[kan_time_difference]]/Tabela2[[#This Row],[no_steps]]</f>
        <v>1116451.5314282011</v>
      </c>
      <c r="AE355">
        <v>15711</v>
      </c>
      <c r="AF355">
        <v>1116451.5314282011</v>
      </c>
    </row>
    <row r="356" spans="1:32" x14ac:dyDescent="0.25">
      <c r="A356" t="s">
        <v>314</v>
      </c>
      <c r="B356">
        <v>9</v>
      </c>
      <c r="C356">
        <v>4</v>
      </c>
      <c r="D356">
        <v>0</v>
      </c>
      <c r="E356" t="s">
        <v>336</v>
      </c>
      <c r="F356">
        <v>10297</v>
      </c>
      <c r="G356">
        <v>9742107.666666666</v>
      </c>
      <c r="H356">
        <v>0.5666666875282923</v>
      </c>
      <c r="I356">
        <v>0.75185185185185188</v>
      </c>
      <c r="J356">
        <v>539653.66666666663</v>
      </c>
      <c r="K356">
        <v>15711</v>
      </c>
      <c r="L356">
        <v>2</v>
      </c>
      <c r="M356">
        <v>84</v>
      </c>
      <c r="N356">
        <v>0.71851851851851856</v>
      </c>
      <c r="O356">
        <v>1016134.5</v>
      </c>
      <c r="P356">
        <v>16068</v>
      </c>
      <c r="Q356">
        <v>2</v>
      </c>
      <c r="R356">
        <v>85</v>
      </c>
      <c r="S356">
        <v>11.605544475468689</v>
      </c>
      <c r="T356">
        <v>0.73333333730697636</v>
      </c>
      <c r="W356">
        <f>Tabela2[[#This Row],[mlp_params]]</f>
        <v>15711</v>
      </c>
      <c r="X356">
        <f>Tabela2[[#This Row],[kan_test_acc]]</f>
        <v>0.5666666875282923</v>
      </c>
      <c r="Y356">
        <f>Tabela2[[#This Row],[kan_val_acc_1]]</f>
        <v>0.73333333730697636</v>
      </c>
      <c r="Z356">
        <f>Tabela2[[#This Row],[no_steps]]</f>
        <v>11.605544475468689</v>
      </c>
      <c r="AB356">
        <f t="shared" si="6"/>
        <v>15711</v>
      </c>
      <c r="AC356">
        <f>Tabela2[[#This Row],[kan_time_difference]]/Tabela2[[#This Row],[no_steps]]</f>
        <v>839435.64106441743</v>
      </c>
      <c r="AE356">
        <v>15711</v>
      </c>
      <c r="AF356">
        <v>839435.64106441743</v>
      </c>
    </row>
    <row r="357" spans="1:32" hidden="1" x14ac:dyDescent="0.25">
      <c r="A357" t="s">
        <v>314</v>
      </c>
      <c r="B357">
        <v>9</v>
      </c>
      <c r="C357">
        <v>5</v>
      </c>
      <c r="D357">
        <v>0</v>
      </c>
      <c r="E357" t="s">
        <v>322</v>
      </c>
      <c r="F357">
        <v>9714</v>
      </c>
      <c r="G357">
        <v>9953399.4545454551</v>
      </c>
      <c r="H357">
        <v>0.63030304692008277</v>
      </c>
      <c r="I357">
        <v>0.75757575757575757</v>
      </c>
      <c r="J357">
        <v>774793.09090909094</v>
      </c>
      <c r="K357">
        <v>15711</v>
      </c>
      <c r="L357">
        <v>2</v>
      </c>
      <c r="M357">
        <v>84</v>
      </c>
      <c r="N357">
        <v>0.70707070707070707</v>
      </c>
      <c r="O357">
        <v>727140.81818181823</v>
      </c>
      <c r="P357">
        <v>16068</v>
      </c>
      <c r="Q357">
        <v>2</v>
      </c>
      <c r="R357">
        <v>85</v>
      </c>
      <c r="S357">
        <v>11.582836616271267</v>
      </c>
      <c r="T357">
        <v>0.74074074029922488</v>
      </c>
      <c r="W357">
        <f>Tabela2[[#This Row],[mlp_params]]</f>
        <v>15711</v>
      </c>
      <c r="X357">
        <f>Tabela2[[#This Row],[kan_test_acc]]</f>
        <v>0.63030304692008277</v>
      </c>
      <c r="Y357">
        <f>Tabela2[[#This Row],[kan_val_acc_1]]</f>
        <v>0.74074074029922488</v>
      </c>
      <c r="Z357">
        <f>Tabela2[[#This Row],[no_steps]]</f>
        <v>11.582836616271267</v>
      </c>
      <c r="AB357">
        <f t="shared" si="6"/>
        <v>15711</v>
      </c>
      <c r="AC357">
        <f>Tabela2[[#This Row],[kan_time_difference]]/Tabela2[[#This Row],[no_steps]]</f>
        <v>859323.13338195405</v>
      </c>
      <c r="AE357">
        <v>15711</v>
      </c>
      <c r="AF357">
        <v>859323.13338195405</v>
      </c>
    </row>
    <row r="358" spans="1:32" hidden="1" x14ac:dyDescent="0.25">
      <c r="A358" t="s">
        <v>314</v>
      </c>
      <c r="B358">
        <v>3</v>
      </c>
      <c r="C358">
        <v>5</v>
      </c>
      <c r="D358">
        <v>0</v>
      </c>
      <c r="E358" t="s">
        <v>351</v>
      </c>
      <c r="F358">
        <v>8062</v>
      </c>
      <c r="G358">
        <v>18257295.666666668</v>
      </c>
      <c r="H358">
        <v>0.82592593630154931</v>
      </c>
      <c r="I358">
        <v>0.66666666666666663</v>
      </c>
      <c r="J358">
        <v>1713731.5</v>
      </c>
      <c r="K358">
        <v>16068</v>
      </c>
      <c r="L358">
        <v>2</v>
      </c>
      <c r="M358">
        <v>85</v>
      </c>
      <c r="N358">
        <v>0.67037037037037028</v>
      </c>
      <c r="O358">
        <v>1611540.8333333333</v>
      </c>
      <c r="P358">
        <v>16429</v>
      </c>
      <c r="Q358">
        <v>2</v>
      </c>
      <c r="R358">
        <v>86</v>
      </c>
      <c r="S358">
        <v>11.677952141494711</v>
      </c>
      <c r="T358">
        <v>0.88148148059844966</v>
      </c>
      <c r="W358">
        <f>Tabela2[[#This Row],[mlp_params]]</f>
        <v>16068</v>
      </c>
      <c r="X358">
        <f>Tabela2[[#This Row],[kan_test_acc]]</f>
        <v>0.82592593630154931</v>
      </c>
      <c r="Y358">
        <f>Tabela2[[#This Row],[kan_val_acc_1]]</f>
        <v>0.88148148059844966</v>
      </c>
      <c r="Z358">
        <f>Tabela2[[#This Row],[no_steps]]</f>
        <v>11.677952141494711</v>
      </c>
      <c r="AB358">
        <f t="shared" si="6"/>
        <v>16068</v>
      </c>
      <c r="AC358">
        <f>Tabela2[[#This Row],[kan_time_difference]]/Tabela2[[#This Row],[no_steps]]</f>
        <v>1563398.740246065</v>
      </c>
      <c r="AE358">
        <v>16068</v>
      </c>
      <c r="AF358">
        <v>1563398.740246065</v>
      </c>
    </row>
    <row r="359" spans="1:32" hidden="1" x14ac:dyDescent="0.25">
      <c r="A359" t="s">
        <v>314</v>
      </c>
      <c r="B359">
        <v>5</v>
      </c>
      <c r="C359">
        <v>4</v>
      </c>
      <c r="D359">
        <v>0</v>
      </c>
      <c r="E359" t="s">
        <v>352</v>
      </c>
      <c r="F359">
        <v>9369</v>
      </c>
      <c r="G359">
        <v>21278563.818181816</v>
      </c>
      <c r="H359">
        <v>0.73535354841839184</v>
      </c>
      <c r="I359">
        <v>0.68888888888888888</v>
      </c>
      <c r="J359">
        <v>3235892</v>
      </c>
      <c r="K359">
        <v>16068</v>
      </c>
      <c r="L359">
        <v>2</v>
      </c>
      <c r="M359">
        <v>85</v>
      </c>
      <c r="N359">
        <v>0.69292929292929295</v>
      </c>
      <c r="O359">
        <v>4044053.9090909092</v>
      </c>
      <c r="P359">
        <v>16429</v>
      </c>
      <c r="Q359">
        <v>2</v>
      </c>
      <c r="R359">
        <v>86</v>
      </c>
      <c r="S359">
        <v>11.672069512908347</v>
      </c>
      <c r="T359">
        <v>0.80740740895271301</v>
      </c>
      <c r="W359">
        <f>Tabela2[[#This Row],[mlp_params]]</f>
        <v>16068</v>
      </c>
      <c r="X359">
        <f>Tabela2[[#This Row],[kan_test_acc]]</f>
        <v>0.73535354841839184</v>
      </c>
      <c r="Y359">
        <f>Tabela2[[#This Row],[kan_val_acc_1]]</f>
        <v>0.80740740895271301</v>
      </c>
      <c r="Z359">
        <f>Tabela2[[#This Row],[no_steps]]</f>
        <v>11.672069512908347</v>
      </c>
      <c r="AB359">
        <f t="shared" si="6"/>
        <v>16068</v>
      </c>
      <c r="AC359">
        <f>Tabela2[[#This Row],[kan_time_difference]]/Tabela2[[#This Row],[no_steps]]</f>
        <v>1823032.6502639037</v>
      </c>
      <c r="AE359">
        <v>16068</v>
      </c>
      <c r="AF359">
        <v>1823032.6502639037</v>
      </c>
    </row>
    <row r="360" spans="1:32" hidden="1" x14ac:dyDescent="0.25">
      <c r="A360" t="s">
        <v>314</v>
      </c>
      <c r="B360">
        <v>5</v>
      </c>
      <c r="C360">
        <v>5</v>
      </c>
      <c r="D360">
        <v>0</v>
      </c>
      <c r="E360" t="s">
        <v>331</v>
      </c>
      <c r="F360">
        <v>8898</v>
      </c>
      <c r="G360">
        <v>13006391.5</v>
      </c>
      <c r="H360">
        <v>0.60000001390775048</v>
      </c>
      <c r="I360">
        <v>0.69259259259259265</v>
      </c>
      <c r="J360">
        <v>3772142.1666666665</v>
      </c>
      <c r="K360">
        <v>16068</v>
      </c>
      <c r="L360">
        <v>2</v>
      </c>
      <c r="M360">
        <v>85</v>
      </c>
      <c r="N360">
        <v>0.70370370370370372</v>
      </c>
      <c r="O360">
        <v>4112535.8333333335</v>
      </c>
      <c r="P360">
        <v>16429</v>
      </c>
      <c r="Q360">
        <v>2</v>
      </c>
      <c r="R360">
        <v>86</v>
      </c>
      <c r="S360">
        <v>11.659555114529066</v>
      </c>
      <c r="T360">
        <v>0.77777777910232548</v>
      </c>
      <c r="W360">
        <f>Tabela2[[#This Row],[mlp_params]]</f>
        <v>16068</v>
      </c>
      <c r="X360">
        <f>Tabela2[[#This Row],[kan_test_acc]]</f>
        <v>0.60000001390775048</v>
      </c>
      <c r="Y360">
        <f>Tabela2[[#This Row],[kan_val_acc_1]]</f>
        <v>0.77777777910232548</v>
      </c>
      <c r="Z360">
        <f>Tabela2[[#This Row],[no_steps]]</f>
        <v>11.659555114529066</v>
      </c>
      <c r="AB360">
        <f t="shared" si="6"/>
        <v>16068</v>
      </c>
      <c r="AC360">
        <f>Tabela2[[#This Row],[kan_time_difference]]/Tabela2[[#This Row],[no_steps]]</f>
        <v>1115513.5313690167</v>
      </c>
      <c r="AE360">
        <v>16068</v>
      </c>
      <c r="AF360">
        <v>1115513.5313690167</v>
      </c>
    </row>
    <row r="361" spans="1:32" hidden="1" x14ac:dyDescent="0.25">
      <c r="A361" t="s">
        <v>314</v>
      </c>
      <c r="B361">
        <v>9</v>
      </c>
      <c r="C361">
        <v>3</v>
      </c>
      <c r="D361">
        <v>0</v>
      </c>
      <c r="E361" t="s">
        <v>351</v>
      </c>
      <c r="F361">
        <v>10978</v>
      </c>
      <c r="G361">
        <v>14309483.5</v>
      </c>
      <c r="H361">
        <v>0.61481483777364099</v>
      </c>
      <c r="I361">
        <v>0.65925925925925921</v>
      </c>
      <c r="J361">
        <v>3688390.8333333335</v>
      </c>
      <c r="K361">
        <v>16068</v>
      </c>
      <c r="L361">
        <v>2</v>
      </c>
      <c r="M361">
        <v>85</v>
      </c>
      <c r="N361">
        <v>0.68148148148148147</v>
      </c>
      <c r="O361">
        <v>6227663.5</v>
      </c>
      <c r="P361">
        <v>16429</v>
      </c>
      <c r="Q361">
        <v>2</v>
      </c>
      <c r="R361">
        <v>86</v>
      </c>
      <c r="S361">
        <v>11.627991444368215</v>
      </c>
      <c r="T361">
        <v>0.77037037611007686</v>
      </c>
      <c r="W361">
        <f>Tabela2[[#This Row],[mlp_params]]</f>
        <v>16068</v>
      </c>
      <c r="X361">
        <f>Tabela2[[#This Row],[kan_test_acc]]</f>
        <v>0.61481483777364099</v>
      </c>
      <c r="Y361">
        <f>Tabela2[[#This Row],[kan_val_acc_1]]</f>
        <v>0.77037037611007686</v>
      </c>
      <c r="Z361">
        <f>Tabela2[[#This Row],[no_steps]]</f>
        <v>11.627991444368215</v>
      </c>
      <c r="AB361">
        <f t="shared" si="6"/>
        <v>16068</v>
      </c>
      <c r="AC361">
        <f>Tabela2[[#This Row],[kan_time_difference]]/Tabela2[[#This Row],[no_steps]]</f>
        <v>1230606.6416079549</v>
      </c>
      <c r="AE361">
        <v>16068</v>
      </c>
      <c r="AF361">
        <v>1230606.6416079549</v>
      </c>
    </row>
    <row r="362" spans="1:32" x14ac:dyDescent="0.25">
      <c r="A362" t="s">
        <v>314</v>
      </c>
      <c r="B362">
        <v>9</v>
      </c>
      <c r="C362">
        <v>4</v>
      </c>
      <c r="D362">
        <v>0</v>
      </c>
      <c r="E362" t="s">
        <v>330</v>
      </c>
      <c r="F362">
        <v>10363</v>
      </c>
      <c r="G362">
        <v>8607314.2727272734</v>
      </c>
      <c r="H362">
        <v>0.54949496550993482</v>
      </c>
      <c r="I362">
        <v>0.84040404040404038</v>
      </c>
      <c r="J362">
        <v>1032632.5454545454</v>
      </c>
      <c r="K362">
        <v>16068</v>
      </c>
      <c r="L362">
        <v>2</v>
      </c>
      <c r="M362">
        <v>85</v>
      </c>
      <c r="N362">
        <v>0.75757575757575757</v>
      </c>
      <c r="O362">
        <v>823384.72727272729</v>
      </c>
      <c r="P362">
        <v>16429</v>
      </c>
      <c r="Q362">
        <v>2</v>
      </c>
      <c r="R362">
        <v>86</v>
      </c>
      <c r="S362">
        <v>11.604003030182209</v>
      </c>
      <c r="T362">
        <v>0.72592592835426328</v>
      </c>
      <c r="W362">
        <f>Tabela2[[#This Row],[mlp_params]]</f>
        <v>16068</v>
      </c>
      <c r="X362">
        <f>Tabela2[[#This Row],[kan_test_acc]]</f>
        <v>0.54949496550993482</v>
      </c>
      <c r="Y362">
        <f>Tabela2[[#This Row],[kan_val_acc_1]]</f>
        <v>0.72592592835426328</v>
      </c>
      <c r="Z362">
        <f>Tabela2[[#This Row],[no_steps]]</f>
        <v>11.604003030182209</v>
      </c>
      <c r="AB362">
        <f t="shared" si="6"/>
        <v>16068</v>
      </c>
      <c r="AC362">
        <f>Tabela2[[#This Row],[kan_time_difference]]/Tabela2[[#This Row],[no_steps]]</f>
        <v>741753.88013425213</v>
      </c>
      <c r="AE362">
        <v>16068</v>
      </c>
      <c r="AF362">
        <v>741753.88013425213</v>
      </c>
    </row>
    <row r="363" spans="1:32" hidden="1" x14ac:dyDescent="0.25">
      <c r="A363" t="s">
        <v>314</v>
      </c>
      <c r="B363">
        <v>9</v>
      </c>
      <c r="C363">
        <v>5</v>
      </c>
      <c r="D363">
        <v>0</v>
      </c>
      <c r="E363" t="s">
        <v>328</v>
      </c>
      <c r="F363">
        <v>9780</v>
      </c>
      <c r="G363">
        <v>10130448.727272727</v>
      </c>
      <c r="H363">
        <v>0.62828284502029419</v>
      </c>
      <c r="I363">
        <v>0.76161616161616164</v>
      </c>
      <c r="J363">
        <v>1303524.7272727273</v>
      </c>
      <c r="K363">
        <v>16068</v>
      </c>
      <c r="L363">
        <v>2</v>
      </c>
      <c r="M363">
        <v>85</v>
      </c>
      <c r="N363">
        <v>0.73737373737373735</v>
      </c>
      <c r="O363">
        <v>1041581.5454545454</v>
      </c>
      <c r="P363">
        <v>16429</v>
      </c>
      <c r="Q363">
        <v>2</v>
      </c>
      <c r="R363">
        <v>86</v>
      </c>
      <c r="S363">
        <v>11.581557765151516</v>
      </c>
      <c r="T363">
        <v>0.7555555462837219</v>
      </c>
      <c r="W363">
        <f>Tabela2[[#This Row],[mlp_params]]</f>
        <v>16068</v>
      </c>
      <c r="X363">
        <f>Tabela2[[#This Row],[kan_test_acc]]</f>
        <v>0.62828284502029419</v>
      </c>
      <c r="Y363">
        <f>Tabela2[[#This Row],[kan_val_acc_1]]</f>
        <v>0.7555555462837219</v>
      </c>
      <c r="Z363">
        <f>Tabela2[[#This Row],[no_steps]]</f>
        <v>11.581557765151516</v>
      </c>
      <c r="AB363">
        <f t="shared" si="6"/>
        <v>16068</v>
      </c>
      <c r="AC363">
        <f>Tabela2[[#This Row],[kan_time_difference]]/Tabela2[[#This Row],[no_steps]]</f>
        <v>874705.1936100407</v>
      </c>
      <c r="AE363">
        <v>16068</v>
      </c>
      <c r="AF363">
        <v>874705.1936100407</v>
      </c>
    </row>
    <row r="364" spans="1:32" hidden="1" x14ac:dyDescent="0.25">
      <c r="A364" t="s">
        <v>314</v>
      </c>
      <c r="B364">
        <v>3</v>
      </c>
      <c r="C364">
        <v>4</v>
      </c>
      <c r="D364">
        <v>0</v>
      </c>
      <c r="E364" t="s">
        <v>354</v>
      </c>
      <c r="F364">
        <v>8779</v>
      </c>
      <c r="G364">
        <v>18610038</v>
      </c>
      <c r="H364">
        <v>0.8424242518164895</v>
      </c>
      <c r="I364">
        <v>0.68080808080808075</v>
      </c>
      <c r="J364">
        <v>1160982.3636363635</v>
      </c>
      <c r="K364">
        <v>16429</v>
      </c>
      <c r="L364">
        <v>2</v>
      </c>
      <c r="M364">
        <v>86</v>
      </c>
      <c r="N364">
        <v>0.71717171717171713</v>
      </c>
      <c r="O364">
        <v>646478.18181818177</v>
      </c>
      <c r="P364">
        <v>16794</v>
      </c>
      <c r="Q364">
        <v>2</v>
      </c>
      <c r="R364">
        <v>87</v>
      </c>
      <c r="S364">
        <v>11.678000262892695</v>
      </c>
      <c r="T364">
        <v>0.88518519401550289</v>
      </c>
      <c r="W364">
        <f>Tabela2[[#This Row],[mlp_params]]</f>
        <v>16429</v>
      </c>
      <c r="X364">
        <f>Tabela2[[#This Row],[kan_test_acc]]</f>
        <v>0.8424242518164895</v>
      </c>
      <c r="Y364">
        <f>Tabela2[[#This Row],[kan_val_acc_1]]</f>
        <v>0.88518519401550289</v>
      </c>
      <c r="Z364">
        <f>Tabela2[[#This Row],[no_steps]]</f>
        <v>11.678000262892695</v>
      </c>
      <c r="AB364">
        <f t="shared" si="6"/>
        <v>16429</v>
      </c>
      <c r="AC364">
        <f>Tabela2[[#This Row],[kan_time_difference]]/Tabela2[[#This Row],[no_steps]]</f>
        <v>1593598.0117361469</v>
      </c>
      <c r="AE364">
        <v>16429</v>
      </c>
      <c r="AF364">
        <v>1593598.0117361469</v>
      </c>
    </row>
    <row r="365" spans="1:32" hidden="1" x14ac:dyDescent="0.25">
      <c r="A365" t="s">
        <v>314</v>
      </c>
      <c r="B365">
        <v>3</v>
      </c>
      <c r="C365">
        <v>5</v>
      </c>
      <c r="D365">
        <v>0</v>
      </c>
      <c r="E365" t="s">
        <v>338</v>
      </c>
      <c r="F365">
        <v>8418</v>
      </c>
      <c r="G365">
        <v>17942651.666666668</v>
      </c>
      <c r="H365">
        <v>0.80740741888682044</v>
      </c>
      <c r="I365">
        <v>0.68888888888888888</v>
      </c>
      <c r="J365">
        <v>1958927.6666666667</v>
      </c>
      <c r="K365">
        <v>16429</v>
      </c>
      <c r="L365">
        <v>2</v>
      </c>
      <c r="M365">
        <v>86</v>
      </c>
      <c r="N365">
        <v>0.72592592592592597</v>
      </c>
      <c r="O365">
        <v>2264143</v>
      </c>
      <c r="P365">
        <v>16794</v>
      </c>
      <c r="Q365">
        <v>2</v>
      </c>
      <c r="R365">
        <v>87</v>
      </c>
      <c r="S365">
        <v>11.678252578659963</v>
      </c>
      <c r="T365">
        <v>0.82222223281860352</v>
      </c>
      <c r="W365">
        <f>Tabela2[[#This Row],[mlp_params]]</f>
        <v>16429</v>
      </c>
      <c r="X365">
        <f>Tabela2[[#This Row],[kan_test_acc]]</f>
        <v>0.80740741888682044</v>
      </c>
      <c r="Y365">
        <f>Tabela2[[#This Row],[kan_val_acc_1]]</f>
        <v>0.82222223281860352</v>
      </c>
      <c r="Z365">
        <f>Tabela2[[#This Row],[no_steps]]</f>
        <v>11.678252578659963</v>
      </c>
      <c r="AB365">
        <f t="shared" si="6"/>
        <v>16429</v>
      </c>
      <c r="AC365">
        <f>Tabela2[[#This Row],[kan_time_difference]]/Tabela2[[#This Row],[no_steps]]</f>
        <v>1536415.7904457245</v>
      </c>
      <c r="AE365">
        <v>16429</v>
      </c>
      <c r="AF365">
        <v>1536415.7904457245</v>
      </c>
    </row>
    <row r="366" spans="1:32" hidden="1" x14ac:dyDescent="0.25">
      <c r="A366" t="s">
        <v>314</v>
      </c>
      <c r="B366">
        <v>5</v>
      </c>
      <c r="C366">
        <v>3</v>
      </c>
      <c r="D366">
        <v>0</v>
      </c>
      <c r="E366" t="s">
        <v>355</v>
      </c>
      <c r="F366">
        <v>10182</v>
      </c>
      <c r="G366">
        <v>15914732.5</v>
      </c>
      <c r="H366">
        <v>0.84814815719922387</v>
      </c>
      <c r="I366">
        <v>0.67037037037037039</v>
      </c>
      <c r="J366">
        <v>4020019.8333333335</v>
      </c>
      <c r="K366">
        <v>16429</v>
      </c>
      <c r="L366">
        <v>2</v>
      </c>
      <c r="M366">
        <v>86</v>
      </c>
      <c r="N366">
        <v>0.72962962962962963</v>
      </c>
      <c r="O366">
        <v>2600196.8333333335</v>
      </c>
      <c r="P366">
        <v>16794</v>
      </c>
      <c r="Q366">
        <v>2</v>
      </c>
      <c r="R366">
        <v>87</v>
      </c>
      <c r="S366">
        <v>11.678672465481569</v>
      </c>
      <c r="T366">
        <v>0.8888888955116272</v>
      </c>
      <c r="W366">
        <f>Tabela2[[#This Row],[mlp_params]]</f>
        <v>16429</v>
      </c>
      <c r="X366">
        <f>Tabela2[[#This Row],[kan_test_acc]]</f>
        <v>0.84814815719922387</v>
      </c>
      <c r="Y366">
        <f>Tabela2[[#This Row],[kan_val_acc_1]]</f>
        <v>0.8888888955116272</v>
      </c>
      <c r="Z366">
        <f>Tabela2[[#This Row],[no_steps]]</f>
        <v>11.678672465481569</v>
      </c>
      <c r="AB366">
        <f t="shared" si="6"/>
        <v>16429</v>
      </c>
      <c r="AC366">
        <f>Tabela2[[#This Row],[kan_time_difference]]/Tabela2[[#This Row],[no_steps]]</f>
        <v>1362717.5988571367</v>
      </c>
      <c r="AE366">
        <v>16429</v>
      </c>
      <c r="AF366">
        <v>1362717.5988571367</v>
      </c>
    </row>
    <row r="367" spans="1:32" hidden="1" x14ac:dyDescent="0.25">
      <c r="A367" t="s">
        <v>314</v>
      </c>
      <c r="B367">
        <v>5</v>
      </c>
      <c r="C367">
        <v>4</v>
      </c>
      <c r="D367">
        <v>0</v>
      </c>
      <c r="E367" t="s">
        <v>346</v>
      </c>
      <c r="F367">
        <v>9611</v>
      </c>
      <c r="G367">
        <v>23774507.166666668</v>
      </c>
      <c r="H367">
        <v>0.74814816315968835</v>
      </c>
      <c r="I367">
        <v>0.68888888888888888</v>
      </c>
      <c r="J367">
        <v>3971622.1666666665</v>
      </c>
      <c r="K367">
        <v>16429</v>
      </c>
      <c r="L367">
        <v>2</v>
      </c>
      <c r="M367">
        <v>86</v>
      </c>
      <c r="N367">
        <v>0.6518518518518519</v>
      </c>
      <c r="O367">
        <v>2148350</v>
      </c>
      <c r="P367">
        <v>16794</v>
      </c>
      <c r="Q367">
        <v>2</v>
      </c>
      <c r="R367">
        <v>87</v>
      </c>
      <c r="S367">
        <v>11.673613431339794</v>
      </c>
      <c r="T367">
        <v>0.88148148059844966</v>
      </c>
      <c r="W367">
        <f>Tabela2[[#This Row],[mlp_params]]</f>
        <v>16429</v>
      </c>
      <c r="X367">
        <f>Tabela2[[#This Row],[kan_test_acc]]</f>
        <v>0.74814816315968835</v>
      </c>
      <c r="Y367">
        <f>Tabela2[[#This Row],[kan_val_acc_1]]</f>
        <v>0.88148148059844966</v>
      </c>
      <c r="Z367">
        <f>Tabela2[[#This Row],[no_steps]]</f>
        <v>11.673613431339794</v>
      </c>
      <c r="AB367">
        <f t="shared" si="6"/>
        <v>16429</v>
      </c>
      <c r="AC367">
        <f>Tabela2[[#This Row],[kan_time_difference]]/Tabela2[[#This Row],[no_steps]]</f>
        <v>2036602.2317340039</v>
      </c>
      <c r="AE367">
        <v>16429</v>
      </c>
      <c r="AF367">
        <v>2036602.2317340039</v>
      </c>
    </row>
    <row r="368" spans="1:32" hidden="1" x14ac:dyDescent="0.25">
      <c r="A368" t="s">
        <v>314</v>
      </c>
      <c r="B368">
        <v>9</v>
      </c>
      <c r="C368">
        <v>2</v>
      </c>
      <c r="D368">
        <v>0</v>
      </c>
      <c r="E368" t="s">
        <v>354</v>
      </c>
      <c r="F368">
        <v>12271</v>
      </c>
      <c r="G368">
        <v>12973469.454545455</v>
      </c>
      <c r="H368">
        <v>0.87474748221310705</v>
      </c>
      <c r="I368">
        <v>0.67272727272727273</v>
      </c>
      <c r="J368">
        <v>4790501.6363636367</v>
      </c>
      <c r="K368">
        <v>16429</v>
      </c>
      <c r="L368">
        <v>2</v>
      </c>
      <c r="M368">
        <v>86</v>
      </c>
      <c r="N368">
        <v>0.71717171717171713</v>
      </c>
      <c r="O368">
        <v>3347662.3636363638</v>
      </c>
      <c r="P368">
        <v>16794</v>
      </c>
      <c r="Q368">
        <v>2</v>
      </c>
      <c r="R368">
        <v>87</v>
      </c>
      <c r="S368">
        <v>11.639683704247167</v>
      </c>
      <c r="T368">
        <v>0.75555555820465092</v>
      </c>
      <c r="W368">
        <f>Tabela2[[#This Row],[mlp_params]]</f>
        <v>16429</v>
      </c>
      <c r="X368">
        <f>Tabela2[[#This Row],[kan_test_acc]]</f>
        <v>0.87474748221310705</v>
      </c>
      <c r="Y368">
        <f>Tabela2[[#This Row],[kan_val_acc_1]]</f>
        <v>0.75555555820465092</v>
      </c>
      <c r="Z368">
        <f>Tabela2[[#This Row],[no_steps]]</f>
        <v>11.639683704247167</v>
      </c>
      <c r="AB368">
        <f t="shared" si="6"/>
        <v>16429</v>
      </c>
      <c r="AC368">
        <f>Tabela2[[#This Row],[kan_time_difference]]/Tabela2[[#This Row],[no_steps]]</f>
        <v>1114589.5184257978</v>
      </c>
      <c r="AE368">
        <v>16429</v>
      </c>
      <c r="AF368">
        <v>1114589.5184257978</v>
      </c>
    </row>
    <row r="369" spans="1:32" hidden="1" x14ac:dyDescent="0.25">
      <c r="A369" t="s">
        <v>314</v>
      </c>
      <c r="B369">
        <v>9</v>
      </c>
      <c r="C369">
        <v>3</v>
      </c>
      <c r="D369">
        <v>0</v>
      </c>
      <c r="E369" t="s">
        <v>338</v>
      </c>
      <c r="F369">
        <v>11462</v>
      </c>
      <c r="G369">
        <v>14083767.333333334</v>
      </c>
      <c r="H369">
        <v>0.57037038604418433</v>
      </c>
      <c r="I369">
        <v>0.7407407407407407</v>
      </c>
      <c r="J369">
        <v>4578763.333333333</v>
      </c>
      <c r="K369">
        <v>16429</v>
      </c>
      <c r="L369">
        <v>2</v>
      </c>
      <c r="M369">
        <v>86</v>
      </c>
      <c r="N369">
        <v>0.65555555555555556</v>
      </c>
      <c r="O369">
        <v>2282188.5</v>
      </c>
      <c r="P369">
        <v>16794</v>
      </c>
      <c r="Q369">
        <v>2</v>
      </c>
      <c r="R369">
        <v>87</v>
      </c>
      <c r="S369">
        <v>11.627879765987492</v>
      </c>
      <c r="T369">
        <v>0.80000001192092896</v>
      </c>
      <c r="W369">
        <f>Tabela2[[#This Row],[mlp_params]]</f>
        <v>16429</v>
      </c>
      <c r="X369">
        <f>Tabela2[[#This Row],[kan_test_acc]]</f>
        <v>0.57037038604418433</v>
      </c>
      <c r="Y369">
        <f>Tabela2[[#This Row],[kan_val_acc_1]]</f>
        <v>0.80000001192092896</v>
      </c>
      <c r="Z369">
        <f>Tabela2[[#This Row],[no_steps]]</f>
        <v>11.627879765987492</v>
      </c>
      <c r="AB369">
        <f t="shared" si="6"/>
        <v>16429</v>
      </c>
      <c r="AC369">
        <f>Tabela2[[#This Row],[kan_time_difference]]/Tabela2[[#This Row],[no_steps]]</f>
        <v>1211206.8250421297</v>
      </c>
      <c r="AE369">
        <v>16429</v>
      </c>
      <c r="AF369">
        <v>1211206.8250421297</v>
      </c>
    </row>
    <row r="370" spans="1:32" x14ac:dyDescent="0.25">
      <c r="A370" t="s">
        <v>314</v>
      </c>
      <c r="B370">
        <v>9</v>
      </c>
      <c r="C370">
        <v>4</v>
      </c>
      <c r="D370">
        <v>0</v>
      </c>
      <c r="E370" t="s">
        <v>343</v>
      </c>
      <c r="F370">
        <v>10681</v>
      </c>
      <c r="G370">
        <v>9577068.5</v>
      </c>
      <c r="H370">
        <v>0.62962964177131653</v>
      </c>
      <c r="I370">
        <v>0.79259259259259252</v>
      </c>
      <c r="J370">
        <v>1121536.5</v>
      </c>
      <c r="K370">
        <v>16429</v>
      </c>
      <c r="L370">
        <v>2</v>
      </c>
      <c r="M370">
        <v>86</v>
      </c>
      <c r="N370">
        <v>0.67777777777777781</v>
      </c>
      <c r="O370">
        <v>1052095.5</v>
      </c>
      <c r="P370">
        <v>16794</v>
      </c>
      <c r="Q370">
        <v>2</v>
      </c>
      <c r="R370">
        <v>87</v>
      </c>
      <c r="S370">
        <v>11.603380236776019</v>
      </c>
      <c r="T370">
        <v>0.785185182094574</v>
      </c>
      <c r="W370">
        <f>Tabela2[[#This Row],[mlp_params]]</f>
        <v>16429</v>
      </c>
      <c r="X370">
        <f>Tabela2[[#This Row],[kan_test_acc]]</f>
        <v>0.62962964177131653</v>
      </c>
      <c r="Y370">
        <f>Tabela2[[#This Row],[kan_val_acc_1]]</f>
        <v>0.785185182094574</v>
      </c>
      <c r="Z370">
        <f>Tabela2[[#This Row],[no_steps]]</f>
        <v>11.603380236776019</v>
      </c>
      <c r="AB370">
        <f t="shared" si="6"/>
        <v>16429</v>
      </c>
      <c r="AC370">
        <f>Tabela2[[#This Row],[kan_time_difference]]/Tabela2[[#This Row],[no_steps]]</f>
        <v>825368.84119734529</v>
      </c>
      <c r="AE370">
        <v>16429</v>
      </c>
      <c r="AF370">
        <v>825368.84119734529</v>
      </c>
    </row>
    <row r="371" spans="1:32" hidden="1" x14ac:dyDescent="0.25">
      <c r="A371" t="s">
        <v>314</v>
      </c>
      <c r="B371">
        <v>3</v>
      </c>
      <c r="C371">
        <v>5</v>
      </c>
      <c r="D371">
        <v>0</v>
      </c>
      <c r="E371" t="s">
        <v>352</v>
      </c>
      <c r="F371">
        <v>8592</v>
      </c>
      <c r="G371">
        <v>17425041.454545453</v>
      </c>
      <c r="H371">
        <v>0.79191920161247253</v>
      </c>
      <c r="I371">
        <v>0.6707070707070707</v>
      </c>
      <c r="J371">
        <v>2418568.4545454546</v>
      </c>
      <c r="K371">
        <v>16794</v>
      </c>
      <c r="L371">
        <v>2</v>
      </c>
      <c r="M371">
        <v>87</v>
      </c>
      <c r="N371">
        <v>0.71313131313131317</v>
      </c>
      <c r="O371">
        <v>1492998.1818181819</v>
      </c>
      <c r="P371">
        <v>17163</v>
      </c>
      <c r="Q371">
        <v>2</v>
      </c>
      <c r="R371">
        <v>88</v>
      </c>
      <c r="S371">
        <v>11.678275936755469</v>
      </c>
      <c r="T371">
        <v>0.81851851940155029</v>
      </c>
      <c r="W371">
        <f>Tabela2[[#This Row],[mlp_params]]</f>
        <v>16794</v>
      </c>
      <c r="X371">
        <f>Tabela2[[#This Row],[kan_test_acc]]</f>
        <v>0.79191920161247253</v>
      </c>
      <c r="Y371">
        <f>Tabela2[[#This Row],[kan_val_acc_1]]</f>
        <v>0.81851851940155029</v>
      </c>
      <c r="Z371">
        <f>Tabela2[[#This Row],[no_steps]]</f>
        <v>11.678275936755469</v>
      </c>
      <c r="AB371">
        <f t="shared" si="6"/>
        <v>16794</v>
      </c>
      <c r="AC371">
        <f>Tabela2[[#This Row],[kan_time_difference]]/Tabela2[[#This Row],[no_steps]]</f>
        <v>1492090.2322322233</v>
      </c>
      <c r="AE371">
        <v>16794</v>
      </c>
      <c r="AF371">
        <v>1492090.2322322233</v>
      </c>
    </row>
    <row r="372" spans="1:32" hidden="1" x14ac:dyDescent="0.25">
      <c r="A372" t="s">
        <v>314</v>
      </c>
      <c r="B372">
        <v>5</v>
      </c>
      <c r="C372">
        <v>5</v>
      </c>
      <c r="D372">
        <v>0</v>
      </c>
      <c r="E372" t="s">
        <v>344</v>
      </c>
      <c r="F372">
        <v>9260</v>
      </c>
      <c r="G372">
        <v>19462044.0625</v>
      </c>
      <c r="H372">
        <v>0.70694445632398129</v>
      </c>
      <c r="I372">
        <v>0.6875</v>
      </c>
      <c r="J372">
        <v>5273429.5625</v>
      </c>
      <c r="K372">
        <v>16794</v>
      </c>
      <c r="L372">
        <v>2</v>
      </c>
      <c r="M372">
        <v>87</v>
      </c>
      <c r="N372">
        <v>0.65833333333333333</v>
      </c>
      <c r="O372">
        <v>4066367.5</v>
      </c>
      <c r="P372">
        <v>17163</v>
      </c>
      <c r="Q372">
        <v>2</v>
      </c>
      <c r="R372">
        <v>88</v>
      </c>
      <c r="S372">
        <v>11.660523923642675</v>
      </c>
      <c r="T372">
        <v>0.80246913830439248</v>
      </c>
      <c r="W372">
        <f>Tabela2[[#This Row],[mlp_params]]</f>
        <v>16794</v>
      </c>
      <c r="X372">
        <f>Tabela2[[#This Row],[kan_test_acc]]</f>
        <v>0.70694445632398129</v>
      </c>
      <c r="Y372">
        <f>Tabela2[[#This Row],[kan_val_acc_1]]</f>
        <v>0.80246913830439248</v>
      </c>
      <c r="Z372">
        <f>Tabela2[[#This Row],[no_steps]]</f>
        <v>11.660523923642675</v>
      </c>
      <c r="AB372">
        <f t="shared" si="6"/>
        <v>16794</v>
      </c>
      <c r="AC372">
        <f>Tabela2[[#This Row],[kan_time_difference]]/Tabela2[[#This Row],[no_steps]]</f>
        <v>1669053.9970540346</v>
      </c>
      <c r="AE372">
        <v>16794</v>
      </c>
      <c r="AF372">
        <v>1669053.9970540346</v>
      </c>
    </row>
    <row r="373" spans="1:32" hidden="1" x14ac:dyDescent="0.25">
      <c r="A373" t="s">
        <v>314</v>
      </c>
      <c r="B373">
        <v>9</v>
      </c>
      <c r="C373">
        <v>3</v>
      </c>
      <c r="D373">
        <v>0</v>
      </c>
      <c r="E373" t="s">
        <v>352</v>
      </c>
      <c r="F373">
        <v>11700</v>
      </c>
      <c r="G373">
        <v>14670104.272727273</v>
      </c>
      <c r="H373">
        <v>0.71111112562092871</v>
      </c>
      <c r="I373">
        <v>0.68484848484848482</v>
      </c>
      <c r="J373">
        <v>4330785.3636363633</v>
      </c>
      <c r="K373">
        <v>16794</v>
      </c>
      <c r="L373">
        <v>2</v>
      </c>
      <c r="M373">
        <v>87</v>
      </c>
      <c r="N373">
        <v>0.69898989898989905</v>
      </c>
      <c r="O373">
        <v>2511931.0909090908</v>
      </c>
      <c r="P373">
        <v>17163</v>
      </c>
      <c r="Q373">
        <v>2</v>
      </c>
      <c r="R373">
        <v>88</v>
      </c>
      <c r="S373">
        <v>11.627802871430877</v>
      </c>
      <c r="T373">
        <v>0.82962964177131648</v>
      </c>
      <c r="W373">
        <f>Tabela2[[#This Row],[mlp_params]]</f>
        <v>16794</v>
      </c>
      <c r="X373">
        <f>Tabela2[[#This Row],[kan_test_acc]]</f>
        <v>0.71111112562092871</v>
      </c>
      <c r="Y373">
        <f>Tabela2[[#This Row],[kan_val_acc_1]]</f>
        <v>0.82962964177131648</v>
      </c>
      <c r="Z373">
        <f>Tabela2[[#This Row],[no_steps]]</f>
        <v>11.627802871430877</v>
      </c>
      <c r="AB373">
        <f t="shared" si="6"/>
        <v>16794</v>
      </c>
      <c r="AC373">
        <f>Tabela2[[#This Row],[kan_time_difference]]/Tabela2[[#This Row],[no_steps]]</f>
        <v>1261640.2629916638</v>
      </c>
      <c r="AE373">
        <v>16794</v>
      </c>
      <c r="AF373">
        <v>1261640.2629916638</v>
      </c>
    </row>
    <row r="374" spans="1:32" x14ac:dyDescent="0.25">
      <c r="A374" t="s">
        <v>314</v>
      </c>
      <c r="B374">
        <v>9</v>
      </c>
      <c r="C374">
        <v>4</v>
      </c>
      <c r="D374">
        <v>0</v>
      </c>
      <c r="E374" t="s">
        <v>331</v>
      </c>
      <c r="F374">
        <v>10941</v>
      </c>
      <c r="G374">
        <v>7321498</v>
      </c>
      <c r="H374">
        <v>0.55555557211240136</v>
      </c>
      <c r="I374">
        <v>0.75925925925925919</v>
      </c>
      <c r="J374">
        <v>1025693.5</v>
      </c>
      <c r="K374">
        <v>16794</v>
      </c>
      <c r="L374">
        <v>2</v>
      </c>
      <c r="M374">
        <v>87</v>
      </c>
      <c r="N374">
        <v>0.72222222222222221</v>
      </c>
      <c r="O374">
        <v>1144025</v>
      </c>
      <c r="P374">
        <v>17163</v>
      </c>
      <c r="Q374">
        <v>2</v>
      </c>
      <c r="R374">
        <v>88</v>
      </c>
      <c r="S374">
        <v>11.602279520184911</v>
      </c>
      <c r="T374">
        <v>0.77037037611007686</v>
      </c>
      <c r="W374">
        <f>Tabela2[[#This Row],[mlp_params]]</f>
        <v>16794</v>
      </c>
      <c r="X374">
        <f>Tabela2[[#This Row],[kan_test_acc]]</f>
        <v>0.55555557211240136</v>
      </c>
      <c r="Y374">
        <f>Tabela2[[#This Row],[kan_val_acc_1]]</f>
        <v>0.77037037611007686</v>
      </c>
      <c r="Z374">
        <f>Tabela2[[#This Row],[no_steps]]</f>
        <v>11.602279520184911</v>
      </c>
      <c r="AB374">
        <f t="shared" si="6"/>
        <v>16794</v>
      </c>
      <c r="AC374">
        <f>Tabela2[[#This Row],[kan_time_difference]]/Tabela2[[#This Row],[no_steps]]</f>
        <v>631039.61486727861</v>
      </c>
      <c r="AE374">
        <v>16794</v>
      </c>
      <c r="AF374">
        <v>631039.61486727861</v>
      </c>
    </row>
    <row r="375" spans="1:32" hidden="1" x14ac:dyDescent="0.25">
      <c r="A375" t="s">
        <v>314</v>
      </c>
      <c r="B375">
        <v>9</v>
      </c>
      <c r="C375">
        <v>5</v>
      </c>
      <c r="D375">
        <v>0</v>
      </c>
      <c r="E375" t="s">
        <v>323</v>
      </c>
      <c r="F375">
        <v>10260</v>
      </c>
      <c r="G375">
        <v>10745397.0625</v>
      </c>
      <c r="H375">
        <v>0.55000001564621925</v>
      </c>
      <c r="I375">
        <v>0.75555555555555554</v>
      </c>
      <c r="J375">
        <v>962691.75</v>
      </c>
      <c r="K375">
        <v>16794</v>
      </c>
      <c r="L375">
        <v>2</v>
      </c>
      <c r="M375">
        <v>87</v>
      </c>
      <c r="N375">
        <v>0.69027777777777777</v>
      </c>
      <c r="O375">
        <v>926790.0625</v>
      </c>
      <c r="P375">
        <v>17163</v>
      </c>
      <c r="Q375">
        <v>2</v>
      </c>
      <c r="R375">
        <v>88</v>
      </c>
      <c r="S375">
        <v>11.580007886435331</v>
      </c>
      <c r="T375">
        <v>0.75061728159586594</v>
      </c>
      <c r="W375">
        <f>Tabela2[[#This Row],[mlp_params]]</f>
        <v>16794</v>
      </c>
      <c r="X375">
        <f>Tabela2[[#This Row],[kan_test_acc]]</f>
        <v>0.55000001564621925</v>
      </c>
      <c r="Y375">
        <f>Tabela2[[#This Row],[kan_val_acc_1]]</f>
        <v>0.75061728159586594</v>
      </c>
      <c r="Z375">
        <f>Tabela2[[#This Row],[no_steps]]</f>
        <v>11.580007886435331</v>
      </c>
      <c r="AB375">
        <f t="shared" si="6"/>
        <v>16794</v>
      </c>
      <c r="AC375">
        <f>Tabela2[[#This Row],[kan_time_difference]]/Tabela2[[#This Row],[no_steps]]</f>
        <v>927926.57551529107</v>
      </c>
      <c r="AE375">
        <v>16794</v>
      </c>
      <c r="AF375">
        <v>927926.57551529107</v>
      </c>
    </row>
    <row r="376" spans="1:32" hidden="1" x14ac:dyDescent="0.25">
      <c r="A376" t="s">
        <v>314</v>
      </c>
      <c r="B376">
        <v>5</v>
      </c>
      <c r="C376">
        <v>4</v>
      </c>
      <c r="D376">
        <v>0</v>
      </c>
      <c r="E376" t="s">
        <v>353</v>
      </c>
      <c r="F376">
        <v>9947</v>
      </c>
      <c r="G376">
        <v>18053177</v>
      </c>
      <c r="H376">
        <v>0.77777779102325439</v>
      </c>
      <c r="I376">
        <v>0.67407407407407405</v>
      </c>
      <c r="J376">
        <v>4753548.166666667</v>
      </c>
      <c r="K376">
        <v>17163</v>
      </c>
      <c r="L376">
        <v>2</v>
      </c>
      <c r="M376">
        <v>88</v>
      </c>
      <c r="N376">
        <v>0.67777777777777781</v>
      </c>
      <c r="O376">
        <v>3233829.1666666665</v>
      </c>
      <c r="P376">
        <v>17536</v>
      </c>
      <c r="Q376">
        <v>2</v>
      </c>
      <c r="R376">
        <v>89</v>
      </c>
      <c r="S376">
        <v>11.674029227557412</v>
      </c>
      <c r="T376">
        <v>0.80740741491317747</v>
      </c>
      <c r="W376">
        <f>Tabela2[[#This Row],[mlp_params]]</f>
        <v>17163</v>
      </c>
      <c r="X376">
        <f>Tabela2[[#This Row],[kan_test_acc]]</f>
        <v>0.77777779102325439</v>
      </c>
      <c r="Y376">
        <f>Tabela2[[#This Row],[kan_val_acc_1]]</f>
        <v>0.80740741491317747</v>
      </c>
      <c r="Z376">
        <f>Tabela2[[#This Row],[no_steps]]</f>
        <v>11.674029227557412</v>
      </c>
      <c r="AB376">
        <f t="shared" si="6"/>
        <v>17163</v>
      </c>
      <c r="AC376">
        <f>Tabela2[[#This Row],[kan_time_difference]]/Tabela2[[#This Row],[no_steps]]</f>
        <v>1546439.2497308587</v>
      </c>
      <c r="AE376">
        <v>17163</v>
      </c>
      <c r="AF376">
        <v>1546439.2497308587</v>
      </c>
    </row>
    <row r="377" spans="1:32" hidden="1" x14ac:dyDescent="0.25">
      <c r="A377" t="s">
        <v>314</v>
      </c>
      <c r="B377">
        <v>5</v>
      </c>
      <c r="C377">
        <v>5</v>
      </c>
      <c r="D377">
        <v>0</v>
      </c>
      <c r="E377" t="s">
        <v>337</v>
      </c>
      <c r="F377">
        <v>9418</v>
      </c>
      <c r="G377">
        <v>19031976.166666668</v>
      </c>
      <c r="H377">
        <v>0.67777779698371887</v>
      </c>
      <c r="I377">
        <v>0.67037037037037039</v>
      </c>
      <c r="J377">
        <v>5060313.666666667</v>
      </c>
      <c r="K377">
        <v>17163</v>
      </c>
      <c r="L377">
        <v>2</v>
      </c>
      <c r="M377">
        <v>88</v>
      </c>
      <c r="N377">
        <v>0.64444444444444449</v>
      </c>
      <c r="O377">
        <v>4736472.666666667</v>
      </c>
      <c r="P377">
        <v>17536</v>
      </c>
      <c r="Q377">
        <v>2</v>
      </c>
      <c r="R377">
        <v>89</v>
      </c>
      <c r="S377">
        <v>11.660731989424983</v>
      </c>
      <c r="T377">
        <v>0.71111110448837278</v>
      </c>
      <c r="W377">
        <f>Tabela2[[#This Row],[mlp_params]]</f>
        <v>17163</v>
      </c>
      <c r="X377">
        <f>Tabela2[[#This Row],[kan_test_acc]]</f>
        <v>0.67777779698371887</v>
      </c>
      <c r="Y377">
        <f>Tabela2[[#This Row],[kan_val_acc_1]]</f>
        <v>0.71111110448837278</v>
      </c>
      <c r="Z377">
        <f>Tabela2[[#This Row],[no_steps]]</f>
        <v>11.660731989424983</v>
      </c>
      <c r="AB377">
        <f t="shared" si="6"/>
        <v>17163</v>
      </c>
      <c r="AC377">
        <f>Tabela2[[#This Row],[kan_time_difference]]/Tabela2[[#This Row],[no_steps]]</f>
        <v>1632142.4919058771</v>
      </c>
      <c r="AE377">
        <v>17163</v>
      </c>
      <c r="AF377">
        <v>1632142.4919058771</v>
      </c>
    </row>
    <row r="378" spans="1:32" hidden="1" x14ac:dyDescent="0.25">
      <c r="A378" t="s">
        <v>314</v>
      </c>
      <c r="B378">
        <v>9</v>
      </c>
      <c r="C378">
        <v>5</v>
      </c>
      <c r="D378">
        <v>0</v>
      </c>
      <c r="E378" t="s">
        <v>342</v>
      </c>
      <c r="F378">
        <v>10596</v>
      </c>
      <c r="G378">
        <v>13088630.75</v>
      </c>
      <c r="H378">
        <v>0.57083334866911173</v>
      </c>
      <c r="I378">
        <v>0.76388888888888884</v>
      </c>
      <c r="J378">
        <v>739872.75</v>
      </c>
      <c r="K378">
        <v>17163</v>
      </c>
      <c r="L378">
        <v>2</v>
      </c>
      <c r="M378">
        <v>88</v>
      </c>
      <c r="N378">
        <v>0.71527777777777779</v>
      </c>
      <c r="O378">
        <v>724612.5</v>
      </c>
      <c r="P378">
        <v>17536</v>
      </c>
      <c r="Q378">
        <v>2</v>
      </c>
      <c r="R378">
        <v>89</v>
      </c>
      <c r="S378">
        <v>11.579287515762926</v>
      </c>
      <c r="T378">
        <v>0.75555556217829389</v>
      </c>
      <c r="W378">
        <f>Tabela2[[#This Row],[mlp_params]]</f>
        <v>17163</v>
      </c>
      <c r="X378">
        <f>Tabela2[[#This Row],[kan_test_acc]]</f>
        <v>0.57083334866911173</v>
      </c>
      <c r="Y378">
        <f>Tabela2[[#This Row],[kan_val_acc_1]]</f>
        <v>0.75555556217829389</v>
      </c>
      <c r="Z378">
        <f>Tabela2[[#This Row],[no_steps]]</f>
        <v>11.579287515762926</v>
      </c>
      <c r="AB378">
        <f t="shared" si="6"/>
        <v>17163</v>
      </c>
      <c r="AC378">
        <f>Tabela2[[#This Row],[kan_time_difference]]/Tabela2[[#This Row],[no_steps]]</f>
        <v>1130348.5410637225</v>
      </c>
      <c r="AE378">
        <v>17163</v>
      </c>
      <c r="AF378">
        <v>1130348.5410637225</v>
      </c>
    </row>
    <row r="379" spans="1:32" hidden="1" x14ac:dyDescent="0.25">
      <c r="A379" t="s">
        <v>314</v>
      </c>
      <c r="B379">
        <v>3</v>
      </c>
      <c r="C379">
        <v>4</v>
      </c>
      <c r="D379">
        <v>0</v>
      </c>
      <c r="E379" t="s">
        <v>355</v>
      </c>
      <c r="F379">
        <v>9261</v>
      </c>
      <c r="G379">
        <v>18638163.5</v>
      </c>
      <c r="H379">
        <v>0.89259259899457299</v>
      </c>
      <c r="I379">
        <v>0.66296296296296298</v>
      </c>
      <c r="J379">
        <v>960405.66666666663</v>
      </c>
      <c r="K379">
        <v>17536</v>
      </c>
      <c r="L379">
        <v>2</v>
      </c>
      <c r="M379">
        <v>89</v>
      </c>
      <c r="N379">
        <v>0.67037037037037039</v>
      </c>
      <c r="O379">
        <v>629524.5</v>
      </c>
      <c r="P379">
        <v>17913</v>
      </c>
      <c r="Q379">
        <v>2</v>
      </c>
      <c r="R379">
        <v>90</v>
      </c>
      <c r="S379">
        <v>11.678698147093609</v>
      </c>
      <c r="T379">
        <v>0.8888888955116272</v>
      </c>
      <c r="W379">
        <f>Tabela2[[#This Row],[mlp_params]]</f>
        <v>17536</v>
      </c>
      <c r="X379">
        <f>Tabela2[[#This Row],[kan_test_acc]]</f>
        <v>0.89259259899457299</v>
      </c>
      <c r="Y379">
        <f>Tabela2[[#This Row],[kan_val_acc_1]]</f>
        <v>0.8888888955116272</v>
      </c>
      <c r="Z379">
        <f>Tabela2[[#This Row],[no_steps]]</f>
        <v>11.678698147093609</v>
      </c>
      <c r="AB379">
        <f t="shared" si="6"/>
        <v>17536</v>
      </c>
      <c r="AC379">
        <f>Tabela2[[#This Row],[kan_time_difference]]/Tabela2[[#This Row],[no_steps]]</f>
        <v>1595911.0566307718</v>
      </c>
      <c r="AE379">
        <v>17536</v>
      </c>
      <c r="AF379">
        <v>1595911.0566307718</v>
      </c>
    </row>
    <row r="380" spans="1:32" hidden="1" x14ac:dyDescent="0.25">
      <c r="A380" t="s">
        <v>314</v>
      </c>
      <c r="B380">
        <v>3</v>
      </c>
      <c r="C380">
        <v>5</v>
      </c>
      <c r="D380">
        <v>0</v>
      </c>
      <c r="E380" t="s">
        <v>346</v>
      </c>
      <c r="F380">
        <v>8814</v>
      </c>
      <c r="G380">
        <v>14656455.5</v>
      </c>
      <c r="H380">
        <v>0.72962964574495948</v>
      </c>
      <c r="I380">
        <v>0.64074074074074072</v>
      </c>
      <c r="J380">
        <v>1734148.5</v>
      </c>
      <c r="K380">
        <v>17536</v>
      </c>
      <c r="L380">
        <v>2</v>
      </c>
      <c r="M380">
        <v>89</v>
      </c>
      <c r="N380">
        <v>0.68518518518518523</v>
      </c>
      <c r="O380">
        <v>1435952.5</v>
      </c>
      <c r="P380">
        <v>17913</v>
      </c>
      <c r="Q380">
        <v>2</v>
      </c>
      <c r="R380">
        <v>90</v>
      </c>
      <c r="S380">
        <v>11.677709930275865</v>
      </c>
      <c r="T380">
        <v>0.77037035226821904</v>
      </c>
      <c r="W380">
        <f>Tabela2[[#This Row],[mlp_params]]</f>
        <v>17536</v>
      </c>
      <c r="X380">
        <f>Tabela2[[#This Row],[kan_test_acc]]</f>
        <v>0.72962964574495948</v>
      </c>
      <c r="Y380">
        <f>Tabela2[[#This Row],[kan_val_acc_1]]</f>
        <v>0.77037035226821904</v>
      </c>
      <c r="Z380">
        <f>Tabela2[[#This Row],[no_steps]]</f>
        <v>11.677709930275865</v>
      </c>
      <c r="AB380">
        <f t="shared" si="6"/>
        <v>17536</v>
      </c>
      <c r="AC380">
        <f>Tabela2[[#This Row],[kan_time_difference]]/Tabela2[[#This Row],[no_steps]]</f>
        <v>1255079.5992972371</v>
      </c>
      <c r="AE380">
        <v>17536</v>
      </c>
      <c r="AF380">
        <v>1255079.5992972371</v>
      </c>
    </row>
    <row r="381" spans="1:32" hidden="1" x14ac:dyDescent="0.25">
      <c r="A381" t="s">
        <v>314</v>
      </c>
      <c r="B381">
        <v>5</v>
      </c>
      <c r="C381">
        <v>4</v>
      </c>
      <c r="D381">
        <v>0</v>
      </c>
      <c r="E381" t="s">
        <v>347</v>
      </c>
      <c r="F381">
        <v>10141</v>
      </c>
      <c r="G381">
        <v>15306700.166666666</v>
      </c>
      <c r="H381">
        <v>0.77037038405736291</v>
      </c>
      <c r="I381">
        <v>0.6962962962962963</v>
      </c>
      <c r="J381">
        <v>5274274.5</v>
      </c>
      <c r="K381">
        <v>17536</v>
      </c>
      <c r="L381">
        <v>2</v>
      </c>
      <c r="M381">
        <v>89</v>
      </c>
      <c r="N381">
        <v>0.67777777777777781</v>
      </c>
      <c r="O381">
        <v>3592872.1666666665</v>
      </c>
      <c r="P381">
        <v>17913</v>
      </c>
      <c r="Q381">
        <v>2</v>
      </c>
      <c r="R381">
        <v>90</v>
      </c>
      <c r="S381">
        <v>11.673860410753047</v>
      </c>
      <c r="T381">
        <v>0.81481481790542598</v>
      </c>
      <c r="W381">
        <f>Tabela2[[#This Row],[mlp_params]]</f>
        <v>17536</v>
      </c>
      <c r="X381">
        <f>Tabela2[[#This Row],[kan_test_acc]]</f>
        <v>0.77037038405736291</v>
      </c>
      <c r="Y381">
        <f>Tabela2[[#This Row],[kan_val_acc_1]]</f>
        <v>0.81481481790542598</v>
      </c>
      <c r="Z381">
        <f>Tabela2[[#This Row],[no_steps]]</f>
        <v>11.673860410753047</v>
      </c>
      <c r="AB381">
        <f t="shared" si="6"/>
        <v>17536</v>
      </c>
      <c r="AC381">
        <f>Tabela2[[#This Row],[kan_time_difference]]/Tabela2[[#This Row],[no_steps]]</f>
        <v>1311194.3802726415</v>
      </c>
      <c r="AE381">
        <v>17536</v>
      </c>
      <c r="AF381">
        <v>1311194.3802726415</v>
      </c>
    </row>
    <row r="382" spans="1:32" hidden="1" x14ac:dyDescent="0.25">
      <c r="A382" t="s">
        <v>314</v>
      </c>
      <c r="B382">
        <v>5</v>
      </c>
      <c r="C382">
        <v>5</v>
      </c>
      <c r="D382">
        <v>0</v>
      </c>
      <c r="E382" t="s">
        <v>351</v>
      </c>
      <c r="F382">
        <v>9520</v>
      </c>
      <c r="G382">
        <v>17709007</v>
      </c>
      <c r="H382">
        <v>0.65555557111899054</v>
      </c>
      <c r="I382">
        <v>0.6518518518518519</v>
      </c>
      <c r="J382">
        <v>5326771</v>
      </c>
      <c r="K382">
        <v>17536</v>
      </c>
      <c r="L382">
        <v>2</v>
      </c>
      <c r="M382">
        <v>89</v>
      </c>
      <c r="N382">
        <v>0.67037037037037039</v>
      </c>
      <c r="O382">
        <v>2761864.1666666665</v>
      </c>
      <c r="P382">
        <v>17913</v>
      </c>
      <c r="Q382">
        <v>2</v>
      </c>
      <c r="R382">
        <v>90</v>
      </c>
      <c r="S382">
        <v>11.660733459981829</v>
      </c>
      <c r="T382">
        <v>0.87407406568527224</v>
      </c>
      <c r="W382">
        <f>Tabela2[[#This Row],[mlp_params]]</f>
        <v>17536</v>
      </c>
      <c r="X382">
        <f>Tabela2[[#This Row],[kan_test_acc]]</f>
        <v>0.65555557111899054</v>
      </c>
      <c r="Y382">
        <f>Tabela2[[#This Row],[kan_val_acc_1]]</f>
        <v>0.87407406568527224</v>
      </c>
      <c r="Z382">
        <f>Tabela2[[#This Row],[no_steps]]</f>
        <v>11.660733459981829</v>
      </c>
      <c r="AB382">
        <f t="shared" si="6"/>
        <v>17536</v>
      </c>
      <c r="AC382">
        <f>Tabela2[[#This Row],[kan_time_difference]]/Tabela2[[#This Row],[no_steps]]</f>
        <v>1518687.2301622436</v>
      </c>
      <c r="AE382">
        <v>17536</v>
      </c>
      <c r="AF382">
        <v>1518687.2301622436</v>
      </c>
    </row>
    <row r="383" spans="1:32" hidden="1" x14ac:dyDescent="0.25">
      <c r="A383" t="s">
        <v>314</v>
      </c>
      <c r="B383">
        <v>9</v>
      </c>
      <c r="C383">
        <v>2</v>
      </c>
      <c r="D383">
        <v>0</v>
      </c>
      <c r="E383" t="s">
        <v>355</v>
      </c>
      <c r="F383">
        <v>12945</v>
      </c>
      <c r="G383">
        <v>12014744.666666666</v>
      </c>
      <c r="H383">
        <v>0.85555556416511536</v>
      </c>
      <c r="I383">
        <v>0.68518518518518512</v>
      </c>
      <c r="J383">
        <v>3836120.5</v>
      </c>
      <c r="K383">
        <v>17536</v>
      </c>
      <c r="L383">
        <v>2</v>
      </c>
      <c r="M383">
        <v>89</v>
      </c>
      <c r="N383">
        <v>0.64814814814814814</v>
      </c>
      <c r="O383">
        <v>2391886.1666666665</v>
      </c>
      <c r="P383">
        <v>17913</v>
      </c>
      <c r="Q383">
        <v>2</v>
      </c>
      <c r="R383">
        <v>90</v>
      </c>
      <c r="S383">
        <v>11.639282803585981</v>
      </c>
      <c r="T383">
        <v>0.74074075222015379</v>
      </c>
      <c r="W383">
        <f>Tabela2[[#This Row],[mlp_params]]</f>
        <v>17536</v>
      </c>
      <c r="X383">
        <f>Tabela2[[#This Row],[kan_test_acc]]</f>
        <v>0.85555556416511536</v>
      </c>
      <c r="Y383">
        <f>Tabela2[[#This Row],[kan_val_acc_1]]</f>
        <v>0.74074075222015379</v>
      </c>
      <c r="Z383">
        <f>Tabela2[[#This Row],[no_steps]]</f>
        <v>11.639282803585981</v>
      </c>
      <c r="AB383">
        <f t="shared" si="6"/>
        <v>17536</v>
      </c>
      <c r="AC383">
        <f>Tabela2[[#This Row],[kan_time_difference]]/Tabela2[[#This Row],[no_steps]]</f>
        <v>1032258.1613847382</v>
      </c>
      <c r="AE383">
        <v>17536</v>
      </c>
      <c r="AF383">
        <v>1032258.1613847382</v>
      </c>
    </row>
    <row r="384" spans="1:32" hidden="1" x14ac:dyDescent="0.25">
      <c r="A384" t="s">
        <v>314</v>
      </c>
      <c r="B384">
        <v>9</v>
      </c>
      <c r="C384">
        <v>3</v>
      </c>
      <c r="D384">
        <v>0</v>
      </c>
      <c r="E384" t="s">
        <v>346</v>
      </c>
      <c r="F384">
        <v>12002</v>
      </c>
      <c r="G384">
        <v>13096496.666666666</v>
      </c>
      <c r="H384">
        <v>0.7740740875403086</v>
      </c>
      <c r="I384">
        <v>0.67407407407407405</v>
      </c>
      <c r="J384">
        <v>3973280.8333333335</v>
      </c>
      <c r="K384">
        <v>17536</v>
      </c>
      <c r="L384">
        <v>2</v>
      </c>
      <c r="M384">
        <v>89</v>
      </c>
      <c r="N384">
        <v>0.68888888888888888</v>
      </c>
      <c r="O384">
        <v>4082525.6666666665</v>
      </c>
      <c r="P384">
        <v>17913</v>
      </c>
      <c r="Q384">
        <v>2</v>
      </c>
      <c r="R384">
        <v>90</v>
      </c>
      <c r="S384">
        <v>11.627489718571082</v>
      </c>
      <c r="T384">
        <v>0.82222223281860352</v>
      </c>
      <c r="W384">
        <f>Tabela2[[#This Row],[mlp_params]]</f>
        <v>17536</v>
      </c>
      <c r="X384">
        <f>Tabela2[[#This Row],[kan_test_acc]]</f>
        <v>0.7740740875403086</v>
      </c>
      <c r="Y384">
        <f>Tabela2[[#This Row],[kan_val_acc_1]]</f>
        <v>0.82222223281860352</v>
      </c>
      <c r="Z384">
        <f>Tabela2[[#This Row],[no_steps]]</f>
        <v>11.627489718571082</v>
      </c>
      <c r="AB384">
        <f t="shared" si="6"/>
        <v>17536</v>
      </c>
      <c r="AC384">
        <f>Tabela2[[#This Row],[kan_time_difference]]/Tabela2[[#This Row],[no_steps]]</f>
        <v>1126339.1311152338</v>
      </c>
      <c r="AE384">
        <v>17536</v>
      </c>
      <c r="AF384">
        <v>1126339.1311152338</v>
      </c>
    </row>
    <row r="385" spans="1:32" x14ac:dyDescent="0.25">
      <c r="A385" t="s">
        <v>314</v>
      </c>
      <c r="B385">
        <v>9</v>
      </c>
      <c r="C385">
        <v>4</v>
      </c>
      <c r="D385">
        <v>0</v>
      </c>
      <c r="E385" t="s">
        <v>344</v>
      </c>
      <c r="F385">
        <v>11387</v>
      </c>
      <c r="G385">
        <v>8925114.625</v>
      </c>
      <c r="H385">
        <v>0.55277779512107372</v>
      </c>
      <c r="I385">
        <v>0.83055555555555549</v>
      </c>
      <c r="J385">
        <v>1082781.625</v>
      </c>
      <c r="K385">
        <v>17536</v>
      </c>
      <c r="L385">
        <v>2</v>
      </c>
      <c r="M385">
        <v>89</v>
      </c>
      <c r="N385">
        <v>0.63888888888888895</v>
      </c>
      <c r="O385">
        <v>573699.5625</v>
      </c>
      <c r="P385">
        <v>17913</v>
      </c>
      <c r="Q385">
        <v>2</v>
      </c>
      <c r="R385">
        <v>90</v>
      </c>
      <c r="S385">
        <v>11.600262853956748</v>
      </c>
      <c r="T385">
        <v>0.69382716417312618</v>
      </c>
      <c r="W385">
        <f>Tabela2[[#This Row],[mlp_params]]</f>
        <v>17536</v>
      </c>
      <c r="X385">
        <f>Tabela2[[#This Row],[kan_test_acc]]</f>
        <v>0.55277779512107372</v>
      </c>
      <c r="Y385">
        <f>Tabela2[[#This Row],[kan_val_acc_1]]</f>
        <v>0.69382716417312618</v>
      </c>
      <c r="Z385">
        <f>Tabela2[[#This Row],[no_steps]]</f>
        <v>11.600262853956748</v>
      </c>
      <c r="AB385">
        <f t="shared" si="6"/>
        <v>17536</v>
      </c>
      <c r="AC385">
        <f>Tabela2[[#This Row],[kan_time_difference]]/Tabela2[[#This Row],[no_steps]]</f>
        <v>769388.9989704605</v>
      </c>
      <c r="AE385">
        <v>17536</v>
      </c>
      <c r="AF385">
        <v>769388.9989704605</v>
      </c>
    </row>
    <row r="386" spans="1:32" hidden="1" x14ac:dyDescent="0.25">
      <c r="A386" t="s">
        <v>314</v>
      </c>
      <c r="B386">
        <v>9</v>
      </c>
      <c r="C386">
        <v>5</v>
      </c>
      <c r="D386">
        <v>0</v>
      </c>
      <c r="E386" t="s">
        <v>350</v>
      </c>
      <c r="F386">
        <v>10800</v>
      </c>
      <c r="G386">
        <v>11142508.5</v>
      </c>
      <c r="H386">
        <v>0.52222223828236258</v>
      </c>
      <c r="I386">
        <v>0.7592592592592593</v>
      </c>
      <c r="J386">
        <v>820263</v>
      </c>
      <c r="K386">
        <v>17536</v>
      </c>
      <c r="L386">
        <v>2</v>
      </c>
      <c r="M386">
        <v>89</v>
      </c>
      <c r="N386">
        <v>0.75185185185185188</v>
      </c>
      <c r="O386">
        <v>677228.66666666663</v>
      </c>
      <c r="P386">
        <v>17913</v>
      </c>
      <c r="Q386">
        <v>2</v>
      </c>
      <c r="R386">
        <v>90</v>
      </c>
      <c r="S386">
        <v>11.578638405169018</v>
      </c>
      <c r="T386">
        <v>0.73333334922790527</v>
      </c>
      <c r="W386">
        <f>Tabela2[[#This Row],[mlp_params]]</f>
        <v>17536</v>
      </c>
      <c r="X386">
        <f>Tabela2[[#This Row],[kan_test_acc]]</f>
        <v>0.52222223828236258</v>
      </c>
      <c r="Y386">
        <f>Tabela2[[#This Row],[kan_val_acc_1]]</f>
        <v>0.73333334922790527</v>
      </c>
      <c r="Z386">
        <f>Tabela2[[#This Row],[no_steps]]</f>
        <v>11.578638405169018</v>
      </c>
      <c r="AB386">
        <f t="shared" si="6"/>
        <v>17536</v>
      </c>
      <c r="AC386">
        <f>Tabela2[[#This Row],[kan_time_difference]]/Tabela2[[#This Row],[no_steps]]</f>
        <v>962333.23039310751</v>
      </c>
      <c r="AE386">
        <v>17536</v>
      </c>
      <c r="AF386">
        <v>962333.23039310751</v>
      </c>
    </row>
    <row r="387" spans="1:32" hidden="1" x14ac:dyDescent="0.25">
      <c r="A387" t="s">
        <v>314</v>
      </c>
      <c r="B387">
        <v>3</v>
      </c>
      <c r="C387">
        <v>5</v>
      </c>
      <c r="D387">
        <v>0</v>
      </c>
      <c r="E387" t="s">
        <v>353</v>
      </c>
      <c r="F387">
        <v>9122</v>
      </c>
      <c r="G387">
        <v>17524221.5</v>
      </c>
      <c r="H387">
        <v>0.81481482585271203</v>
      </c>
      <c r="I387">
        <v>0.71851851851851856</v>
      </c>
      <c r="J387">
        <v>2150172.8333333335</v>
      </c>
      <c r="K387">
        <v>17913</v>
      </c>
      <c r="L387">
        <v>2</v>
      </c>
      <c r="M387">
        <v>90</v>
      </c>
      <c r="N387">
        <v>0.6962962962962963</v>
      </c>
      <c r="O387">
        <v>1016582.3333333334</v>
      </c>
      <c r="P387">
        <v>18294</v>
      </c>
      <c r="Q387">
        <v>2</v>
      </c>
      <c r="R387">
        <v>91</v>
      </c>
      <c r="S387">
        <v>11.67757717452483</v>
      </c>
      <c r="T387">
        <v>0.80740741491317747</v>
      </c>
      <c r="W387">
        <f>Tabela2[[#This Row],[mlp_params]]</f>
        <v>17913</v>
      </c>
      <c r="X387">
        <f>Tabela2[[#This Row],[kan_test_acc]]</f>
        <v>0.81481482585271203</v>
      </c>
      <c r="Y387">
        <f>Tabela2[[#This Row],[kan_val_acc_1]]</f>
        <v>0.80740741491317747</v>
      </c>
      <c r="Z387">
        <f>Tabela2[[#This Row],[no_steps]]</f>
        <v>11.67757717452483</v>
      </c>
      <c r="AB387">
        <f t="shared" si="6"/>
        <v>17913</v>
      </c>
      <c r="AC387">
        <f>Tabela2[[#This Row],[kan_time_difference]]/Tabela2[[#This Row],[no_steps]]</f>
        <v>1500672.7198711983</v>
      </c>
      <c r="AE387">
        <v>17913</v>
      </c>
      <c r="AF387">
        <v>1500672.7198711983</v>
      </c>
    </row>
    <row r="388" spans="1:32" hidden="1" x14ac:dyDescent="0.25">
      <c r="A388" t="s">
        <v>314</v>
      </c>
      <c r="B388">
        <v>5</v>
      </c>
      <c r="C388">
        <v>5</v>
      </c>
      <c r="D388">
        <v>0</v>
      </c>
      <c r="E388" t="s">
        <v>345</v>
      </c>
      <c r="F388">
        <v>9834</v>
      </c>
      <c r="G388">
        <v>19004008.833333332</v>
      </c>
      <c r="H388">
        <v>0.67407409350077307</v>
      </c>
      <c r="I388">
        <v>0.73333333333333339</v>
      </c>
      <c r="J388">
        <v>5761446.833333333</v>
      </c>
      <c r="K388">
        <v>17913</v>
      </c>
      <c r="L388">
        <v>2</v>
      </c>
      <c r="M388">
        <v>90</v>
      </c>
      <c r="N388">
        <v>0.70370370370370372</v>
      </c>
      <c r="O388">
        <v>2837267.8333333335</v>
      </c>
      <c r="P388">
        <v>18294</v>
      </c>
      <c r="Q388">
        <v>2</v>
      </c>
      <c r="R388">
        <v>91</v>
      </c>
      <c r="S388">
        <v>11.660982658959538</v>
      </c>
      <c r="T388">
        <v>0.73333333730697636</v>
      </c>
      <c r="W388">
        <f>Tabela2[[#This Row],[mlp_params]]</f>
        <v>17913</v>
      </c>
      <c r="X388">
        <f>Tabela2[[#This Row],[kan_test_acc]]</f>
        <v>0.67407409350077307</v>
      </c>
      <c r="Y388">
        <f>Tabela2[[#This Row],[kan_val_acc_1]]</f>
        <v>0.73333333730697636</v>
      </c>
      <c r="Z388">
        <f>Tabela2[[#This Row],[no_steps]]</f>
        <v>11.660982658959538</v>
      </c>
      <c r="AB388">
        <f t="shared" si="6"/>
        <v>17913</v>
      </c>
      <c r="AC388">
        <f>Tabela2[[#This Row],[kan_time_difference]]/Tabela2[[#This Row],[no_steps]]</f>
        <v>1629709.0381771463</v>
      </c>
      <c r="AE388">
        <v>17913</v>
      </c>
      <c r="AF388">
        <v>1629709.0381771463</v>
      </c>
    </row>
    <row r="389" spans="1:32" hidden="1" x14ac:dyDescent="0.25">
      <c r="A389" t="s">
        <v>314</v>
      </c>
      <c r="B389">
        <v>9</v>
      </c>
      <c r="C389">
        <v>3</v>
      </c>
      <c r="D389">
        <v>0</v>
      </c>
      <c r="E389" t="s">
        <v>353</v>
      </c>
      <c r="F389">
        <v>12422</v>
      </c>
      <c r="G389">
        <v>13227596</v>
      </c>
      <c r="H389">
        <v>0.6851851989825567</v>
      </c>
      <c r="I389">
        <v>0.68148148148148147</v>
      </c>
      <c r="J389">
        <v>2949514.3333333335</v>
      </c>
      <c r="K389">
        <v>17913</v>
      </c>
      <c r="L389">
        <v>2</v>
      </c>
      <c r="M389">
        <v>90</v>
      </c>
      <c r="N389">
        <v>0.6962962962962963</v>
      </c>
      <c r="O389">
        <v>3083770.3333333335</v>
      </c>
      <c r="P389">
        <v>18294</v>
      </c>
      <c r="Q389">
        <v>2</v>
      </c>
      <c r="R389">
        <v>91</v>
      </c>
      <c r="S389">
        <v>11.627176717188004</v>
      </c>
      <c r="T389">
        <v>0.89629629850387571</v>
      </c>
      <c r="W389">
        <f>Tabela2[[#This Row],[mlp_params]]</f>
        <v>17913</v>
      </c>
      <c r="X389">
        <f>Tabela2[[#This Row],[kan_test_acc]]</f>
        <v>0.6851851989825567</v>
      </c>
      <c r="Y389">
        <f>Tabela2[[#This Row],[kan_val_acc_1]]</f>
        <v>0.89629629850387571</v>
      </c>
      <c r="Z389">
        <f>Tabela2[[#This Row],[no_steps]]</f>
        <v>11.627176717188004</v>
      </c>
      <c r="AB389">
        <f t="shared" si="6"/>
        <v>17913</v>
      </c>
      <c r="AC389">
        <f>Tabela2[[#This Row],[kan_time_difference]]/Tabela2[[#This Row],[no_steps]]</f>
        <v>1137644.7027287509</v>
      </c>
      <c r="AE389">
        <v>17913</v>
      </c>
      <c r="AF389">
        <v>1137644.7027287509</v>
      </c>
    </row>
    <row r="390" spans="1:32" x14ac:dyDescent="0.25">
      <c r="A390" t="s">
        <v>314</v>
      </c>
      <c r="B390">
        <v>9</v>
      </c>
      <c r="C390">
        <v>4</v>
      </c>
      <c r="D390">
        <v>0</v>
      </c>
      <c r="E390" t="s">
        <v>337</v>
      </c>
      <c r="F390">
        <v>11581</v>
      </c>
      <c r="G390">
        <v>11813096.333333334</v>
      </c>
      <c r="H390">
        <v>0.67037039001782739</v>
      </c>
      <c r="I390">
        <v>0.7592592592592593</v>
      </c>
      <c r="J390">
        <v>911982.83333333337</v>
      </c>
      <c r="K390">
        <v>17913</v>
      </c>
      <c r="L390">
        <v>2</v>
      </c>
      <c r="M390">
        <v>90</v>
      </c>
      <c r="N390">
        <v>0.73703703703703705</v>
      </c>
      <c r="O390">
        <v>533691</v>
      </c>
      <c r="P390">
        <v>18294</v>
      </c>
      <c r="Q390">
        <v>2</v>
      </c>
      <c r="R390">
        <v>91</v>
      </c>
      <c r="S390">
        <v>11.600079633685048</v>
      </c>
      <c r="T390">
        <v>0.74074072837829585</v>
      </c>
      <c r="W390">
        <f>Tabela2[[#This Row],[mlp_params]]</f>
        <v>17913</v>
      </c>
      <c r="X390">
        <f>Tabela2[[#This Row],[kan_test_acc]]</f>
        <v>0.67037039001782739</v>
      </c>
      <c r="Y390">
        <f>Tabela2[[#This Row],[kan_val_acc_1]]</f>
        <v>0.74074072837829585</v>
      </c>
      <c r="Z390">
        <f>Tabela2[[#This Row],[no_steps]]</f>
        <v>11.600079633685048</v>
      </c>
      <c r="AB390">
        <f t="shared" si="6"/>
        <v>17913</v>
      </c>
      <c r="AC390">
        <f>Tabela2[[#This Row],[kan_time_difference]]/Tabela2[[#This Row],[no_steps]]</f>
        <v>1018363.3825262469</v>
      </c>
      <c r="AE390">
        <v>17913</v>
      </c>
      <c r="AF390">
        <v>1018363.3825262469</v>
      </c>
    </row>
    <row r="391" spans="1:32" hidden="1" x14ac:dyDescent="0.25">
      <c r="A391" t="s">
        <v>314</v>
      </c>
      <c r="B391">
        <v>9</v>
      </c>
      <c r="C391">
        <v>5</v>
      </c>
      <c r="D391">
        <v>0</v>
      </c>
      <c r="E391" t="s">
        <v>330</v>
      </c>
      <c r="F391">
        <v>11008</v>
      </c>
      <c r="G391">
        <v>9180770.333333334</v>
      </c>
      <c r="H391">
        <v>0.65185187260309851</v>
      </c>
      <c r="I391">
        <v>0.71111111111111103</v>
      </c>
      <c r="J391">
        <v>1393730.1666666667</v>
      </c>
      <c r="K391">
        <v>17913</v>
      </c>
      <c r="L391">
        <v>2</v>
      </c>
      <c r="M391">
        <v>90</v>
      </c>
      <c r="N391">
        <v>0.71111111111111103</v>
      </c>
      <c r="O391">
        <v>1034330.1666666666</v>
      </c>
      <c r="P391">
        <v>18294</v>
      </c>
      <c r="Q391">
        <v>2</v>
      </c>
      <c r="R391">
        <v>91</v>
      </c>
      <c r="S391">
        <v>11.577753269261068</v>
      </c>
      <c r="T391">
        <v>0.87407408952713017</v>
      </c>
      <c r="W391">
        <f>Tabela2[[#This Row],[mlp_params]]</f>
        <v>17913</v>
      </c>
      <c r="X391">
        <f>Tabela2[[#This Row],[kan_test_acc]]</f>
        <v>0.65185187260309851</v>
      </c>
      <c r="Y391">
        <f>Tabela2[[#This Row],[kan_val_acc_1]]</f>
        <v>0.87407408952713017</v>
      </c>
      <c r="Z391">
        <f>Tabela2[[#This Row],[no_steps]]</f>
        <v>11.577753269261068</v>
      </c>
      <c r="AB391">
        <f t="shared" si="6"/>
        <v>17913</v>
      </c>
      <c r="AC391">
        <f>Tabela2[[#This Row],[kan_time_difference]]/Tabela2[[#This Row],[no_steps]]</f>
        <v>792966.48665922752</v>
      </c>
      <c r="AE391">
        <v>17913</v>
      </c>
      <c r="AF391">
        <v>792966.48665922752</v>
      </c>
    </row>
    <row r="392" spans="1:32" hidden="1" x14ac:dyDescent="0.25">
      <c r="A392" t="s">
        <v>314</v>
      </c>
      <c r="B392">
        <v>3</v>
      </c>
      <c r="C392">
        <v>5</v>
      </c>
      <c r="D392">
        <v>0</v>
      </c>
      <c r="E392" t="s">
        <v>347</v>
      </c>
      <c r="F392">
        <v>9300</v>
      </c>
      <c r="G392">
        <v>17568462.166666668</v>
      </c>
      <c r="H392">
        <v>0.69259260594844818</v>
      </c>
      <c r="I392">
        <v>0.68888888888888888</v>
      </c>
      <c r="J392">
        <v>2862488.6666666665</v>
      </c>
      <c r="K392">
        <v>18294</v>
      </c>
      <c r="L392">
        <v>2</v>
      </c>
      <c r="M392">
        <v>91</v>
      </c>
      <c r="N392">
        <v>0.67407407407407405</v>
      </c>
      <c r="O392">
        <v>1830272.3333333333</v>
      </c>
      <c r="P392">
        <v>18679</v>
      </c>
      <c r="Q392">
        <v>2</v>
      </c>
      <c r="R392">
        <v>92</v>
      </c>
      <c r="S392">
        <v>11.677617625416612</v>
      </c>
      <c r="T392">
        <v>0.7481481552124023</v>
      </c>
      <c r="W392">
        <f>Tabela2[[#This Row],[mlp_params]]</f>
        <v>18294</v>
      </c>
      <c r="X392">
        <f>Tabela2[[#This Row],[kan_test_acc]]</f>
        <v>0.69259260594844818</v>
      </c>
      <c r="Y392">
        <f>Tabela2[[#This Row],[kan_val_acc_1]]</f>
        <v>0.7481481552124023</v>
      </c>
      <c r="Z392">
        <f>Tabela2[[#This Row],[no_steps]]</f>
        <v>11.677617625416612</v>
      </c>
      <c r="AB392">
        <f t="shared" si="6"/>
        <v>18294</v>
      </c>
      <c r="AC392">
        <f>Tabela2[[#This Row],[kan_time_difference]]/Tabela2[[#This Row],[no_steps]]</f>
        <v>1504456.0226418523</v>
      </c>
      <c r="AE392">
        <v>18294</v>
      </c>
      <c r="AF392">
        <v>1504456.0226418523</v>
      </c>
    </row>
    <row r="393" spans="1:32" hidden="1" x14ac:dyDescent="0.25">
      <c r="A393" t="s">
        <v>314</v>
      </c>
      <c r="B393">
        <v>5</v>
      </c>
      <c r="C393">
        <v>4</v>
      </c>
      <c r="D393">
        <v>0</v>
      </c>
      <c r="E393" t="s">
        <v>354</v>
      </c>
      <c r="F393">
        <v>10525</v>
      </c>
      <c r="G393">
        <v>13653927.666666666</v>
      </c>
      <c r="H393">
        <v>0.74814815819263458</v>
      </c>
      <c r="I393">
        <v>0.69259259259259254</v>
      </c>
      <c r="J393">
        <v>5598633.333333333</v>
      </c>
      <c r="K393">
        <v>18294</v>
      </c>
      <c r="L393">
        <v>2</v>
      </c>
      <c r="M393">
        <v>91</v>
      </c>
      <c r="N393">
        <v>0.70370370370370372</v>
      </c>
      <c r="O393">
        <v>6044505.166666667</v>
      </c>
      <c r="P393">
        <v>18679</v>
      </c>
      <c r="Q393">
        <v>2</v>
      </c>
      <c r="R393">
        <v>92</v>
      </c>
      <c r="S393">
        <v>11.673274351055838</v>
      </c>
      <c r="T393">
        <v>0.80740741491317747</v>
      </c>
      <c r="W393">
        <f>Tabela2[[#This Row],[mlp_params]]</f>
        <v>18294</v>
      </c>
      <c r="X393">
        <f>Tabela2[[#This Row],[kan_test_acc]]</f>
        <v>0.74814815819263458</v>
      </c>
      <c r="Y393">
        <f>Tabela2[[#This Row],[kan_val_acc_1]]</f>
        <v>0.80740741491317747</v>
      </c>
      <c r="Z393">
        <f>Tabela2[[#This Row],[no_steps]]</f>
        <v>11.673274351055838</v>
      </c>
      <c r="AB393">
        <f t="shared" si="6"/>
        <v>18294</v>
      </c>
      <c r="AC393">
        <f>Tabela2[[#This Row],[kan_time_difference]]/Tabela2[[#This Row],[no_steps]]</f>
        <v>1169674.1853267313</v>
      </c>
      <c r="AE393">
        <v>18294</v>
      </c>
      <c r="AF393">
        <v>1169674.1853267313</v>
      </c>
    </row>
    <row r="394" spans="1:32" hidden="1" x14ac:dyDescent="0.25">
      <c r="A394" t="s">
        <v>314</v>
      </c>
      <c r="B394">
        <v>5</v>
      </c>
      <c r="C394">
        <v>5</v>
      </c>
      <c r="D394">
        <v>0</v>
      </c>
      <c r="E394" t="s">
        <v>338</v>
      </c>
      <c r="F394">
        <v>9940</v>
      </c>
      <c r="G394">
        <v>15849187.833333334</v>
      </c>
      <c r="H394">
        <v>0.62962964177131653</v>
      </c>
      <c r="I394">
        <v>0.6962962962962963</v>
      </c>
      <c r="J394">
        <v>5494568.333333333</v>
      </c>
      <c r="K394">
        <v>18294</v>
      </c>
      <c r="L394">
        <v>2</v>
      </c>
      <c r="M394">
        <v>91</v>
      </c>
      <c r="N394">
        <v>0.72222222222222221</v>
      </c>
      <c r="O394">
        <v>5697503</v>
      </c>
      <c r="P394">
        <v>18679</v>
      </c>
      <c r="Q394">
        <v>2</v>
      </c>
      <c r="R394">
        <v>92</v>
      </c>
      <c r="S394">
        <v>11.660612565012796</v>
      </c>
      <c r="T394">
        <v>0.77777777910232548</v>
      </c>
      <c r="W394">
        <f>Tabela2[[#This Row],[mlp_params]]</f>
        <v>18294</v>
      </c>
      <c r="X394">
        <f>Tabela2[[#This Row],[kan_test_acc]]</f>
        <v>0.62962964177131653</v>
      </c>
      <c r="Y394">
        <f>Tabela2[[#This Row],[kan_val_acc_1]]</f>
        <v>0.77777777910232548</v>
      </c>
      <c r="Z394">
        <f>Tabela2[[#This Row],[no_steps]]</f>
        <v>11.660612565012796</v>
      </c>
      <c r="AB394">
        <f t="shared" si="6"/>
        <v>18294</v>
      </c>
      <c r="AC394">
        <f>Tabela2[[#This Row],[kan_time_difference]]/Tabela2[[#This Row],[no_steps]]</f>
        <v>1359207.1381299633</v>
      </c>
      <c r="AE394">
        <v>18294</v>
      </c>
      <c r="AF394">
        <v>1359207.1381299633</v>
      </c>
    </row>
    <row r="395" spans="1:32" hidden="1" x14ac:dyDescent="0.25">
      <c r="A395" t="s">
        <v>314</v>
      </c>
      <c r="B395">
        <v>9</v>
      </c>
      <c r="C395">
        <v>3</v>
      </c>
      <c r="D395">
        <v>0</v>
      </c>
      <c r="E395" t="s">
        <v>347</v>
      </c>
      <c r="F395">
        <v>12664</v>
      </c>
      <c r="G395">
        <v>16400419.5</v>
      </c>
      <c r="H395">
        <v>0.70370371639728546</v>
      </c>
      <c r="I395">
        <v>0.70740740740740737</v>
      </c>
      <c r="J395">
        <v>3223241.3333333335</v>
      </c>
      <c r="K395">
        <v>18294</v>
      </c>
      <c r="L395">
        <v>2</v>
      </c>
      <c r="M395">
        <v>91</v>
      </c>
      <c r="N395">
        <v>0.71111111111111114</v>
      </c>
      <c r="O395">
        <v>6565543.666666667</v>
      </c>
      <c r="P395">
        <v>18679</v>
      </c>
      <c r="Q395">
        <v>2</v>
      </c>
      <c r="R395">
        <v>92</v>
      </c>
      <c r="S395">
        <v>11.627387764971386</v>
      </c>
      <c r="T395">
        <v>0.82962964773178105</v>
      </c>
      <c r="W395">
        <f>Tabela2[[#This Row],[mlp_params]]</f>
        <v>18294</v>
      </c>
      <c r="X395">
        <f>Tabela2[[#This Row],[kan_test_acc]]</f>
        <v>0.70370371639728546</v>
      </c>
      <c r="Y395">
        <f>Tabela2[[#This Row],[kan_val_acc_1]]</f>
        <v>0.82962964773178105</v>
      </c>
      <c r="Z395">
        <f>Tabela2[[#This Row],[no_steps]]</f>
        <v>11.627387764971386</v>
      </c>
      <c r="AB395">
        <f t="shared" si="6"/>
        <v>18294</v>
      </c>
      <c r="AC395">
        <f>Tabela2[[#This Row],[kan_time_difference]]/Tabela2[[#This Row],[no_steps]]</f>
        <v>1410499.0589036539</v>
      </c>
      <c r="AE395">
        <v>18294</v>
      </c>
      <c r="AF395">
        <v>1410499.0589036539</v>
      </c>
    </row>
    <row r="396" spans="1:32" hidden="1" x14ac:dyDescent="0.25">
      <c r="A396" t="s">
        <v>314</v>
      </c>
      <c r="B396">
        <v>9</v>
      </c>
      <c r="C396">
        <v>5</v>
      </c>
      <c r="D396">
        <v>0</v>
      </c>
      <c r="E396" t="s">
        <v>343</v>
      </c>
      <c r="F396">
        <v>11346</v>
      </c>
      <c r="G396">
        <v>10725089.909090908</v>
      </c>
      <c r="H396">
        <v>0.56161617690866639</v>
      </c>
      <c r="I396">
        <v>0.76969696969696966</v>
      </c>
      <c r="J396">
        <v>1436090.8181818181</v>
      </c>
      <c r="K396">
        <v>18294</v>
      </c>
      <c r="L396">
        <v>2</v>
      </c>
      <c r="M396">
        <v>91</v>
      </c>
      <c r="N396">
        <v>0.74949494949494955</v>
      </c>
      <c r="O396">
        <v>1852299.1818181819</v>
      </c>
      <c r="P396">
        <v>18679</v>
      </c>
      <c r="Q396">
        <v>2</v>
      </c>
      <c r="R396">
        <v>92</v>
      </c>
      <c r="S396">
        <v>11.576558132209929</v>
      </c>
      <c r="T396">
        <v>0.71111110448837278</v>
      </c>
      <c r="W396">
        <f>Tabela2[[#This Row],[mlp_params]]</f>
        <v>18294</v>
      </c>
      <c r="X396">
        <f>Tabela2[[#This Row],[kan_test_acc]]</f>
        <v>0.56161617690866639</v>
      </c>
      <c r="Y396">
        <f>Tabela2[[#This Row],[kan_val_acc_1]]</f>
        <v>0.71111110448837278</v>
      </c>
      <c r="Z396">
        <f>Tabela2[[#This Row],[no_steps]]</f>
        <v>11.576558132209929</v>
      </c>
      <c r="AB396">
        <f t="shared" si="6"/>
        <v>18294</v>
      </c>
      <c r="AC396">
        <f>Tabela2[[#This Row],[kan_time_difference]]/Tabela2[[#This Row],[no_steps]]</f>
        <v>926448.93124581256</v>
      </c>
      <c r="AE396">
        <v>18294</v>
      </c>
      <c r="AF396">
        <v>926448.93124581256</v>
      </c>
    </row>
    <row r="397" spans="1:32" hidden="1" x14ac:dyDescent="0.25">
      <c r="A397" t="s">
        <v>314</v>
      </c>
      <c r="B397">
        <v>5</v>
      </c>
      <c r="C397">
        <v>5</v>
      </c>
      <c r="D397">
        <v>0</v>
      </c>
      <c r="E397" t="s">
        <v>352</v>
      </c>
      <c r="F397">
        <v>10146</v>
      </c>
      <c r="G397">
        <v>15526756</v>
      </c>
      <c r="H397">
        <v>0.6222222397724787</v>
      </c>
      <c r="I397">
        <v>0.77407407407407403</v>
      </c>
      <c r="J397">
        <v>6485164</v>
      </c>
      <c r="K397">
        <v>18679</v>
      </c>
      <c r="L397">
        <v>2</v>
      </c>
      <c r="M397">
        <v>92</v>
      </c>
      <c r="N397">
        <v>0.67407407407407405</v>
      </c>
      <c r="O397">
        <v>18441748.833333332</v>
      </c>
      <c r="P397">
        <v>19068</v>
      </c>
      <c r="Q397">
        <v>2</v>
      </c>
      <c r="R397">
        <v>93</v>
      </c>
      <c r="S397">
        <v>11.660077583360845</v>
      </c>
      <c r="T397">
        <v>0.74814814329147339</v>
      </c>
      <c r="W397">
        <f>Tabela2[[#This Row],[mlp_params]]</f>
        <v>18679</v>
      </c>
      <c r="X397">
        <f>Tabela2[[#This Row],[kan_test_acc]]</f>
        <v>0.6222222397724787</v>
      </c>
      <c r="Y397">
        <f>Tabela2[[#This Row],[kan_val_acc_1]]</f>
        <v>0.74814814329147339</v>
      </c>
      <c r="Z397">
        <f>Tabela2[[#This Row],[no_steps]]</f>
        <v>11.660077583360845</v>
      </c>
      <c r="AB397">
        <f t="shared" si="6"/>
        <v>18679</v>
      </c>
      <c r="AC397">
        <f>Tabela2[[#This Row],[kan_time_difference]]/Tabela2[[#This Row],[no_steps]]</f>
        <v>1331616.8686696372</v>
      </c>
      <c r="AE397">
        <v>18679</v>
      </c>
      <c r="AF397">
        <v>1331616.8686696372</v>
      </c>
    </row>
    <row r="398" spans="1:32" x14ac:dyDescent="0.25">
      <c r="A398" t="s">
        <v>314</v>
      </c>
      <c r="B398">
        <v>9</v>
      </c>
      <c r="C398">
        <v>4</v>
      </c>
      <c r="D398">
        <v>0</v>
      </c>
      <c r="E398" t="s">
        <v>345</v>
      </c>
      <c r="F398">
        <v>12093</v>
      </c>
      <c r="G398">
        <v>10843164.454545455</v>
      </c>
      <c r="H398">
        <v>0.58787880702452222</v>
      </c>
      <c r="I398">
        <v>0.73737373737373735</v>
      </c>
      <c r="J398">
        <v>1312513.9090909092</v>
      </c>
      <c r="K398">
        <v>18679</v>
      </c>
      <c r="L398">
        <v>2</v>
      </c>
      <c r="M398">
        <v>92</v>
      </c>
      <c r="N398">
        <v>0.72121212121212119</v>
      </c>
      <c r="O398">
        <v>1416333</v>
      </c>
      <c r="P398">
        <v>19068</v>
      </c>
      <c r="Q398">
        <v>2</v>
      </c>
      <c r="R398">
        <v>93</v>
      </c>
      <c r="S398">
        <v>11.599299530366951</v>
      </c>
      <c r="T398">
        <v>0.72222222089767452</v>
      </c>
      <c r="W398">
        <f>Tabela2[[#This Row],[mlp_params]]</f>
        <v>18679</v>
      </c>
      <c r="X398">
        <f>Tabela2[[#This Row],[kan_test_acc]]</f>
        <v>0.58787880702452222</v>
      </c>
      <c r="Y398">
        <f>Tabela2[[#This Row],[kan_val_acc_1]]</f>
        <v>0.72222222089767452</v>
      </c>
      <c r="Z398">
        <f>Tabela2[[#This Row],[no_steps]]</f>
        <v>11.599299530366951</v>
      </c>
      <c r="AB398">
        <f t="shared" si="6"/>
        <v>18679</v>
      </c>
      <c r="AC398">
        <f>Tabela2[[#This Row],[kan_time_difference]]/Tabela2[[#This Row],[no_steps]]</f>
        <v>934812.00534205232</v>
      </c>
      <c r="AE398">
        <v>18679</v>
      </c>
      <c r="AF398">
        <v>934812.00534205232</v>
      </c>
    </row>
    <row r="399" spans="1:32" hidden="1" x14ac:dyDescent="0.25">
      <c r="A399" t="s">
        <v>314</v>
      </c>
      <c r="B399">
        <v>3</v>
      </c>
      <c r="C399">
        <v>5</v>
      </c>
      <c r="D399">
        <v>0</v>
      </c>
      <c r="E399" t="s">
        <v>354</v>
      </c>
      <c r="F399">
        <v>9652</v>
      </c>
      <c r="G399">
        <v>22930363.333333332</v>
      </c>
      <c r="H399">
        <v>0.79629630843798316</v>
      </c>
      <c r="I399">
        <v>0.70740740740740748</v>
      </c>
      <c r="J399">
        <v>3336478.1666666665</v>
      </c>
      <c r="K399">
        <v>19068</v>
      </c>
      <c r="L399">
        <v>2</v>
      </c>
      <c r="M399">
        <v>93</v>
      </c>
      <c r="N399">
        <v>0.67037037037037028</v>
      </c>
      <c r="O399">
        <v>6997105.833333333</v>
      </c>
      <c r="P399">
        <v>19461</v>
      </c>
      <c r="Q399">
        <v>2</v>
      </c>
      <c r="R399">
        <v>94</v>
      </c>
      <c r="S399">
        <v>11.678653338526116</v>
      </c>
      <c r="T399">
        <v>0.89629631042480473</v>
      </c>
      <c r="W399">
        <f>Tabela2[[#This Row],[mlp_params]]</f>
        <v>19068</v>
      </c>
      <c r="X399">
        <f>Tabela2[[#This Row],[kan_test_acc]]</f>
        <v>0.79629630843798316</v>
      </c>
      <c r="Y399">
        <f>Tabela2[[#This Row],[kan_val_acc_1]]</f>
        <v>0.89629631042480473</v>
      </c>
      <c r="Z399">
        <f>Tabela2[[#This Row],[no_steps]]</f>
        <v>11.678653338526116</v>
      </c>
      <c r="AB399">
        <f t="shared" si="6"/>
        <v>19068</v>
      </c>
      <c r="AC399">
        <f>Tabela2[[#This Row],[kan_time_difference]]/Tabela2[[#This Row],[no_steps]]</f>
        <v>1963442.4165746509</v>
      </c>
      <c r="AE399">
        <v>19068</v>
      </c>
      <c r="AF399">
        <v>1963442.4165746509</v>
      </c>
    </row>
    <row r="400" spans="1:32" hidden="1" x14ac:dyDescent="0.25">
      <c r="A400" t="s">
        <v>314</v>
      </c>
      <c r="B400">
        <v>5</v>
      </c>
      <c r="C400">
        <v>4</v>
      </c>
      <c r="D400">
        <v>0</v>
      </c>
      <c r="E400" t="s">
        <v>355</v>
      </c>
      <c r="F400">
        <v>11103</v>
      </c>
      <c r="G400">
        <v>22028387.333333332</v>
      </c>
      <c r="H400">
        <v>0.75555556515852607</v>
      </c>
      <c r="I400">
        <v>0.65925925925925932</v>
      </c>
      <c r="J400">
        <v>9099540.166666666</v>
      </c>
      <c r="K400">
        <v>19068</v>
      </c>
      <c r="L400">
        <v>2</v>
      </c>
      <c r="M400">
        <v>93</v>
      </c>
      <c r="N400">
        <v>0.73333333333333328</v>
      </c>
      <c r="O400">
        <v>20443359.666666668</v>
      </c>
      <c r="P400">
        <v>19461</v>
      </c>
      <c r="Q400">
        <v>2</v>
      </c>
      <c r="R400">
        <v>94</v>
      </c>
      <c r="S400">
        <v>11.674107142857142</v>
      </c>
      <c r="T400">
        <v>0.85185184478759768</v>
      </c>
      <c r="W400">
        <f>Tabela2[[#This Row],[mlp_params]]</f>
        <v>19068</v>
      </c>
      <c r="X400">
        <f>Tabela2[[#This Row],[kan_test_acc]]</f>
        <v>0.75555556515852607</v>
      </c>
      <c r="Y400">
        <f>Tabela2[[#This Row],[kan_val_acc_1]]</f>
        <v>0.85185184478759768</v>
      </c>
      <c r="Z400">
        <f>Tabela2[[#This Row],[no_steps]]</f>
        <v>11.674107142857142</v>
      </c>
      <c r="AB400">
        <f t="shared" si="6"/>
        <v>19068</v>
      </c>
      <c r="AC400">
        <f>Tabela2[[#This Row],[kan_time_difference]]/Tabela2[[#This Row],[no_steps]]</f>
        <v>1886944.0775015934</v>
      </c>
      <c r="AE400">
        <v>19068</v>
      </c>
      <c r="AF400">
        <v>1886944.0775015934</v>
      </c>
    </row>
    <row r="401" spans="1:32" hidden="1" x14ac:dyDescent="0.25">
      <c r="A401" t="s">
        <v>314</v>
      </c>
      <c r="B401">
        <v>5</v>
      </c>
      <c r="C401">
        <v>5</v>
      </c>
      <c r="D401">
        <v>0</v>
      </c>
      <c r="E401" t="s">
        <v>346</v>
      </c>
      <c r="F401">
        <v>10408</v>
      </c>
      <c r="G401">
        <v>14686087.166666666</v>
      </c>
      <c r="H401">
        <v>0.52962964276472724</v>
      </c>
      <c r="I401">
        <v>0.66666666666666663</v>
      </c>
      <c r="J401">
        <v>19310891.166666668</v>
      </c>
      <c r="K401">
        <v>19068</v>
      </c>
      <c r="L401">
        <v>2</v>
      </c>
      <c r="M401">
        <v>93</v>
      </c>
      <c r="N401">
        <v>0.72222222222222221</v>
      </c>
      <c r="O401">
        <v>20538932.5</v>
      </c>
      <c r="P401">
        <v>19461</v>
      </c>
      <c r="Q401">
        <v>2</v>
      </c>
      <c r="R401">
        <v>94</v>
      </c>
      <c r="S401">
        <v>11.659584124102649</v>
      </c>
      <c r="T401">
        <v>0.76296297311782835</v>
      </c>
      <c r="W401">
        <f>Tabela2[[#This Row],[mlp_params]]</f>
        <v>19068</v>
      </c>
      <c r="X401">
        <f>Tabela2[[#This Row],[kan_test_acc]]</f>
        <v>0.52962964276472724</v>
      </c>
      <c r="Y401">
        <f>Tabela2[[#This Row],[kan_val_acc_1]]</f>
        <v>0.76296297311782835</v>
      </c>
      <c r="Z401">
        <f>Tabela2[[#This Row],[no_steps]]</f>
        <v>11.659584124102649</v>
      </c>
      <c r="AB401">
        <f t="shared" si="6"/>
        <v>19068</v>
      </c>
      <c r="AC401">
        <f>Tabela2[[#This Row],[kan_time_difference]]/Tabela2[[#This Row],[no_steps]]</f>
        <v>1259572.1262740102</v>
      </c>
      <c r="AE401">
        <v>19068</v>
      </c>
      <c r="AF401">
        <v>1259572.1262740102</v>
      </c>
    </row>
    <row r="402" spans="1:32" hidden="1" x14ac:dyDescent="0.25">
      <c r="A402" t="s">
        <v>314</v>
      </c>
      <c r="B402">
        <v>9</v>
      </c>
      <c r="C402">
        <v>3</v>
      </c>
      <c r="D402">
        <v>0</v>
      </c>
      <c r="E402" t="s">
        <v>354</v>
      </c>
      <c r="F402">
        <v>13144</v>
      </c>
      <c r="G402">
        <v>13157996.833333334</v>
      </c>
      <c r="H402">
        <v>0.67037038008371985</v>
      </c>
      <c r="I402">
        <v>0.77407407407407403</v>
      </c>
      <c r="J402">
        <v>6283447.333333333</v>
      </c>
      <c r="K402">
        <v>19068</v>
      </c>
      <c r="L402">
        <v>2</v>
      </c>
      <c r="M402">
        <v>93</v>
      </c>
      <c r="N402">
        <v>0.68148148148148147</v>
      </c>
      <c r="O402">
        <v>19672701.333333332</v>
      </c>
      <c r="P402">
        <v>19461</v>
      </c>
      <c r="Q402">
        <v>2</v>
      </c>
      <c r="R402">
        <v>94</v>
      </c>
      <c r="S402">
        <v>11.626994359387592</v>
      </c>
      <c r="T402">
        <v>0.82962962388992312</v>
      </c>
      <c r="W402">
        <f>Tabela2[[#This Row],[mlp_params]]</f>
        <v>19068</v>
      </c>
      <c r="X402">
        <f>Tabela2[[#This Row],[kan_test_acc]]</f>
        <v>0.67037038008371985</v>
      </c>
      <c r="Y402">
        <f>Tabela2[[#This Row],[kan_val_acc_1]]</f>
        <v>0.82962962388992312</v>
      </c>
      <c r="Z402">
        <f>Tabela2[[#This Row],[no_steps]]</f>
        <v>11.626994359387592</v>
      </c>
      <c r="AB402">
        <f t="shared" si="6"/>
        <v>19068</v>
      </c>
      <c r="AC402">
        <f>Tabela2[[#This Row],[kan_time_difference]]/Tabela2[[#This Row],[no_steps]]</f>
        <v>1131676.5474053591</v>
      </c>
      <c r="AE402">
        <v>19068</v>
      </c>
      <c r="AF402">
        <v>1131676.5474053591</v>
      </c>
    </row>
    <row r="403" spans="1:32" x14ac:dyDescent="0.25">
      <c r="A403" t="s">
        <v>314</v>
      </c>
      <c r="B403">
        <v>9</v>
      </c>
      <c r="C403">
        <v>4</v>
      </c>
      <c r="D403">
        <v>0</v>
      </c>
      <c r="E403" t="s">
        <v>338</v>
      </c>
      <c r="F403">
        <v>12223</v>
      </c>
      <c r="G403">
        <v>10126649</v>
      </c>
      <c r="H403">
        <v>0.44814815620581311</v>
      </c>
      <c r="I403">
        <v>0.75555555555555554</v>
      </c>
      <c r="J403">
        <v>6939795.333333333</v>
      </c>
      <c r="K403">
        <v>19068</v>
      </c>
      <c r="L403">
        <v>2</v>
      </c>
      <c r="M403">
        <v>93</v>
      </c>
      <c r="N403">
        <v>0.79259259259259263</v>
      </c>
      <c r="O403">
        <v>8548419.5</v>
      </c>
      <c r="P403">
        <v>19461</v>
      </c>
      <c r="Q403">
        <v>2</v>
      </c>
      <c r="R403">
        <v>94</v>
      </c>
      <c r="S403">
        <v>11.598639185102657</v>
      </c>
      <c r="T403">
        <v>0.72592591047286992</v>
      </c>
      <c r="W403">
        <f>Tabela2[[#This Row],[mlp_params]]</f>
        <v>19068</v>
      </c>
      <c r="X403">
        <f>Tabela2[[#This Row],[kan_test_acc]]</f>
        <v>0.44814815620581311</v>
      </c>
      <c r="Y403">
        <f>Tabela2[[#This Row],[kan_val_acc_1]]</f>
        <v>0.72592591047286992</v>
      </c>
      <c r="Z403">
        <f>Tabela2[[#This Row],[no_steps]]</f>
        <v>11.598639185102657</v>
      </c>
      <c r="AB403">
        <f t="shared" si="6"/>
        <v>19068</v>
      </c>
      <c r="AC403">
        <f>Tabela2[[#This Row],[kan_time_difference]]/Tabela2[[#This Row],[no_steps]]</f>
        <v>873089.40629920724</v>
      </c>
      <c r="AE403">
        <v>19068</v>
      </c>
      <c r="AF403">
        <v>873089.40629920724</v>
      </c>
    </row>
    <row r="404" spans="1:32" hidden="1" x14ac:dyDescent="0.25">
      <c r="A404" t="s">
        <v>314</v>
      </c>
      <c r="B404">
        <v>9</v>
      </c>
      <c r="C404">
        <v>5</v>
      </c>
      <c r="D404">
        <v>0</v>
      </c>
      <c r="E404" t="s">
        <v>331</v>
      </c>
      <c r="F404">
        <v>11622</v>
      </c>
      <c r="G404">
        <v>11546502.666666666</v>
      </c>
      <c r="H404">
        <v>0.54444446166356408</v>
      </c>
      <c r="I404">
        <v>0.72222222222222221</v>
      </c>
      <c r="J404">
        <v>2395057.3333333335</v>
      </c>
      <c r="K404">
        <v>19068</v>
      </c>
      <c r="L404">
        <v>2</v>
      </c>
      <c r="M404">
        <v>93</v>
      </c>
      <c r="N404">
        <v>0.74444444444444446</v>
      </c>
      <c r="O404">
        <v>8424614.833333334</v>
      </c>
      <c r="P404">
        <v>19461</v>
      </c>
      <c r="Q404">
        <v>2</v>
      </c>
      <c r="R404">
        <v>94</v>
      </c>
      <c r="S404">
        <v>11.575910253887031</v>
      </c>
      <c r="T404">
        <v>0.66666666269302366</v>
      </c>
      <c r="W404">
        <f>Tabela2[[#This Row],[mlp_params]]</f>
        <v>19068</v>
      </c>
      <c r="X404">
        <f>Tabela2[[#This Row],[kan_test_acc]]</f>
        <v>0.54444446166356408</v>
      </c>
      <c r="Y404">
        <f>Tabela2[[#This Row],[kan_val_acc_1]]</f>
        <v>0.66666666269302366</v>
      </c>
      <c r="Z404">
        <f>Tabela2[[#This Row],[no_steps]]</f>
        <v>11.575910253887031</v>
      </c>
      <c r="AB404">
        <f t="shared" si="6"/>
        <v>19068</v>
      </c>
      <c r="AC404">
        <f>Tabela2[[#This Row],[kan_time_difference]]/Tabela2[[#This Row],[no_steps]]</f>
        <v>997459.58749028051</v>
      </c>
      <c r="AE404">
        <v>19068</v>
      </c>
      <c r="AF404">
        <v>997459.58749028051</v>
      </c>
    </row>
    <row r="405" spans="1:32" hidden="1" x14ac:dyDescent="0.25">
      <c r="A405" t="s">
        <v>314</v>
      </c>
      <c r="B405">
        <v>5</v>
      </c>
      <c r="C405">
        <v>5</v>
      </c>
      <c r="D405">
        <v>0</v>
      </c>
      <c r="E405" t="s">
        <v>353</v>
      </c>
      <c r="F405">
        <v>10772</v>
      </c>
      <c r="G405">
        <v>13587431.833333334</v>
      </c>
      <c r="H405">
        <v>0.51481483379999793</v>
      </c>
      <c r="I405">
        <v>0.7407407407407407</v>
      </c>
      <c r="J405">
        <v>21689600.666666668</v>
      </c>
      <c r="K405">
        <v>19461</v>
      </c>
      <c r="L405">
        <v>2</v>
      </c>
      <c r="M405">
        <v>94</v>
      </c>
      <c r="N405">
        <v>0.72962962962962963</v>
      </c>
      <c r="O405">
        <v>23997591.833333332</v>
      </c>
      <c r="P405">
        <v>19858</v>
      </c>
      <c r="Q405">
        <v>2</v>
      </c>
      <c r="R405">
        <v>95</v>
      </c>
      <c r="S405">
        <v>11.658802177858439</v>
      </c>
      <c r="T405">
        <v>0.7111111164093018</v>
      </c>
      <c r="W405">
        <f>Tabela2[[#This Row],[mlp_params]]</f>
        <v>19461</v>
      </c>
      <c r="X405">
        <f>Tabela2[[#This Row],[kan_test_acc]]</f>
        <v>0.51481483379999793</v>
      </c>
      <c r="Y405">
        <f>Tabela2[[#This Row],[kan_val_acc_1]]</f>
        <v>0.7111111164093018</v>
      </c>
      <c r="Z405">
        <f>Tabela2[[#This Row],[no_steps]]</f>
        <v>11.658802177858439</v>
      </c>
      <c r="AB405">
        <f t="shared" si="6"/>
        <v>19461</v>
      </c>
      <c r="AC405">
        <f>Tabela2[[#This Row],[kan_time_difference]]/Tabela2[[#This Row],[no_steps]]</f>
        <v>1165422.6245589457</v>
      </c>
      <c r="AE405">
        <v>19461</v>
      </c>
      <c r="AF405">
        <v>1165422.6245589457</v>
      </c>
    </row>
    <row r="406" spans="1:32" x14ac:dyDescent="0.25">
      <c r="A406" t="s">
        <v>314</v>
      </c>
      <c r="B406">
        <v>9</v>
      </c>
      <c r="C406">
        <v>4</v>
      </c>
      <c r="D406">
        <v>0</v>
      </c>
      <c r="E406" t="s">
        <v>352</v>
      </c>
      <c r="F406">
        <v>12477</v>
      </c>
      <c r="G406">
        <v>10337258</v>
      </c>
      <c r="H406">
        <v>0.61111112435658776</v>
      </c>
      <c r="I406">
        <v>0.78888888888888886</v>
      </c>
      <c r="J406">
        <v>7846971.666666667</v>
      </c>
      <c r="K406">
        <v>19461</v>
      </c>
      <c r="L406">
        <v>2</v>
      </c>
      <c r="M406">
        <v>94</v>
      </c>
      <c r="N406">
        <v>0.67777777777777781</v>
      </c>
      <c r="O406">
        <v>8341429.833333333</v>
      </c>
      <c r="P406">
        <v>19858</v>
      </c>
      <c r="Q406">
        <v>2</v>
      </c>
      <c r="R406">
        <v>95</v>
      </c>
      <c r="S406">
        <v>11.597979155064046</v>
      </c>
      <c r="T406">
        <v>0.71111112833023071</v>
      </c>
      <c r="W406">
        <f>Tabela2[[#This Row],[mlp_params]]</f>
        <v>19461</v>
      </c>
      <c r="X406">
        <f>Tabela2[[#This Row],[kan_test_acc]]</f>
        <v>0.61111112435658776</v>
      </c>
      <c r="Y406">
        <f>Tabela2[[#This Row],[kan_val_acc_1]]</f>
        <v>0.71111112833023071</v>
      </c>
      <c r="Z406">
        <f>Tabela2[[#This Row],[no_steps]]</f>
        <v>11.597979155064046</v>
      </c>
      <c r="AB406">
        <f t="shared" si="6"/>
        <v>19461</v>
      </c>
      <c r="AC406">
        <f>Tabela2[[#This Row],[kan_time_difference]]/Tabela2[[#This Row],[no_steps]]</f>
        <v>891298.20478134113</v>
      </c>
      <c r="AE406">
        <v>19461</v>
      </c>
      <c r="AF406">
        <v>891298.20478134113</v>
      </c>
    </row>
    <row r="407" spans="1:32" hidden="1" x14ac:dyDescent="0.25">
      <c r="A407" t="s">
        <v>314</v>
      </c>
      <c r="B407">
        <v>5</v>
      </c>
      <c r="C407">
        <v>5</v>
      </c>
      <c r="D407">
        <v>0</v>
      </c>
      <c r="E407" t="s">
        <v>347</v>
      </c>
      <c r="F407">
        <v>10982</v>
      </c>
      <c r="G407">
        <v>12054604.833333334</v>
      </c>
      <c r="H407">
        <v>0.63333335518836975</v>
      </c>
      <c r="I407">
        <v>0.61851851851851847</v>
      </c>
      <c r="J407">
        <v>18766797.166666668</v>
      </c>
      <c r="K407">
        <v>19858</v>
      </c>
      <c r="L407">
        <v>2</v>
      </c>
      <c r="M407">
        <v>95</v>
      </c>
      <c r="N407">
        <v>0.6333333333333333</v>
      </c>
      <c r="O407">
        <v>21057715.166666668</v>
      </c>
      <c r="P407">
        <v>20259</v>
      </c>
      <c r="Q407">
        <v>2</v>
      </c>
      <c r="R407">
        <v>96</v>
      </c>
      <c r="S407">
        <v>11.657773195876288</v>
      </c>
      <c r="T407">
        <v>0.7481481552124023</v>
      </c>
      <c r="W407">
        <f>Tabela2[[#This Row],[mlp_params]]</f>
        <v>19858</v>
      </c>
      <c r="X407">
        <f>Tabela2[[#This Row],[kan_test_acc]]</f>
        <v>0.63333335518836975</v>
      </c>
      <c r="Y407">
        <f>Tabela2[[#This Row],[kan_val_acc_1]]</f>
        <v>0.7481481552124023</v>
      </c>
      <c r="Z407">
        <f>Tabela2[[#This Row],[no_steps]]</f>
        <v>11.657773195876288</v>
      </c>
      <c r="AB407">
        <f t="shared" si="6"/>
        <v>19858</v>
      </c>
      <c r="AC407">
        <f>Tabela2[[#This Row],[kan_time_difference]]/Tabela2[[#This Row],[no_steps]]</f>
        <v>1034040.0890281016</v>
      </c>
      <c r="AE407">
        <v>19858</v>
      </c>
      <c r="AF407">
        <v>1034040.0890281016</v>
      </c>
    </row>
    <row r="408" spans="1:32" x14ac:dyDescent="0.25">
      <c r="A408" t="s">
        <v>314</v>
      </c>
      <c r="B408">
        <v>9</v>
      </c>
      <c r="C408">
        <v>4</v>
      </c>
      <c r="D408">
        <v>0</v>
      </c>
      <c r="E408" t="s">
        <v>346</v>
      </c>
      <c r="F408">
        <v>12799</v>
      </c>
      <c r="G408">
        <v>11047141.666666666</v>
      </c>
      <c r="H408">
        <v>0.60740742584069574</v>
      </c>
      <c r="I408">
        <v>0.78518518518518521</v>
      </c>
      <c r="J408">
        <v>7898288</v>
      </c>
      <c r="K408">
        <v>19858</v>
      </c>
      <c r="L408">
        <v>2</v>
      </c>
      <c r="M408">
        <v>95</v>
      </c>
      <c r="N408">
        <v>0.68518518518518512</v>
      </c>
      <c r="O408">
        <v>7652063.833333333</v>
      </c>
      <c r="P408">
        <v>20259</v>
      </c>
      <c r="Q408">
        <v>2</v>
      </c>
      <c r="R408">
        <v>96</v>
      </c>
      <c r="S408">
        <v>11.597558065542476</v>
      </c>
      <c r="T408">
        <v>0.73333333730697636</v>
      </c>
      <c r="W408">
        <f>Tabela2[[#This Row],[mlp_params]]</f>
        <v>19858</v>
      </c>
      <c r="X408">
        <f>Tabela2[[#This Row],[kan_test_acc]]</f>
        <v>0.60740742584069574</v>
      </c>
      <c r="Y408">
        <f>Tabela2[[#This Row],[kan_val_acc_1]]</f>
        <v>0.73333333730697636</v>
      </c>
      <c r="Z408">
        <f>Tabela2[[#This Row],[no_steps]]</f>
        <v>11.597558065542476</v>
      </c>
      <c r="AB408">
        <f t="shared" ref="AB408:AB425" si="7">W408</f>
        <v>19858</v>
      </c>
      <c r="AC408">
        <f>Tabela2[[#This Row],[kan_time_difference]]/Tabela2[[#This Row],[no_steps]]</f>
        <v>952540.31962890935</v>
      </c>
      <c r="AE408">
        <v>19858</v>
      </c>
      <c r="AF408">
        <v>952540.31962890935</v>
      </c>
    </row>
    <row r="409" spans="1:32" hidden="1" x14ac:dyDescent="0.25">
      <c r="A409" t="s">
        <v>314</v>
      </c>
      <c r="B409">
        <v>9</v>
      </c>
      <c r="C409">
        <v>5</v>
      </c>
      <c r="D409">
        <v>0</v>
      </c>
      <c r="E409" t="s">
        <v>337</v>
      </c>
      <c r="F409">
        <v>12302</v>
      </c>
      <c r="G409">
        <v>11782334.0625</v>
      </c>
      <c r="H409">
        <v>0.55555557273328304</v>
      </c>
      <c r="I409">
        <v>0.71805555555555556</v>
      </c>
      <c r="J409">
        <v>7513144.9375</v>
      </c>
      <c r="K409">
        <v>19858</v>
      </c>
      <c r="L409">
        <v>2</v>
      </c>
      <c r="M409">
        <v>95</v>
      </c>
      <c r="N409">
        <v>0.70694444444444449</v>
      </c>
      <c r="O409">
        <v>8109607.0625</v>
      </c>
      <c r="P409">
        <v>20259</v>
      </c>
      <c r="Q409">
        <v>2</v>
      </c>
      <c r="R409">
        <v>96</v>
      </c>
      <c r="S409">
        <v>11.574485661460997</v>
      </c>
      <c r="T409">
        <v>0.75308641990025837</v>
      </c>
      <c r="W409">
        <f>Tabela2[[#This Row],[mlp_params]]</f>
        <v>19858</v>
      </c>
      <c r="X409">
        <f>Tabela2[[#This Row],[kan_test_acc]]</f>
        <v>0.55555557273328304</v>
      </c>
      <c r="Y409">
        <f>Tabela2[[#This Row],[kan_val_acc_1]]</f>
        <v>0.75308641990025837</v>
      </c>
      <c r="Z409">
        <f>Tabela2[[#This Row],[no_steps]]</f>
        <v>11.574485661460997</v>
      </c>
      <c r="AB409">
        <f t="shared" si="7"/>
        <v>19858</v>
      </c>
      <c r="AC409">
        <f>Tabela2[[#This Row],[kan_time_difference]]/Tabela2[[#This Row],[no_steps]]</f>
        <v>1017957.4632617211</v>
      </c>
      <c r="AE409">
        <v>19858</v>
      </c>
      <c r="AF409">
        <v>1017957.4632617211</v>
      </c>
    </row>
    <row r="410" spans="1:32" hidden="1" x14ac:dyDescent="0.25">
      <c r="A410" t="s">
        <v>314</v>
      </c>
      <c r="B410">
        <v>3</v>
      </c>
      <c r="C410">
        <v>5</v>
      </c>
      <c r="D410">
        <v>0</v>
      </c>
      <c r="E410" t="s">
        <v>355</v>
      </c>
      <c r="F410">
        <v>10182</v>
      </c>
      <c r="G410">
        <v>17889790.5</v>
      </c>
      <c r="H410">
        <v>0.83703704675038659</v>
      </c>
      <c r="I410">
        <v>0.67777777777777781</v>
      </c>
      <c r="J410">
        <v>9397598.666666666</v>
      </c>
      <c r="K410">
        <v>20259</v>
      </c>
      <c r="L410">
        <v>2</v>
      </c>
      <c r="M410">
        <v>96</v>
      </c>
      <c r="N410">
        <v>0.71851851851851856</v>
      </c>
      <c r="O410">
        <v>7654202.333333333</v>
      </c>
      <c r="P410">
        <v>20664</v>
      </c>
      <c r="Q410">
        <v>2</v>
      </c>
      <c r="R410">
        <v>97</v>
      </c>
      <c r="S410">
        <v>11.678953060783041</v>
      </c>
      <c r="T410">
        <v>0.86666667461395264</v>
      </c>
      <c r="W410">
        <f>Tabela2[[#This Row],[mlp_params]]</f>
        <v>20259</v>
      </c>
      <c r="X410">
        <f>Tabela2[[#This Row],[kan_test_acc]]</f>
        <v>0.83703704675038659</v>
      </c>
      <c r="Y410">
        <f>Tabela2[[#This Row],[kan_val_acc_1]]</f>
        <v>0.86666667461395264</v>
      </c>
      <c r="Z410">
        <f>Tabela2[[#This Row],[no_steps]]</f>
        <v>11.678953060783041</v>
      </c>
      <c r="AB410">
        <f t="shared" si="7"/>
        <v>20259</v>
      </c>
      <c r="AC410">
        <f>Tabela2[[#This Row],[kan_time_difference]]/Tabela2[[#This Row],[no_steps]]</f>
        <v>1531797.4485292211</v>
      </c>
      <c r="AE410">
        <v>20259</v>
      </c>
      <c r="AF410">
        <v>1531797.4485292211</v>
      </c>
    </row>
    <row r="411" spans="1:32" hidden="1" x14ac:dyDescent="0.25">
      <c r="A411" t="s">
        <v>314</v>
      </c>
      <c r="B411">
        <v>9</v>
      </c>
      <c r="C411">
        <v>3</v>
      </c>
      <c r="D411">
        <v>0</v>
      </c>
      <c r="E411" t="s">
        <v>355</v>
      </c>
      <c r="F411">
        <v>13866</v>
      </c>
      <c r="G411">
        <v>17314989.333333332</v>
      </c>
      <c r="H411">
        <v>0.68888890246550238</v>
      </c>
      <c r="I411">
        <v>0.65925925925925921</v>
      </c>
      <c r="J411">
        <v>23522707.833333332</v>
      </c>
      <c r="K411">
        <v>20259</v>
      </c>
      <c r="L411">
        <v>2</v>
      </c>
      <c r="M411">
        <v>96</v>
      </c>
      <c r="N411">
        <v>0.70740740740740737</v>
      </c>
      <c r="O411">
        <v>22563668.5</v>
      </c>
      <c r="P411">
        <v>20664</v>
      </c>
      <c r="Q411">
        <v>2</v>
      </c>
      <c r="R411">
        <v>97</v>
      </c>
      <c r="S411">
        <v>11.627285909933134</v>
      </c>
      <c r="T411">
        <v>0.85925924777984619</v>
      </c>
      <c r="W411">
        <f>Tabela2[[#This Row],[mlp_params]]</f>
        <v>20259</v>
      </c>
      <c r="X411">
        <f>Tabela2[[#This Row],[kan_test_acc]]</f>
        <v>0.68888890246550238</v>
      </c>
      <c r="Y411">
        <f>Tabela2[[#This Row],[kan_val_acc_1]]</f>
        <v>0.85925924777984619</v>
      </c>
      <c r="Z411">
        <f>Tabela2[[#This Row],[no_steps]]</f>
        <v>11.627285909933134</v>
      </c>
      <c r="AB411">
        <f t="shared" si="7"/>
        <v>20259</v>
      </c>
      <c r="AC411">
        <f>Tabela2[[#This Row],[kan_time_difference]]/Tabela2[[#This Row],[no_steps]]</f>
        <v>1489168.6217624717</v>
      </c>
      <c r="AE411">
        <v>20259</v>
      </c>
      <c r="AF411">
        <v>1489168.6217624717</v>
      </c>
    </row>
    <row r="412" spans="1:32" hidden="1" x14ac:dyDescent="0.25">
      <c r="A412" t="s">
        <v>314</v>
      </c>
      <c r="B412">
        <v>9</v>
      </c>
      <c r="C412">
        <v>5</v>
      </c>
      <c r="D412">
        <v>0</v>
      </c>
      <c r="E412" t="s">
        <v>351</v>
      </c>
      <c r="F412">
        <v>12436</v>
      </c>
      <c r="G412">
        <v>12070207.090909092</v>
      </c>
      <c r="H412">
        <v>0.50505051558667968</v>
      </c>
      <c r="I412">
        <v>0.68484848484848482</v>
      </c>
      <c r="J412">
        <v>7454087.4545454541</v>
      </c>
      <c r="K412">
        <v>20259</v>
      </c>
      <c r="L412">
        <v>2</v>
      </c>
      <c r="M412">
        <v>96</v>
      </c>
      <c r="N412">
        <v>0.71313131313131306</v>
      </c>
      <c r="O412">
        <v>8434630.9090909082</v>
      </c>
      <c r="P412">
        <v>20664</v>
      </c>
      <c r="Q412">
        <v>2</v>
      </c>
      <c r="R412">
        <v>97</v>
      </c>
      <c r="S412">
        <v>11.573490091223656</v>
      </c>
      <c r="T412">
        <v>0.71851851940155032</v>
      </c>
      <c r="W412">
        <f>Tabela2[[#This Row],[mlp_params]]</f>
        <v>20259</v>
      </c>
      <c r="X412">
        <f>Tabela2[[#This Row],[kan_test_acc]]</f>
        <v>0.50505051558667968</v>
      </c>
      <c r="Y412">
        <f>Tabela2[[#This Row],[kan_val_acc_1]]</f>
        <v>0.71851851940155032</v>
      </c>
      <c r="Z412">
        <f>Tabela2[[#This Row],[no_steps]]</f>
        <v>11.573490091223656</v>
      </c>
      <c r="AB412">
        <f t="shared" si="7"/>
        <v>20259</v>
      </c>
      <c r="AC412">
        <f>Tabela2[[#This Row],[kan_time_difference]]/Tabela2[[#This Row],[no_steps]]</f>
        <v>1042918.5142744541</v>
      </c>
      <c r="AE412">
        <v>20259</v>
      </c>
      <c r="AF412">
        <v>1042918.5142744541</v>
      </c>
    </row>
    <row r="413" spans="1:32" hidden="1" x14ac:dyDescent="0.25">
      <c r="A413" t="s">
        <v>314</v>
      </c>
      <c r="B413">
        <v>5</v>
      </c>
      <c r="C413">
        <v>5</v>
      </c>
      <c r="D413">
        <v>0</v>
      </c>
      <c r="E413" t="s">
        <v>354</v>
      </c>
      <c r="F413">
        <v>11398</v>
      </c>
      <c r="G413">
        <v>12848140.833333334</v>
      </c>
      <c r="H413">
        <v>0.67407409350077307</v>
      </c>
      <c r="I413">
        <v>0.68148148148148147</v>
      </c>
      <c r="J413">
        <v>19842624.666666668</v>
      </c>
      <c r="K413">
        <v>20664</v>
      </c>
      <c r="L413">
        <v>2</v>
      </c>
      <c r="M413">
        <v>97</v>
      </c>
      <c r="N413">
        <v>0.66296296296296298</v>
      </c>
      <c r="O413">
        <v>23250138.833333332</v>
      </c>
      <c r="P413">
        <v>21073</v>
      </c>
      <c r="Q413">
        <v>2</v>
      </c>
      <c r="R413">
        <v>98</v>
      </c>
      <c r="S413">
        <v>11.656868403693931</v>
      </c>
      <c r="T413">
        <v>0.814814829826355</v>
      </c>
      <c r="W413">
        <f>Tabela2[[#This Row],[mlp_params]]</f>
        <v>20664</v>
      </c>
      <c r="X413">
        <f>Tabela2[[#This Row],[kan_test_acc]]</f>
        <v>0.67407409350077307</v>
      </c>
      <c r="Y413">
        <f>Tabela2[[#This Row],[kan_val_acc_1]]</f>
        <v>0.814814829826355</v>
      </c>
      <c r="Z413">
        <f>Tabela2[[#This Row],[no_steps]]</f>
        <v>11.656868403693931</v>
      </c>
      <c r="AB413">
        <f t="shared" si="7"/>
        <v>20664</v>
      </c>
      <c r="AC413">
        <f>Tabela2[[#This Row],[kan_time_difference]]/Tabela2[[#This Row],[no_steps]]</f>
        <v>1102194.8938929345</v>
      </c>
      <c r="AE413">
        <v>20664</v>
      </c>
      <c r="AF413">
        <v>1102194.8938929345</v>
      </c>
    </row>
    <row r="414" spans="1:32" x14ac:dyDescent="0.25">
      <c r="A414" t="s">
        <v>314</v>
      </c>
      <c r="B414">
        <v>9</v>
      </c>
      <c r="C414">
        <v>4</v>
      </c>
      <c r="D414">
        <v>0</v>
      </c>
      <c r="E414" t="s">
        <v>353</v>
      </c>
      <c r="F414">
        <v>13247</v>
      </c>
      <c r="G414">
        <v>11152925.833333334</v>
      </c>
      <c r="H414">
        <v>0.53703705469767249</v>
      </c>
      <c r="I414">
        <v>0.70740740740740737</v>
      </c>
      <c r="J414">
        <v>7441682.5</v>
      </c>
      <c r="K414">
        <v>20664</v>
      </c>
      <c r="L414">
        <v>2</v>
      </c>
      <c r="M414">
        <v>97</v>
      </c>
      <c r="N414">
        <v>0.73703703703703705</v>
      </c>
      <c r="O414">
        <v>8568231.333333334</v>
      </c>
      <c r="P414">
        <v>21073</v>
      </c>
      <c r="Q414">
        <v>2</v>
      </c>
      <c r="R414">
        <v>98</v>
      </c>
      <c r="S414">
        <v>11.597057654075547</v>
      </c>
      <c r="T414">
        <v>0.68148149251937862</v>
      </c>
      <c r="W414">
        <f>Tabela2[[#This Row],[mlp_params]]</f>
        <v>20664</v>
      </c>
      <c r="X414">
        <f>Tabela2[[#This Row],[kan_test_acc]]</f>
        <v>0.53703705469767249</v>
      </c>
      <c r="Y414">
        <f>Tabela2[[#This Row],[kan_val_acc_1]]</f>
        <v>0.68148149251937862</v>
      </c>
      <c r="Z414">
        <f>Tabela2[[#This Row],[no_steps]]</f>
        <v>11.597057654075547</v>
      </c>
      <c r="AB414">
        <f t="shared" si="7"/>
        <v>20664</v>
      </c>
      <c r="AC414">
        <f>Tabela2[[#This Row],[kan_time_difference]]/Tabela2[[#This Row],[no_steps]]</f>
        <v>961703.06003556587</v>
      </c>
      <c r="AE414">
        <v>20664</v>
      </c>
      <c r="AF414">
        <v>961703.06003556587</v>
      </c>
    </row>
    <row r="415" spans="1:32" x14ac:dyDescent="0.25">
      <c r="A415" t="s">
        <v>314</v>
      </c>
      <c r="B415">
        <v>9</v>
      </c>
      <c r="C415">
        <v>4</v>
      </c>
      <c r="D415">
        <v>0</v>
      </c>
      <c r="E415" t="s">
        <v>347</v>
      </c>
      <c r="F415">
        <v>13505</v>
      </c>
      <c r="G415">
        <v>13101152.166666666</v>
      </c>
      <c r="H415">
        <v>0.52222223579883575</v>
      </c>
      <c r="I415">
        <v>0.73333333333333328</v>
      </c>
      <c r="J415">
        <v>7688009.333333333</v>
      </c>
      <c r="K415">
        <v>21073</v>
      </c>
      <c r="L415">
        <v>2</v>
      </c>
      <c r="M415">
        <v>98</v>
      </c>
      <c r="N415">
        <v>0.74444444444444446</v>
      </c>
      <c r="O415">
        <v>8954996.666666666</v>
      </c>
      <c r="P415">
        <v>21486</v>
      </c>
      <c r="Q415">
        <v>2</v>
      </c>
      <c r="R415">
        <v>99</v>
      </c>
      <c r="S415">
        <v>11.596915248847193</v>
      </c>
      <c r="T415">
        <v>0.71111110448837278</v>
      </c>
      <c r="W415">
        <f>Tabela2[[#This Row],[mlp_params]]</f>
        <v>21073</v>
      </c>
      <c r="X415">
        <f>Tabela2[[#This Row],[kan_test_acc]]</f>
        <v>0.52222223579883575</v>
      </c>
      <c r="Y415">
        <f>Tabela2[[#This Row],[kan_val_acc_1]]</f>
        <v>0.71111110448837278</v>
      </c>
      <c r="Z415">
        <f>Tabela2[[#This Row],[no_steps]]</f>
        <v>11.596915248847193</v>
      </c>
      <c r="AB415">
        <f t="shared" si="7"/>
        <v>21073</v>
      </c>
      <c r="AC415">
        <f>Tabela2[[#This Row],[kan_time_difference]]/Tabela2[[#This Row],[no_steps]]</f>
        <v>1129710.0897558946</v>
      </c>
      <c r="AE415">
        <v>21073</v>
      </c>
      <c r="AF415">
        <v>1129710.0897558946</v>
      </c>
    </row>
    <row r="416" spans="1:32" hidden="1" x14ac:dyDescent="0.25">
      <c r="A416" t="s">
        <v>314</v>
      </c>
      <c r="B416">
        <v>9</v>
      </c>
      <c r="C416">
        <v>5</v>
      </c>
      <c r="D416">
        <v>0</v>
      </c>
      <c r="E416" t="s">
        <v>338</v>
      </c>
      <c r="F416">
        <v>12984</v>
      </c>
      <c r="G416">
        <v>10223048.333333334</v>
      </c>
      <c r="H416">
        <v>0.60000001887480414</v>
      </c>
      <c r="I416">
        <v>0.7407407407407407</v>
      </c>
      <c r="J416">
        <v>8331577.166666667</v>
      </c>
      <c r="K416">
        <v>21073</v>
      </c>
      <c r="L416">
        <v>2</v>
      </c>
      <c r="M416">
        <v>98</v>
      </c>
      <c r="N416">
        <v>0.75185185185185188</v>
      </c>
      <c r="O416">
        <v>7057727.666666667</v>
      </c>
      <c r="P416">
        <v>21486</v>
      </c>
      <c r="Q416">
        <v>2</v>
      </c>
      <c r="R416">
        <v>99</v>
      </c>
      <c r="S416">
        <v>11.572647220693451</v>
      </c>
      <c r="T416">
        <v>0.87407408952713017</v>
      </c>
      <c r="W416">
        <f>Tabela2[[#This Row],[mlp_params]]</f>
        <v>21073</v>
      </c>
      <c r="X416">
        <f>Tabela2[[#This Row],[kan_test_acc]]</f>
        <v>0.60000001887480414</v>
      </c>
      <c r="Y416">
        <f>Tabela2[[#This Row],[kan_val_acc_1]]</f>
        <v>0.87407408952713017</v>
      </c>
      <c r="Z416">
        <f>Tabela2[[#This Row],[no_steps]]</f>
        <v>11.572647220693451</v>
      </c>
      <c r="AB416">
        <f t="shared" si="7"/>
        <v>21073</v>
      </c>
      <c r="AC416">
        <f>Tabela2[[#This Row],[kan_time_difference]]/Tabela2[[#This Row],[no_steps]]</f>
        <v>883380.27923750645</v>
      </c>
      <c r="AE416">
        <v>21073</v>
      </c>
      <c r="AF416">
        <v>883380.27923750645</v>
      </c>
    </row>
    <row r="417" spans="1:32" x14ac:dyDescent="0.25">
      <c r="A417" t="s">
        <v>314</v>
      </c>
      <c r="B417">
        <v>9</v>
      </c>
      <c r="C417">
        <v>4</v>
      </c>
      <c r="D417">
        <v>0</v>
      </c>
      <c r="E417" t="s">
        <v>354</v>
      </c>
      <c r="F417">
        <v>14017</v>
      </c>
      <c r="G417">
        <v>10360638.666666666</v>
      </c>
      <c r="H417">
        <v>0.5555555671453476</v>
      </c>
      <c r="I417">
        <v>0.75555555555555554</v>
      </c>
      <c r="J417">
        <v>8800966.166666666</v>
      </c>
      <c r="K417">
        <v>21486</v>
      </c>
      <c r="L417">
        <v>2</v>
      </c>
      <c r="M417">
        <v>99</v>
      </c>
      <c r="N417">
        <v>0.73333333333333328</v>
      </c>
      <c r="O417">
        <v>8207989.833333333</v>
      </c>
      <c r="P417">
        <v>21903</v>
      </c>
      <c r="Q417">
        <v>2</v>
      </c>
      <c r="R417">
        <v>100</v>
      </c>
      <c r="S417">
        <v>11.596216516970035</v>
      </c>
      <c r="T417">
        <v>0.69629629850387575</v>
      </c>
      <c r="W417">
        <f>Tabela2[[#This Row],[mlp_params]]</f>
        <v>21486</v>
      </c>
      <c r="X417">
        <f>Tabela2[[#This Row],[kan_test_acc]]</f>
        <v>0.5555555671453476</v>
      </c>
      <c r="Y417">
        <f>Tabela2[[#This Row],[kan_val_acc_1]]</f>
        <v>0.69629629850387575</v>
      </c>
      <c r="Z417">
        <f>Tabela2[[#This Row],[no_steps]]</f>
        <v>11.596216516970035</v>
      </c>
      <c r="AB417">
        <f t="shared" si="7"/>
        <v>21486</v>
      </c>
      <c r="AC417">
        <f>Tabela2[[#This Row],[kan_time_difference]]/Tabela2[[#This Row],[no_steps]]</f>
        <v>893449.91545344039</v>
      </c>
      <c r="AE417">
        <v>21486</v>
      </c>
      <c r="AF417">
        <v>893449.91545344039</v>
      </c>
    </row>
    <row r="418" spans="1:32" hidden="1" x14ac:dyDescent="0.25">
      <c r="A418" t="s">
        <v>314</v>
      </c>
      <c r="B418">
        <v>9</v>
      </c>
      <c r="C418">
        <v>5</v>
      </c>
      <c r="D418">
        <v>0</v>
      </c>
      <c r="E418" t="s">
        <v>352</v>
      </c>
      <c r="F418">
        <v>13254</v>
      </c>
      <c r="G418">
        <v>12919053</v>
      </c>
      <c r="H418">
        <v>0.52592594176530838</v>
      </c>
      <c r="I418">
        <v>0.74814814814814812</v>
      </c>
      <c r="J418">
        <v>7593092.666666667</v>
      </c>
      <c r="K418">
        <v>21486</v>
      </c>
      <c r="L418">
        <v>2</v>
      </c>
      <c r="M418">
        <v>99</v>
      </c>
      <c r="N418">
        <v>0.76111111111111107</v>
      </c>
      <c r="O418">
        <v>8308410.75</v>
      </c>
      <c r="P418">
        <v>21903</v>
      </c>
      <c r="Q418">
        <v>2</v>
      </c>
      <c r="R418">
        <v>100</v>
      </c>
      <c r="S418">
        <v>11.571198428290765</v>
      </c>
      <c r="T418">
        <v>0.72053872455250134</v>
      </c>
      <c r="W418">
        <f>Tabela2[[#This Row],[mlp_params]]</f>
        <v>21486</v>
      </c>
      <c r="X418">
        <f>Tabela2[[#This Row],[kan_test_acc]]</f>
        <v>0.52592594176530838</v>
      </c>
      <c r="Y418">
        <f>Tabela2[[#This Row],[kan_val_acc_1]]</f>
        <v>0.72053872455250134</v>
      </c>
      <c r="Z418">
        <f>Tabela2[[#This Row],[no_steps]]</f>
        <v>11.571198428290765</v>
      </c>
      <c r="AB418">
        <f t="shared" si="7"/>
        <v>21486</v>
      </c>
      <c r="AC418">
        <f>Tabela2[[#This Row],[kan_time_difference]]/Tabela2[[#This Row],[no_steps]]</f>
        <v>1116483.57601524</v>
      </c>
      <c r="AE418">
        <v>21486</v>
      </c>
      <c r="AF418">
        <v>1116483.57601524</v>
      </c>
    </row>
    <row r="419" spans="1:32" hidden="1" x14ac:dyDescent="0.25">
      <c r="A419" t="s">
        <v>314</v>
      </c>
      <c r="B419">
        <v>5</v>
      </c>
      <c r="C419">
        <v>5</v>
      </c>
      <c r="D419">
        <v>0</v>
      </c>
      <c r="E419" t="s">
        <v>355</v>
      </c>
      <c r="F419">
        <v>12024</v>
      </c>
      <c r="G419">
        <v>16363306.666666666</v>
      </c>
      <c r="H419">
        <v>0.72592594226201379</v>
      </c>
      <c r="I419">
        <v>0.67777777777777781</v>
      </c>
      <c r="J419">
        <v>17670062.166666668</v>
      </c>
      <c r="K419">
        <v>21903</v>
      </c>
      <c r="L419">
        <v>2</v>
      </c>
      <c r="M419">
        <v>100</v>
      </c>
      <c r="N419">
        <v>0.7592592592592593</v>
      </c>
      <c r="O419">
        <v>21877145.166666668</v>
      </c>
      <c r="P419">
        <v>22324</v>
      </c>
      <c r="Q419">
        <v>2</v>
      </c>
      <c r="R419">
        <v>101</v>
      </c>
      <c r="S419">
        <v>11.673896721448235</v>
      </c>
      <c r="T419">
        <v>0.83703703880310054</v>
      </c>
      <c r="W419">
        <f>Tabela2[[#This Row],[mlp_params]]</f>
        <v>21903</v>
      </c>
      <c r="X419">
        <f>Tabela2[[#This Row],[kan_test_acc]]</f>
        <v>0.72592594226201379</v>
      </c>
      <c r="Y419">
        <f>Tabela2[[#This Row],[kan_val_acc_1]]</f>
        <v>0.83703703880310054</v>
      </c>
      <c r="Z419">
        <f>Tabela2[[#This Row],[no_steps]]</f>
        <v>11.673896721448235</v>
      </c>
      <c r="AB419">
        <f t="shared" si="7"/>
        <v>21903</v>
      </c>
      <c r="AC419">
        <f>Tabela2[[#This Row],[kan_time_difference]]/Tabela2[[#This Row],[no_steps]]</f>
        <v>1401700.4824620956</v>
      </c>
      <c r="AE419">
        <v>21903</v>
      </c>
      <c r="AF419">
        <v>1401700.4824620956</v>
      </c>
    </row>
    <row r="420" spans="1:32" hidden="1" x14ac:dyDescent="0.25">
      <c r="A420" t="s">
        <v>314</v>
      </c>
      <c r="B420">
        <v>9</v>
      </c>
      <c r="C420">
        <v>5</v>
      </c>
      <c r="D420">
        <v>0</v>
      </c>
      <c r="E420" t="s">
        <v>346</v>
      </c>
      <c r="F420">
        <v>13596</v>
      </c>
      <c r="G420">
        <v>10823711.5</v>
      </c>
      <c r="H420">
        <v>0.59259261687596643</v>
      </c>
      <c r="I420">
        <v>0.71851851851851856</v>
      </c>
      <c r="J420">
        <v>9632841.666666666</v>
      </c>
      <c r="K420">
        <v>22324</v>
      </c>
      <c r="L420">
        <v>2</v>
      </c>
      <c r="M420">
        <v>101</v>
      </c>
      <c r="N420">
        <v>0.71481481481481479</v>
      </c>
      <c r="O420">
        <v>7587910.666666667</v>
      </c>
      <c r="P420">
        <v>22749</v>
      </c>
      <c r="Q420">
        <v>2</v>
      </c>
      <c r="R420">
        <v>102</v>
      </c>
      <c r="S420">
        <v>11.595637317228226</v>
      </c>
      <c r="T420">
        <v>0.71851851940155032</v>
      </c>
      <c r="W420">
        <f>Tabela2[[#This Row],[mlp_params]]</f>
        <v>22324</v>
      </c>
      <c r="X420">
        <f>Tabela2[[#This Row],[kan_test_acc]]</f>
        <v>0.59259261687596643</v>
      </c>
      <c r="Y420">
        <f>Tabela2[[#This Row],[kan_val_acc_1]]</f>
        <v>0.71851851940155032</v>
      </c>
      <c r="Z420">
        <f>Tabela2[[#This Row],[no_steps]]</f>
        <v>11.595637317228226</v>
      </c>
      <c r="AB420">
        <f t="shared" si="7"/>
        <v>22324</v>
      </c>
      <c r="AC420">
        <f>Tabela2[[#This Row],[kan_time_difference]]/Tabela2[[#This Row],[no_steps]]</f>
        <v>933429.63425724464</v>
      </c>
      <c r="AE420">
        <v>22324</v>
      </c>
      <c r="AF420">
        <v>933429.63425724464</v>
      </c>
    </row>
    <row r="421" spans="1:32" x14ac:dyDescent="0.25">
      <c r="A421" t="s">
        <v>314</v>
      </c>
      <c r="B421">
        <v>9</v>
      </c>
      <c r="C421">
        <v>4</v>
      </c>
      <c r="D421">
        <v>0</v>
      </c>
      <c r="E421" t="s">
        <v>355</v>
      </c>
      <c r="F421">
        <v>14787</v>
      </c>
      <c r="G421">
        <v>12198884.666666666</v>
      </c>
      <c r="H421">
        <v>0.78148149450620019</v>
      </c>
      <c r="I421">
        <v>0.67037037037037039</v>
      </c>
      <c r="J421">
        <v>19672581.166666668</v>
      </c>
      <c r="K421">
        <v>22749</v>
      </c>
      <c r="L421">
        <v>2</v>
      </c>
      <c r="M421">
        <v>102</v>
      </c>
      <c r="N421">
        <v>0.71481481481481479</v>
      </c>
      <c r="O421">
        <v>19043542.166666668</v>
      </c>
      <c r="P421">
        <v>23178</v>
      </c>
      <c r="Q421">
        <v>2</v>
      </c>
      <c r="R421">
        <v>103</v>
      </c>
      <c r="S421">
        <v>11.626651095360824</v>
      </c>
      <c r="T421">
        <v>0.82962963581085203</v>
      </c>
      <c r="W421">
        <f>Tabela2[[#This Row],[mlp_params]]</f>
        <v>22749</v>
      </c>
      <c r="X421">
        <f>Tabela2[[#This Row],[kan_test_acc]]</f>
        <v>0.78148149450620019</v>
      </c>
      <c r="Y421">
        <f>Tabela2[[#This Row],[kan_val_acc_1]]</f>
        <v>0.82962963581085203</v>
      </c>
      <c r="Z421">
        <f>Tabela2[[#This Row],[no_steps]]</f>
        <v>11.626651095360824</v>
      </c>
      <c r="AB421">
        <f t="shared" si="7"/>
        <v>22749</v>
      </c>
      <c r="AC421">
        <f>Tabela2[[#This Row],[kan_time_difference]]/Tabela2[[#This Row],[no_steps]]</f>
        <v>1049217.4028972255</v>
      </c>
      <c r="AE421">
        <v>22749</v>
      </c>
      <c r="AF421">
        <v>1049217.4028972255</v>
      </c>
    </row>
    <row r="422" spans="1:32" hidden="1" x14ac:dyDescent="0.25">
      <c r="A422" t="s">
        <v>314</v>
      </c>
      <c r="B422">
        <v>9</v>
      </c>
      <c r="C422">
        <v>5</v>
      </c>
      <c r="D422">
        <v>0</v>
      </c>
      <c r="E422" t="s">
        <v>353</v>
      </c>
      <c r="F422">
        <v>14072</v>
      </c>
      <c r="G422">
        <v>9551242.166666666</v>
      </c>
      <c r="H422">
        <v>0.47037038703759509</v>
      </c>
      <c r="I422">
        <v>0.73333333333333328</v>
      </c>
      <c r="J422">
        <v>9194750.833333334</v>
      </c>
      <c r="K422">
        <v>22749</v>
      </c>
      <c r="L422">
        <v>2</v>
      </c>
      <c r="M422">
        <v>102</v>
      </c>
      <c r="N422">
        <v>0.76296296296296295</v>
      </c>
      <c r="O422">
        <v>8052349.333333333</v>
      </c>
      <c r="P422">
        <v>23178</v>
      </c>
      <c r="Q422">
        <v>2</v>
      </c>
      <c r="R422">
        <v>103</v>
      </c>
      <c r="S422">
        <v>11.594581711289425</v>
      </c>
      <c r="T422">
        <v>0.85185186862945561</v>
      </c>
      <c r="W422">
        <f>Tabela2[[#This Row],[mlp_params]]</f>
        <v>22749</v>
      </c>
      <c r="X422">
        <f>Tabela2[[#This Row],[kan_test_acc]]</f>
        <v>0.47037038703759509</v>
      </c>
      <c r="Y422">
        <f>Tabela2[[#This Row],[kan_val_acc_1]]</f>
        <v>0.85185186862945561</v>
      </c>
      <c r="Z422">
        <f>Tabela2[[#This Row],[no_steps]]</f>
        <v>11.594581711289425</v>
      </c>
      <c r="AB422">
        <f t="shared" si="7"/>
        <v>22749</v>
      </c>
      <c r="AC422">
        <f>Tabela2[[#This Row],[kan_time_difference]]/Tabela2[[#This Row],[no_steps]]</f>
        <v>823767.7222427784</v>
      </c>
    </row>
    <row r="423" spans="1:32" hidden="1" x14ac:dyDescent="0.25">
      <c r="A423" t="s">
        <v>314</v>
      </c>
      <c r="B423">
        <v>9</v>
      </c>
      <c r="C423">
        <v>5</v>
      </c>
      <c r="D423">
        <v>0</v>
      </c>
      <c r="E423" t="s">
        <v>347</v>
      </c>
      <c r="F423">
        <v>14346</v>
      </c>
      <c r="G423">
        <v>10492484.5</v>
      </c>
      <c r="H423">
        <v>0.54814816514650977</v>
      </c>
      <c r="I423">
        <v>0.7592592592592593</v>
      </c>
      <c r="J423">
        <v>8501152.333333334</v>
      </c>
      <c r="K423">
        <v>23178</v>
      </c>
      <c r="L423">
        <v>2</v>
      </c>
      <c r="M423">
        <v>103</v>
      </c>
      <c r="N423">
        <v>0.7407407407407407</v>
      </c>
      <c r="O423">
        <v>8390971.666666666</v>
      </c>
      <c r="P423">
        <v>23611</v>
      </c>
      <c r="Q423">
        <v>2</v>
      </c>
      <c r="R423">
        <v>104</v>
      </c>
      <c r="S423">
        <v>11.593566322478157</v>
      </c>
      <c r="T423">
        <v>0.87407408952713017</v>
      </c>
      <c r="W423">
        <f>Tabela2[[#This Row],[mlp_params]]</f>
        <v>23178</v>
      </c>
      <c r="X423">
        <f>Tabela2[[#This Row],[kan_test_acc]]</f>
        <v>0.54814816514650977</v>
      </c>
      <c r="Y423">
        <f>Tabela2[[#This Row],[kan_val_acc_1]]</f>
        <v>0.87407408952713017</v>
      </c>
      <c r="Z423">
        <f>Tabela2[[#This Row],[no_steps]]</f>
        <v>11.593566322478157</v>
      </c>
      <c r="AB423">
        <f t="shared" si="7"/>
        <v>23178</v>
      </c>
      <c r="AC423">
        <f>Tabela2[[#This Row],[kan_time_difference]]/Tabela2[[#This Row],[no_steps]]</f>
        <v>905026.47831984819</v>
      </c>
    </row>
    <row r="424" spans="1:32" hidden="1" x14ac:dyDescent="0.25">
      <c r="A424" t="s">
        <v>314</v>
      </c>
      <c r="B424">
        <v>9</v>
      </c>
      <c r="C424">
        <v>5</v>
      </c>
      <c r="D424">
        <v>0</v>
      </c>
      <c r="E424" t="s">
        <v>354</v>
      </c>
      <c r="F424">
        <v>14890</v>
      </c>
      <c r="G424">
        <v>10902984.166666666</v>
      </c>
      <c r="H424">
        <v>0.4851851960023244</v>
      </c>
      <c r="I424">
        <v>0.73333333333333339</v>
      </c>
      <c r="J424">
        <v>9011503.5</v>
      </c>
      <c r="K424">
        <v>24489</v>
      </c>
      <c r="L424">
        <v>2</v>
      </c>
      <c r="M424">
        <v>106</v>
      </c>
      <c r="N424">
        <v>0.68888888888888888</v>
      </c>
      <c r="O424">
        <v>9522208</v>
      </c>
      <c r="P424">
        <v>24934</v>
      </c>
      <c r="Q424">
        <v>2</v>
      </c>
      <c r="R424">
        <v>107</v>
      </c>
      <c r="S424">
        <v>11.592829349638688</v>
      </c>
      <c r="T424">
        <v>0.84444445371627808</v>
      </c>
      <c r="W424">
        <f>Tabela2[[#This Row],[mlp_params]]</f>
        <v>24489</v>
      </c>
      <c r="X424">
        <f>Tabela2[[#This Row],[kan_test_acc]]</f>
        <v>0.4851851960023244</v>
      </c>
      <c r="Y424">
        <f>Tabela2[[#This Row],[kan_val_acc_1]]</f>
        <v>0.84444445371627808</v>
      </c>
      <c r="Z424">
        <f>Tabela2[[#This Row],[no_steps]]</f>
        <v>11.592829349638688</v>
      </c>
      <c r="AB424">
        <f t="shared" si="7"/>
        <v>24489</v>
      </c>
      <c r="AC424">
        <f>Tabela2[[#This Row],[kan_time_difference]]/Tabela2[[#This Row],[no_steps]]</f>
        <v>940493.8033532321</v>
      </c>
    </row>
    <row r="425" spans="1:32" hidden="1" x14ac:dyDescent="0.25">
      <c r="A425" t="s">
        <v>314</v>
      </c>
      <c r="B425">
        <v>9</v>
      </c>
      <c r="C425">
        <v>5</v>
      </c>
      <c r="D425">
        <v>0</v>
      </c>
      <c r="E425" t="s">
        <v>355</v>
      </c>
      <c r="F425">
        <v>15708</v>
      </c>
      <c r="G425">
        <v>11378233</v>
      </c>
      <c r="H425">
        <v>0.55555557211240136</v>
      </c>
      <c r="I425">
        <v>0.74444444444444446</v>
      </c>
      <c r="J425">
        <v>8200220.666666667</v>
      </c>
      <c r="K425">
        <v>25836</v>
      </c>
      <c r="L425">
        <v>2</v>
      </c>
      <c r="M425">
        <v>109</v>
      </c>
      <c r="N425">
        <v>0.73703703703703705</v>
      </c>
      <c r="O425">
        <v>7793316.333333333</v>
      </c>
      <c r="P425">
        <v>26293</v>
      </c>
      <c r="Q425">
        <v>2</v>
      </c>
      <c r="R425">
        <v>110</v>
      </c>
      <c r="S425">
        <v>11.592053032708796</v>
      </c>
      <c r="T425">
        <v>0.83703705072402956</v>
      </c>
      <c r="W425">
        <f>Tabela2[[#This Row],[mlp_params]]</f>
        <v>25836</v>
      </c>
      <c r="X425">
        <f>Tabela2[[#This Row],[kan_test_acc]]</f>
        <v>0.55555557211240136</v>
      </c>
      <c r="Y425">
        <f>Tabela2[[#This Row],[kan_val_acc_1]]</f>
        <v>0.83703705072402956</v>
      </c>
      <c r="Z425">
        <f>Tabela2[[#This Row],[no_steps]]</f>
        <v>11.592053032708796</v>
      </c>
      <c r="AB425">
        <f t="shared" si="7"/>
        <v>25836</v>
      </c>
      <c r="AC425">
        <f>Tabela2[[#This Row],[kan_time_difference]]/Tabela2[[#This Row],[no_steps]]</f>
        <v>981554.60192379483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E788B2-538E-497B-B92B-C4698B3CBE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Digits</vt:lpstr>
      <vt:lpstr>wszystko i kroki sorted (3)</vt:lpstr>
      <vt:lpstr>Cancer</vt:lpstr>
      <vt:lpstr>Iris</vt:lpstr>
      <vt:lpstr>Wine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Marta Chadała</dc:creator>
  <cp:lastModifiedBy>Marta Chadała</cp:lastModifiedBy>
  <dcterms:created xsi:type="dcterms:W3CDTF">2025-06-02T14:49:32Z</dcterms:created>
  <dcterms:modified xsi:type="dcterms:W3CDTF">2025-09-04T06:42:54Z</dcterms:modified>
</cp:coreProperties>
</file>
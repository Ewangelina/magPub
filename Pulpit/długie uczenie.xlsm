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 D\Desktop\"/>
    </mc:Choice>
  </mc:AlternateContent>
  <xr:revisionPtr revIDLastSave="0" documentId="13_ncr:1_{108B65CD-97C9-4EC5-AC07-019F1E0C6040}" xr6:coauthVersionLast="47" xr6:coauthVersionMax="47" xr10:uidLastSave="{00000000-0000-0000-0000-000000000000}"/>
  <bookViews>
    <workbookView xWindow="-120" yWindow="-120" windowWidth="29040" windowHeight="15990" activeTab="2" xr2:uid="{7DD8A87A-6049-480E-BA2F-642910F98060}"/>
  </bookViews>
  <sheets>
    <sheet name="Cancer" sheetId="4" r:id="rId1"/>
    <sheet name="27_text_logs_full_output" sheetId="7" r:id="rId2"/>
    <sheet name="Iris" sheetId="5" r:id="rId3"/>
    <sheet name="Wine" sheetId="6" r:id="rId4"/>
  </sheets>
  <definedNames>
    <definedName name="ExternalData_1" localSheetId="1" hidden="1">'27_text_logs_full_output'!$A$1:$AB$771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6" l="1"/>
  <c r="AE3" i="6"/>
  <c r="AF3" i="6"/>
  <c r="AG3" i="6"/>
  <c r="AH3" i="6"/>
  <c r="AI3" i="6"/>
  <c r="AJ3" i="6"/>
  <c r="AD4" i="6"/>
  <c r="AE4" i="6"/>
  <c r="AF4" i="6"/>
  <c r="AG4" i="6"/>
  <c r="AH4" i="6"/>
  <c r="AI4" i="6"/>
  <c r="AJ4" i="6"/>
  <c r="AD5" i="6"/>
  <c r="AE5" i="6"/>
  <c r="AF5" i="6"/>
  <c r="AG5" i="6"/>
  <c r="AH5" i="6"/>
  <c r="AI5" i="6"/>
  <c r="AJ5" i="6"/>
  <c r="AD6" i="6"/>
  <c r="AE6" i="6"/>
  <c r="AF6" i="6"/>
  <c r="AG6" i="6"/>
  <c r="AH6" i="6"/>
  <c r="AI6" i="6"/>
  <c r="AJ6" i="6"/>
  <c r="AD7" i="6"/>
  <c r="AE7" i="6"/>
  <c r="AF7" i="6"/>
  <c r="AG7" i="6"/>
  <c r="AH7" i="6"/>
  <c r="AI7" i="6"/>
  <c r="AJ7" i="6"/>
  <c r="AD8" i="6"/>
  <c r="AE8" i="6"/>
  <c r="AF8" i="6"/>
  <c r="AG8" i="6"/>
  <c r="AH8" i="6"/>
  <c r="AI8" i="6"/>
  <c r="AJ8" i="6"/>
  <c r="AD9" i="6"/>
  <c r="AE9" i="6"/>
  <c r="AF9" i="6"/>
  <c r="AG9" i="6"/>
  <c r="AH9" i="6"/>
  <c r="AI9" i="6"/>
  <c r="AJ9" i="6"/>
  <c r="AD10" i="6"/>
  <c r="AE10" i="6"/>
  <c r="AF10" i="6"/>
  <c r="AG10" i="6"/>
  <c r="AH10" i="6"/>
  <c r="AI10" i="6"/>
  <c r="AJ10" i="6"/>
  <c r="AD11" i="6"/>
  <c r="AE11" i="6"/>
  <c r="AF11" i="6"/>
  <c r="AG11" i="6"/>
  <c r="AH11" i="6"/>
  <c r="AI11" i="6"/>
  <c r="AJ11" i="6"/>
  <c r="AD12" i="6"/>
  <c r="AE12" i="6"/>
  <c r="AF12" i="6"/>
  <c r="AG12" i="6"/>
  <c r="AH12" i="6"/>
  <c r="AI12" i="6"/>
  <c r="AJ12" i="6"/>
  <c r="AD13" i="6"/>
  <c r="AE13" i="6"/>
  <c r="AF13" i="6"/>
  <c r="AG13" i="6"/>
  <c r="AH13" i="6"/>
  <c r="AI13" i="6"/>
  <c r="AJ13" i="6"/>
  <c r="AD14" i="6"/>
  <c r="AE14" i="6"/>
  <c r="AF14" i="6"/>
  <c r="AG14" i="6"/>
  <c r="AH14" i="6"/>
  <c r="AI14" i="6"/>
  <c r="AJ14" i="6"/>
  <c r="AD15" i="6"/>
  <c r="AE15" i="6"/>
  <c r="AF15" i="6"/>
  <c r="AG15" i="6"/>
  <c r="AH15" i="6"/>
  <c r="AI15" i="6"/>
  <c r="AJ15" i="6"/>
  <c r="AD16" i="6"/>
  <c r="AE16" i="6"/>
  <c r="AF16" i="6"/>
  <c r="AG16" i="6"/>
  <c r="AH16" i="6"/>
  <c r="AI16" i="6"/>
  <c r="AJ16" i="6"/>
  <c r="AD17" i="6"/>
  <c r="AE17" i="6"/>
  <c r="AF17" i="6"/>
  <c r="AG17" i="6"/>
  <c r="AH17" i="6"/>
  <c r="AI17" i="6"/>
  <c r="AJ17" i="6"/>
  <c r="AD18" i="6"/>
  <c r="AE18" i="6"/>
  <c r="AF18" i="6"/>
  <c r="AG18" i="6"/>
  <c r="AH18" i="6"/>
  <c r="AI18" i="6"/>
  <c r="AJ18" i="6"/>
  <c r="AD19" i="6"/>
  <c r="AE19" i="6"/>
  <c r="AF19" i="6"/>
  <c r="AG19" i="6"/>
  <c r="AH19" i="6"/>
  <c r="AI19" i="6"/>
  <c r="AJ19" i="6"/>
  <c r="AD20" i="6"/>
  <c r="AE20" i="6"/>
  <c r="AF20" i="6"/>
  <c r="AG20" i="6"/>
  <c r="AH20" i="6"/>
  <c r="AI20" i="6"/>
  <c r="AJ20" i="6"/>
  <c r="AD21" i="6"/>
  <c r="AE21" i="6"/>
  <c r="AF21" i="6"/>
  <c r="AG21" i="6"/>
  <c r="AH21" i="6"/>
  <c r="AI21" i="6"/>
  <c r="AJ21" i="6"/>
  <c r="AD22" i="6"/>
  <c r="AE22" i="6"/>
  <c r="AF22" i="6"/>
  <c r="AG22" i="6"/>
  <c r="AH22" i="6"/>
  <c r="AI22" i="6"/>
  <c r="AJ22" i="6"/>
  <c r="AD23" i="6"/>
  <c r="AE23" i="6"/>
  <c r="AF23" i="6"/>
  <c r="AG23" i="6"/>
  <c r="AH23" i="6"/>
  <c r="AI23" i="6"/>
  <c r="AJ23" i="6"/>
  <c r="AD24" i="6"/>
  <c r="AE24" i="6"/>
  <c r="AF24" i="6"/>
  <c r="AG24" i="6"/>
  <c r="AH24" i="6"/>
  <c r="AI24" i="6"/>
  <c r="AJ24" i="6"/>
  <c r="AD25" i="6"/>
  <c r="AE25" i="6"/>
  <c r="AF25" i="6"/>
  <c r="AG25" i="6"/>
  <c r="AH25" i="6"/>
  <c r="AI25" i="6"/>
  <c r="AJ25" i="6"/>
  <c r="AD26" i="6"/>
  <c r="AE26" i="6"/>
  <c r="AF26" i="6"/>
  <c r="AG26" i="6"/>
  <c r="AH26" i="6"/>
  <c r="AI26" i="6"/>
  <c r="AJ26" i="6"/>
  <c r="AD27" i="6"/>
  <c r="AE27" i="6"/>
  <c r="AF27" i="6"/>
  <c r="AG27" i="6"/>
  <c r="AH27" i="6"/>
  <c r="AI27" i="6"/>
  <c r="AJ27" i="6"/>
  <c r="AD28" i="6"/>
  <c r="AE28" i="6"/>
  <c r="AF28" i="6"/>
  <c r="AG28" i="6"/>
  <c r="AH28" i="6"/>
  <c r="AI28" i="6"/>
  <c r="AJ28" i="6"/>
  <c r="AD29" i="6"/>
  <c r="AE29" i="6"/>
  <c r="AF29" i="6"/>
  <c r="AG29" i="6"/>
  <c r="AH29" i="6"/>
  <c r="AI29" i="6"/>
  <c r="AJ29" i="6"/>
  <c r="AD30" i="6"/>
  <c r="AE30" i="6"/>
  <c r="AF30" i="6"/>
  <c r="AG30" i="6"/>
  <c r="AH30" i="6"/>
  <c r="AI30" i="6"/>
  <c r="AJ30" i="6"/>
  <c r="AD31" i="6"/>
  <c r="AE31" i="6"/>
  <c r="AF31" i="6"/>
  <c r="AG31" i="6"/>
  <c r="AH31" i="6"/>
  <c r="AI31" i="6"/>
  <c r="AJ31" i="6"/>
  <c r="AD32" i="6"/>
  <c r="AE32" i="6"/>
  <c r="AF32" i="6"/>
  <c r="AG32" i="6"/>
  <c r="AH32" i="6"/>
  <c r="AI32" i="6"/>
  <c r="AJ32" i="6"/>
  <c r="AD33" i="6"/>
  <c r="AE33" i="6"/>
  <c r="AF33" i="6"/>
  <c r="AG33" i="6"/>
  <c r="AH33" i="6"/>
  <c r="AI33" i="6"/>
  <c r="AJ33" i="6"/>
  <c r="AD34" i="6"/>
  <c r="AE34" i="6"/>
  <c r="AF34" i="6"/>
  <c r="AG34" i="6"/>
  <c r="AH34" i="6"/>
  <c r="AI34" i="6"/>
  <c r="AJ34" i="6"/>
  <c r="AD35" i="6"/>
  <c r="AE35" i="6"/>
  <c r="AF35" i="6"/>
  <c r="AG35" i="6"/>
  <c r="AH35" i="6"/>
  <c r="AI35" i="6"/>
  <c r="AJ35" i="6"/>
  <c r="AD36" i="6"/>
  <c r="AE36" i="6"/>
  <c r="AF36" i="6"/>
  <c r="AG36" i="6"/>
  <c r="AH36" i="6"/>
  <c r="AI36" i="6"/>
  <c r="AJ36" i="6"/>
  <c r="AD37" i="6"/>
  <c r="AE37" i="6"/>
  <c r="AF37" i="6"/>
  <c r="AG37" i="6"/>
  <c r="AH37" i="6"/>
  <c r="AI37" i="6"/>
  <c r="AJ37" i="6"/>
  <c r="AD38" i="6"/>
  <c r="AE38" i="6"/>
  <c r="AF38" i="6"/>
  <c r="AG38" i="6"/>
  <c r="AH38" i="6"/>
  <c r="AI38" i="6"/>
  <c r="AJ38" i="6"/>
  <c r="AD39" i="6"/>
  <c r="AE39" i="6"/>
  <c r="AF39" i="6"/>
  <c r="AG39" i="6"/>
  <c r="AH39" i="6"/>
  <c r="AI39" i="6"/>
  <c r="AJ39" i="6"/>
  <c r="AD40" i="6"/>
  <c r="AE40" i="6"/>
  <c r="AF40" i="6"/>
  <c r="AG40" i="6"/>
  <c r="AH40" i="6"/>
  <c r="AI40" i="6"/>
  <c r="AJ40" i="6"/>
  <c r="AD41" i="6"/>
  <c r="AE41" i="6"/>
  <c r="AF41" i="6"/>
  <c r="AG41" i="6"/>
  <c r="AH41" i="6"/>
  <c r="AI41" i="6"/>
  <c r="AJ41" i="6"/>
  <c r="AD42" i="6"/>
  <c r="AE42" i="6"/>
  <c r="AF42" i="6"/>
  <c r="AG42" i="6"/>
  <c r="AH42" i="6"/>
  <c r="AI42" i="6"/>
  <c r="AJ42" i="6"/>
  <c r="AD43" i="6"/>
  <c r="AE43" i="6"/>
  <c r="AF43" i="6"/>
  <c r="AG43" i="6"/>
  <c r="AH43" i="6"/>
  <c r="AI43" i="6"/>
  <c r="AJ43" i="6"/>
  <c r="AD44" i="6"/>
  <c r="AE44" i="6"/>
  <c r="AF44" i="6"/>
  <c r="AG44" i="6"/>
  <c r="AH44" i="6"/>
  <c r="AI44" i="6"/>
  <c r="AJ44" i="6"/>
  <c r="AD45" i="6"/>
  <c r="AE45" i="6"/>
  <c r="AF45" i="6"/>
  <c r="AG45" i="6"/>
  <c r="AH45" i="6"/>
  <c r="AI45" i="6"/>
  <c r="AJ45" i="6"/>
  <c r="AD46" i="6"/>
  <c r="AE46" i="6"/>
  <c r="AF46" i="6"/>
  <c r="AG46" i="6"/>
  <c r="AH46" i="6"/>
  <c r="AI46" i="6"/>
  <c r="AJ46" i="6"/>
  <c r="AD47" i="6"/>
  <c r="AE47" i="6"/>
  <c r="AF47" i="6"/>
  <c r="AG47" i="6"/>
  <c r="AH47" i="6"/>
  <c r="AI47" i="6"/>
  <c r="AJ47" i="6"/>
  <c r="AD48" i="6"/>
  <c r="AE48" i="6"/>
  <c r="AF48" i="6"/>
  <c r="AG48" i="6"/>
  <c r="AH48" i="6"/>
  <c r="AI48" i="6"/>
  <c r="AJ48" i="6"/>
  <c r="AD49" i="6"/>
  <c r="AE49" i="6"/>
  <c r="AF49" i="6"/>
  <c r="AG49" i="6"/>
  <c r="AH49" i="6"/>
  <c r="AI49" i="6"/>
  <c r="AJ49" i="6"/>
  <c r="AD50" i="6"/>
  <c r="AE50" i="6"/>
  <c r="AF50" i="6"/>
  <c r="AG50" i="6"/>
  <c r="AH50" i="6"/>
  <c r="AI50" i="6"/>
  <c r="AJ50" i="6"/>
  <c r="AD51" i="6"/>
  <c r="AE51" i="6"/>
  <c r="AF51" i="6"/>
  <c r="AG51" i="6"/>
  <c r="AH51" i="6"/>
  <c r="AI51" i="6"/>
  <c r="AJ51" i="6"/>
  <c r="AD52" i="6"/>
  <c r="AE52" i="6"/>
  <c r="AF52" i="6"/>
  <c r="AG52" i="6"/>
  <c r="AH52" i="6"/>
  <c r="AI52" i="6"/>
  <c r="AJ52" i="6"/>
  <c r="AD53" i="6"/>
  <c r="AE53" i="6"/>
  <c r="AF53" i="6"/>
  <c r="AG53" i="6"/>
  <c r="AH53" i="6"/>
  <c r="AI53" i="6"/>
  <c r="AJ53" i="6"/>
  <c r="AD54" i="6"/>
  <c r="AE54" i="6"/>
  <c r="AF54" i="6"/>
  <c r="AG54" i="6"/>
  <c r="AH54" i="6"/>
  <c r="AI54" i="6"/>
  <c r="AJ54" i="6"/>
  <c r="AD55" i="6"/>
  <c r="AE55" i="6"/>
  <c r="AF55" i="6"/>
  <c r="AG55" i="6"/>
  <c r="AH55" i="6"/>
  <c r="AI55" i="6"/>
  <c r="AJ55" i="6"/>
  <c r="AD56" i="6"/>
  <c r="AE56" i="6"/>
  <c r="AF56" i="6"/>
  <c r="AG56" i="6"/>
  <c r="AH56" i="6"/>
  <c r="AI56" i="6"/>
  <c r="AJ56" i="6"/>
  <c r="AD57" i="6"/>
  <c r="AE57" i="6"/>
  <c r="AF57" i="6"/>
  <c r="AG57" i="6"/>
  <c r="AH57" i="6"/>
  <c r="AI57" i="6"/>
  <c r="AJ57" i="6"/>
  <c r="AD58" i="6"/>
  <c r="AE58" i="6"/>
  <c r="AF58" i="6"/>
  <c r="AG58" i="6"/>
  <c r="AH58" i="6"/>
  <c r="AI58" i="6"/>
  <c r="AJ58" i="6"/>
  <c r="AD59" i="6"/>
  <c r="AE59" i="6"/>
  <c r="AF59" i="6"/>
  <c r="AG59" i="6"/>
  <c r="AH59" i="6"/>
  <c r="AI59" i="6"/>
  <c r="AJ59" i="6"/>
  <c r="AD60" i="6"/>
  <c r="AE60" i="6"/>
  <c r="AF60" i="6"/>
  <c r="AG60" i="6"/>
  <c r="AH60" i="6"/>
  <c r="AI60" i="6"/>
  <c r="AJ60" i="6"/>
  <c r="AD61" i="6"/>
  <c r="AE61" i="6"/>
  <c r="AF61" i="6"/>
  <c r="AG61" i="6"/>
  <c r="AH61" i="6"/>
  <c r="AI61" i="6"/>
  <c r="AJ61" i="6"/>
  <c r="AD62" i="6"/>
  <c r="AE62" i="6"/>
  <c r="AF62" i="6"/>
  <c r="AG62" i="6"/>
  <c r="AH62" i="6"/>
  <c r="AI62" i="6"/>
  <c r="AJ62" i="6"/>
  <c r="AD63" i="6"/>
  <c r="AE63" i="6"/>
  <c r="AF63" i="6"/>
  <c r="AG63" i="6"/>
  <c r="AH63" i="6"/>
  <c r="AI63" i="6"/>
  <c r="AJ63" i="6"/>
  <c r="AD64" i="6"/>
  <c r="AE64" i="6"/>
  <c r="AF64" i="6"/>
  <c r="AG64" i="6"/>
  <c r="AH64" i="6"/>
  <c r="AI64" i="6"/>
  <c r="AJ64" i="6"/>
  <c r="AD65" i="6"/>
  <c r="AE65" i="6"/>
  <c r="AF65" i="6"/>
  <c r="AG65" i="6"/>
  <c r="AH65" i="6"/>
  <c r="AI65" i="6"/>
  <c r="AJ65" i="6"/>
  <c r="AD66" i="6"/>
  <c r="AE66" i="6"/>
  <c r="AF66" i="6"/>
  <c r="AG66" i="6"/>
  <c r="AH66" i="6"/>
  <c r="AI66" i="6"/>
  <c r="AJ66" i="6"/>
  <c r="AD67" i="6"/>
  <c r="AE67" i="6"/>
  <c r="AF67" i="6"/>
  <c r="AG67" i="6"/>
  <c r="AH67" i="6"/>
  <c r="AI67" i="6"/>
  <c r="AJ67" i="6"/>
  <c r="AD68" i="6"/>
  <c r="AE68" i="6"/>
  <c r="AF68" i="6"/>
  <c r="AG68" i="6"/>
  <c r="AH68" i="6"/>
  <c r="AI68" i="6"/>
  <c r="AJ68" i="6"/>
  <c r="AD69" i="6"/>
  <c r="AE69" i="6"/>
  <c r="AF69" i="6"/>
  <c r="AG69" i="6"/>
  <c r="AH69" i="6"/>
  <c r="AI69" i="6"/>
  <c r="AJ69" i="6"/>
  <c r="AD70" i="6"/>
  <c r="AE70" i="6"/>
  <c r="AF70" i="6"/>
  <c r="AG70" i="6"/>
  <c r="AH70" i="6"/>
  <c r="AI70" i="6"/>
  <c r="AJ70" i="6"/>
  <c r="AD71" i="6"/>
  <c r="AE71" i="6"/>
  <c r="AF71" i="6"/>
  <c r="AG71" i="6"/>
  <c r="AH71" i="6"/>
  <c r="AI71" i="6"/>
  <c r="AJ71" i="6"/>
  <c r="AD72" i="6"/>
  <c r="AE72" i="6"/>
  <c r="AF72" i="6"/>
  <c r="AG72" i="6"/>
  <c r="AH72" i="6"/>
  <c r="AI72" i="6"/>
  <c r="AJ72" i="6"/>
  <c r="AD73" i="6"/>
  <c r="AE73" i="6"/>
  <c r="AF73" i="6"/>
  <c r="AG73" i="6"/>
  <c r="AH73" i="6"/>
  <c r="AI73" i="6"/>
  <c r="AJ73" i="6"/>
  <c r="AD74" i="6"/>
  <c r="AE74" i="6"/>
  <c r="AF74" i="6"/>
  <c r="AG74" i="6"/>
  <c r="AH74" i="6"/>
  <c r="AI74" i="6"/>
  <c r="AJ74" i="6"/>
  <c r="AD75" i="6"/>
  <c r="AE75" i="6"/>
  <c r="AF75" i="6"/>
  <c r="AG75" i="6"/>
  <c r="AH75" i="6"/>
  <c r="AI75" i="6"/>
  <c r="AJ75" i="6"/>
  <c r="AD76" i="6"/>
  <c r="AE76" i="6"/>
  <c r="AF76" i="6"/>
  <c r="AG76" i="6"/>
  <c r="AH76" i="6"/>
  <c r="AI76" i="6"/>
  <c r="AJ76" i="6"/>
  <c r="AD77" i="6"/>
  <c r="AE77" i="6"/>
  <c r="AF77" i="6"/>
  <c r="AG77" i="6"/>
  <c r="AH77" i="6"/>
  <c r="AI77" i="6"/>
  <c r="AJ77" i="6"/>
  <c r="AD78" i="6"/>
  <c r="AE78" i="6"/>
  <c r="AF78" i="6"/>
  <c r="AG78" i="6"/>
  <c r="AH78" i="6"/>
  <c r="AI78" i="6"/>
  <c r="AJ78" i="6"/>
  <c r="AD79" i="6"/>
  <c r="AE79" i="6"/>
  <c r="AF79" i="6"/>
  <c r="AG79" i="6"/>
  <c r="AH79" i="6"/>
  <c r="AI79" i="6"/>
  <c r="AJ79" i="6"/>
  <c r="AD80" i="6"/>
  <c r="AE80" i="6"/>
  <c r="AF80" i="6"/>
  <c r="AG80" i="6"/>
  <c r="AH80" i="6"/>
  <c r="AI80" i="6"/>
  <c r="AJ80" i="6"/>
  <c r="AD81" i="6"/>
  <c r="AE81" i="6"/>
  <c r="AF81" i="6"/>
  <c r="AG81" i="6"/>
  <c r="AH81" i="6"/>
  <c r="AI81" i="6"/>
  <c r="AJ81" i="6"/>
  <c r="AD82" i="6"/>
  <c r="AE82" i="6"/>
  <c r="AF82" i="6"/>
  <c r="AG82" i="6"/>
  <c r="AH82" i="6"/>
  <c r="AI82" i="6"/>
  <c r="AJ82" i="6"/>
  <c r="AD83" i="6"/>
  <c r="AE83" i="6"/>
  <c r="AF83" i="6"/>
  <c r="AG83" i="6"/>
  <c r="AH83" i="6"/>
  <c r="AI83" i="6"/>
  <c r="AJ83" i="6"/>
  <c r="AD84" i="6"/>
  <c r="AE84" i="6"/>
  <c r="AF84" i="6"/>
  <c r="AG84" i="6"/>
  <c r="AH84" i="6"/>
  <c r="AI84" i="6"/>
  <c r="AJ84" i="6"/>
  <c r="AD85" i="6"/>
  <c r="AE85" i="6"/>
  <c r="AF85" i="6"/>
  <c r="AG85" i="6"/>
  <c r="AH85" i="6"/>
  <c r="AI85" i="6"/>
  <c r="AJ85" i="6"/>
  <c r="AD86" i="6"/>
  <c r="AE86" i="6"/>
  <c r="AF86" i="6"/>
  <c r="AG86" i="6"/>
  <c r="AH86" i="6"/>
  <c r="AI86" i="6"/>
  <c r="AJ86" i="6"/>
  <c r="AD87" i="6"/>
  <c r="AE87" i="6"/>
  <c r="AF87" i="6"/>
  <c r="AG87" i="6"/>
  <c r="AH87" i="6"/>
  <c r="AI87" i="6"/>
  <c r="AJ87" i="6"/>
  <c r="AD88" i="6"/>
  <c r="AE88" i="6"/>
  <c r="AF88" i="6"/>
  <c r="AG88" i="6"/>
  <c r="AH88" i="6"/>
  <c r="AI88" i="6"/>
  <c r="AJ88" i="6"/>
  <c r="AD89" i="6"/>
  <c r="AE89" i="6"/>
  <c r="AF89" i="6"/>
  <c r="AG89" i="6"/>
  <c r="AH89" i="6"/>
  <c r="AI89" i="6"/>
  <c r="AJ89" i="6"/>
  <c r="AD90" i="6"/>
  <c r="AE90" i="6"/>
  <c r="AF90" i="6"/>
  <c r="AG90" i="6"/>
  <c r="AH90" i="6"/>
  <c r="AI90" i="6"/>
  <c r="AJ90" i="6"/>
  <c r="AD91" i="6"/>
  <c r="AE91" i="6"/>
  <c r="AF91" i="6"/>
  <c r="AG91" i="6"/>
  <c r="AH91" i="6"/>
  <c r="AI91" i="6"/>
  <c r="AJ91" i="6"/>
  <c r="AD92" i="6"/>
  <c r="AE92" i="6"/>
  <c r="AF92" i="6"/>
  <c r="AG92" i="6"/>
  <c r="AH92" i="6"/>
  <c r="AI92" i="6"/>
  <c r="AJ92" i="6"/>
  <c r="AD93" i="6"/>
  <c r="AE93" i="6"/>
  <c r="AF93" i="6"/>
  <c r="AG93" i="6"/>
  <c r="AH93" i="6"/>
  <c r="AI93" i="6"/>
  <c r="AJ93" i="6"/>
  <c r="AD94" i="6"/>
  <c r="AE94" i="6"/>
  <c r="AF94" i="6"/>
  <c r="AG94" i="6"/>
  <c r="AH94" i="6"/>
  <c r="AI94" i="6"/>
  <c r="AJ94" i="6"/>
  <c r="AD95" i="6"/>
  <c r="AE95" i="6"/>
  <c r="AF95" i="6"/>
  <c r="AG95" i="6"/>
  <c r="AH95" i="6"/>
  <c r="AI95" i="6"/>
  <c r="AJ95" i="6"/>
  <c r="AD96" i="6"/>
  <c r="AE96" i="6"/>
  <c r="AF96" i="6"/>
  <c r="AG96" i="6"/>
  <c r="AH96" i="6"/>
  <c r="AI96" i="6"/>
  <c r="AJ96" i="6"/>
  <c r="AD2" i="6"/>
  <c r="AJ1" i="6"/>
  <c r="AJ2" i="6"/>
  <c r="AF1" i="6"/>
  <c r="AG1" i="6"/>
  <c r="AH1" i="6"/>
  <c r="AI1" i="6"/>
  <c r="AF2" i="6"/>
  <c r="AG2" i="6"/>
  <c r="AH2" i="6"/>
  <c r="AI2" i="6"/>
  <c r="AE2" i="6"/>
  <c r="AE1" i="6"/>
  <c r="AD3" i="5"/>
  <c r="AE3" i="5"/>
  <c r="AF3" i="5"/>
  <c r="AG3" i="5"/>
  <c r="AH3" i="5"/>
  <c r="AI3" i="5"/>
  <c r="AJ3" i="5"/>
  <c r="AD4" i="5"/>
  <c r="AE4" i="5"/>
  <c r="AF4" i="5"/>
  <c r="AG4" i="5"/>
  <c r="AH4" i="5"/>
  <c r="AI4" i="5"/>
  <c r="AJ4" i="5"/>
  <c r="AD5" i="5"/>
  <c r="AE5" i="5"/>
  <c r="AF5" i="5"/>
  <c r="AG5" i="5"/>
  <c r="AH5" i="5"/>
  <c r="AI5" i="5"/>
  <c r="AJ5" i="5"/>
  <c r="AD6" i="5"/>
  <c r="AE6" i="5"/>
  <c r="AF6" i="5"/>
  <c r="AG6" i="5"/>
  <c r="AH6" i="5"/>
  <c r="AI6" i="5"/>
  <c r="AJ6" i="5"/>
  <c r="AD7" i="5"/>
  <c r="AE7" i="5"/>
  <c r="AF7" i="5"/>
  <c r="AG7" i="5"/>
  <c r="AH7" i="5"/>
  <c r="AI7" i="5"/>
  <c r="AJ7" i="5"/>
  <c r="AD8" i="5"/>
  <c r="AE8" i="5"/>
  <c r="AF8" i="5"/>
  <c r="AG8" i="5"/>
  <c r="AH8" i="5"/>
  <c r="AI8" i="5"/>
  <c r="AJ8" i="5"/>
  <c r="AD9" i="5"/>
  <c r="AE9" i="5"/>
  <c r="AF9" i="5"/>
  <c r="AG9" i="5"/>
  <c r="AH9" i="5"/>
  <c r="AI9" i="5"/>
  <c r="AJ9" i="5"/>
  <c r="AD10" i="5"/>
  <c r="AE10" i="5"/>
  <c r="AF10" i="5"/>
  <c r="AG10" i="5"/>
  <c r="AH10" i="5"/>
  <c r="AI10" i="5"/>
  <c r="AJ10" i="5"/>
  <c r="AD11" i="5"/>
  <c r="AE11" i="5"/>
  <c r="AF11" i="5"/>
  <c r="AG11" i="5"/>
  <c r="AH11" i="5"/>
  <c r="AI11" i="5"/>
  <c r="AJ11" i="5"/>
  <c r="AD12" i="5"/>
  <c r="AE12" i="5"/>
  <c r="AF12" i="5"/>
  <c r="AG12" i="5"/>
  <c r="AH12" i="5"/>
  <c r="AI12" i="5"/>
  <c r="AJ12" i="5"/>
  <c r="AD13" i="5"/>
  <c r="AE13" i="5"/>
  <c r="AF13" i="5"/>
  <c r="AG13" i="5"/>
  <c r="AH13" i="5"/>
  <c r="AI13" i="5"/>
  <c r="AJ13" i="5"/>
  <c r="AD14" i="5"/>
  <c r="AE14" i="5"/>
  <c r="AF14" i="5"/>
  <c r="AG14" i="5"/>
  <c r="AH14" i="5"/>
  <c r="AI14" i="5"/>
  <c r="AJ14" i="5"/>
  <c r="AD15" i="5"/>
  <c r="AE15" i="5"/>
  <c r="AF15" i="5"/>
  <c r="AG15" i="5"/>
  <c r="AH15" i="5"/>
  <c r="AI15" i="5"/>
  <c r="AJ15" i="5"/>
  <c r="AD16" i="5"/>
  <c r="AE16" i="5"/>
  <c r="AF16" i="5"/>
  <c r="AG16" i="5"/>
  <c r="AH16" i="5"/>
  <c r="AI16" i="5"/>
  <c r="AJ16" i="5"/>
  <c r="AD17" i="5"/>
  <c r="AE17" i="5"/>
  <c r="AF17" i="5"/>
  <c r="AG17" i="5"/>
  <c r="AH17" i="5"/>
  <c r="AI17" i="5"/>
  <c r="AJ17" i="5"/>
  <c r="AD18" i="5"/>
  <c r="AE18" i="5"/>
  <c r="AF18" i="5"/>
  <c r="AG18" i="5"/>
  <c r="AH18" i="5"/>
  <c r="AI18" i="5"/>
  <c r="AJ18" i="5"/>
  <c r="AD19" i="5"/>
  <c r="AE19" i="5"/>
  <c r="AF19" i="5"/>
  <c r="AG19" i="5"/>
  <c r="AH19" i="5"/>
  <c r="AI19" i="5"/>
  <c r="AJ19" i="5"/>
  <c r="AD20" i="5"/>
  <c r="AE20" i="5"/>
  <c r="AF20" i="5"/>
  <c r="AG20" i="5"/>
  <c r="AH20" i="5"/>
  <c r="AI20" i="5"/>
  <c r="AJ20" i="5"/>
  <c r="AD21" i="5"/>
  <c r="AE21" i="5"/>
  <c r="AF21" i="5"/>
  <c r="AG21" i="5"/>
  <c r="AH21" i="5"/>
  <c r="AI21" i="5"/>
  <c r="AJ21" i="5"/>
  <c r="AD22" i="5"/>
  <c r="AE22" i="5"/>
  <c r="AF22" i="5"/>
  <c r="AG22" i="5"/>
  <c r="AH22" i="5"/>
  <c r="AI22" i="5"/>
  <c r="AJ22" i="5"/>
  <c r="AD23" i="5"/>
  <c r="AE23" i="5"/>
  <c r="AF23" i="5"/>
  <c r="AG23" i="5"/>
  <c r="AH23" i="5"/>
  <c r="AI23" i="5"/>
  <c r="AJ23" i="5"/>
  <c r="AD24" i="5"/>
  <c r="AE24" i="5"/>
  <c r="AF24" i="5"/>
  <c r="AG24" i="5"/>
  <c r="AH24" i="5"/>
  <c r="AI24" i="5"/>
  <c r="AJ24" i="5"/>
  <c r="AD25" i="5"/>
  <c r="AE25" i="5"/>
  <c r="AF25" i="5"/>
  <c r="AG25" i="5"/>
  <c r="AH25" i="5"/>
  <c r="AI25" i="5"/>
  <c r="AJ25" i="5"/>
  <c r="AD26" i="5"/>
  <c r="AE26" i="5"/>
  <c r="AF26" i="5"/>
  <c r="AG26" i="5"/>
  <c r="AH26" i="5"/>
  <c r="AI26" i="5"/>
  <c r="AJ26" i="5"/>
  <c r="AD27" i="5"/>
  <c r="AE27" i="5"/>
  <c r="AF27" i="5"/>
  <c r="AG27" i="5"/>
  <c r="AH27" i="5"/>
  <c r="AI27" i="5"/>
  <c r="AJ27" i="5"/>
  <c r="AD28" i="5"/>
  <c r="AE28" i="5"/>
  <c r="AF28" i="5"/>
  <c r="AG28" i="5"/>
  <c r="AH28" i="5"/>
  <c r="AI28" i="5"/>
  <c r="AJ28" i="5"/>
  <c r="AD29" i="5"/>
  <c r="AE29" i="5"/>
  <c r="AF29" i="5"/>
  <c r="AG29" i="5"/>
  <c r="AH29" i="5"/>
  <c r="AI29" i="5"/>
  <c r="AJ29" i="5"/>
  <c r="AD30" i="5"/>
  <c r="AE30" i="5"/>
  <c r="AF30" i="5"/>
  <c r="AG30" i="5"/>
  <c r="AH30" i="5"/>
  <c r="AI30" i="5"/>
  <c r="AJ30" i="5"/>
  <c r="AD31" i="5"/>
  <c r="AE31" i="5"/>
  <c r="AF31" i="5"/>
  <c r="AG31" i="5"/>
  <c r="AH31" i="5"/>
  <c r="AI31" i="5"/>
  <c r="AJ31" i="5"/>
  <c r="AD32" i="5"/>
  <c r="AE32" i="5"/>
  <c r="AF32" i="5"/>
  <c r="AG32" i="5"/>
  <c r="AH32" i="5"/>
  <c r="AI32" i="5"/>
  <c r="AJ32" i="5"/>
  <c r="AD33" i="5"/>
  <c r="AE33" i="5"/>
  <c r="AF33" i="5"/>
  <c r="AG33" i="5"/>
  <c r="AH33" i="5"/>
  <c r="AI33" i="5"/>
  <c r="AJ33" i="5"/>
  <c r="AD34" i="5"/>
  <c r="AE34" i="5"/>
  <c r="AF34" i="5"/>
  <c r="AG34" i="5"/>
  <c r="AH34" i="5"/>
  <c r="AI34" i="5"/>
  <c r="AJ34" i="5"/>
  <c r="AD35" i="5"/>
  <c r="AE35" i="5"/>
  <c r="AF35" i="5"/>
  <c r="AG35" i="5"/>
  <c r="AH35" i="5"/>
  <c r="AI35" i="5"/>
  <c r="AJ35" i="5"/>
  <c r="AD36" i="5"/>
  <c r="AE36" i="5"/>
  <c r="AF36" i="5"/>
  <c r="AG36" i="5"/>
  <c r="AH36" i="5"/>
  <c r="AI36" i="5"/>
  <c r="AJ36" i="5"/>
  <c r="AD37" i="5"/>
  <c r="AE37" i="5"/>
  <c r="AF37" i="5"/>
  <c r="AG37" i="5"/>
  <c r="AH37" i="5"/>
  <c r="AI37" i="5"/>
  <c r="AJ37" i="5"/>
  <c r="AD38" i="5"/>
  <c r="AE38" i="5"/>
  <c r="AF38" i="5"/>
  <c r="AG38" i="5"/>
  <c r="AH38" i="5"/>
  <c r="AI38" i="5"/>
  <c r="AJ38" i="5"/>
  <c r="AD39" i="5"/>
  <c r="AE39" i="5"/>
  <c r="AF39" i="5"/>
  <c r="AG39" i="5"/>
  <c r="AH39" i="5"/>
  <c r="AI39" i="5"/>
  <c r="AJ39" i="5"/>
  <c r="AD40" i="5"/>
  <c r="AE40" i="5"/>
  <c r="AF40" i="5"/>
  <c r="AG40" i="5"/>
  <c r="AH40" i="5"/>
  <c r="AI40" i="5"/>
  <c r="AJ40" i="5"/>
  <c r="AD41" i="5"/>
  <c r="AE41" i="5"/>
  <c r="AF41" i="5"/>
  <c r="AG41" i="5"/>
  <c r="AH41" i="5"/>
  <c r="AI41" i="5"/>
  <c r="AJ41" i="5"/>
  <c r="AF1" i="5"/>
  <c r="AG1" i="5"/>
  <c r="AH1" i="5"/>
  <c r="AI1" i="5"/>
  <c r="AJ1" i="5"/>
  <c r="AF2" i="5"/>
  <c r="AG2" i="5"/>
  <c r="AH2" i="5"/>
  <c r="AI2" i="5"/>
  <c r="AJ2" i="5"/>
  <c r="AE1" i="5"/>
  <c r="AE2" i="5"/>
  <c r="AD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769F15-6FC3-446A-BEC3-052BFF7A347F}" keepAlive="1" name="Zapytanie — 27_text_logs_full_output" description="Połączenie z zapytaniem „27_text_logs_full_output” w skoroszycie." type="5" refreshedVersion="8" background="1" saveData="1">
    <dbPr connection="Provider=Microsoft.Mashup.OleDb.1;Data Source=$Workbook$;Location=27_text_logs_full_output;Extended Properties=&quot;&quot;" command="SELECT * FROM [27_text_logs_full_output]"/>
  </connection>
  <connection id="2" xr16:uid="{4661A6BD-2C06-400C-9DCC-B79BEE9DFFF6}" keepAlive="1" name="Zapytanie — 27_text_logs_full_output merged" description="Połączenie z zapytaniem „27_text_logs_full_output merged” w skoroszycie." type="5" refreshedVersion="8" background="1" saveData="1">
    <dbPr connection="Provider=Microsoft.Mashup.OleDb.1;Data Source=$Workbook$;Location=&quot;27_text_logs_full_output merged&quot;;Extended Properties=&quot;&quot;" command="SELECT * FROM [27_text_logs_full_output merged]"/>
  </connection>
</connections>
</file>

<file path=xl/sharedStrings.xml><?xml version="1.0" encoding="utf-8"?>
<sst xmlns="http://schemas.openxmlformats.org/spreadsheetml/2006/main" count="1964" uniqueCount="78">
  <si>
    <t>dataset_name</t>
  </si>
  <si>
    <t>kan_grid</t>
  </si>
  <si>
    <t>kan_grid_passed_parameter</t>
  </si>
  <si>
    <t>kan_degree</t>
  </si>
  <si>
    <t>kan_lam</t>
  </si>
  <si>
    <t>kan_width</t>
  </si>
  <si>
    <t>kan_params</t>
  </si>
  <si>
    <t>kan_time_difference</t>
  </si>
  <si>
    <t>kan_steps</t>
  </si>
  <si>
    <t>kan_train_acc</t>
  </si>
  <si>
    <t>kan_val_acc</t>
  </si>
  <si>
    <t>kan_test_acc</t>
  </si>
  <si>
    <t>mlp_test_acc</t>
  </si>
  <si>
    <t>mlp_val_acc</t>
  </si>
  <si>
    <t>mlp_train_acc</t>
  </si>
  <si>
    <t>mlp_steps</t>
  </si>
  <si>
    <t>mlp_time_difference</t>
  </si>
  <si>
    <t>mlp_params</t>
  </si>
  <si>
    <t>mlp_no_layers</t>
  </si>
  <si>
    <t>mlp_width_layers</t>
  </si>
  <si>
    <t>mlp2_test_acc</t>
  </si>
  <si>
    <t>mlp2_val_acc</t>
  </si>
  <si>
    <t>mlp2_train_acc</t>
  </si>
  <si>
    <t>mlp2_steps</t>
  </si>
  <si>
    <t>mlp2_time_difference</t>
  </si>
  <si>
    <t>mlp2_params</t>
  </si>
  <si>
    <t>no_layers2</t>
  </si>
  <si>
    <t>width_layers2</t>
  </si>
  <si>
    <t>Cancer</t>
  </si>
  <si>
    <t>[30, 22, 2]</t>
  </si>
  <si>
    <t>[30, 27, 2]</t>
  </si>
  <si>
    <t>[30, 32, 2]</t>
  </si>
  <si>
    <t>[30, 37, 2]</t>
  </si>
  <si>
    <t>[30, 42, 2]</t>
  </si>
  <si>
    <t>[30, 47, 2]</t>
  </si>
  <si>
    <t>[30, 52, 2]</t>
  </si>
  <si>
    <t>[30, 57, 2]</t>
  </si>
  <si>
    <t>[30, 62, 2]</t>
  </si>
  <si>
    <t>[30, 34, 35, 2]</t>
  </si>
  <si>
    <t>[30, 34, 40, 2]</t>
  </si>
  <si>
    <t>[30, 34, 45, 2]</t>
  </si>
  <si>
    <t>[30, 34, 50, 2]</t>
  </si>
  <si>
    <t>[30, 30, 30, 2]</t>
  </si>
  <si>
    <t>[30, 30, 35, 2]</t>
  </si>
  <si>
    <t>Iris</t>
  </si>
  <si>
    <t>[4, 10, 4, 3]</t>
  </si>
  <si>
    <t>[4, 10, 9, 3]</t>
  </si>
  <si>
    <t>[4, 12, 4, 3]</t>
  </si>
  <si>
    <t>[4, 12, 9, 3]</t>
  </si>
  <si>
    <t>[4, 3, 3]</t>
  </si>
  <si>
    <t>[4, 4, 4, 3]</t>
  </si>
  <si>
    <t>[4, 4, 9, 3]</t>
  </si>
  <si>
    <t>[4, 6, 4, 3]</t>
  </si>
  <si>
    <t>[4, 6, 9, 3]</t>
  </si>
  <si>
    <t>[4, 8, 3]</t>
  </si>
  <si>
    <t>[4, 8, 4, 3]</t>
  </si>
  <si>
    <t>[4, 8, 9, 3]</t>
  </si>
  <si>
    <t>Wine</t>
  </si>
  <si>
    <t>[13, 13, 13, 3]</t>
  </si>
  <si>
    <t>[13, 13, 18, 3]</t>
  </si>
  <si>
    <t>[13, 13, 23, 3]</t>
  </si>
  <si>
    <t>[13, 14, 3]</t>
  </si>
  <si>
    <t>[13, 15, 13, 3]</t>
  </si>
  <si>
    <t>[13, 15, 18, 3]</t>
  </si>
  <si>
    <t>[13, 15, 23, 3]</t>
  </si>
  <si>
    <t>[13, 17, 13, 3]</t>
  </si>
  <si>
    <t>[13, 17, 18, 3]</t>
  </si>
  <si>
    <t>[13, 17, 23, 3]</t>
  </si>
  <si>
    <t>[13, 19, 13, 3]</t>
  </si>
  <si>
    <t>[13, 19, 18, 3]</t>
  </si>
  <si>
    <t>[13, 19, 23, 3]</t>
  </si>
  <si>
    <t>[13, 19, 3]</t>
  </si>
  <si>
    <t>[13, 21, 13, 3]</t>
  </si>
  <si>
    <t>[13, 21, 18, 3]</t>
  </si>
  <si>
    <t>[13, 21, 23, 3]</t>
  </si>
  <si>
    <t>[13, 24, 3]</t>
  </si>
  <si>
    <t>[13, 9, 3]</t>
  </si>
  <si>
    <t>Parametry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</si>
</sst>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0" fillId="0" borderId="0" xfId="0" applyNumberFormat="1"/>
  </cellXfs>
  <cellStyles count="1">
    <cellStyle name="Normalny" xfId="0" builtinId="0"/>
  </cellStyles>
  <dxfs count="8">
    <dxf>
      <numFmt numFmtId="0" formatCode="General"/>
    </dxf>
    <dxf>
      <numFmt numFmtId="0" formatCode="General"/>
    </dxf>
    <dxf>
      <border outline="0">
        <bottom style="thin">
          <color theme="9" tint="0.39997558519241921"/>
        </bottom>
      </border>
    </dxf>
    <dxf>
      <border outline="0">
        <top style="thin">
          <color theme="9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9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9"/>
          <bgColor theme="9"/>
        </patternFill>
      </fill>
    </dxf>
    <dxf>
      <border outline="0">
        <bottom style="thin">
          <color theme="9" tint="0.39997558519241921"/>
        </bottom>
      </border>
    </dxf>
    <dxf>
      <border outline="0">
        <top style="thin">
          <color theme="9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Iris!$AE$1</c:f>
              <c:strCache>
                <c:ptCount val="1"/>
                <c:pt idx="0">
                  <c:v>kan_train_acc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Iris!$AD$2:$AD$41</c:f>
              <c:numCache>
                <c:formatCode>General</c:formatCode>
                <c:ptCount val="40"/>
                <c:pt idx="0">
                  <c:v>1213</c:v>
                </c:pt>
                <c:pt idx="1">
                  <c:v>793</c:v>
                </c:pt>
                <c:pt idx="2">
                  <c:v>583</c:v>
                </c:pt>
                <c:pt idx="3">
                  <c:v>2063</c:v>
                </c:pt>
                <c:pt idx="4">
                  <c:v>2403</c:v>
                </c:pt>
                <c:pt idx="5">
                  <c:v>1423</c:v>
                </c:pt>
                <c:pt idx="6">
                  <c:v>342</c:v>
                </c:pt>
                <c:pt idx="7">
                  <c:v>279</c:v>
                </c:pt>
                <c:pt idx="8">
                  <c:v>907</c:v>
                </c:pt>
                <c:pt idx="9">
                  <c:v>1043</c:v>
                </c:pt>
                <c:pt idx="10">
                  <c:v>1723</c:v>
                </c:pt>
                <c:pt idx="11">
                  <c:v>1003</c:v>
                </c:pt>
                <c:pt idx="12">
                  <c:v>1383</c:v>
                </c:pt>
                <c:pt idx="13">
                  <c:v>1489</c:v>
                </c:pt>
                <c:pt idx="14">
                  <c:v>739</c:v>
                </c:pt>
                <c:pt idx="15">
                  <c:v>2952</c:v>
                </c:pt>
                <c:pt idx="16">
                  <c:v>1231</c:v>
                </c:pt>
                <c:pt idx="17">
                  <c:v>1747</c:v>
                </c:pt>
                <c:pt idx="18">
                  <c:v>1280</c:v>
                </c:pt>
                <c:pt idx="19">
                  <c:v>973</c:v>
                </c:pt>
                <c:pt idx="20">
                  <c:v>2534</c:v>
                </c:pt>
                <c:pt idx="21">
                  <c:v>2116</c:v>
                </c:pt>
                <c:pt idx="22">
                  <c:v>1075</c:v>
                </c:pt>
                <c:pt idx="23">
                  <c:v>1243</c:v>
                </c:pt>
                <c:pt idx="24">
                  <c:v>715</c:v>
                </c:pt>
                <c:pt idx="25">
                  <c:v>1698</c:v>
                </c:pt>
                <c:pt idx="26">
                  <c:v>468</c:v>
                </c:pt>
                <c:pt idx="27">
                  <c:v>1459</c:v>
                </c:pt>
                <c:pt idx="28">
                  <c:v>1765</c:v>
                </c:pt>
                <c:pt idx="29">
                  <c:v>1754</c:v>
                </c:pt>
                <c:pt idx="30">
                  <c:v>3005</c:v>
                </c:pt>
                <c:pt idx="31">
                  <c:v>405</c:v>
                </c:pt>
                <c:pt idx="32">
                  <c:v>2013</c:v>
                </c:pt>
                <c:pt idx="33">
                  <c:v>1153</c:v>
                </c:pt>
                <c:pt idx="34">
                  <c:v>2509</c:v>
                </c:pt>
                <c:pt idx="35">
                  <c:v>979</c:v>
                </c:pt>
                <c:pt idx="36">
                  <c:v>847</c:v>
                </c:pt>
                <c:pt idx="37">
                  <c:v>2071</c:v>
                </c:pt>
                <c:pt idx="38">
                  <c:v>1517</c:v>
                </c:pt>
                <c:pt idx="39">
                  <c:v>3501</c:v>
                </c:pt>
              </c:numCache>
            </c:numRef>
          </c:xVal>
          <c:yVal>
            <c:numRef>
              <c:f>Iris!$AE$2:$AE$41</c:f>
              <c:numCache>
                <c:formatCode>General</c:formatCode>
                <c:ptCount val="40"/>
                <c:pt idx="0">
                  <c:v>0.9617977619171143</c:v>
                </c:pt>
                <c:pt idx="1">
                  <c:v>0.95056180953979497</c:v>
                </c:pt>
                <c:pt idx="2">
                  <c:v>0.96629214286804199</c:v>
                </c:pt>
                <c:pt idx="3">
                  <c:v>0.9573033809661865</c:v>
                </c:pt>
                <c:pt idx="4">
                  <c:v>0.94382023811340332</c:v>
                </c:pt>
                <c:pt idx="5">
                  <c:v>0.94382023811340332</c:v>
                </c:pt>
                <c:pt idx="6">
                  <c:v>0.95280898809432979</c:v>
                </c:pt>
                <c:pt idx="7">
                  <c:v>0.95505619049072266</c:v>
                </c:pt>
                <c:pt idx="8">
                  <c:v>0.9573033809661865</c:v>
                </c:pt>
                <c:pt idx="9">
                  <c:v>0.93483147621154783</c:v>
                </c:pt>
                <c:pt idx="10">
                  <c:v>0.94831461906433101</c:v>
                </c:pt>
                <c:pt idx="11">
                  <c:v>0.93483146429061892</c:v>
                </c:pt>
                <c:pt idx="12">
                  <c:v>0.94606742858886717</c:v>
                </c:pt>
                <c:pt idx="13">
                  <c:v>0.91910113096237178</c:v>
                </c:pt>
                <c:pt idx="14">
                  <c:v>0.93483147621154783</c:v>
                </c:pt>
                <c:pt idx="15">
                  <c:v>0.89887641668319707</c:v>
                </c:pt>
                <c:pt idx="16">
                  <c:v>0.86292135715484619</c:v>
                </c:pt>
                <c:pt idx="17">
                  <c:v>0.79550561904907224</c:v>
                </c:pt>
                <c:pt idx="18">
                  <c:v>0.76853934526443479</c:v>
                </c:pt>
                <c:pt idx="19">
                  <c:v>0.81348315477371214</c:v>
                </c:pt>
                <c:pt idx="20">
                  <c:v>0.77977528572082522</c:v>
                </c:pt>
                <c:pt idx="21">
                  <c:v>0.75280897617340092</c:v>
                </c:pt>
                <c:pt idx="22">
                  <c:v>0.80449439883232121</c:v>
                </c:pt>
                <c:pt idx="23">
                  <c:v>0.6898876428604126</c:v>
                </c:pt>
                <c:pt idx="24">
                  <c:v>0.73707866668701172</c:v>
                </c:pt>
                <c:pt idx="25">
                  <c:v>0.74606741666793819</c:v>
                </c:pt>
                <c:pt idx="26">
                  <c:v>0.55056179761886592</c:v>
                </c:pt>
                <c:pt idx="27">
                  <c:v>0.49662921428680418</c:v>
                </c:pt>
                <c:pt idx="28">
                  <c:v>0.4696629226207733</c:v>
                </c:pt>
                <c:pt idx="29">
                  <c:v>0.41573032736778259</c:v>
                </c:pt>
                <c:pt idx="30">
                  <c:v>0.4786516845226288</c:v>
                </c:pt>
                <c:pt idx="31">
                  <c:v>0.47191012203693389</c:v>
                </c:pt>
                <c:pt idx="32">
                  <c:v>0.42921348810195925</c:v>
                </c:pt>
                <c:pt idx="33">
                  <c:v>0.43820223808288572</c:v>
                </c:pt>
                <c:pt idx="34">
                  <c:v>0.39775281548500063</c:v>
                </c:pt>
                <c:pt idx="35">
                  <c:v>0.35056179165840151</c:v>
                </c:pt>
                <c:pt idx="36">
                  <c:v>0.42134831349054974</c:v>
                </c:pt>
                <c:pt idx="37">
                  <c:v>0.34831460671765463</c:v>
                </c:pt>
                <c:pt idx="38">
                  <c:v>0.37752808630466461</c:v>
                </c:pt>
                <c:pt idx="39">
                  <c:v>0.32359551191329955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80-40B3-A6B9-B1E5C5698E8E}"/>
            </c:ext>
          </c:extLst>
        </c:ser>
        <c:ser>
          <c:idx val="1"/>
          <c:order val="1"/>
          <c:tx>
            <c:strRef>
              <c:f>Iris!$AF$1</c:f>
              <c:strCache>
                <c:ptCount val="1"/>
                <c:pt idx="0">
                  <c:v>kan_val_acc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Iris!$AD$2:$AD$41</c:f>
              <c:numCache>
                <c:formatCode>General</c:formatCode>
                <c:ptCount val="40"/>
                <c:pt idx="0">
                  <c:v>1213</c:v>
                </c:pt>
                <c:pt idx="1">
                  <c:v>793</c:v>
                </c:pt>
                <c:pt idx="2">
                  <c:v>583</c:v>
                </c:pt>
                <c:pt idx="3">
                  <c:v>2063</c:v>
                </c:pt>
                <c:pt idx="4">
                  <c:v>2403</c:v>
                </c:pt>
                <c:pt idx="5">
                  <c:v>1423</c:v>
                </c:pt>
                <c:pt idx="6">
                  <c:v>342</c:v>
                </c:pt>
                <c:pt idx="7">
                  <c:v>279</c:v>
                </c:pt>
                <c:pt idx="8">
                  <c:v>907</c:v>
                </c:pt>
                <c:pt idx="9">
                  <c:v>1043</c:v>
                </c:pt>
                <c:pt idx="10">
                  <c:v>1723</c:v>
                </c:pt>
                <c:pt idx="11">
                  <c:v>1003</c:v>
                </c:pt>
                <c:pt idx="12">
                  <c:v>1383</c:v>
                </c:pt>
                <c:pt idx="13">
                  <c:v>1489</c:v>
                </c:pt>
                <c:pt idx="14">
                  <c:v>739</c:v>
                </c:pt>
                <c:pt idx="15">
                  <c:v>2952</c:v>
                </c:pt>
                <c:pt idx="16">
                  <c:v>1231</c:v>
                </c:pt>
                <c:pt idx="17">
                  <c:v>1747</c:v>
                </c:pt>
                <c:pt idx="18">
                  <c:v>1280</c:v>
                </c:pt>
                <c:pt idx="19">
                  <c:v>973</c:v>
                </c:pt>
                <c:pt idx="20">
                  <c:v>2534</c:v>
                </c:pt>
                <c:pt idx="21">
                  <c:v>2116</c:v>
                </c:pt>
                <c:pt idx="22">
                  <c:v>1075</c:v>
                </c:pt>
                <c:pt idx="23">
                  <c:v>1243</c:v>
                </c:pt>
                <c:pt idx="24">
                  <c:v>715</c:v>
                </c:pt>
                <c:pt idx="25">
                  <c:v>1698</c:v>
                </c:pt>
                <c:pt idx="26">
                  <c:v>468</c:v>
                </c:pt>
                <c:pt idx="27">
                  <c:v>1459</c:v>
                </c:pt>
                <c:pt idx="28">
                  <c:v>1765</c:v>
                </c:pt>
                <c:pt idx="29">
                  <c:v>1754</c:v>
                </c:pt>
                <c:pt idx="30">
                  <c:v>3005</c:v>
                </c:pt>
                <c:pt idx="31">
                  <c:v>405</c:v>
                </c:pt>
                <c:pt idx="32">
                  <c:v>2013</c:v>
                </c:pt>
                <c:pt idx="33">
                  <c:v>1153</c:v>
                </c:pt>
                <c:pt idx="34">
                  <c:v>2509</c:v>
                </c:pt>
                <c:pt idx="35">
                  <c:v>979</c:v>
                </c:pt>
                <c:pt idx="36">
                  <c:v>847</c:v>
                </c:pt>
                <c:pt idx="37">
                  <c:v>2071</c:v>
                </c:pt>
                <c:pt idx="38">
                  <c:v>1517</c:v>
                </c:pt>
                <c:pt idx="39">
                  <c:v>3501</c:v>
                </c:pt>
              </c:numCache>
            </c:numRef>
          </c:xVal>
          <c:yVal>
            <c:numRef>
              <c:f>Iris!$AF$2:$AF$41</c:f>
              <c:numCache>
                <c:formatCode>General</c:formatCode>
                <c:ptCount val="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0.99130434989929195</c:v>
                </c:pt>
                <c:pt idx="16">
                  <c:v>0.97391303777694704</c:v>
                </c:pt>
                <c:pt idx="17">
                  <c:v>0.97391304969787595</c:v>
                </c:pt>
                <c:pt idx="18">
                  <c:v>0.95652173757553105</c:v>
                </c:pt>
                <c:pt idx="19">
                  <c:v>0.99130434989929195</c:v>
                </c:pt>
                <c:pt idx="20">
                  <c:v>0.97391304969787595</c:v>
                </c:pt>
                <c:pt idx="21">
                  <c:v>0.96521739959716801</c:v>
                </c:pt>
                <c:pt idx="22">
                  <c:v>0.98260869979858401</c:v>
                </c:pt>
                <c:pt idx="23">
                  <c:v>0.88695652484893794</c:v>
                </c:pt>
                <c:pt idx="24">
                  <c:v>0.97391304969787595</c:v>
                </c:pt>
                <c:pt idx="25">
                  <c:v>0.96521739959716801</c:v>
                </c:pt>
                <c:pt idx="26">
                  <c:v>0.83478258848190312</c:v>
                </c:pt>
                <c:pt idx="27">
                  <c:v>0.75652173757553098</c:v>
                </c:pt>
                <c:pt idx="28">
                  <c:v>0.81739128828048702</c:v>
                </c:pt>
                <c:pt idx="29">
                  <c:v>0.95652174949645996</c:v>
                </c:pt>
                <c:pt idx="30">
                  <c:v>0.79999998807907102</c:v>
                </c:pt>
                <c:pt idx="31">
                  <c:v>0.91304347515106199</c:v>
                </c:pt>
                <c:pt idx="32">
                  <c:v>0.79999998807907102</c:v>
                </c:pt>
                <c:pt idx="33">
                  <c:v>0.85217390060424802</c:v>
                </c:pt>
                <c:pt idx="34">
                  <c:v>0.85217390060424802</c:v>
                </c:pt>
                <c:pt idx="35">
                  <c:v>0.80869563817977907</c:v>
                </c:pt>
                <c:pt idx="36">
                  <c:v>0.77536232272783912</c:v>
                </c:pt>
                <c:pt idx="37">
                  <c:v>0.73291925873075214</c:v>
                </c:pt>
                <c:pt idx="38">
                  <c:v>0.75652173757553098</c:v>
                </c:pt>
                <c:pt idx="39">
                  <c:v>0.79130434989929199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80-40B3-A6B9-B1E5C5698E8E}"/>
            </c:ext>
          </c:extLst>
        </c:ser>
        <c:ser>
          <c:idx val="2"/>
          <c:order val="2"/>
          <c:tx>
            <c:strRef>
              <c:f>Iris!$AG$1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Iris!$AD$2:$AD$41</c:f>
              <c:numCache>
                <c:formatCode>General</c:formatCode>
                <c:ptCount val="40"/>
                <c:pt idx="0">
                  <c:v>1213</c:v>
                </c:pt>
                <c:pt idx="1">
                  <c:v>793</c:v>
                </c:pt>
                <c:pt idx="2">
                  <c:v>583</c:v>
                </c:pt>
                <c:pt idx="3">
                  <c:v>2063</c:v>
                </c:pt>
                <c:pt idx="4">
                  <c:v>2403</c:v>
                </c:pt>
                <c:pt idx="5">
                  <c:v>1423</c:v>
                </c:pt>
                <c:pt idx="6">
                  <c:v>342</c:v>
                </c:pt>
                <c:pt idx="7">
                  <c:v>279</c:v>
                </c:pt>
                <c:pt idx="8">
                  <c:v>907</c:v>
                </c:pt>
                <c:pt idx="9">
                  <c:v>1043</c:v>
                </c:pt>
                <c:pt idx="10">
                  <c:v>1723</c:v>
                </c:pt>
                <c:pt idx="11">
                  <c:v>1003</c:v>
                </c:pt>
                <c:pt idx="12">
                  <c:v>1383</c:v>
                </c:pt>
                <c:pt idx="13">
                  <c:v>1489</c:v>
                </c:pt>
                <c:pt idx="14">
                  <c:v>739</c:v>
                </c:pt>
                <c:pt idx="15">
                  <c:v>2952</c:v>
                </c:pt>
                <c:pt idx="16">
                  <c:v>1231</c:v>
                </c:pt>
                <c:pt idx="17">
                  <c:v>1747</c:v>
                </c:pt>
                <c:pt idx="18">
                  <c:v>1280</c:v>
                </c:pt>
                <c:pt idx="19">
                  <c:v>973</c:v>
                </c:pt>
                <c:pt idx="20">
                  <c:v>2534</c:v>
                </c:pt>
                <c:pt idx="21">
                  <c:v>2116</c:v>
                </c:pt>
                <c:pt idx="22">
                  <c:v>1075</c:v>
                </c:pt>
                <c:pt idx="23">
                  <c:v>1243</c:v>
                </c:pt>
                <c:pt idx="24">
                  <c:v>715</c:v>
                </c:pt>
                <c:pt idx="25">
                  <c:v>1698</c:v>
                </c:pt>
                <c:pt idx="26">
                  <c:v>468</c:v>
                </c:pt>
                <c:pt idx="27">
                  <c:v>1459</c:v>
                </c:pt>
                <c:pt idx="28">
                  <c:v>1765</c:v>
                </c:pt>
                <c:pt idx="29">
                  <c:v>1754</c:v>
                </c:pt>
                <c:pt idx="30">
                  <c:v>3005</c:v>
                </c:pt>
                <c:pt idx="31">
                  <c:v>405</c:v>
                </c:pt>
                <c:pt idx="32">
                  <c:v>2013</c:v>
                </c:pt>
                <c:pt idx="33">
                  <c:v>1153</c:v>
                </c:pt>
                <c:pt idx="34">
                  <c:v>2509</c:v>
                </c:pt>
                <c:pt idx="35">
                  <c:v>979</c:v>
                </c:pt>
                <c:pt idx="36">
                  <c:v>847</c:v>
                </c:pt>
                <c:pt idx="37">
                  <c:v>2071</c:v>
                </c:pt>
                <c:pt idx="38">
                  <c:v>1517</c:v>
                </c:pt>
                <c:pt idx="39">
                  <c:v>3501</c:v>
                </c:pt>
              </c:numCache>
            </c:numRef>
          </c:xVal>
          <c:yVal>
            <c:numRef>
              <c:f>Iris!$AG$2:$AG$41</c:f>
              <c:numCache>
                <c:formatCode>General</c:formatCode>
                <c:ptCount val="40"/>
                <c:pt idx="0">
                  <c:v>0.96842104196548462</c:v>
                </c:pt>
                <c:pt idx="1">
                  <c:v>0.96315789222717285</c:v>
                </c:pt>
                <c:pt idx="2">
                  <c:v>0.95789474248886108</c:v>
                </c:pt>
                <c:pt idx="3">
                  <c:v>0.95263159275054932</c:v>
                </c:pt>
                <c:pt idx="4">
                  <c:v>0.95263159275054932</c:v>
                </c:pt>
                <c:pt idx="5">
                  <c:v>0.95263158082962041</c:v>
                </c:pt>
                <c:pt idx="6">
                  <c:v>0.95263156890869138</c:v>
                </c:pt>
                <c:pt idx="7">
                  <c:v>0.94736843109130864</c:v>
                </c:pt>
                <c:pt idx="8">
                  <c:v>0.94736841917037962</c:v>
                </c:pt>
                <c:pt idx="9">
                  <c:v>0.94210526943206785</c:v>
                </c:pt>
                <c:pt idx="10">
                  <c:v>0.94210526943206785</c:v>
                </c:pt>
                <c:pt idx="11">
                  <c:v>0.94210525751113894</c:v>
                </c:pt>
                <c:pt idx="12">
                  <c:v>0.94210525751113894</c:v>
                </c:pt>
                <c:pt idx="13">
                  <c:v>0.94210525751113894</c:v>
                </c:pt>
                <c:pt idx="14">
                  <c:v>0.93684211969375608</c:v>
                </c:pt>
                <c:pt idx="15">
                  <c:v>0.93684210777282717</c:v>
                </c:pt>
                <c:pt idx="16">
                  <c:v>0.87368421554565434</c:v>
                </c:pt>
                <c:pt idx="17">
                  <c:v>0.82105262279510494</c:v>
                </c:pt>
                <c:pt idx="18">
                  <c:v>0.80526314973831181</c:v>
                </c:pt>
                <c:pt idx="19">
                  <c:v>0.78947369456291194</c:v>
                </c:pt>
                <c:pt idx="20">
                  <c:v>0.77368419766426089</c:v>
                </c:pt>
                <c:pt idx="21">
                  <c:v>0.75789473652839656</c:v>
                </c:pt>
                <c:pt idx="22">
                  <c:v>0.75789473056793211</c:v>
                </c:pt>
                <c:pt idx="23">
                  <c:v>0.75263158082962034</c:v>
                </c:pt>
                <c:pt idx="24">
                  <c:v>0.74736843109130857</c:v>
                </c:pt>
                <c:pt idx="25">
                  <c:v>0.70000000596046452</c:v>
                </c:pt>
                <c:pt idx="26">
                  <c:v>0.54210526347160337</c:v>
                </c:pt>
                <c:pt idx="27">
                  <c:v>0.5368421137332916</c:v>
                </c:pt>
                <c:pt idx="28">
                  <c:v>0.52105262875556946</c:v>
                </c:pt>
                <c:pt idx="29">
                  <c:v>0.5</c:v>
                </c:pt>
                <c:pt idx="30">
                  <c:v>0.49473685622215269</c:v>
                </c:pt>
                <c:pt idx="31">
                  <c:v>0.46315788328647611</c:v>
                </c:pt>
                <c:pt idx="32">
                  <c:v>0.45263157486915589</c:v>
                </c:pt>
                <c:pt idx="33">
                  <c:v>0.43157894909381866</c:v>
                </c:pt>
                <c:pt idx="34">
                  <c:v>0.42631579637527467</c:v>
                </c:pt>
                <c:pt idx="35">
                  <c:v>0.4</c:v>
                </c:pt>
                <c:pt idx="36">
                  <c:v>0.38596491267283756</c:v>
                </c:pt>
                <c:pt idx="37">
                  <c:v>0.37969924509525299</c:v>
                </c:pt>
                <c:pt idx="38">
                  <c:v>0.32105262875556945</c:v>
                </c:pt>
                <c:pt idx="39">
                  <c:v>0.31578947305679322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80-40B3-A6B9-B1E5C5698E8E}"/>
            </c:ext>
          </c:extLst>
        </c:ser>
        <c:ser>
          <c:idx val="3"/>
          <c:order val="3"/>
          <c:tx>
            <c:strRef>
              <c:f>Iris!$AH$1</c:f>
              <c:strCache>
                <c:ptCount val="1"/>
                <c:pt idx="0">
                  <c:v>mlp_test_acc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Iris!$AD$2:$AD$41</c:f>
              <c:numCache>
                <c:formatCode>General</c:formatCode>
                <c:ptCount val="40"/>
                <c:pt idx="0">
                  <c:v>1213</c:v>
                </c:pt>
                <c:pt idx="1">
                  <c:v>793</c:v>
                </c:pt>
                <c:pt idx="2">
                  <c:v>583</c:v>
                </c:pt>
                <c:pt idx="3">
                  <c:v>2063</c:v>
                </c:pt>
                <c:pt idx="4">
                  <c:v>2403</c:v>
                </c:pt>
                <c:pt idx="5">
                  <c:v>1423</c:v>
                </c:pt>
                <c:pt idx="6">
                  <c:v>342</c:v>
                </c:pt>
                <c:pt idx="7">
                  <c:v>279</c:v>
                </c:pt>
                <c:pt idx="8">
                  <c:v>907</c:v>
                </c:pt>
                <c:pt idx="9">
                  <c:v>1043</c:v>
                </c:pt>
                <c:pt idx="10">
                  <c:v>1723</c:v>
                </c:pt>
                <c:pt idx="11">
                  <c:v>1003</c:v>
                </c:pt>
                <c:pt idx="12">
                  <c:v>1383</c:v>
                </c:pt>
                <c:pt idx="13">
                  <c:v>1489</c:v>
                </c:pt>
                <c:pt idx="14">
                  <c:v>739</c:v>
                </c:pt>
                <c:pt idx="15">
                  <c:v>2952</c:v>
                </c:pt>
                <c:pt idx="16">
                  <c:v>1231</c:v>
                </c:pt>
                <c:pt idx="17">
                  <c:v>1747</c:v>
                </c:pt>
                <c:pt idx="18">
                  <c:v>1280</c:v>
                </c:pt>
                <c:pt idx="19">
                  <c:v>973</c:v>
                </c:pt>
                <c:pt idx="20">
                  <c:v>2534</c:v>
                </c:pt>
                <c:pt idx="21">
                  <c:v>2116</c:v>
                </c:pt>
                <c:pt idx="22">
                  <c:v>1075</c:v>
                </c:pt>
                <c:pt idx="23">
                  <c:v>1243</c:v>
                </c:pt>
                <c:pt idx="24">
                  <c:v>715</c:v>
                </c:pt>
                <c:pt idx="25">
                  <c:v>1698</c:v>
                </c:pt>
                <c:pt idx="26">
                  <c:v>468</c:v>
                </c:pt>
                <c:pt idx="27">
                  <c:v>1459</c:v>
                </c:pt>
                <c:pt idx="28">
                  <c:v>1765</c:v>
                </c:pt>
                <c:pt idx="29">
                  <c:v>1754</c:v>
                </c:pt>
                <c:pt idx="30">
                  <c:v>3005</c:v>
                </c:pt>
                <c:pt idx="31">
                  <c:v>405</c:v>
                </c:pt>
                <c:pt idx="32">
                  <c:v>2013</c:v>
                </c:pt>
                <c:pt idx="33">
                  <c:v>1153</c:v>
                </c:pt>
                <c:pt idx="34">
                  <c:v>2509</c:v>
                </c:pt>
                <c:pt idx="35">
                  <c:v>979</c:v>
                </c:pt>
                <c:pt idx="36">
                  <c:v>847</c:v>
                </c:pt>
                <c:pt idx="37">
                  <c:v>2071</c:v>
                </c:pt>
                <c:pt idx="38">
                  <c:v>1517</c:v>
                </c:pt>
                <c:pt idx="39">
                  <c:v>3501</c:v>
                </c:pt>
              </c:numCache>
            </c:numRef>
          </c:xVal>
          <c:yVal>
            <c:numRef>
              <c:f>Iris!$AH$2:$AH$41</c:f>
              <c:numCache>
                <c:formatCode>General</c:formatCode>
                <c:ptCount val="40"/>
                <c:pt idx="0">
                  <c:v>0.94736842105263153</c:v>
                </c:pt>
                <c:pt idx="1">
                  <c:v>0.95789473684210524</c:v>
                </c:pt>
                <c:pt idx="2">
                  <c:v>0.95789473684210524</c:v>
                </c:pt>
                <c:pt idx="3">
                  <c:v>0.95789473684210524</c:v>
                </c:pt>
                <c:pt idx="4">
                  <c:v>0.95789473684210524</c:v>
                </c:pt>
                <c:pt idx="5">
                  <c:v>0.95789473684210524</c:v>
                </c:pt>
                <c:pt idx="6">
                  <c:v>0.93684210526315792</c:v>
                </c:pt>
                <c:pt idx="7">
                  <c:v>0.96842105263157896</c:v>
                </c:pt>
                <c:pt idx="8">
                  <c:v>0.95263157894736838</c:v>
                </c:pt>
                <c:pt idx="9">
                  <c:v>0.9631578947368421</c:v>
                </c:pt>
                <c:pt idx="10">
                  <c:v>0.95789473684210524</c:v>
                </c:pt>
                <c:pt idx="11">
                  <c:v>0.95789473684210524</c:v>
                </c:pt>
                <c:pt idx="12">
                  <c:v>0.95789473684210524</c:v>
                </c:pt>
                <c:pt idx="13">
                  <c:v>0.96842105263157896</c:v>
                </c:pt>
                <c:pt idx="14">
                  <c:v>0.95789473684210524</c:v>
                </c:pt>
                <c:pt idx="15">
                  <c:v>0.96842105263157896</c:v>
                </c:pt>
                <c:pt idx="16">
                  <c:v>0.95263157894736838</c:v>
                </c:pt>
                <c:pt idx="17">
                  <c:v>0.9631578947368421</c:v>
                </c:pt>
                <c:pt idx="18">
                  <c:v>0.95789473684210524</c:v>
                </c:pt>
                <c:pt idx="19">
                  <c:v>0.95263157894736838</c:v>
                </c:pt>
                <c:pt idx="20">
                  <c:v>0.9631578947368421</c:v>
                </c:pt>
                <c:pt idx="21">
                  <c:v>0.95263157894736838</c:v>
                </c:pt>
                <c:pt idx="22">
                  <c:v>0.96842105263157896</c:v>
                </c:pt>
                <c:pt idx="23">
                  <c:v>0.97368421052631582</c:v>
                </c:pt>
                <c:pt idx="24">
                  <c:v>0.96842105263157896</c:v>
                </c:pt>
                <c:pt idx="25">
                  <c:v>0.9631578947368421</c:v>
                </c:pt>
                <c:pt idx="26">
                  <c:v>0.97368421052631582</c:v>
                </c:pt>
                <c:pt idx="27">
                  <c:v>0.97368421052631582</c:v>
                </c:pt>
                <c:pt idx="28">
                  <c:v>0.96842105263157896</c:v>
                </c:pt>
                <c:pt idx="29">
                  <c:v>0.94736842105263153</c:v>
                </c:pt>
                <c:pt idx="30">
                  <c:v>0.97368421052631582</c:v>
                </c:pt>
                <c:pt idx="31">
                  <c:v>0.95789473684210524</c:v>
                </c:pt>
                <c:pt idx="32">
                  <c:v>0.96842105263157896</c:v>
                </c:pt>
                <c:pt idx="33">
                  <c:v>0.98947368421052628</c:v>
                </c:pt>
                <c:pt idx="34">
                  <c:v>0.97894736842105268</c:v>
                </c:pt>
                <c:pt idx="35">
                  <c:v>0.9631578947368421</c:v>
                </c:pt>
                <c:pt idx="36">
                  <c:v>0.90350877192982459</c:v>
                </c:pt>
                <c:pt idx="37">
                  <c:v>0.98120300751879697</c:v>
                </c:pt>
                <c:pt idx="38">
                  <c:v>0.95789473684210524</c:v>
                </c:pt>
                <c:pt idx="39">
                  <c:v>0.93684210526315792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80-40B3-A6B9-B1E5C5698E8E}"/>
            </c:ext>
          </c:extLst>
        </c:ser>
        <c:ser>
          <c:idx val="4"/>
          <c:order val="4"/>
          <c:tx>
            <c:strRef>
              <c:f>Iris!$AI$1</c:f>
              <c:strCache>
                <c:ptCount val="1"/>
                <c:pt idx="0">
                  <c:v>mlp_val_acc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Iris!$AD$2:$AD$41</c:f>
              <c:numCache>
                <c:formatCode>General</c:formatCode>
                <c:ptCount val="40"/>
                <c:pt idx="0">
                  <c:v>1213</c:v>
                </c:pt>
                <c:pt idx="1">
                  <c:v>793</c:v>
                </c:pt>
                <c:pt idx="2">
                  <c:v>583</c:v>
                </c:pt>
                <c:pt idx="3">
                  <c:v>2063</c:v>
                </c:pt>
                <c:pt idx="4">
                  <c:v>2403</c:v>
                </c:pt>
                <c:pt idx="5">
                  <c:v>1423</c:v>
                </c:pt>
                <c:pt idx="6">
                  <c:v>342</c:v>
                </c:pt>
                <c:pt idx="7">
                  <c:v>279</c:v>
                </c:pt>
                <c:pt idx="8">
                  <c:v>907</c:v>
                </c:pt>
                <c:pt idx="9">
                  <c:v>1043</c:v>
                </c:pt>
                <c:pt idx="10">
                  <c:v>1723</c:v>
                </c:pt>
                <c:pt idx="11">
                  <c:v>1003</c:v>
                </c:pt>
                <c:pt idx="12">
                  <c:v>1383</c:v>
                </c:pt>
                <c:pt idx="13">
                  <c:v>1489</c:v>
                </c:pt>
                <c:pt idx="14">
                  <c:v>739</c:v>
                </c:pt>
                <c:pt idx="15">
                  <c:v>2952</c:v>
                </c:pt>
                <c:pt idx="16">
                  <c:v>1231</c:v>
                </c:pt>
                <c:pt idx="17">
                  <c:v>1747</c:v>
                </c:pt>
                <c:pt idx="18">
                  <c:v>1280</c:v>
                </c:pt>
                <c:pt idx="19">
                  <c:v>973</c:v>
                </c:pt>
                <c:pt idx="20">
                  <c:v>2534</c:v>
                </c:pt>
                <c:pt idx="21">
                  <c:v>2116</c:v>
                </c:pt>
                <c:pt idx="22">
                  <c:v>1075</c:v>
                </c:pt>
                <c:pt idx="23">
                  <c:v>1243</c:v>
                </c:pt>
                <c:pt idx="24">
                  <c:v>715</c:v>
                </c:pt>
                <c:pt idx="25">
                  <c:v>1698</c:v>
                </c:pt>
                <c:pt idx="26">
                  <c:v>468</c:v>
                </c:pt>
                <c:pt idx="27">
                  <c:v>1459</c:v>
                </c:pt>
                <c:pt idx="28">
                  <c:v>1765</c:v>
                </c:pt>
                <c:pt idx="29">
                  <c:v>1754</c:v>
                </c:pt>
                <c:pt idx="30">
                  <c:v>3005</c:v>
                </c:pt>
                <c:pt idx="31">
                  <c:v>405</c:v>
                </c:pt>
                <c:pt idx="32">
                  <c:v>2013</c:v>
                </c:pt>
                <c:pt idx="33">
                  <c:v>1153</c:v>
                </c:pt>
                <c:pt idx="34">
                  <c:v>2509</c:v>
                </c:pt>
                <c:pt idx="35">
                  <c:v>979</c:v>
                </c:pt>
                <c:pt idx="36">
                  <c:v>847</c:v>
                </c:pt>
                <c:pt idx="37">
                  <c:v>2071</c:v>
                </c:pt>
                <c:pt idx="38">
                  <c:v>1517</c:v>
                </c:pt>
                <c:pt idx="39">
                  <c:v>3501</c:v>
                </c:pt>
              </c:numCache>
            </c:numRef>
          </c:xVal>
          <c:yVal>
            <c:numRef>
              <c:f>Iris!$AI$2:$AI$41</c:f>
              <c:numCache>
                <c:formatCode>General</c:formatCode>
                <c:ptCount val="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0.86956521739130432</c:v>
                </c:pt>
                <c:pt idx="24">
                  <c:v>1</c:v>
                </c:pt>
                <c:pt idx="25">
                  <c:v>1</c:v>
                </c:pt>
                <c:pt idx="26">
                  <c:v>0.86956521739130432</c:v>
                </c:pt>
                <c:pt idx="27">
                  <c:v>1</c:v>
                </c:pt>
                <c:pt idx="28">
                  <c:v>1</c:v>
                </c:pt>
                <c:pt idx="29">
                  <c:v>0.91304347826086951</c:v>
                </c:pt>
                <c:pt idx="30">
                  <c:v>0.90434782608695652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0.90434782608695652</c:v>
                </c:pt>
                <c:pt idx="36">
                  <c:v>0.97826086956521741</c:v>
                </c:pt>
                <c:pt idx="37">
                  <c:v>0.98757763975155277</c:v>
                </c:pt>
                <c:pt idx="38">
                  <c:v>1</c:v>
                </c:pt>
                <c:pt idx="3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D80-40B3-A6B9-B1E5C5698E8E}"/>
            </c:ext>
          </c:extLst>
        </c:ser>
        <c:ser>
          <c:idx val="5"/>
          <c:order val="5"/>
          <c:tx>
            <c:strRef>
              <c:f>Iris!$AJ$1</c:f>
              <c:strCache>
                <c:ptCount val="1"/>
                <c:pt idx="0">
                  <c:v>mlp_train_acc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Iris!$AD$2:$AD$41</c:f>
              <c:numCache>
                <c:formatCode>General</c:formatCode>
                <c:ptCount val="40"/>
                <c:pt idx="0">
                  <c:v>1213</c:v>
                </c:pt>
                <c:pt idx="1">
                  <c:v>793</c:v>
                </c:pt>
                <c:pt idx="2">
                  <c:v>583</c:v>
                </c:pt>
                <c:pt idx="3">
                  <c:v>2063</c:v>
                </c:pt>
                <c:pt idx="4">
                  <c:v>2403</c:v>
                </c:pt>
                <c:pt idx="5">
                  <c:v>1423</c:v>
                </c:pt>
                <c:pt idx="6">
                  <c:v>342</c:v>
                </c:pt>
                <c:pt idx="7">
                  <c:v>279</c:v>
                </c:pt>
                <c:pt idx="8">
                  <c:v>907</c:v>
                </c:pt>
                <c:pt idx="9">
                  <c:v>1043</c:v>
                </c:pt>
                <c:pt idx="10">
                  <c:v>1723</c:v>
                </c:pt>
                <c:pt idx="11">
                  <c:v>1003</c:v>
                </c:pt>
                <c:pt idx="12">
                  <c:v>1383</c:v>
                </c:pt>
                <c:pt idx="13">
                  <c:v>1489</c:v>
                </c:pt>
                <c:pt idx="14">
                  <c:v>739</c:v>
                </c:pt>
                <c:pt idx="15">
                  <c:v>2952</c:v>
                </c:pt>
                <c:pt idx="16">
                  <c:v>1231</c:v>
                </c:pt>
                <c:pt idx="17">
                  <c:v>1747</c:v>
                </c:pt>
                <c:pt idx="18">
                  <c:v>1280</c:v>
                </c:pt>
                <c:pt idx="19">
                  <c:v>973</c:v>
                </c:pt>
                <c:pt idx="20">
                  <c:v>2534</c:v>
                </c:pt>
                <c:pt idx="21">
                  <c:v>2116</c:v>
                </c:pt>
                <c:pt idx="22">
                  <c:v>1075</c:v>
                </c:pt>
                <c:pt idx="23">
                  <c:v>1243</c:v>
                </c:pt>
                <c:pt idx="24">
                  <c:v>715</c:v>
                </c:pt>
                <c:pt idx="25">
                  <c:v>1698</c:v>
                </c:pt>
                <c:pt idx="26">
                  <c:v>468</c:v>
                </c:pt>
                <c:pt idx="27">
                  <c:v>1459</c:v>
                </c:pt>
                <c:pt idx="28">
                  <c:v>1765</c:v>
                </c:pt>
                <c:pt idx="29">
                  <c:v>1754</c:v>
                </c:pt>
                <c:pt idx="30">
                  <c:v>3005</c:v>
                </c:pt>
                <c:pt idx="31">
                  <c:v>405</c:v>
                </c:pt>
                <c:pt idx="32">
                  <c:v>2013</c:v>
                </c:pt>
                <c:pt idx="33">
                  <c:v>1153</c:v>
                </c:pt>
                <c:pt idx="34">
                  <c:v>2509</c:v>
                </c:pt>
                <c:pt idx="35">
                  <c:v>979</c:v>
                </c:pt>
                <c:pt idx="36">
                  <c:v>847</c:v>
                </c:pt>
                <c:pt idx="37">
                  <c:v>2071</c:v>
                </c:pt>
                <c:pt idx="38">
                  <c:v>1517</c:v>
                </c:pt>
                <c:pt idx="39">
                  <c:v>3501</c:v>
                </c:pt>
              </c:numCache>
            </c:numRef>
          </c:xVal>
          <c:yVal>
            <c:numRef>
              <c:f>Iris!$AJ$2:$AJ$41</c:f>
              <c:numCache>
                <c:formatCode>General</c:formatCode>
                <c:ptCount val="40"/>
                <c:pt idx="0">
                  <c:v>0.91910112359550566</c:v>
                </c:pt>
                <c:pt idx="1">
                  <c:v>0.93258426966292141</c:v>
                </c:pt>
                <c:pt idx="2">
                  <c:v>0.94157303370786516</c:v>
                </c:pt>
                <c:pt idx="3">
                  <c:v>0.93258426966292129</c:v>
                </c:pt>
                <c:pt idx="4">
                  <c:v>0.94157303370786516</c:v>
                </c:pt>
                <c:pt idx="5">
                  <c:v>0.93932584269662922</c:v>
                </c:pt>
                <c:pt idx="6">
                  <c:v>0.90112359550561805</c:v>
                </c:pt>
                <c:pt idx="7">
                  <c:v>0.95280898876404496</c:v>
                </c:pt>
                <c:pt idx="8">
                  <c:v>0.93483146067415734</c:v>
                </c:pt>
                <c:pt idx="9">
                  <c:v>0.93258426966292129</c:v>
                </c:pt>
                <c:pt idx="10">
                  <c:v>0.94157303370786516</c:v>
                </c:pt>
                <c:pt idx="11">
                  <c:v>0.93258426966292129</c:v>
                </c:pt>
                <c:pt idx="12">
                  <c:v>0.94157303370786516</c:v>
                </c:pt>
                <c:pt idx="13">
                  <c:v>0.94831460674157309</c:v>
                </c:pt>
                <c:pt idx="14">
                  <c:v>0.93932584269662922</c:v>
                </c:pt>
                <c:pt idx="15">
                  <c:v>0.95280898876404496</c:v>
                </c:pt>
                <c:pt idx="16">
                  <c:v>0.92808988764044942</c:v>
                </c:pt>
                <c:pt idx="17">
                  <c:v>0.95056179775280902</c:v>
                </c:pt>
                <c:pt idx="18">
                  <c:v>0.94606741573033704</c:v>
                </c:pt>
                <c:pt idx="19">
                  <c:v>0.93258426966292129</c:v>
                </c:pt>
                <c:pt idx="20">
                  <c:v>0.94606741573033704</c:v>
                </c:pt>
                <c:pt idx="21">
                  <c:v>0.94606741573033704</c:v>
                </c:pt>
                <c:pt idx="22">
                  <c:v>0.94831460674157309</c:v>
                </c:pt>
                <c:pt idx="23">
                  <c:v>1</c:v>
                </c:pt>
                <c:pt idx="24">
                  <c:v>0.95955056179775278</c:v>
                </c:pt>
                <c:pt idx="25">
                  <c:v>0.93483146067415734</c:v>
                </c:pt>
                <c:pt idx="26">
                  <c:v>1</c:v>
                </c:pt>
                <c:pt idx="27">
                  <c:v>0.94831460674157297</c:v>
                </c:pt>
                <c:pt idx="28">
                  <c:v>0.95056179775280902</c:v>
                </c:pt>
                <c:pt idx="29">
                  <c:v>1</c:v>
                </c:pt>
                <c:pt idx="30">
                  <c:v>0.99325842696629218</c:v>
                </c:pt>
                <c:pt idx="31">
                  <c:v>0.93033707865168536</c:v>
                </c:pt>
                <c:pt idx="32">
                  <c:v>0.95056179775280902</c:v>
                </c:pt>
                <c:pt idx="33">
                  <c:v>0.95730337078651684</c:v>
                </c:pt>
                <c:pt idx="34">
                  <c:v>0.96404494382022476</c:v>
                </c:pt>
                <c:pt idx="35">
                  <c:v>1</c:v>
                </c:pt>
                <c:pt idx="36">
                  <c:v>0.96816479400749067</c:v>
                </c:pt>
                <c:pt idx="37">
                  <c:v>0.97752808988764051</c:v>
                </c:pt>
                <c:pt idx="38">
                  <c:v>0.9550561797752809</c:v>
                </c:pt>
                <c:pt idx="39">
                  <c:v>0.98651685393258426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D80-40B3-A6B9-B1E5C5698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234751"/>
        <c:axId val="2095235711"/>
      </c:scatterChart>
      <c:valAx>
        <c:axId val="2095234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95235711"/>
        <c:crosses val="autoZero"/>
        <c:crossBetween val="midCat"/>
      </c:valAx>
      <c:valAx>
        <c:axId val="209523571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95234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277394367397759E-2"/>
          <c:y val="0.91281999007201198"/>
          <c:w val="0.82136888295409705"/>
          <c:h val="7.3504798706992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Wine!$AE$1</c:f>
              <c:strCache>
                <c:ptCount val="1"/>
                <c:pt idx="0">
                  <c:v>kan_train_acc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Wine!$AD$2:$AD$96</c:f>
              <c:numCache>
                <c:formatCode>General</c:formatCode>
                <c:ptCount val="68"/>
                <c:pt idx="0">
                  <c:v>4930</c:v>
                </c:pt>
                <c:pt idx="1">
                  <c:v>5975</c:v>
                </c:pt>
                <c:pt idx="2">
                  <c:v>7020</c:v>
                </c:pt>
                <c:pt idx="3">
                  <c:v>2929</c:v>
                </c:pt>
                <c:pt idx="4">
                  <c:v>5608</c:v>
                </c:pt>
                <c:pt idx="5">
                  <c:v>6783</c:v>
                </c:pt>
                <c:pt idx="6">
                  <c:v>7958</c:v>
                </c:pt>
                <c:pt idx="7">
                  <c:v>6286</c:v>
                </c:pt>
                <c:pt idx="8">
                  <c:v>7591</c:v>
                </c:pt>
                <c:pt idx="9">
                  <c:v>8896</c:v>
                </c:pt>
                <c:pt idx="10">
                  <c:v>6964</c:v>
                </c:pt>
                <c:pt idx="11">
                  <c:v>8399</c:v>
                </c:pt>
                <c:pt idx="12">
                  <c:v>9834</c:v>
                </c:pt>
                <c:pt idx="13">
                  <c:v>3974</c:v>
                </c:pt>
                <c:pt idx="14">
                  <c:v>7642</c:v>
                </c:pt>
                <c:pt idx="15">
                  <c:v>9207</c:v>
                </c:pt>
                <c:pt idx="16">
                  <c:v>10772</c:v>
                </c:pt>
                <c:pt idx="17">
                  <c:v>5019</c:v>
                </c:pt>
                <c:pt idx="18">
                  <c:v>1884</c:v>
                </c:pt>
                <c:pt idx="19">
                  <c:v>6061</c:v>
                </c:pt>
                <c:pt idx="20">
                  <c:v>7346</c:v>
                </c:pt>
                <c:pt idx="21">
                  <c:v>8631</c:v>
                </c:pt>
                <c:pt idx="22">
                  <c:v>3601</c:v>
                </c:pt>
                <c:pt idx="23">
                  <c:v>6895</c:v>
                </c:pt>
                <c:pt idx="24">
                  <c:v>8340</c:v>
                </c:pt>
                <c:pt idx="25">
                  <c:v>9785</c:v>
                </c:pt>
                <c:pt idx="26">
                  <c:v>7729</c:v>
                </c:pt>
                <c:pt idx="27">
                  <c:v>9334</c:v>
                </c:pt>
                <c:pt idx="28">
                  <c:v>10939</c:v>
                </c:pt>
                <c:pt idx="29">
                  <c:v>8563</c:v>
                </c:pt>
                <c:pt idx="30">
                  <c:v>10328</c:v>
                </c:pt>
                <c:pt idx="31">
                  <c:v>12093</c:v>
                </c:pt>
                <c:pt idx="32">
                  <c:v>4886</c:v>
                </c:pt>
                <c:pt idx="33">
                  <c:v>9397</c:v>
                </c:pt>
                <c:pt idx="34">
                  <c:v>11322</c:v>
                </c:pt>
                <c:pt idx="35">
                  <c:v>13247</c:v>
                </c:pt>
                <c:pt idx="36">
                  <c:v>6171</c:v>
                </c:pt>
                <c:pt idx="37">
                  <c:v>2316</c:v>
                </c:pt>
                <c:pt idx="38">
                  <c:v>7192</c:v>
                </c:pt>
                <c:pt idx="39">
                  <c:v>8717</c:v>
                </c:pt>
                <c:pt idx="40">
                  <c:v>10242</c:v>
                </c:pt>
                <c:pt idx="41">
                  <c:v>4273</c:v>
                </c:pt>
                <c:pt idx="42">
                  <c:v>8182</c:v>
                </c:pt>
                <c:pt idx="43">
                  <c:v>9897</c:v>
                </c:pt>
                <c:pt idx="44">
                  <c:v>11612</c:v>
                </c:pt>
                <c:pt idx="45">
                  <c:v>9172</c:v>
                </c:pt>
                <c:pt idx="46">
                  <c:v>11077</c:v>
                </c:pt>
                <c:pt idx="47">
                  <c:v>12982</c:v>
                </c:pt>
                <c:pt idx="48">
                  <c:v>10162</c:v>
                </c:pt>
                <c:pt idx="49">
                  <c:v>12257</c:v>
                </c:pt>
                <c:pt idx="50">
                  <c:v>14352</c:v>
                </c:pt>
                <c:pt idx="51">
                  <c:v>5798</c:v>
                </c:pt>
                <c:pt idx="52">
                  <c:v>11152</c:v>
                </c:pt>
                <c:pt idx="53">
                  <c:v>13437</c:v>
                </c:pt>
                <c:pt idx="54">
                  <c:v>15722</c:v>
                </c:pt>
                <c:pt idx="55">
                  <c:v>7323</c:v>
                </c:pt>
                <c:pt idx="56">
                  <c:v>2748</c:v>
                </c:pt>
                <c:pt idx="57">
                  <c:v>8323</c:v>
                </c:pt>
                <c:pt idx="58">
                  <c:v>10088</c:v>
                </c:pt>
                <c:pt idx="59">
                  <c:v>11853</c:v>
                </c:pt>
                <c:pt idx="60">
                  <c:v>4945</c:v>
                </c:pt>
                <c:pt idx="61">
                  <c:v>9469</c:v>
                </c:pt>
                <c:pt idx="62">
                  <c:v>11454</c:v>
                </c:pt>
                <c:pt idx="63">
                  <c:v>13439</c:v>
                </c:pt>
                <c:pt idx="64">
                  <c:v>10615</c:v>
                </c:pt>
                <c:pt idx="65">
                  <c:v>6710</c:v>
                </c:pt>
                <c:pt idx="66">
                  <c:v>8475</c:v>
                </c:pt>
                <c:pt idx="67">
                  <c:v>3180</c:v>
                </c:pt>
              </c:numCache>
            </c:numRef>
          </c:xVal>
          <c:yVal>
            <c:numRef>
              <c:f>Wine!$AE$2:$AE$96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0.96981132030487061</c:v>
                </c:pt>
                <c:pt idx="9">
                  <c:v>1</c:v>
                </c:pt>
                <c:pt idx="10">
                  <c:v>0.98867924213409419</c:v>
                </c:pt>
                <c:pt idx="11">
                  <c:v>1</c:v>
                </c:pt>
                <c:pt idx="12">
                  <c:v>0.99245283603668211</c:v>
                </c:pt>
                <c:pt idx="13">
                  <c:v>1</c:v>
                </c:pt>
                <c:pt idx="14">
                  <c:v>0.99245283603668211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0.9892183286803109</c:v>
                </c:pt>
                <c:pt idx="19">
                  <c:v>0.9433962225914001</c:v>
                </c:pt>
                <c:pt idx="20">
                  <c:v>0.89811320304870601</c:v>
                </c:pt>
                <c:pt idx="21">
                  <c:v>0.96226416826248173</c:v>
                </c:pt>
                <c:pt idx="22">
                  <c:v>0.9679245233535767</c:v>
                </c:pt>
                <c:pt idx="23">
                  <c:v>0.94905661344528203</c:v>
                </c:pt>
                <c:pt idx="24">
                  <c:v>0.91886793375015263</c:v>
                </c:pt>
                <c:pt idx="25">
                  <c:v>0.9943396210670471</c:v>
                </c:pt>
                <c:pt idx="26">
                  <c:v>0.84716981649398804</c:v>
                </c:pt>
                <c:pt idx="27">
                  <c:v>0.68301886320114136</c:v>
                </c:pt>
                <c:pt idx="28">
                  <c:v>0.91509433984756472</c:v>
                </c:pt>
                <c:pt idx="29">
                  <c:v>0.88867923021316531</c:v>
                </c:pt>
                <c:pt idx="30">
                  <c:v>0.86981132030487063</c:v>
                </c:pt>
                <c:pt idx="31">
                  <c:v>0.84528303146362305</c:v>
                </c:pt>
                <c:pt idx="32">
                  <c:v>1</c:v>
                </c:pt>
                <c:pt idx="33">
                  <c:v>0.85660376548767092</c:v>
                </c:pt>
                <c:pt idx="34">
                  <c:v>0.90377359390258794</c:v>
                </c:pt>
                <c:pt idx="35">
                  <c:v>0.88679245710372923</c:v>
                </c:pt>
                <c:pt idx="36">
                  <c:v>0.99056603908538821</c:v>
                </c:pt>
                <c:pt idx="37">
                  <c:v>1</c:v>
                </c:pt>
                <c:pt idx="38">
                  <c:v>0.34528302252292631</c:v>
                </c:pt>
                <c:pt idx="39">
                  <c:v>0.37735849022865298</c:v>
                </c:pt>
                <c:pt idx="40">
                  <c:v>0.44150943160057066</c:v>
                </c:pt>
                <c:pt idx="41">
                  <c:v>0.84905661344528194</c:v>
                </c:pt>
                <c:pt idx="42">
                  <c:v>0.46037736535072327</c:v>
                </c:pt>
                <c:pt idx="43">
                  <c:v>0.37735849618911743</c:v>
                </c:pt>
                <c:pt idx="44">
                  <c:v>0.40566037297248841</c:v>
                </c:pt>
                <c:pt idx="45">
                  <c:v>0.43207547068595886</c:v>
                </c:pt>
                <c:pt idx="46">
                  <c:v>0.51320754885673525</c:v>
                </c:pt>
                <c:pt idx="47">
                  <c:v>0.41886792778968812</c:v>
                </c:pt>
                <c:pt idx="48">
                  <c:v>0.40754716992378237</c:v>
                </c:pt>
                <c:pt idx="49">
                  <c:v>0.41698113083839417</c:v>
                </c:pt>
                <c:pt idx="50">
                  <c:v>0.45849056839942931</c:v>
                </c:pt>
                <c:pt idx="51">
                  <c:v>0.89622641801834102</c:v>
                </c:pt>
                <c:pt idx="52">
                  <c:v>0.50566038489341736</c:v>
                </c:pt>
                <c:pt idx="53">
                  <c:v>0.46226416230201722</c:v>
                </c:pt>
                <c:pt idx="54">
                  <c:v>0.51509434580802915</c:v>
                </c:pt>
                <c:pt idx="55">
                  <c:v>0.90754716396331792</c:v>
                </c:pt>
                <c:pt idx="56">
                  <c:v>0.86981132030487063</c:v>
                </c:pt>
                <c:pt idx="57">
                  <c:v>0.45849057137966154</c:v>
                </c:pt>
                <c:pt idx="58">
                  <c:v>0.40754717588424683</c:v>
                </c:pt>
                <c:pt idx="59">
                  <c:v>0.37924527525901797</c:v>
                </c:pt>
                <c:pt idx="60">
                  <c:v>0.63018868565559383</c:v>
                </c:pt>
                <c:pt idx="61">
                  <c:v>0.36792452335357667</c:v>
                </c:pt>
                <c:pt idx="62">
                  <c:v>0.42641510367393493</c:v>
                </c:pt>
                <c:pt idx="63">
                  <c:v>0.45471698641777036</c:v>
                </c:pt>
                <c:pt idx="64">
                  <c:v>0.37264151871204376</c:v>
                </c:pt>
                <c:pt idx="65">
                  <c:v>0.66226415634155278</c:v>
                </c:pt>
                <c:pt idx="66">
                  <c:v>0.53773584365844729</c:v>
                </c:pt>
                <c:pt idx="67">
                  <c:v>0.70377358794212341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86-4ECD-904A-C3B42EFCB367}"/>
            </c:ext>
          </c:extLst>
        </c:ser>
        <c:ser>
          <c:idx val="1"/>
          <c:order val="1"/>
          <c:tx>
            <c:strRef>
              <c:f>Wine!$AF$1</c:f>
              <c:strCache>
                <c:ptCount val="1"/>
                <c:pt idx="0">
                  <c:v>kan_val_acc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Wine!$AD$2:$AD$96</c:f>
              <c:numCache>
                <c:formatCode>General</c:formatCode>
                <c:ptCount val="68"/>
                <c:pt idx="0">
                  <c:v>4930</c:v>
                </c:pt>
                <c:pt idx="1">
                  <c:v>5975</c:v>
                </c:pt>
                <c:pt idx="2">
                  <c:v>7020</c:v>
                </c:pt>
                <c:pt idx="3">
                  <c:v>2929</c:v>
                </c:pt>
                <c:pt idx="4">
                  <c:v>5608</c:v>
                </c:pt>
                <c:pt idx="5">
                  <c:v>6783</c:v>
                </c:pt>
                <c:pt idx="6">
                  <c:v>7958</c:v>
                </c:pt>
                <c:pt idx="7">
                  <c:v>6286</c:v>
                </c:pt>
                <c:pt idx="8">
                  <c:v>7591</c:v>
                </c:pt>
                <c:pt idx="9">
                  <c:v>8896</c:v>
                </c:pt>
                <c:pt idx="10">
                  <c:v>6964</c:v>
                </c:pt>
                <c:pt idx="11">
                  <c:v>8399</c:v>
                </c:pt>
                <c:pt idx="12">
                  <c:v>9834</c:v>
                </c:pt>
                <c:pt idx="13">
                  <c:v>3974</c:v>
                </c:pt>
                <c:pt idx="14">
                  <c:v>7642</c:v>
                </c:pt>
                <c:pt idx="15">
                  <c:v>9207</c:v>
                </c:pt>
                <c:pt idx="16">
                  <c:v>10772</c:v>
                </c:pt>
                <c:pt idx="17">
                  <c:v>5019</c:v>
                </c:pt>
                <c:pt idx="18">
                  <c:v>1884</c:v>
                </c:pt>
                <c:pt idx="19">
                  <c:v>6061</c:v>
                </c:pt>
                <c:pt idx="20">
                  <c:v>7346</c:v>
                </c:pt>
                <c:pt idx="21">
                  <c:v>8631</c:v>
                </c:pt>
                <c:pt idx="22">
                  <c:v>3601</c:v>
                </c:pt>
                <c:pt idx="23">
                  <c:v>6895</c:v>
                </c:pt>
                <c:pt idx="24">
                  <c:v>8340</c:v>
                </c:pt>
                <c:pt idx="25">
                  <c:v>9785</c:v>
                </c:pt>
                <c:pt idx="26">
                  <c:v>7729</c:v>
                </c:pt>
                <c:pt idx="27">
                  <c:v>9334</c:v>
                </c:pt>
                <c:pt idx="28">
                  <c:v>10939</c:v>
                </c:pt>
                <c:pt idx="29">
                  <c:v>8563</c:v>
                </c:pt>
                <c:pt idx="30">
                  <c:v>10328</c:v>
                </c:pt>
                <c:pt idx="31">
                  <c:v>12093</c:v>
                </c:pt>
                <c:pt idx="32">
                  <c:v>4886</c:v>
                </c:pt>
                <c:pt idx="33">
                  <c:v>9397</c:v>
                </c:pt>
                <c:pt idx="34">
                  <c:v>11322</c:v>
                </c:pt>
                <c:pt idx="35">
                  <c:v>13247</c:v>
                </c:pt>
                <c:pt idx="36">
                  <c:v>6171</c:v>
                </c:pt>
                <c:pt idx="37">
                  <c:v>2316</c:v>
                </c:pt>
                <c:pt idx="38">
                  <c:v>7192</c:v>
                </c:pt>
                <c:pt idx="39">
                  <c:v>8717</c:v>
                </c:pt>
                <c:pt idx="40">
                  <c:v>10242</c:v>
                </c:pt>
                <c:pt idx="41">
                  <c:v>4273</c:v>
                </c:pt>
                <c:pt idx="42">
                  <c:v>8182</c:v>
                </c:pt>
                <c:pt idx="43">
                  <c:v>9897</c:v>
                </c:pt>
                <c:pt idx="44">
                  <c:v>11612</c:v>
                </c:pt>
                <c:pt idx="45">
                  <c:v>9172</c:v>
                </c:pt>
                <c:pt idx="46">
                  <c:v>11077</c:v>
                </c:pt>
                <c:pt idx="47">
                  <c:v>12982</c:v>
                </c:pt>
                <c:pt idx="48">
                  <c:v>10162</c:v>
                </c:pt>
                <c:pt idx="49">
                  <c:v>12257</c:v>
                </c:pt>
                <c:pt idx="50">
                  <c:v>14352</c:v>
                </c:pt>
                <c:pt idx="51">
                  <c:v>5798</c:v>
                </c:pt>
                <c:pt idx="52">
                  <c:v>11152</c:v>
                </c:pt>
                <c:pt idx="53">
                  <c:v>13437</c:v>
                </c:pt>
                <c:pt idx="54">
                  <c:v>15722</c:v>
                </c:pt>
                <c:pt idx="55">
                  <c:v>7323</c:v>
                </c:pt>
                <c:pt idx="56">
                  <c:v>2748</c:v>
                </c:pt>
                <c:pt idx="57">
                  <c:v>8323</c:v>
                </c:pt>
                <c:pt idx="58">
                  <c:v>10088</c:v>
                </c:pt>
                <c:pt idx="59">
                  <c:v>11853</c:v>
                </c:pt>
                <c:pt idx="60">
                  <c:v>4945</c:v>
                </c:pt>
                <c:pt idx="61">
                  <c:v>9469</c:v>
                </c:pt>
                <c:pt idx="62">
                  <c:v>11454</c:v>
                </c:pt>
                <c:pt idx="63">
                  <c:v>13439</c:v>
                </c:pt>
                <c:pt idx="64">
                  <c:v>10615</c:v>
                </c:pt>
                <c:pt idx="65">
                  <c:v>6710</c:v>
                </c:pt>
                <c:pt idx="66">
                  <c:v>8475</c:v>
                </c:pt>
                <c:pt idx="67">
                  <c:v>3180</c:v>
                </c:pt>
              </c:numCache>
            </c:numRef>
          </c:xVal>
          <c:yVal>
            <c:numRef>
              <c:f>Wine!$AF$2:$AF$96</c:f>
              <c:numCache>
                <c:formatCode>General</c:formatCode>
                <c:ptCount val="68"/>
                <c:pt idx="0">
                  <c:v>0.94074074029922483</c:v>
                </c:pt>
                <c:pt idx="1">
                  <c:v>0.95555557012557979</c:v>
                </c:pt>
                <c:pt idx="2">
                  <c:v>0.94814815521240237</c:v>
                </c:pt>
                <c:pt idx="3">
                  <c:v>0.93333332538604741</c:v>
                </c:pt>
                <c:pt idx="4">
                  <c:v>0.94074075222015385</c:v>
                </c:pt>
                <c:pt idx="5">
                  <c:v>0.94814815521240237</c:v>
                </c:pt>
                <c:pt idx="6">
                  <c:v>0.94814815521240237</c:v>
                </c:pt>
                <c:pt idx="7">
                  <c:v>0.94074074029922483</c:v>
                </c:pt>
                <c:pt idx="8">
                  <c:v>0.97777779102325435</c:v>
                </c:pt>
                <c:pt idx="9">
                  <c:v>0.95555557012557979</c:v>
                </c:pt>
                <c:pt idx="10">
                  <c:v>0.95555555820465088</c:v>
                </c:pt>
                <c:pt idx="11">
                  <c:v>0.95555557012557979</c:v>
                </c:pt>
                <c:pt idx="12">
                  <c:v>0.95555555820465088</c:v>
                </c:pt>
                <c:pt idx="13">
                  <c:v>0.95555557012557979</c:v>
                </c:pt>
                <c:pt idx="14">
                  <c:v>0.94074074029922483</c:v>
                </c:pt>
                <c:pt idx="15">
                  <c:v>0.94074074029922483</c:v>
                </c:pt>
                <c:pt idx="16">
                  <c:v>0.94814815521240237</c:v>
                </c:pt>
                <c:pt idx="17">
                  <c:v>0.96296298503875732</c:v>
                </c:pt>
                <c:pt idx="18">
                  <c:v>0.9523809552192688</c:v>
                </c:pt>
                <c:pt idx="19">
                  <c:v>0.95555557012557979</c:v>
                </c:pt>
                <c:pt idx="20">
                  <c:v>0.97777779102325435</c:v>
                </c:pt>
                <c:pt idx="21">
                  <c:v>0.99259259700775149</c:v>
                </c:pt>
                <c:pt idx="22">
                  <c:v>0.96296297311782841</c:v>
                </c:pt>
                <c:pt idx="23">
                  <c:v>0.98518519401550297</c:v>
                </c:pt>
                <c:pt idx="24">
                  <c:v>0.98518519401550297</c:v>
                </c:pt>
                <c:pt idx="25">
                  <c:v>0.97037038803100584</c:v>
                </c:pt>
                <c:pt idx="26">
                  <c:v>0.97037037611007693</c:v>
                </c:pt>
                <c:pt idx="27">
                  <c:v>0.97037038803100584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0.96296298503875732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0.97037037611007693</c:v>
                </c:pt>
                <c:pt idx="37">
                  <c:v>0.96296298503875732</c:v>
                </c:pt>
                <c:pt idx="38">
                  <c:v>0.75555555820465092</c:v>
                </c:pt>
                <c:pt idx="39">
                  <c:v>0.73333333730697636</c:v>
                </c:pt>
                <c:pt idx="40">
                  <c:v>0.72592593431472774</c:v>
                </c:pt>
                <c:pt idx="41">
                  <c:v>0.99259259700775149</c:v>
                </c:pt>
                <c:pt idx="42">
                  <c:v>0.75555557012557983</c:v>
                </c:pt>
                <c:pt idx="43">
                  <c:v>0.70370370149612427</c:v>
                </c:pt>
                <c:pt idx="44">
                  <c:v>0.74814814329147339</c:v>
                </c:pt>
                <c:pt idx="45">
                  <c:v>0.7111111164093018</c:v>
                </c:pt>
                <c:pt idx="46">
                  <c:v>0.785185182094574</c:v>
                </c:pt>
                <c:pt idx="47">
                  <c:v>0.72592593431472774</c:v>
                </c:pt>
                <c:pt idx="48">
                  <c:v>0.74074075222015379</c:v>
                </c:pt>
                <c:pt idx="49">
                  <c:v>0.68148148059844971</c:v>
                </c:pt>
                <c:pt idx="50">
                  <c:v>0.70370368957519536</c:v>
                </c:pt>
                <c:pt idx="51">
                  <c:v>1</c:v>
                </c:pt>
                <c:pt idx="52">
                  <c:v>0.76296294927597041</c:v>
                </c:pt>
                <c:pt idx="53">
                  <c:v>0.70370370149612427</c:v>
                </c:pt>
                <c:pt idx="54">
                  <c:v>0.77037036418914795</c:v>
                </c:pt>
                <c:pt idx="55">
                  <c:v>1</c:v>
                </c:pt>
                <c:pt idx="56">
                  <c:v>0.98518519401550297</c:v>
                </c:pt>
                <c:pt idx="57">
                  <c:v>0.74074074029922488</c:v>
                </c:pt>
                <c:pt idx="58">
                  <c:v>0.69629631042480467</c:v>
                </c:pt>
                <c:pt idx="59">
                  <c:v>0.78518519401550291</c:v>
                </c:pt>
                <c:pt idx="60">
                  <c:v>0.87407407760620115</c:v>
                </c:pt>
                <c:pt idx="61">
                  <c:v>0.68888888359069822</c:v>
                </c:pt>
                <c:pt idx="62">
                  <c:v>0.58518518209457393</c:v>
                </c:pt>
                <c:pt idx="63">
                  <c:v>0.78518519401550291</c:v>
                </c:pt>
                <c:pt idx="64">
                  <c:v>0.77777779102325439</c:v>
                </c:pt>
                <c:pt idx="65">
                  <c:v>0.92592592239379878</c:v>
                </c:pt>
                <c:pt idx="66">
                  <c:v>0.85925927162170412</c:v>
                </c:pt>
                <c:pt idx="67">
                  <c:v>0.89629631042480473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86-4ECD-904A-C3B42EFCB367}"/>
            </c:ext>
          </c:extLst>
        </c:ser>
        <c:ser>
          <c:idx val="2"/>
          <c:order val="2"/>
          <c:tx>
            <c:strRef>
              <c:f>Wine!$AG$1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Wine!$AD$2:$AD$96</c:f>
              <c:numCache>
                <c:formatCode>General</c:formatCode>
                <c:ptCount val="68"/>
                <c:pt idx="0">
                  <c:v>4930</c:v>
                </c:pt>
                <c:pt idx="1">
                  <c:v>5975</c:v>
                </c:pt>
                <c:pt idx="2">
                  <c:v>7020</c:v>
                </c:pt>
                <c:pt idx="3">
                  <c:v>2929</c:v>
                </c:pt>
                <c:pt idx="4">
                  <c:v>5608</c:v>
                </c:pt>
                <c:pt idx="5">
                  <c:v>6783</c:v>
                </c:pt>
                <c:pt idx="6">
                  <c:v>7958</c:v>
                </c:pt>
                <c:pt idx="7">
                  <c:v>6286</c:v>
                </c:pt>
                <c:pt idx="8">
                  <c:v>7591</c:v>
                </c:pt>
                <c:pt idx="9">
                  <c:v>8896</c:v>
                </c:pt>
                <c:pt idx="10">
                  <c:v>6964</c:v>
                </c:pt>
                <c:pt idx="11">
                  <c:v>8399</c:v>
                </c:pt>
                <c:pt idx="12">
                  <c:v>9834</c:v>
                </c:pt>
                <c:pt idx="13">
                  <c:v>3974</c:v>
                </c:pt>
                <c:pt idx="14">
                  <c:v>7642</c:v>
                </c:pt>
                <c:pt idx="15">
                  <c:v>9207</c:v>
                </c:pt>
                <c:pt idx="16">
                  <c:v>10772</c:v>
                </c:pt>
                <c:pt idx="17">
                  <c:v>5019</c:v>
                </c:pt>
                <c:pt idx="18">
                  <c:v>1884</c:v>
                </c:pt>
                <c:pt idx="19">
                  <c:v>6061</c:v>
                </c:pt>
                <c:pt idx="20">
                  <c:v>7346</c:v>
                </c:pt>
                <c:pt idx="21">
                  <c:v>8631</c:v>
                </c:pt>
                <c:pt idx="22">
                  <c:v>3601</c:v>
                </c:pt>
                <c:pt idx="23">
                  <c:v>6895</c:v>
                </c:pt>
                <c:pt idx="24">
                  <c:v>8340</c:v>
                </c:pt>
                <c:pt idx="25">
                  <c:v>9785</c:v>
                </c:pt>
                <c:pt idx="26">
                  <c:v>7729</c:v>
                </c:pt>
                <c:pt idx="27">
                  <c:v>9334</c:v>
                </c:pt>
                <c:pt idx="28">
                  <c:v>10939</c:v>
                </c:pt>
                <c:pt idx="29">
                  <c:v>8563</c:v>
                </c:pt>
                <c:pt idx="30">
                  <c:v>10328</c:v>
                </c:pt>
                <c:pt idx="31">
                  <c:v>12093</c:v>
                </c:pt>
                <c:pt idx="32">
                  <c:v>4886</c:v>
                </c:pt>
                <c:pt idx="33">
                  <c:v>9397</c:v>
                </c:pt>
                <c:pt idx="34">
                  <c:v>11322</c:v>
                </c:pt>
                <c:pt idx="35">
                  <c:v>13247</c:v>
                </c:pt>
                <c:pt idx="36">
                  <c:v>6171</c:v>
                </c:pt>
                <c:pt idx="37">
                  <c:v>2316</c:v>
                </c:pt>
                <c:pt idx="38">
                  <c:v>7192</c:v>
                </c:pt>
                <c:pt idx="39">
                  <c:v>8717</c:v>
                </c:pt>
                <c:pt idx="40">
                  <c:v>10242</c:v>
                </c:pt>
                <c:pt idx="41">
                  <c:v>4273</c:v>
                </c:pt>
                <c:pt idx="42">
                  <c:v>8182</c:v>
                </c:pt>
                <c:pt idx="43">
                  <c:v>9897</c:v>
                </c:pt>
                <c:pt idx="44">
                  <c:v>11612</c:v>
                </c:pt>
                <c:pt idx="45">
                  <c:v>9172</c:v>
                </c:pt>
                <c:pt idx="46">
                  <c:v>11077</c:v>
                </c:pt>
                <c:pt idx="47">
                  <c:v>12982</c:v>
                </c:pt>
                <c:pt idx="48">
                  <c:v>10162</c:v>
                </c:pt>
                <c:pt idx="49">
                  <c:v>12257</c:v>
                </c:pt>
                <c:pt idx="50">
                  <c:v>14352</c:v>
                </c:pt>
                <c:pt idx="51">
                  <c:v>5798</c:v>
                </c:pt>
                <c:pt idx="52">
                  <c:v>11152</c:v>
                </c:pt>
                <c:pt idx="53">
                  <c:v>13437</c:v>
                </c:pt>
                <c:pt idx="54">
                  <c:v>15722</c:v>
                </c:pt>
                <c:pt idx="55">
                  <c:v>7323</c:v>
                </c:pt>
                <c:pt idx="56">
                  <c:v>2748</c:v>
                </c:pt>
                <c:pt idx="57">
                  <c:v>8323</c:v>
                </c:pt>
                <c:pt idx="58">
                  <c:v>10088</c:v>
                </c:pt>
                <c:pt idx="59">
                  <c:v>11853</c:v>
                </c:pt>
                <c:pt idx="60">
                  <c:v>4945</c:v>
                </c:pt>
                <c:pt idx="61">
                  <c:v>9469</c:v>
                </c:pt>
                <c:pt idx="62">
                  <c:v>11454</c:v>
                </c:pt>
                <c:pt idx="63">
                  <c:v>13439</c:v>
                </c:pt>
                <c:pt idx="64">
                  <c:v>10615</c:v>
                </c:pt>
                <c:pt idx="65">
                  <c:v>6710</c:v>
                </c:pt>
                <c:pt idx="66">
                  <c:v>8475</c:v>
                </c:pt>
                <c:pt idx="67">
                  <c:v>3180</c:v>
                </c:pt>
              </c:numCache>
            </c:numRef>
          </c:xVal>
          <c:yVal>
            <c:numRef>
              <c:f>Wine!$AG$2:$AG$96</c:f>
              <c:numCache>
                <c:formatCode>General</c:formatCode>
                <c:ptCount val="68"/>
                <c:pt idx="0">
                  <c:v>0.95111111402511606</c:v>
                </c:pt>
                <c:pt idx="1">
                  <c:v>0.98666666746139531</c:v>
                </c:pt>
                <c:pt idx="2">
                  <c:v>0.94222222566604619</c:v>
                </c:pt>
                <c:pt idx="3">
                  <c:v>0.96000000238418581</c:v>
                </c:pt>
                <c:pt idx="4">
                  <c:v>0.94222222566604619</c:v>
                </c:pt>
                <c:pt idx="5">
                  <c:v>0.98222222328186037</c:v>
                </c:pt>
                <c:pt idx="6">
                  <c:v>0.96444444656372075</c:v>
                </c:pt>
                <c:pt idx="7">
                  <c:v>0.96000000238418581</c:v>
                </c:pt>
                <c:pt idx="8">
                  <c:v>0.93777778148651125</c:v>
                </c:pt>
                <c:pt idx="9">
                  <c:v>0.95111111402511606</c:v>
                </c:pt>
                <c:pt idx="10">
                  <c:v>0.95111111402511606</c:v>
                </c:pt>
                <c:pt idx="11">
                  <c:v>0.96444444656372075</c:v>
                </c:pt>
                <c:pt idx="12">
                  <c:v>0.93777778148651125</c:v>
                </c:pt>
                <c:pt idx="13">
                  <c:v>0.93777778148651125</c:v>
                </c:pt>
                <c:pt idx="14">
                  <c:v>0.96888889074325557</c:v>
                </c:pt>
                <c:pt idx="15">
                  <c:v>0.97333333492279051</c:v>
                </c:pt>
                <c:pt idx="16">
                  <c:v>0.95111111402511606</c:v>
                </c:pt>
                <c:pt idx="17">
                  <c:v>0.93333333730697632</c:v>
                </c:pt>
                <c:pt idx="18">
                  <c:v>0.89841270446777344</c:v>
                </c:pt>
                <c:pt idx="19">
                  <c:v>0.91111111640930176</c:v>
                </c:pt>
                <c:pt idx="20">
                  <c:v>0.88444445133209226</c:v>
                </c:pt>
                <c:pt idx="21">
                  <c:v>0.95111111402511606</c:v>
                </c:pt>
                <c:pt idx="22">
                  <c:v>0.93777778148651125</c:v>
                </c:pt>
                <c:pt idx="23">
                  <c:v>0.90222222805023189</c:v>
                </c:pt>
                <c:pt idx="24">
                  <c:v>0.84444444775581362</c:v>
                </c:pt>
                <c:pt idx="25">
                  <c:v>0.94222222566604619</c:v>
                </c:pt>
                <c:pt idx="26">
                  <c:v>0.83111112117767338</c:v>
                </c:pt>
                <c:pt idx="27">
                  <c:v>0.63555556535720825</c:v>
                </c:pt>
                <c:pt idx="28">
                  <c:v>0.90666667222976682</c:v>
                </c:pt>
                <c:pt idx="29">
                  <c:v>0.92000000476837163</c:v>
                </c:pt>
                <c:pt idx="30">
                  <c:v>0.91111111640930176</c:v>
                </c:pt>
                <c:pt idx="31">
                  <c:v>0.91555556058883669</c:v>
                </c:pt>
                <c:pt idx="32">
                  <c:v>0.95555555820465088</c:v>
                </c:pt>
                <c:pt idx="33">
                  <c:v>0.91111111640930176</c:v>
                </c:pt>
                <c:pt idx="34">
                  <c:v>0.93333333730697632</c:v>
                </c:pt>
                <c:pt idx="35">
                  <c:v>0.93333333730697632</c:v>
                </c:pt>
                <c:pt idx="36">
                  <c:v>0.95555555820465088</c:v>
                </c:pt>
                <c:pt idx="37">
                  <c:v>0.96000000238418581</c:v>
                </c:pt>
                <c:pt idx="38">
                  <c:v>0.35555557012557981</c:v>
                </c:pt>
                <c:pt idx="39">
                  <c:v>0.36888889372348788</c:v>
                </c:pt>
                <c:pt idx="40">
                  <c:v>0.44888890385627744</c:v>
                </c:pt>
                <c:pt idx="41">
                  <c:v>0.87111111879348757</c:v>
                </c:pt>
                <c:pt idx="42">
                  <c:v>0.49777779579162595</c:v>
                </c:pt>
                <c:pt idx="43">
                  <c:v>0.32444444894790647</c:v>
                </c:pt>
                <c:pt idx="44">
                  <c:v>0.39555556774139405</c:v>
                </c:pt>
                <c:pt idx="45">
                  <c:v>0.4400000125169754</c:v>
                </c:pt>
                <c:pt idx="46">
                  <c:v>0.49333334565162656</c:v>
                </c:pt>
                <c:pt idx="47">
                  <c:v>0.34666666984558103</c:v>
                </c:pt>
                <c:pt idx="48">
                  <c:v>0.3688888967037201</c:v>
                </c:pt>
                <c:pt idx="49">
                  <c:v>0.35111111700534819</c:v>
                </c:pt>
                <c:pt idx="50">
                  <c:v>0.51555556654930113</c:v>
                </c:pt>
                <c:pt idx="51">
                  <c:v>0.91555556058883669</c:v>
                </c:pt>
                <c:pt idx="52">
                  <c:v>0.45777778923511503</c:v>
                </c:pt>
                <c:pt idx="53">
                  <c:v>0.471111124753952</c:v>
                </c:pt>
                <c:pt idx="54">
                  <c:v>0.49777779579162595</c:v>
                </c:pt>
                <c:pt idx="55">
                  <c:v>0.91555556058883669</c:v>
                </c:pt>
                <c:pt idx="56">
                  <c:v>0.86666667461395264</c:v>
                </c:pt>
                <c:pt idx="57">
                  <c:v>0.40444445312023164</c:v>
                </c:pt>
                <c:pt idx="58">
                  <c:v>0.32888889610767363</c:v>
                </c:pt>
                <c:pt idx="59">
                  <c:v>0.34222223162651061</c:v>
                </c:pt>
                <c:pt idx="60">
                  <c:v>0.64444446563720703</c:v>
                </c:pt>
                <c:pt idx="61">
                  <c:v>0.30666667222976685</c:v>
                </c:pt>
                <c:pt idx="62">
                  <c:v>0.40444445013999941</c:v>
                </c:pt>
                <c:pt idx="63">
                  <c:v>0.45777778923511503</c:v>
                </c:pt>
                <c:pt idx="64">
                  <c:v>0.34444445371627808</c:v>
                </c:pt>
                <c:pt idx="65">
                  <c:v>0.62222223877906802</c:v>
                </c:pt>
                <c:pt idx="66">
                  <c:v>0.58222223520278926</c:v>
                </c:pt>
                <c:pt idx="67">
                  <c:v>0.70666668415069578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86-4ECD-904A-C3B42EFCB367}"/>
            </c:ext>
          </c:extLst>
        </c:ser>
        <c:ser>
          <c:idx val="3"/>
          <c:order val="3"/>
          <c:tx>
            <c:strRef>
              <c:f>Wine!$AH$1</c:f>
              <c:strCache>
                <c:ptCount val="1"/>
                <c:pt idx="0">
                  <c:v>mlp_test_acc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Wine!$AD$2:$AD$96</c:f>
              <c:numCache>
                <c:formatCode>General</c:formatCode>
                <c:ptCount val="68"/>
                <c:pt idx="0">
                  <c:v>4930</c:v>
                </c:pt>
                <c:pt idx="1">
                  <c:v>5975</c:v>
                </c:pt>
                <c:pt idx="2">
                  <c:v>7020</c:v>
                </c:pt>
                <c:pt idx="3">
                  <c:v>2929</c:v>
                </c:pt>
                <c:pt idx="4">
                  <c:v>5608</c:v>
                </c:pt>
                <c:pt idx="5">
                  <c:v>6783</c:v>
                </c:pt>
                <c:pt idx="6">
                  <c:v>7958</c:v>
                </c:pt>
                <c:pt idx="7">
                  <c:v>6286</c:v>
                </c:pt>
                <c:pt idx="8">
                  <c:v>7591</c:v>
                </c:pt>
                <c:pt idx="9">
                  <c:v>8896</c:v>
                </c:pt>
                <c:pt idx="10">
                  <c:v>6964</c:v>
                </c:pt>
                <c:pt idx="11">
                  <c:v>8399</c:v>
                </c:pt>
                <c:pt idx="12">
                  <c:v>9834</c:v>
                </c:pt>
                <c:pt idx="13">
                  <c:v>3974</c:v>
                </c:pt>
                <c:pt idx="14">
                  <c:v>7642</c:v>
                </c:pt>
                <c:pt idx="15">
                  <c:v>9207</c:v>
                </c:pt>
                <c:pt idx="16">
                  <c:v>10772</c:v>
                </c:pt>
                <c:pt idx="17">
                  <c:v>5019</c:v>
                </c:pt>
                <c:pt idx="18">
                  <c:v>1884</c:v>
                </c:pt>
                <c:pt idx="19">
                  <c:v>6061</c:v>
                </c:pt>
                <c:pt idx="20">
                  <c:v>7346</c:v>
                </c:pt>
                <c:pt idx="21">
                  <c:v>8631</c:v>
                </c:pt>
                <c:pt idx="22">
                  <c:v>3601</c:v>
                </c:pt>
                <c:pt idx="23">
                  <c:v>6895</c:v>
                </c:pt>
                <c:pt idx="24">
                  <c:v>8340</c:v>
                </c:pt>
                <c:pt idx="25">
                  <c:v>9785</c:v>
                </c:pt>
                <c:pt idx="26">
                  <c:v>7729</c:v>
                </c:pt>
                <c:pt idx="27">
                  <c:v>9334</c:v>
                </c:pt>
                <c:pt idx="28">
                  <c:v>10939</c:v>
                </c:pt>
                <c:pt idx="29">
                  <c:v>8563</c:v>
                </c:pt>
                <c:pt idx="30">
                  <c:v>10328</c:v>
                </c:pt>
                <c:pt idx="31">
                  <c:v>12093</c:v>
                </c:pt>
                <c:pt idx="32">
                  <c:v>4886</c:v>
                </c:pt>
                <c:pt idx="33">
                  <c:v>9397</c:v>
                </c:pt>
                <c:pt idx="34">
                  <c:v>11322</c:v>
                </c:pt>
                <c:pt idx="35">
                  <c:v>13247</c:v>
                </c:pt>
                <c:pt idx="36">
                  <c:v>6171</c:v>
                </c:pt>
                <c:pt idx="37">
                  <c:v>2316</c:v>
                </c:pt>
                <c:pt idx="38">
                  <c:v>7192</c:v>
                </c:pt>
                <c:pt idx="39">
                  <c:v>8717</c:v>
                </c:pt>
                <c:pt idx="40">
                  <c:v>10242</c:v>
                </c:pt>
                <c:pt idx="41">
                  <c:v>4273</c:v>
                </c:pt>
                <c:pt idx="42">
                  <c:v>8182</c:v>
                </c:pt>
                <c:pt idx="43">
                  <c:v>9897</c:v>
                </c:pt>
                <c:pt idx="44">
                  <c:v>11612</c:v>
                </c:pt>
                <c:pt idx="45">
                  <c:v>9172</c:v>
                </c:pt>
                <c:pt idx="46">
                  <c:v>11077</c:v>
                </c:pt>
                <c:pt idx="47">
                  <c:v>12982</c:v>
                </c:pt>
                <c:pt idx="48">
                  <c:v>10162</c:v>
                </c:pt>
                <c:pt idx="49">
                  <c:v>12257</c:v>
                </c:pt>
                <c:pt idx="50">
                  <c:v>14352</c:v>
                </c:pt>
                <c:pt idx="51">
                  <c:v>5798</c:v>
                </c:pt>
                <c:pt idx="52">
                  <c:v>11152</c:v>
                </c:pt>
                <c:pt idx="53">
                  <c:v>13437</c:v>
                </c:pt>
                <c:pt idx="54">
                  <c:v>15722</c:v>
                </c:pt>
                <c:pt idx="55">
                  <c:v>7323</c:v>
                </c:pt>
                <c:pt idx="56">
                  <c:v>2748</c:v>
                </c:pt>
                <c:pt idx="57">
                  <c:v>8323</c:v>
                </c:pt>
                <c:pt idx="58">
                  <c:v>10088</c:v>
                </c:pt>
                <c:pt idx="59">
                  <c:v>11853</c:v>
                </c:pt>
                <c:pt idx="60">
                  <c:v>4945</c:v>
                </c:pt>
                <c:pt idx="61">
                  <c:v>9469</c:v>
                </c:pt>
                <c:pt idx="62">
                  <c:v>11454</c:v>
                </c:pt>
                <c:pt idx="63">
                  <c:v>13439</c:v>
                </c:pt>
                <c:pt idx="64">
                  <c:v>10615</c:v>
                </c:pt>
                <c:pt idx="65">
                  <c:v>6710</c:v>
                </c:pt>
                <c:pt idx="66">
                  <c:v>8475</c:v>
                </c:pt>
                <c:pt idx="67">
                  <c:v>3180</c:v>
                </c:pt>
              </c:numCache>
            </c:numRef>
          </c:xVal>
          <c:yVal>
            <c:numRef>
              <c:f>Wine!$AH$2:$AH$96</c:f>
              <c:numCache>
                <c:formatCode>General</c:formatCode>
                <c:ptCount val="68"/>
                <c:pt idx="0">
                  <c:v>0.94666666666666666</c:v>
                </c:pt>
                <c:pt idx="1">
                  <c:v>0.9555555555555556</c:v>
                </c:pt>
                <c:pt idx="2">
                  <c:v>0.94222222222222229</c:v>
                </c:pt>
                <c:pt idx="3">
                  <c:v>0.9555555555555556</c:v>
                </c:pt>
                <c:pt idx="4">
                  <c:v>0.94666666666666666</c:v>
                </c:pt>
                <c:pt idx="5">
                  <c:v>0.93777777777777782</c:v>
                </c:pt>
                <c:pt idx="6">
                  <c:v>0.93777777777777782</c:v>
                </c:pt>
                <c:pt idx="7">
                  <c:v>0.95111111111111113</c:v>
                </c:pt>
                <c:pt idx="8">
                  <c:v>0.94222222222222229</c:v>
                </c:pt>
                <c:pt idx="9">
                  <c:v>0.94222222222222229</c:v>
                </c:pt>
                <c:pt idx="10">
                  <c:v>0.94222222222222229</c:v>
                </c:pt>
                <c:pt idx="11">
                  <c:v>0.94666666666666666</c:v>
                </c:pt>
                <c:pt idx="12">
                  <c:v>0.93777777777777782</c:v>
                </c:pt>
                <c:pt idx="13">
                  <c:v>0.9555555555555556</c:v>
                </c:pt>
                <c:pt idx="14">
                  <c:v>0.95111111111111113</c:v>
                </c:pt>
                <c:pt idx="15">
                  <c:v>0.94222222222222229</c:v>
                </c:pt>
                <c:pt idx="16">
                  <c:v>0.95111111111111113</c:v>
                </c:pt>
                <c:pt idx="17">
                  <c:v>0.94222222222222218</c:v>
                </c:pt>
                <c:pt idx="18">
                  <c:v>0.92380952380952386</c:v>
                </c:pt>
                <c:pt idx="19">
                  <c:v>0.93777777777777782</c:v>
                </c:pt>
                <c:pt idx="20">
                  <c:v>0.93333333333333335</c:v>
                </c:pt>
                <c:pt idx="21">
                  <c:v>0.97777777777777775</c:v>
                </c:pt>
                <c:pt idx="22">
                  <c:v>0.92888888888888888</c:v>
                </c:pt>
                <c:pt idx="23">
                  <c:v>0.97333333333333338</c:v>
                </c:pt>
                <c:pt idx="24">
                  <c:v>0.98222222222222222</c:v>
                </c:pt>
                <c:pt idx="25">
                  <c:v>0.98222222222222222</c:v>
                </c:pt>
                <c:pt idx="26">
                  <c:v>0.98666666666666669</c:v>
                </c:pt>
                <c:pt idx="27">
                  <c:v>0.99111111111111105</c:v>
                </c:pt>
                <c:pt idx="28">
                  <c:v>0.95111111111111113</c:v>
                </c:pt>
                <c:pt idx="29">
                  <c:v>0.95111111111111113</c:v>
                </c:pt>
                <c:pt idx="30">
                  <c:v>0.9555555555555556</c:v>
                </c:pt>
                <c:pt idx="31">
                  <c:v>0.94222222222222229</c:v>
                </c:pt>
                <c:pt idx="32">
                  <c:v>0.93333333333333335</c:v>
                </c:pt>
                <c:pt idx="33">
                  <c:v>0.94222222222222229</c:v>
                </c:pt>
                <c:pt idx="34">
                  <c:v>0.93333333333333335</c:v>
                </c:pt>
                <c:pt idx="35">
                  <c:v>0.93777777777777782</c:v>
                </c:pt>
                <c:pt idx="36">
                  <c:v>0.93333333333333335</c:v>
                </c:pt>
                <c:pt idx="37">
                  <c:v>0.94222222222222229</c:v>
                </c:pt>
                <c:pt idx="38">
                  <c:v>0.9555555555555556</c:v>
                </c:pt>
                <c:pt idx="39">
                  <c:v>0.93333333333333335</c:v>
                </c:pt>
                <c:pt idx="40">
                  <c:v>0.93333333333333335</c:v>
                </c:pt>
                <c:pt idx="41">
                  <c:v>0.9555555555555556</c:v>
                </c:pt>
                <c:pt idx="42">
                  <c:v>0.93777777777777782</c:v>
                </c:pt>
                <c:pt idx="43">
                  <c:v>0.92</c:v>
                </c:pt>
                <c:pt idx="44">
                  <c:v>0.92888888888888888</c:v>
                </c:pt>
                <c:pt idx="45">
                  <c:v>0.94222222222222229</c:v>
                </c:pt>
                <c:pt idx="46">
                  <c:v>0.93333333333333335</c:v>
                </c:pt>
                <c:pt idx="47">
                  <c:v>0.91555555555555557</c:v>
                </c:pt>
                <c:pt idx="48">
                  <c:v>0.91555555555555557</c:v>
                </c:pt>
                <c:pt idx="49">
                  <c:v>0.93333333333333335</c:v>
                </c:pt>
                <c:pt idx="50">
                  <c:v>0.9244444444444444</c:v>
                </c:pt>
                <c:pt idx="51">
                  <c:v>0.94666666666666666</c:v>
                </c:pt>
                <c:pt idx="52">
                  <c:v>0.9244444444444444</c:v>
                </c:pt>
                <c:pt idx="53">
                  <c:v>0.93333333333333335</c:v>
                </c:pt>
                <c:pt idx="54">
                  <c:v>0.94222222222222229</c:v>
                </c:pt>
                <c:pt idx="55">
                  <c:v>0.94666666666666666</c:v>
                </c:pt>
                <c:pt idx="56">
                  <c:v>0.95111111111111113</c:v>
                </c:pt>
                <c:pt idx="57">
                  <c:v>0.94666666666666666</c:v>
                </c:pt>
                <c:pt idx="58">
                  <c:v>0.93333333333333335</c:v>
                </c:pt>
                <c:pt idx="59">
                  <c:v>0.93333333333333335</c:v>
                </c:pt>
                <c:pt idx="60">
                  <c:v>0.95111111111111113</c:v>
                </c:pt>
                <c:pt idx="61">
                  <c:v>0.93333333333333335</c:v>
                </c:pt>
                <c:pt idx="62">
                  <c:v>0.92888888888888888</c:v>
                </c:pt>
                <c:pt idx="63">
                  <c:v>0.9244444444444444</c:v>
                </c:pt>
                <c:pt idx="64">
                  <c:v>0.93333333333333335</c:v>
                </c:pt>
                <c:pt idx="65">
                  <c:v>0.9555555555555556</c:v>
                </c:pt>
                <c:pt idx="66">
                  <c:v>0.95111111111111113</c:v>
                </c:pt>
                <c:pt idx="67">
                  <c:v>0.94222222222222229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86-4ECD-904A-C3B42EFCB367}"/>
            </c:ext>
          </c:extLst>
        </c:ser>
        <c:ser>
          <c:idx val="4"/>
          <c:order val="4"/>
          <c:tx>
            <c:strRef>
              <c:f>Wine!$AI$1</c:f>
              <c:strCache>
                <c:ptCount val="1"/>
                <c:pt idx="0">
                  <c:v>mlp_val_acc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Wine!$AD$2:$AD$96</c:f>
              <c:numCache>
                <c:formatCode>General</c:formatCode>
                <c:ptCount val="68"/>
                <c:pt idx="0">
                  <c:v>4930</c:v>
                </c:pt>
                <c:pt idx="1">
                  <c:v>5975</c:v>
                </c:pt>
                <c:pt idx="2">
                  <c:v>7020</c:v>
                </c:pt>
                <c:pt idx="3">
                  <c:v>2929</c:v>
                </c:pt>
                <c:pt idx="4">
                  <c:v>5608</c:v>
                </c:pt>
                <c:pt idx="5">
                  <c:v>6783</c:v>
                </c:pt>
                <c:pt idx="6">
                  <c:v>7958</c:v>
                </c:pt>
                <c:pt idx="7">
                  <c:v>6286</c:v>
                </c:pt>
                <c:pt idx="8">
                  <c:v>7591</c:v>
                </c:pt>
                <c:pt idx="9">
                  <c:v>8896</c:v>
                </c:pt>
                <c:pt idx="10">
                  <c:v>6964</c:v>
                </c:pt>
                <c:pt idx="11">
                  <c:v>8399</c:v>
                </c:pt>
                <c:pt idx="12">
                  <c:v>9834</c:v>
                </c:pt>
                <c:pt idx="13">
                  <c:v>3974</c:v>
                </c:pt>
                <c:pt idx="14">
                  <c:v>7642</c:v>
                </c:pt>
                <c:pt idx="15">
                  <c:v>9207</c:v>
                </c:pt>
                <c:pt idx="16">
                  <c:v>10772</c:v>
                </c:pt>
                <c:pt idx="17">
                  <c:v>5019</c:v>
                </c:pt>
                <c:pt idx="18">
                  <c:v>1884</c:v>
                </c:pt>
                <c:pt idx="19">
                  <c:v>6061</c:v>
                </c:pt>
                <c:pt idx="20">
                  <c:v>7346</c:v>
                </c:pt>
                <c:pt idx="21">
                  <c:v>8631</c:v>
                </c:pt>
                <c:pt idx="22">
                  <c:v>3601</c:v>
                </c:pt>
                <c:pt idx="23">
                  <c:v>6895</c:v>
                </c:pt>
                <c:pt idx="24">
                  <c:v>8340</c:v>
                </c:pt>
                <c:pt idx="25">
                  <c:v>9785</c:v>
                </c:pt>
                <c:pt idx="26">
                  <c:v>7729</c:v>
                </c:pt>
                <c:pt idx="27">
                  <c:v>9334</c:v>
                </c:pt>
                <c:pt idx="28">
                  <c:v>10939</c:v>
                </c:pt>
                <c:pt idx="29">
                  <c:v>8563</c:v>
                </c:pt>
                <c:pt idx="30">
                  <c:v>10328</c:v>
                </c:pt>
                <c:pt idx="31">
                  <c:v>12093</c:v>
                </c:pt>
                <c:pt idx="32">
                  <c:v>4886</c:v>
                </c:pt>
                <c:pt idx="33">
                  <c:v>9397</c:v>
                </c:pt>
                <c:pt idx="34">
                  <c:v>11322</c:v>
                </c:pt>
                <c:pt idx="35">
                  <c:v>13247</c:v>
                </c:pt>
                <c:pt idx="36">
                  <c:v>6171</c:v>
                </c:pt>
                <c:pt idx="37">
                  <c:v>2316</c:v>
                </c:pt>
                <c:pt idx="38">
                  <c:v>7192</c:v>
                </c:pt>
                <c:pt idx="39">
                  <c:v>8717</c:v>
                </c:pt>
                <c:pt idx="40">
                  <c:v>10242</c:v>
                </c:pt>
                <c:pt idx="41">
                  <c:v>4273</c:v>
                </c:pt>
                <c:pt idx="42">
                  <c:v>8182</c:v>
                </c:pt>
                <c:pt idx="43">
                  <c:v>9897</c:v>
                </c:pt>
                <c:pt idx="44">
                  <c:v>11612</c:v>
                </c:pt>
                <c:pt idx="45">
                  <c:v>9172</c:v>
                </c:pt>
                <c:pt idx="46">
                  <c:v>11077</c:v>
                </c:pt>
                <c:pt idx="47">
                  <c:v>12982</c:v>
                </c:pt>
                <c:pt idx="48">
                  <c:v>10162</c:v>
                </c:pt>
                <c:pt idx="49">
                  <c:v>12257</c:v>
                </c:pt>
                <c:pt idx="50">
                  <c:v>14352</c:v>
                </c:pt>
                <c:pt idx="51">
                  <c:v>5798</c:v>
                </c:pt>
                <c:pt idx="52">
                  <c:v>11152</c:v>
                </c:pt>
                <c:pt idx="53">
                  <c:v>13437</c:v>
                </c:pt>
                <c:pt idx="54">
                  <c:v>15722</c:v>
                </c:pt>
                <c:pt idx="55">
                  <c:v>7323</c:v>
                </c:pt>
                <c:pt idx="56">
                  <c:v>2748</c:v>
                </c:pt>
                <c:pt idx="57">
                  <c:v>8323</c:v>
                </c:pt>
                <c:pt idx="58">
                  <c:v>10088</c:v>
                </c:pt>
                <c:pt idx="59">
                  <c:v>11853</c:v>
                </c:pt>
                <c:pt idx="60">
                  <c:v>4945</c:v>
                </c:pt>
                <c:pt idx="61">
                  <c:v>9469</c:v>
                </c:pt>
                <c:pt idx="62">
                  <c:v>11454</c:v>
                </c:pt>
                <c:pt idx="63">
                  <c:v>13439</c:v>
                </c:pt>
                <c:pt idx="64">
                  <c:v>10615</c:v>
                </c:pt>
                <c:pt idx="65">
                  <c:v>6710</c:v>
                </c:pt>
                <c:pt idx="66">
                  <c:v>8475</c:v>
                </c:pt>
                <c:pt idx="67">
                  <c:v>3180</c:v>
                </c:pt>
              </c:numCache>
            </c:numRef>
          </c:xVal>
          <c:yVal>
            <c:numRef>
              <c:f>Wine!$AI$2:$AI$96</c:f>
              <c:numCache>
                <c:formatCode>General</c:formatCode>
                <c:ptCount val="68"/>
                <c:pt idx="0">
                  <c:v>0.91111111111111109</c:v>
                </c:pt>
                <c:pt idx="1">
                  <c:v>0.91111111111111109</c:v>
                </c:pt>
                <c:pt idx="2">
                  <c:v>0.89629629629629626</c:v>
                </c:pt>
                <c:pt idx="3">
                  <c:v>0.86666666666666659</c:v>
                </c:pt>
                <c:pt idx="4">
                  <c:v>0.90370370370370368</c:v>
                </c:pt>
                <c:pt idx="5">
                  <c:v>0.89629629629629626</c:v>
                </c:pt>
                <c:pt idx="6">
                  <c:v>0.89629629629629626</c:v>
                </c:pt>
                <c:pt idx="7">
                  <c:v>0.94074074074074077</c:v>
                </c:pt>
                <c:pt idx="8">
                  <c:v>0.91851851851851851</c:v>
                </c:pt>
                <c:pt idx="9">
                  <c:v>0.91111111111111109</c:v>
                </c:pt>
                <c:pt idx="10">
                  <c:v>0.91851851851851851</c:v>
                </c:pt>
                <c:pt idx="11">
                  <c:v>0.92592592592592593</c:v>
                </c:pt>
                <c:pt idx="12">
                  <c:v>0.89629629629629626</c:v>
                </c:pt>
                <c:pt idx="13">
                  <c:v>0.91111111111111109</c:v>
                </c:pt>
                <c:pt idx="14">
                  <c:v>0.91851851851851851</c:v>
                </c:pt>
                <c:pt idx="15">
                  <c:v>0.90370370370370368</c:v>
                </c:pt>
                <c:pt idx="16">
                  <c:v>0.93333333333333335</c:v>
                </c:pt>
                <c:pt idx="17">
                  <c:v>0.90370370370370368</c:v>
                </c:pt>
                <c:pt idx="18">
                  <c:v>0.91005291005291</c:v>
                </c:pt>
                <c:pt idx="19">
                  <c:v>0.97777777777777775</c:v>
                </c:pt>
                <c:pt idx="20">
                  <c:v>0.96296296296296291</c:v>
                </c:pt>
                <c:pt idx="21">
                  <c:v>1</c:v>
                </c:pt>
                <c:pt idx="22">
                  <c:v>0.96296296296296291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0.97777777777777775</c:v>
                </c:pt>
                <c:pt idx="29">
                  <c:v>0.97777777777777775</c:v>
                </c:pt>
                <c:pt idx="30">
                  <c:v>0.98518518518518516</c:v>
                </c:pt>
                <c:pt idx="31">
                  <c:v>0.97777777777777775</c:v>
                </c:pt>
                <c:pt idx="32">
                  <c:v>0.96296296296296291</c:v>
                </c:pt>
                <c:pt idx="33">
                  <c:v>0.97777777777777775</c:v>
                </c:pt>
                <c:pt idx="34">
                  <c:v>0.96296296296296291</c:v>
                </c:pt>
                <c:pt idx="35">
                  <c:v>0.97037037037037033</c:v>
                </c:pt>
                <c:pt idx="36">
                  <c:v>0.96296296296296291</c:v>
                </c:pt>
                <c:pt idx="37">
                  <c:v>0.88148148148148142</c:v>
                </c:pt>
                <c:pt idx="38">
                  <c:v>0.99259259259259258</c:v>
                </c:pt>
                <c:pt idx="39">
                  <c:v>0.95555555555555549</c:v>
                </c:pt>
                <c:pt idx="40">
                  <c:v>0.92592592592592593</c:v>
                </c:pt>
                <c:pt idx="41">
                  <c:v>0.97037037037037033</c:v>
                </c:pt>
                <c:pt idx="42">
                  <c:v>0.91851851851851851</c:v>
                </c:pt>
                <c:pt idx="43">
                  <c:v>0.91851851851851851</c:v>
                </c:pt>
                <c:pt idx="44">
                  <c:v>0.90370370370370368</c:v>
                </c:pt>
                <c:pt idx="45">
                  <c:v>0.94074074074074077</c:v>
                </c:pt>
                <c:pt idx="46">
                  <c:v>0.93333333333333335</c:v>
                </c:pt>
                <c:pt idx="47">
                  <c:v>0.96296296296296291</c:v>
                </c:pt>
                <c:pt idx="48">
                  <c:v>0.96296296296296291</c:v>
                </c:pt>
                <c:pt idx="49">
                  <c:v>0.96296296296296291</c:v>
                </c:pt>
                <c:pt idx="50">
                  <c:v>0.96296296296296291</c:v>
                </c:pt>
                <c:pt idx="51">
                  <c:v>0.97037037037037033</c:v>
                </c:pt>
                <c:pt idx="52">
                  <c:v>0.96296296296296291</c:v>
                </c:pt>
                <c:pt idx="53">
                  <c:v>0.99259259259259258</c:v>
                </c:pt>
                <c:pt idx="54">
                  <c:v>1</c:v>
                </c:pt>
                <c:pt idx="55">
                  <c:v>0.98518518518518516</c:v>
                </c:pt>
                <c:pt idx="56">
                  <c:v>0.97037037037037033</c:v>
                </c:pt>
                <c:pt idx="57">
                  <c:v>1</c:v>
                </c:pt>
                <c:pt idx="58">
                  <c:v>0.98518518518518516</c:v>
                </c:pt>
                <c:pt idx="59">
                  <c:v>0.93333333333333335</c:v>
                </c:pt>
                <c:pt idx="60">
                  <c:v>0.98518518518518516</c:v>
                </c:pt>
                <c:pt idx="61">
                  <c:v>0.94074074074074077</c:v>
                </c:pt>
                <c:pt idx="62">
                  <c:v>0.91851851851851851</c:v>
                </c:pt>
                <c:pt idx="63">
                  <c:v>0.93333333333333335</c:v>
                </c:pt>
                <c:pt idx="64">
                  <c:v>0.92592592592592593</c:v>
                </c:pt>
                <c:pt idx="65">
                  <c:v>1</c:v>
                </c:pt>
                <c:pt idx="66">
                  <c:v>1</c:v>
                </c:pt>
                <c:pt idx="67">
                  <c:v>0.98518518518518516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86-4ECD-904A-C3B42EFCB367}"/>
            </c:ext>
          </c:extLst>
        </c:ser>
        <c:ser>
          <c:idx val="5"/>
          <c:order val="5"/>
          <c:tx>
            <c:strRef>
              <c:f>Wine!$AJ$1</c:f>
              <c:strCache>
                <c:ptCount val="1"/>
                <c:pt idx="0">
                  <c:v>mlp_train_acc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Wine!$AD$2:$AD$96</c:f>
              <c:numCache>
                <c:formatCode>General</c:formatCode>
                <c:ptCount val="68"/>
                <c:pt idx="0">
                  <c:v>4930</c:v>
                </c:pt>
                <c:pt idx="1">
                  <c:v>5975</c:v>
                </c:pt>
                <c:pt idx="2">
                  <c:v>7020</c:v>
                </c:pt>
                <c:pt idx="3">
                  <c:v>2929</c:v>
                </c:pt>
                <c:pt idx="4">
                  <c:v>5608</c:v>
                </c:pt>
                <c:pt idx="5">
                  <c:v>6783</c:v>
                </c:pt>
                <c:pt idx="6">
                  <c:v>7958</c:v>
                </c:pt>
                <c:pt idx="7">
                  <c:v>6286</c:v>
                </c:pt>
                <c:pt idx="8">
                  <c:v>7591</c:v>
                </c:pt>
                <c:pt idx="9">
                  <c:v>8896</c:v>
                </c:pt>
                <c:pt idx="10">
                  <c:v>6964</c:v>
                </c:pt>
                <c:pt idx="11">
                  <c:v>8399</c:v>
                </c:pt>
                <c:pt idx="12">
                  <c:v>9834</c:v>
                </c:pt>
                <c:pt idx="13">
                  <c:v>3974</c:v>
                </c:pt>
                <c:pt idx="14">
                  <c:v>7642</c:v>
                </c:pt>
                <c:pt idx="15">
                  <c:v>9207</c:v>
                </c:pt>
                <c:pt idx="16">
                  <c:v>10772</c:v>
                </c:pt>
                <c:pt idx="17">
                  <c:v>5019</c:v>
                </c:pt>
                <c:pt idx="18">
                  <c:v>1884</c:v>
                </c:pt>
                <c:pt idx="19">
                  <c:v>6061</c:v>
                </c:pt>
                <c:pt idx="20">
                  <c:v>7346</c:v>
                </c:pt>
                <c:pt idx="21">
                  <c:v>8631</c:v>
                </c:pt>
                <c:pt idx="22">
                  <c:v>3601</c:v>
                </c:pt>
                <c:pt idx="23">
                  <c:v>6895</c:v>
                </c:pt>
                <c:pt idx="24">
                  <c:v>8340</c:v>
                </c:pt>
                <c:pt idx="25">
                  <c:v>9785</c:v>
                </c:pt>
                <c:pt idx="26">
                  <c:v>7729</c:v>
                </c:pt>
                <c:pt idx="27">
                  <c:v>9334</c:v>
                </c:pt>
                <c:pt idx="28">
                  <c:v>10939</c:v>
                </c:pt>
                <c:pt idx="29">
                  <c:v>8563</c:v>
                </c:pt>
                <c:pt idx="30">
                  <c:v>10328</c:v>
                </c:pt>
                <c:pt idx="31">
                  <c:v>12093</c:v>
                </c:pt>
                <c:pt idx="32">
                  <c:v>4886</c:v>
                </c:pt>
                <c:pt idx="33">
                  <c:v>9397</c:v>
                </c:pt>
                <c:pt idx="34">
                  <c:v>11322</c:v>
                </c:pt>
                <c:pt idx="35">
                  <c:v>13247</c:v>
                </c:pt>
                <c:pt idx="36">
                  <c:v>6171</c:v>
                </c:pt>
                <c:pt idx="37">
                  <c:v>2316</c:v>
                </c:pt>
                <c:pt idx="38">
                  <c:v>7192</c:v>
                </c:pt>
                <c:pt idx="39">
                  <c:v>8717</c:v>
                </c:pt>
                <c:pt idx="40">
                  <c:v>10242</c:v>
                </c:pt>
                <c:pt idx="41">
                  <c:v>4273</c:v>
                </c:pt>
                <c:pt idx="42">
                  <c:v>8182</c:v>
                </c:pt>
                <c:pt idx="43">
                  <c:v>9897</c:v>
                </c:pt>
                <c:pt idx="44">
                  <c:v>11612</c:v>
                </c:pt>
                <c:pt idx="45">
                  <c:v>9172</c:v>
                </c:pt>
                <c:pt idx="46">
                  <c:v>11077</c:v>
                </c:pt>
                <c:pt idx="47">
                  <c:v>12982</c:v>
                </c:pt>
                <c:pt idx="48">
                  <c:v>10162</c:v>
                </c:pt>
                <c:pt idx="49">
                  <c:v>12257</c:v>
                </c:pt>
                <c:pt idx="50">
                  <c:v>14352</c:v>
                </c:pt>
                <c:pt idx="51">
                  <c:v>5798</c:v>
                </c:pt>
                <c:pt idx="52">
                  <c:v>11152</c:v>
                </c:pt>
                <c:pt idx="53">
                  <c:v>13437</c:v>
                </c:pt>
                <c:pt idx="54">
                  <c:v>15722</c:v>
                </c:pt>
                <c:pt idx="55">
                  <c:v>7323</c:v>
                </c:pt>
                <c:pt idx="56">
                  <c:v>2748</c:v>
                </c:pt>
                <c:pt idx="57">
                  <c:v>8323</c:v>
                </c:pt>
                <c:pt idx="58">
                  <c:v>10088</c:v>
                </c:pt>
                <c:pt idx="59">
                  <c:v>11853</c:v>
                </c:pt>
                <c:pt idx="60">
                  <c:v>4945</c:v>
                </c:pt>
                <c:pt idx="61">
                  <c:v>9469</c:v>
                </c:pt>
                <c:pt idx="62">
                  <c:v>11454</c:v>
                </c:pt>
                <c:pt idx="63">
                  <c:v>13439</c:v>
                </c:pt>
                <c:pt idx="64">
                  <c:v>10615</c:v>
                </c:pt>
                <c:pt idx="65">
                  <c:v>6710</c:v>
                </c:pt>
                <c:pt idx="66">
                  <c:v>8475</c:v>
                </c:pt>
                <c:pt idx="67">
                  <c:v>3180</c:v>
                </c:pt>
              </c:numCache>
            </c:numRef>
          </c:xVal>
          <c:yVal>
            <c:numRef>
              <c:f>Wine!$AJ$2:$AJ$96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0.99056603773584906</c:v>
                </c:pt>
                <c:pt idx="22">
                  <c:v>1</c:v>
                </c:pt>
                <c:pt idx="23">
                  <c:v>0.99056603773584906</c:v>
                </c:pt>
                <c:pt idx="24">
                  <c:v>0.99056603773584906</c:v>
                </c:pt>
                <c:pt idx="25">
                  <c:v>0.99056603773584906</c:v>
                </c:pt>
                <c:pt idx="26">
                  <c:v>0.99056603773584906</c:v>
                </c:pt>
                <c:pt idx="27">
                  <c:v>0.99056603773584906</c:v>
                </c:pt>
                <c:pt idx="28">
                  <c:v>0.99622641509433962</c:v>
                </c:pt>
                <c:pt idx="29">
                  <c:v>0.96415094339622642</c:v>
                </c:pt>
                <c:pt idx="30">
                  <c:v>0.94905660377358492</c:v>
                </c:pt>
                <c:pt idx="31">
                  <c:v>0.9679245283018868</c:v>
                </c:pt>
                <c:pt idx="32">
                  <c:v>1</c:v>
                </c:pt>
                <c:pt idx="33">
                  <c:v>0.96037735849056605</c:v>
                </c:pt>
                <c:pt idx="34">
                  <c:v>1</c:v>
                </c:pt>
                <c:pt idx="35">
                  <c:v>0.98490566037735849</c:v>
                </c:pt>
                <c:pt idx="36">
                  <c:v>1</c:v>
                </c:pt>
                <c:pt idx="37">
                  <c:v>1</c:v>
                </c:pt>
                <c:pt idx="38">
                  <c:v>0.93962264150943398</c:v>
                </c:pt>
                <c:pt idx="39">
                  <c:v>1</c:v>
                </c:pt>
                <c:pt idx="40">
                  <c:v>1</c:v>
                </c:pt>
                <c:pt idx="41">
                  <c:v>0.98490566037735849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0.97547169811320755</c:v>
                </c:pt>
                <c:pt idx="52">
                  <c:v>1</c:v>
                </c:pt>
                <c:pt idx="53">
                  <c:v>1</c:v>
                </c:pt>
                <c:pt idx="54">
                  <c:v>0.99811320754716981</c:v>
                </c:pt>
                <c:pt idx="55">
                  <c:v>0.95471698113207548</c:v>
                </c:pt>
                <c:pt idx="56">
                  <c:v>0.97735849056603774</c:v>
                </c:pt>
                <c:pt idx="57">
                  <c:v>1</c:v>
                </c:pt>
                <c:pt idx="58">
                  <c:v>0.99245283018867925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0.98867924528301887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B86-4ECD-904A-C3B42EFCB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200191"/>
        <c:axId val="2095203071"/>
      </c:scatterChart>
      <c:valAx>
        <c:axId val="2095200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95203071"/>
        <c:crosses val="autoZero"/>
        <c:crossBetween val="midCat"/>
      </c:valAx>
      <c:valAx>
        <c:axId val="209520307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95200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3</xdr:row>
      <xdr:rowOff>57149</xdr:rowOff>
    </xdr:from>
    <xdr:to>
      <xdr:col>8</xdr:col>
      <xdr:colOff>611622</xdr:colOff>
      <xdr:row>32</xdr:row>
      <xdr:rowOff>104775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80FE3F3D-0CD9-448A-8105-C46621C9A39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704849</xdr:colOff>
      <xdr:row>2</xdr:row>
      <xdr:rowOff>171449</xdr:rowOff>
    </xdr:from>
    <xdr:to>
      <xdr:col>8</xdr:col>
      <xdr:colOff>552449</xdr:colOff>
      <xdr:row>31</xdr:row>
      <xdr:rowOff>85724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23F643F-388A-4B25-8974-E62ABE88648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C0C8B40-3285-4AD5-8290-518C2755FBDD}" autoFormatId="16" applyNumberFormats="0" applyBorderFormats="0" applyFontFormats="0" applyPatternFormats="0" applyAlignmentFormats="0" applyWidthHeightFormats="0">
  <queryTableRefresh nextId="29">
    <queryTableFields count="28">
      <queryTableField id="1" name="dataset_name" tableColumnId="1"/>
      <queryTableField id="2" name="kan_grid" tableColumnId="2"/>
      <queryTableField id="3" name="kan_grid_passed_parameter" tableColumnId="3"/>
      <queryTableField id="4" name="kan_degree" tableColumnId="4"/>
      <queryTableField id="5" name="kan_lam" tableColumnId="5"/>
      <queryTableField id="6" name="kan_width" tableColumnId="6"/>
      <queryTableField id="7" name="kan_params" tableColumnId="7"/>
      <queryTableField id="8" name="kan_time_difference" tableColumnId="8"/>
      <queryTableField id="9" name="kan_steps" tableColumnId="9"/>
      <queryTableField id="10" name="kan_train_acc" tableColumnId="10"/>
      <queryTableField id="11" name="kan_val_acc" tableColumnId="11"/>
      <queryTableField id="12" name="kan_test_acc" tableColumnId="12"/>
      <queryTableField id="13" name="mlp_test_acc" tableColumnId="13"/>
      <queryTableField id="14" name="mlp_val_acc" tableColumnId="14"/>
      <queryTableField id="15" name="mlp_train_acc" tableColumnId="15"/>
      <queryTableField id="16" name="mlp_steps" tableColumnId="16"/>
      <queryTableField id="17" name="mlp_time_difference" tableColumnId="17"/>
      <queryTableField id="18" name="mlp_params" tableColumnId="18"/>
      <queryTableField id="19" name="mlp_no_layers" tableColumnId="19"/>
      <queryTableField id="20" name="mlp_width_layers" tableColumnId="20"/>
      <queryTableField id="21" name="mlp2_test_acc" tableColumnId="21"/>
      <queryTableField id="22" name="mlp2_val_acc" tableColumnId="22"/>
      <queryTableField id="23" name="mlp2_train_acc" tableColumnId="23"/>
      <queryTableField id="24" name="mlp2_steps" tableColumnId="24"/>
      <queryTableField id="25" name="mlp2_time_difference" tableColumnId="25"/>
      <queryTableField id="26" name="mlp2_params" tableColumnId="26"/>
      <queryTableField id="27" name="no_layers2" tableColumnId="27"/>
      <queryTableField id="28" name="width_layers2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5BACD8A-0F54-4BC0-9256-645F032888E1}" name="_27_text_logs_full_output" displayName="_27_text_logs_full_output" ref="A1:AB771" tableType="queryTable" totalsRowShown="0">
  <autoFilter ref="A1:AB771" xr:uid="{35BACD8A-0F54-4BC0-9256-645F032888E1}">
    <filterColumn colId="0">
      <filters>
        <filter val="Iris"/>
      </filters>
    </filterColumn>
  </autoFilter>
  <tableColumns count="28">
    <tableColumn id="1" xr3:uid="{A3C918AF-6605-440F-AB2F-DE85551714B2}" uniqueName="1" name="dataset_name" queryTableFieldId="1" dataDxfId="1"/>
    <tableColumn id="2" xr3:uid="{E0E4B1FB-C14C-46D2-8693-C39F3DD99F5A}" uniqueName="2" name="kan_grid" queryTableFieldId="2"/>
    <tableColumn id="3" xr3:uid="{54C49B0D-0A9E-45DE-91F3-BD41F253D11B}" uniqueName="3" name="kan_grid_passed_parameter" queryTableFieldId="3"/>
    <tableColumn id="4" xr3:uid="{56F8E03F-975F-4DDF-A10E-53766CAE6F20}" uniqueName="4" name="kan_degree" queryTableFieldId="4"/>
    <tableColumn id="5" xr3:uid="{5B4F8B9E-2713-47A2-84D5-31EE84FCAB80}" uniqueName="5" name="kan_lam" queryTableFieldId="5"/>
    <tableColumn id="6" xr3:uid="{96DDAA7F-D6AF-46B1-9BF0-C41B7989AE8F}" uniqueName="6" name="kan_width" queryTableFieldId="6" dataDxfId="0"/>
    <tableColumn id="7" xr3:uid="{79751E7C-8A26-4F36-A9AD-A19579B6E93E}" uniqueName="7" name="kan_params" queryTableFieldId="7"/>
    <tableColumn id="8" xr3:uid="{E4596879-5341-446B-A68F-E3263939A2EE}" uniqueName="8" name="kan_time_difference" queryTableFieldId="8"/>
    <tableColumn id="9" xr3:uid="{8B03EDF8-C917-447B-86C2-6A940D8EF88F}" uniqueName="9" name="kan_steps" queryTableFieldId="9"/>
    <tableColumn id="10" xr3:uid="{80C6CBDC-16F8-4946-8A87-AE1EAAA8DE83}" uniqueName="10" name="kan_train_acc" queryTableFieldId="10"/>
    <tableColumn id="11" xr3:uid="{4E86D091-B984-4708-9C9C-1389B2485FE3}" uniqueName="11" name="kan_val_acc" queryTableFieldId="11"/>
    <tableColumn id="12" xr3:uid="{51FC505D-7BB3-42B7-B008-9D3B39814015}" uniqueName="12" name="kan_test_acc" queryTableFieldId="12"/>
    <tableColumn id="13" xr3:uid="{4D04E8C4-8C6B-4FC0-AAF7-CC8D0AF05209}" uniqueName="13" name="mlp_test_acc" queryTableFieldId="13"/>
    <tableColumn id="14" xr3:uid="{FDDCB005-46DA-46AE-A8EB-07E5C6A59178}" uniqueName="14" name="mlp_val_acc" queryTableFieldId="14"/>
    <tableColumn id="15" xr3:uid="{2DB16222-2BAC-4F80-A6E4-CC784C90AF3C}" uniqueName="15" name="mlp_train_acc" queryTableFieldId="15"/>
    <tableColumn id="16" xr3:uid="{5E42B862-EB07-44E5-AC62-C28493CED019}" uniqueName="16" name="mlp_steps" queryTableFieldId="16"/>
    <tableColumn id="17" xr3:uid="{E3F42FC4-4AA8-427B-97AB-DC42D53799AB}" uniqueName="17" name="mlp_time_difference" queryTableFieldId="17"/>
    <tableColumn id="18" xr3:uid="{DE772EA8-BB76-45C9-B941-50E42682AE63}" uniqueName="18" name="mlp_params" queryTableFieldId="18"/>
    <tableColumn id="19" xr3:uid="{E86342EF-DD6E-4C87-856B-1C626EB8A229}" uniqueName="19" name="mlp_no_layers" queryTableFieldId="19"/>
    <tableColumn id="20" xr3:uid="{B91DA26B-5D33-43A9-A340-CABD3316B886}" uniqueName="20" name="mlp_width_layers" queryTableFieldId="20"/>
    <tableColumn id="21" xr3:uid="{DD42C6CE-9C61-4AD6-B6F8-E33DD78CEF86}" uniqueName="21" name="mlp2_test_acc" queryTableFieldId="21"/>
    <tableColumn id="22" xr3:uid="{A2F636B2-401E-4915-BD17-3447DE952368}" uniqueName="22" name="mlp2_val_acc" queryTableFieldId="22"/>
    <tableColumn id="23" xr3:uid="{EA20F363-8787-4D20-8CA0-7D559404DFD8}" uniqueName="23" name="mlp2_train_acc" queryTableFieldId="23"/>
    <tableColumn id="24" xr3:uid="{FD4D7532-8C98-4F15-A10E-14DAEF0F09F5}" uniqueName="24" name="mlp2_steps" queryTableFieldId="24"/>
    <tableColumn id="25" xr3:uid="{3C346C84-7D24-4F10-850D-B368EE0C0C5A}" uniqueName="25" name="mlp2_time_difference" queryTableFieldId="25"/>
    <tableColumn id="26" xr3:uid="{B0D4D2A8-47E1-4739-88A8-505B7566C6EC}" uniqueName="26" name="mlp2_params" queryTableFieldId="26"/>
    <tableColumn id="27" xr3:uid="{65EF843A-3939-4BB3-8DC7-1CAACF521C2B}" uniqueName="27" name="no_layers2" queryTableFieldId="27"/>
    <tableColumn id="28" xr3:uid="{B78A7E78-E6C8-4FB8-A324-A96EB37B982C}" uniqueName="28" name="width_layers2" queryTableFieldId="2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D1D2C7-AA3A-4469-9F51-D4024660B7A6}" name="Tabela2" displayName="Tabela2" ref="A1:AB41" totalsRowShown="0" headerRowDxfId="4" headerRowBorderDxfId="2" tableBorderDxfId="3">
  <autoFilter ref="A1:AB41" xr:uid="{53D1D2C7-AA3A-4469-9F51-D4024660B7A6}"/>
  <sortState xmlns:xlrd2="http://schemas.microsoft.com/office/spreadsheetml/2017/richdata2" ref="A2:AB41">
    <sortCondition descending="1" ref="L1:L41"/>
  </sortState>
  <tableColumns count="28">
    <tableColumn id="1" xr3:uid="{26A2BEE8-44D0-48A3-BC49-29E6507A496C}" name="dataset_name"/>
    <tableColumn id="2" xr3:uid="{7460AB44-A92F-47D6-81DA-32515442E244}" name="kan_grid"/>
    <tableColumn id="3" xr3:uid="{E32DCBB9-D4F0-4C57-858B-D1ECA0266811}" name="kan_grid_passed_parameter"/>
    <tableColumn id="4" xr3:uid="{8C8C4E7C-0873-4F26-B7FF-9315DE2E4F5B}" name="kan_degree"/>
    <tableColumn id="5" xr3:uid="{D66DD704-2C74-48C6-AAD1-D1D3E0F048CD}" name="kan_lam"/>
    <tableColumn id="6" xr3:uid="{FE890A66-C475-4CC4-A7BD-E51F530F5F34}" name="kan_width"/>
    <tableColumn id="7" xr3:uid="{9054CDF4-B42A-46FA-AB97-D16F59EDA62C}" name="kan_params"/>
    <tableColumn id="8" xr3:uid="{05FA4E3C-FDE4-4DD6-9E27-FE0A8FFC5F17}" name="kan_time_difference"/>
    <tableColumn id="9" xr3:uid="{E9C099C1-12DC-4CB6-8C86-6D578649E679}" name="kan_steps"/>
    <tableColumn id="10" xr3:uid="{6C4FC585-A31D-4D2B-BBA8-3A7A7A464842}" name="kan_train_acc"/>
    <tableColumn id="11" xr3:uid="{2E64A161-E438-4130-96DE-B34A607608A2}" name="kan_val_acc"/>
    <tableColumn id="12" xr3:uid="{4BCF0D33-2090-49E7-8700-29827CA6A4CD}" name="kan_test_acc"/>
    <tableColumn id="13" xr3:uid="{B2EC305B-42FF-48DA-924C-2B206ACDF96C}" name="mlp_test_acc"/>
    <tableColumn id="14" xr3:uid="{7FBA2F76-B45A-4A49-84A8-1E549878D50D}" name="mlp_val_acc"/>
    <tableColumn id="15" xr3:uid="{A164C298-68AB-4901-8C91-DA21075F022D}" name="mlp_train_acc"/>
    <tableColumn id="16" xr3:uid="{6FD676D4-DF3F-43D0-9910-8C6D1AF06E7D}" name="mlp_steps"/>
    <tableColumn id="17" xr3:uid="{1DDAC461-ADBA-47B4-BD3C-4F6920891AB9}" name="mlp_time_difference"/>
    <tableColumn id="18" xr3:uid="{D92CAED4-7DD5-408E-BD9D-91C203C85A86}" name="mlp_params"/>
    <tableColumn id="19" xr3:uid="{C750595C-CFA9-49EA-8E43-06568092EB16}" name="mlp_no_layers"/>
    <tableColumn id="20" xr3:uid="{044EED8F-F17B-450A-B352-780A59AF3D58}" name="mlp_width_layers"/>
    <tableColumn id="21" xr3:uid="{CF92174D-4B74-481F-B518-4F7DAB01DDB7}" name="mlp2_test_acc"/>
    <tableColumn id="22" xr3:uid="{9680B1F3-DAB5-4796-90F8-2087270D9F11}" name="mlp2_val_acc"/>
    <tableColumn id="23" xr3:uid="{C6E05F30-6D05-4103-9815-415BA2F33E90}" name="mlp2_train_acc"/>
    <tableColumn id="24" xr3:uid="{ADFB8CBA-5526-4330-83D2-C6D0873DC1A8}" name="mlp2_steps"/>
    <tableColumn id="25" xr3:uid="{B64B55B8-21D4-4A62-A39E-C943D5ECC997}" name="mlp2_time_difference"/>
    <tableColumn id="26" xr3:uid="{C9FBF25B-D0D0-400C-BC03-6E910764E6F7}" name="mlp2_params"/>
    <tableColumn id="27" xr3:uid="{97FC2C3E-E36C-4EDA-B50B-2A08A95E97C9}" name="no_layers2"/>
    <tableColumn id="28" xr3:uid="{E37AC490-15CF-426E-929B-D8A20B02FC87}" name="width_layers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BA8E7E-DE5C-40B3-A497-1A2CDE3F8F1E}" name="Tabela3" displayName="Tabela3" ref="A1:AB96" totalsRowShown="0" headerRowDxfId="5" headerRowBorderDxfId="6" tableBorderDxfId="7">
  <autoFilter ref="A1:AB96" xr:uid="{68BA8E7E-DE5C-40B3-A497-1A2CDE3F8F1E}">
    <filterColumn colId="2">
      <filters>
        <filter val="3"/>
      </filters>
    </filterColumn>
  </autoFilter>
  <tableColumns count="28">
    <tableColumn id="1" xr3:uid="{09AAC116-972F-4D71-816B-F96744B6B296}" name="dataset_name"/>
    <tableColumn id="2" xr3:uid="{BEC6221F-5DB3-45B9-9086-3898C76D7568}" name="kan_grid"/>
    <tableColumn id="3" xr3:uid="{0F1BD0AF-ECA9-4707-A133-EB445E06FB06}" name="kan_grid_passed_parameter"/>
    <tableColumn id="4" xr3:uid="{8AA8C0D4-D2D0-4AA4-8C47-5F71094C6FD9}" name="kan_degree"/>
    <tableColumn id="5" xr3:uid="{920FAC9C-C5BA-474F-8A93-3D434CE29D90}" name="kan_lam"/>
    <tableColumn id="6" xr3:uid="{E5AFC919-4B18-41A9-A6BB-867E5BA059A6}" name="kan_width"/>
    <tableColumn id="7" xr3:uid="{94708C1F-8B49-43E6-A10B-A59D89294101}" name="kan_params"/>
    <tableColumn id="8" xr3:uid="{329F2C70-7C4D-4014-B39A-21F4E6DF7109}" name="kan_time_difference"/>
    <tableColumn id="9" xr3:uid="{BED1BD26-99C5-431D-9D47-7706981D00F8}" name="kan_steps"/>
    <tableColumn id="10" xr3:uid="{BDDB7C62-4EF6-4994-8DCA-D4EF1AB7429E}" name="kan_train_acc"/>
    <tableColumn id="11" xr3:uid="{4D11D9E9-7AA0-44CA-9B29-8E94EFD555DF}" name="kan_val_acc"/>
    <tableColumn id="12" xr3:uid="{5EF391F0-15CD-4F33-812B-9B0FAAE76760}" name="kan_test_acc"/>
    <tableColumn id="13" xr3:uid="{5F144A97-FD27-4D87-91D9-4E0D52B00F71}" name="mlp_test_acc"/>
    <tableColumn id="14" xr3:uid="{F10F66D3-3E84-4943-853D-F8E40F294491}" name="mlp_val_acc"/>
    <tableColumn id="15" xr3:uid="{EBD22A99-4FD2-4CE1-9B0C-CF98518585A8}" name="mlp_train_acc"/>
    <tableColumn id="16" xr3:uid="{F1D708D8-CFAA-45BB-AFD8-A5D6C03B1007}" name="mlp_steps"/>
    <tableColumn id="17" xr3:uid="{4EE59A3A-28C3-42DD-A899-C5547B8C6CE0}" name="mlp_time_difference"/>
    <tableColumn id="18" xr3:uid="{3A893565-7735-4522-99A7-33CAC9E312A1}" name="mlp_params"/>
    <tableColumn id="19" xr3:uid="{CE8840EF-E309-4DFA-A41A-E5334BDCD3F0}" name="mlp_no_layers"/>
    <tableColumn id="20" xr3:uid="{A911880D-94EE-461F-9119-16100C64D711}" name="mlp_width_layers"/>
    <tableColumn id="21" xr3:uid="{A570DC5C-E2A8-46C1-9B46-48DE1A58423A}" name="mlp2_test_acc"/>
    <tableColumn id="22" xr3:uid="{3A334908-810E-4B75-BEF2-D8365713129F}" name="mlp2_val_acc"/>
    <tableColumn id="23" xr3:uid="{97E80FE8-A37D-447B-B8FA-4C4DAB00A635}" name="mlp2_train_acc"/>
    <tableColumn id="24" xr3:uid="{C4F5AB17-D29E-42A7-A037-D6850484121E}" name="mlp2_steps"/>
    <tableColumn id="25" xr3:uid="{11E5700D-6D8E-4D61-8518-AB65B92264AA}" name="mlp2_time_difference"/>
    <tableColumn id="26" xr3:uid="{D3930014-DF4F-4232-AEBF-DCC947D57662}" name="mlp2_params"/>
    <tableColumn id="27" xr3:uid="{3E4E5C04-B89F-4797-953C-FB926EE9779F}" name="no_layers2"/>
    <tableColumn id="28" xr3:uid="{60FC7AAF-A9E4-400A-A3CD-FF7D31DF8215}" name="width_layers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0E6E-1ED8-43BF-B8D4-CC4D77123E9C}">
  <dimension ref="A1:AB21"/>
  <sheetViews>
    <sheetView workbookViewId="0"/>
  </sheetViews>
  <sheetFormatPr defaultRowHeight="15" x14ac:dyDescent="0.25"/>
  <cols>
    <col min="1" max="1" width="13.7109375" bestFit="1" customWidth="1"/>
    <col min="2" max="2" width="8.42578125" bestFit="1" customWidth="1"/>
    <col min="3" max="3" width="26.42578125" bestFit="1" customWidth="1"/>
    <col min="4" max="4" width="11.28515625" bestFit="1" customWidth="1"/>
    <col min="5" max="5" width="8.28515625" bestFit="1" customWidth="1"/>
    <col min="6" max="6" width="12.140625" bestFit="1" customWidth="1"/>
    <col min="7" max="7" width="11.5703125" bestFit="1" customWidth="1"/>
    <col min="8" max="8" width="19.7109375" bestFit="1" customWidth="1"/>
    <col min="9" max="9" width="12" bestFit="1" customWidth="1"/>
    <col min="10" max="10" width="13.140625" bestFit="1" customWidth="1"/>
    <col min="11" max="11" width="12" bestFit="1" customWidth="1"/>
    <col min="12" max="12" width="12.42578125" bestFit="1" customWidth="1"/>
    <col min="13" max="13" width="12.7109375" bestFit="1" customWidth="1"/>
    <col min="14" max="14" width="12" bestFit="1" customWidth="1"/>
    <col min="15" max="15" width="13.42578125" bestFit="1" customWidth="1"/>
    <col min="16" max="16" width="12" bestFit="1" customWidth="1"/>
    <col min="17" max="17" width="20" bestFit="1" customWidth="1"/>
    <col min="18" max="18" width="11.85546875" bestFit="1" customWidth="1"/>
    <col min="19" max="19" width="14" bestFit="1" customWidth="1"/>
    <col min="20" max="20" width="16.7109375" bestFit="1" customWidth="1"/>
    <col min="21" max="21" width="13.85546875" bestFit="1" customWidth="1"/>
    <col min="22" max="22" width="12.7109375" bestFit="1" customWidth="1"/>
    <col min="23" max="23" width="14.42578125" bestFit="1" customWidth="1"/>
    <col min="24" max="24" width="12" bestFit="1" customWidth="1"/>
    <col min="25" max="25" width="21" bestFit="1" customWidth="1"/>
    <col min="26" max="26" width="12.85546875" bestFit="1" customWidth="1"/>
    <col min="27" max="27" width="10.5703125" bestFit="1" customWidth="1"/>
    <col min="28" max="28" width="13.42578125" bestFit="1" customWidth="1"/>
  </cols>
  <sheetData>
    <row r="1" spans="1:28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3" t="s">
        <v>27</v>
      </c>
    </row>
    <row r="2" spans="1:28" x14ac:dyDescent="0.25">
      <c r="A2" t="s">
        <v>28</v>
      </c>
      <c r="B2">
        <v>8</v>
      </c>
      <c r="C2">
        <v>3</v>
      </c>
      <c r="D2">
        <v>2</v>
      </c>
      <c r="E2">
        <v>0</v>
      </c>
      <c r="F2" t="s">
        <v>29</v>
      </c>
      <c r="G2">
        <v>9176</v>
      </c>
      <c r="H2">
        <v>192762398</v>
      </c>
      <c r="I2">
        <v>961.2</v>
      </c>
      <c r="J2">
        <v>0.99352941513061521</v>
      </c>
      <c r="K2">
        <v>0.97441860437393191</v>
      </c>
      <c r="L2">
        <v>0.93846151828765867</v>
      </c>
      <c r="M2">
        <v>0.96223776223776225</v>
      </c>
      <c r="N2">
        <v>0.96744186046511627</v>
      </c>
      <c r="O2">
        <v>0.99470588235294122</v>
      </c>
      <c r="P2">
        <v>52495.4</v>
      </c>
      <c r="Q2">
        <v>1738549475.5999999</v>
      </c>
      <c r="R2">
        <v>9029</v>
      </c>
      <c r="S2">
        <v>2</v>
      </c>
      <c r="T2">
        <v>59</v>
      </c>
      <c r="U2">
        <v>0.96083916083916077</v>
      </c>
      <c r="V2">
        <v>0.95813953488372094</v>
      </c>
      <c r="W2">
        <v>0.99764705882352944</v>
      </c>
      <c r="X2">
        <v>61913.2</v>
      </c>
      <c r="Y2">
        <v>1982120585.2</v>
      </c>
      <c r="Z2">
        <v>9302</v>
      </c>
      <c r="AA2">
        <v>2</v>
      </c>
      <c r="AB2">
        <v>60</v>
      </c>
    </row>
    <row r="3" spans="1:28" x14ac:dyDescent="0.25">
      <c r="A3" t="s">
        <v>28</v>
      </c>
      <c r="B3">
        <v>8</v>
      </c>
      <c r="C3">
        <v>3</v>
      </c>
      <c r="D3">
        <v>2</v>
      </c>
      <c r="E3">
        <v>0</v>
      </c>
      <c r="F3" t="s">
        <v>30</v>
      </c>
      <c r="G3">
        <v>11261</v>
      </c>
      <c r="H3">
        <v>238092088.80000001</v>
      </c>
      <c r="I3">
        <v>986.2</v>
      </c>
      <c r="J3">
        <v>1</v>
      </c>
      <c r="K3">
        <v>0.93255814313888552</v>
      </c>
      <c r="L3">
        <v>0.95664334297180176</v>
      </c>
      <c r="M3">
        <v>0.94965034965034967</v>
      </c>
      <c r="N3">
        <v>0.93023255813953487</v>
      </c>
      <c r="O3">
        <v>0.99823529411764711</v>
      </c>
      <c r="P3">
        <v>53066</v>
      </c>
      <c r="Q3">
        <v>2091384517.8</v>
      </c>
      <c r="R3">
        <v>11024</v>
      </c>
      <c r="S3">
        <v>2</v>
      </c>
      <c r="T3">
        <v>66</v>
      </c>
      <c r="U3">
        <v>0.95384615384615379</v>
      </c>
      <c r="V3">
        <v>0.92558139534883721</v>
      </c>
      <c r="W3">
        <v>0.99470588235294122</v>
      </c>
      <c r="X3">
        <v>45844</v>
      </c>
      <c r="Y3">
        <v>1624083919.4000001</v>
      </c>
      <c r="Z3">
        <v>11325</v>
      </c>
      <c r="AA3">
        <v>2</v>
      </c>
      <c r="AB3">
        <v>67</v>
      </c>
    </row>
    <row r="4" spans="1:28" x14ac:dyDescent="0.25">
      <c r="A4" t="s">
        <v>28</v>
      </c>
      <c r="B4">
        <v>8</v>
      </c>
      <c r="C4">
        <v>3</v>
      </c>
      <c r="D4">
        <v>2</v>
      </c>
      <c r="E4">
        <v>0</v>
      </c>
      <c r="F4" t="s">
        <v>31</v>
      </c>
      <c r="G4">
        <v>13346</v>
      </c>
      <c r="H4">
        <v>477562979.39999998</v>
      </c>
      <c r="I4">
        <v>1888.6</v>
      </c>
      <c r="J4">
        <v>1</v>
      </c>
      <c r="K4">
        <v>0.94651162624359131</v>
      </c>
      <c r="L4">
        <v>0.95384614467620854</v>
      </c>
      <c r="M4">
        <v>0.95524475524475527</v>
      </c>
      <c r="N4">
        <v>0.95348837209302328</v>
      </c>
      <c r="O4">
        <v>0.99823529411764711</v>
      </c>
      <c r="P4">
        <v>22857.4</v>
      </c>
      <c r="Q4">
        <v>3750476094.5999999</v>
      </c>
      <c r="R4">
        <v>13215</v>
      </c>
      <c r="S4">
        <v>2</v>
      </c>
      <c r="T4">
        <v>73</v>
      </c>
      <c r="U4">
        <v>0.95524475524475527</v>
      </c>
      <c r="V4">
        <v>0.94651162790697674</v>
      </c>
      <c r="W4">
        <v>0.99882352941176467</v>
      </c>
      <c r="X4">
        <v>26863.8</v>
      </c>
      <c r="Y4">
        <v>4004655691.1999998</v>
      </c>
      <c r="Z4">
        <v>13544</v>
      </c>
      <c r="AA4">
        <v>2</v>
      </c>
      <c r="AB4">
        <v>74</v>
      </c>
    </row>
    <row r="5" spans="1:28" x14ac:dyDescent="0.25">
      <c r="A5" t="s">
        <v>28</v>
      </c>
      <c r="B5">
        <v>8</v>
      </c>
      <c r="C5">
        <v>3</v>
      </c>
      <c r="D5">
        <v>2</v>
      </c>
      <c r="E5">
        <v>0</v>
      </c>
      <c r="F5" t="s">
        <v>32</v>
      </c>
      <c r="G5">
        <v>15431</v>
      </c>
      <c r="H5">
        <v>4238385555</v>
      </c>
      <c r="I5">
        <v>20643.2</v>
      </c>
      <c r="J5">
        <v>0.98882352113723759</v>
      </c>
      <c r="K5">
        <v>0.99302325248718259</v>
      </c>
      <c r="L5">
        <v>0.92587411403656006</v>
      </c>
      <c r="M5">
        <v>0.92587412587412588</v>
      </c>
      <c r="N5">
        <v>0.99767441860465111</v>
      </c>
      <c r="O5">
        <v>0.94588235294117651</v>
      </c>
      <c r="P5">
        <v>944.8</v>
      </c>
      <c r="Q5">
        <v>3310885281.8000002</v>
      </c>
      <c r="R5">
        <v>15249</v>
      </c>
      <c r="S5">
        <v>2</v>
      </c>
      <c r="T5">
        <v>79</v>
      </c>
      <c r="U5">
        <v>0.92867132867132873</v>
      </c>
      <c r="V5">
        <v>0.99534883720930234</v>
      </c>
      <c r="W5">
        <v>0.94235294117647062</v>
      </c>
      <c r="X5">
        <v>865</v>
      </c>
      <c r="Y5">
        <v>2857628164.8000002</v>
      </c>
      <c r="Z5">
        <v>15602</v>
      </c>
      <c r="AA5">
        <v>2</v>
      </c>
      <c r="AB5">
        <v>80</v>
      </c>
    </row>
    <row r="6" spans="1:28" x14ac:dyDescent="0.25">
      <c r="A6" t="s">
        <v>28</v>
      </c>
      <c r="B6">
        <v>8</v>
      </c>
      <c r="C6">
        <v>3</v>
      </c>
      <c r="D6">
        <v>2</v>
      </c>
      <c r="E6">
        <v>0</v>
      </c>
      <c r="F6" t="s">
        <v>33</v>
      </c>
      <c r="G6">
        <v>17516</v>
      </c>
      <c r="H6">
        <v>116976764</v>
      </c>
      <c r="I6">
        <v>518.20000000000005</v>
      </c>
      <c r="J6">
        <v>0.98000000715255742</v>
      </c>
      <c r="K6">
        <v>1</v>
      </c>
      <c r="L6">
        <v>0.95804195404052739</v>
      </c>
      <c r="M6">
        <v>0.92167832167832175</v>
      </c>
      <c r="N6">
        <v>1</v>
      </c>
      <c r="O6">
        <v>0.93352941176470594</v>
      </c>
      <c r="P6">
        <v>10.8</v>
      </c>
      <c r="Q6">
        <v>33818840.799999997</v>
      </c>
      <c r="R6">
        <v>17427</v>
      </c>
      <c r="S6">
        <v>2</v>
      </c>
      <c r="T6">
        <v>85</v>
      </c>
      <c r="U6">
        <v>0.91748251748251752</v>
      </c>
      <c r="V6">
        <v>1</v>
      </c>
      <c r="W6">
        <v>0.92176470588235293</v>
      </c>
      <c r="X6">
        <v>11.2</v>
      </c>
      <c r="Y6">
        <v>44887261.200000003</v>
      </c>
      <c r="Z6">
        <v>17804</v>
      </c>
      <c r="AA6">
        <v>2</v>
      </c>
      <c r="AB6">
        <v>86</v>
      </c>
    </row>
    <row r="7" spans="1:28" x14ac:dyDescent="0.25">
      <c r="A7" t="s">
        <v>28</v>
      </c>
      <c r="B7">
        <v>8</v>
      </c>
      <c r="C7">
        <v>3</v>
      </c>
      <c r="D7">
        <v>2</v>
      </c>
      <c r="E7">
        <v>0</v>
      </c>
      <c r="F7" t="s">
        <v>34</v>
      </c>
      <c r="G7">
        <v>19601</v>
      </c>
      <c r="H7">
        <v>421635626.39999998</v>
      </c>
      <c r="I7">
        <v>1624.8</v>
      </c>
      <c r="J7">
        <v>0.98352941274642947</v>
      </c>
      <c r="K7">
        <v>0.9953488349914551</v>
      </c>
      <c r="L7">
        <v>0.93426573276519775</v>
      </c>
      <c r="M7">
        <v>0.92167832167832175</v>
      </c>
      <c r="N7">
        <v>1</v>
      </c>
      <c r="O7">
        <v>0.92941176470588238</v>
      </c>
      <c r="P7">
        <v>11.6</v>
      </c>
      <c r="Q7">
        <v>57543419.200000003</v>
      </c>
      <c r="R7">
        <v>19352</v>
      </c>
      <c r="S7">
        <v>2</v>
      </c>
      <c r="T7">
        <v>90</v>
      </c>
      <c r="U7">
        <v>0.92307692307692313</v>
      </c>
      <c r="V7">
        <v>1</v>
      </c>
      <c r="W7">
        <v>0.93470588235294116</v>
      </c>
      <c r="X7">
        <v>10.6</v>
      </c>
      <c r="Y7">
        <v>42208416.399999999</v>
      </c>
      <c r="Z7">
        <v>19749</v>
      </c>
      <c r="AA7">
        <v>2</v>
      </c>
      <c r="AB7">
        <v>91</v>
      </c>
    </row>
    <row r="8" spans="1:28" x14ac:dyDescent="0.25">
      <c r="A8" t="s">
        <v>28</v>
      </c>
      <c r="B8">
        <v>8</v>
      </c>
      <c r="C8">
        <v>3</v>
      </c>
      <c r="D8">
        <v>2</v>
      </c>
      <c r="E8">
        <v>0</v>
      </c>
      <c r="F8" t="s">
        <v>35</v>
      </c>
      <c r="G8">
        <v>21686</v>
      </c>
      <c r="H8">
        <v>175706996.40000001</v>
      </c>
      <c r="I8">
        <v>652.20000000000005</v>
      </c>
      <c r="J8">
        <v>0.96941176652908323</v>
      </c>
      <c r="K8">
        <v>1</v>
      </c>
      <c r="L8">
        <v>0.959440553188324</v>
      </c>
      <c r="M8">
        <v>0.91608391608391604</v>
      </c>
      <c r="N8">
        <v>1</v>
      </c>
      <c r="O8">
        <v>0.92529411764705882</v>
      </c>
      <c r="P8">
        <v>9.6</v>
      </c>
      <c r="Q8">
        <v>40004742.799999997</v>
      </c>
      <c r="R8">
        <v>21377</v>
      </c>
      <c r="S8">
        <v>2</v>
      </c>
      <c r="T8">
        <v>95</v>
      </c>
      <c r="U8">
        <v>0.92587412587412588</v>
      </c>
      <c r="V8">
        <v>1</v>
      </c>
      <c r="W8">
        <v>0.93470588235294116</v>
      </c>
      <c r="X8">
        <v>12</v>
      </c>
      <c r="Y8">
        <v>55782393</v>
      </c>
      <c r="Z8">
        <v>21794</v>
      </c>
      <c r="AA8">
        <v>2</v>
      </c>
      <c r="AB8">
        <v>96</v>
      </c>
    </row>
    <row r="9" spans="1:28" x14ac:dyDescent="0.25">
      <c r="A9" t="s">
        <v>28</v>
      </c>
      <c r="B9">
        <v>8</v>
      </c>
      <c r="C9">
        <v>3</v>
      </c>
      <c r="D9">
        <v>2</v>
      </c>
      <c r="E9">
        <v>0</v>
      </c>
      <c r="F9" t="s">
        <v>36</v>
      </c>
      <c r="G9">
        <v>23771</v>
      </c>
      <c r="H9">
        <v>195353571.59999999</v>
      </c>
      <c r="I9">
        <v>686.8</v>
      </c>
      <c r="J9">
        <v>0.9752941250801086</v>
      </c>
      <c r="K9">
        <v>0.99767441749572749</v>
      </c>
      <c r="L9">
        <v>0.94405595064163206</v>
      </c>
      <c r="M9">
        <v>0.93706293706293708</v>
      </c>
      <c r="N9">
        <v>1</v>
      </c>
      <c r="O9">
        <v>0.95117647058823529</v>
      </c>
      <c r="P9">
        <v>117.2</v>
      </c>
      <c r="Q9">
        <v>1392047655.4000001</v>
      </c>
      <c r="R9">
        <v>23502</v>
      </c>
      <c r="S9">
        <v>2</v>
      </c>
      <c r="T9">
        <v>100</v>
      </c>
      <c r="U9">
        <v>0.92027972027972027</v>
      </c>
      <c r="V9">
        <v>1</v>
      </c>
      <c r="W9">
        <v>0.93294117647058827</v>
      </c>
      <c r="X9">
        <v>10.4</v>
      </c>
      <c r="Y9">
        <v>49283972</v>
      </c>
      <c r="Z9">
        <v>23939</v>
      </c>
      <c r="AA9">
        <v>2</v>
      </c>
      <c r="AB9">
        <v>101</v>
      </c>
    </row>
    <row r="10" spans="1:28" x14ac:dyDescent="0.25">
      <c r="A10" t="s">
        <v>28</v>
      </c>
      <c r="B10">
        <v>8</v>
      </c>
      <c r="C10">
        <v>3</v>
      </c>
      <c r="D10">
        <v>2</v>
      </c>
      <c r="E10">
        <v>0</v>
      </c>
      <c r="F10" t="s">
        <v>37</v>
      </c>
      <c r="G10">
        <v>25856</v>
      </c>
      <c r="H10">
        <v>10840044582.666666</v>
      </c>
      <c r="I10">
        <v>33506</v>
      </c>
      <c r="J10">
        <v>0.97450979550679528</v>
      </c>
      <c r="K10">
        <v>0.9961240291595459</v>
      </c>
      <c r="L10">
        <v>0.94871795177459717</v>
      </c>
      <c r="M10">
        <v>0.92540792540792538</v>
      </c>
      <c r="N10">
        <v>1</v>
      </c>
      <c r="O10">
        <v>0.93627450980392157</v>
      </c>
      <c r="P10">
        <v>21</v>
      </c>
      <c r="Q10">
        <v>107251332.33333333</v>
      </c>
      <c r="R10">
        <v>25727</v>
      </c>
      <c r="S10">
        <v>2</v>
      </c>
      <c r="T10">
        <v>105</v>
      </c>
      <c r="U10">
        <v>0.93006993006993011</v>
      </c>
      <c r="V10">
        <v>1</v>
      </c>
      <c r="W10">
        <v>0.94117647058823528</v>
      </c>
      <c r="X10">
        <v>41.333333333333336</v>
      </c>
      <c r="Y10">
        <v>293740696.66666669</v>
      </c>
      <c r="Z10">
        <v>26184</v>
      </c>
      <c r="AA10">
        <v>2</v>
      </c>
      <c r="AB10">
        <v>106</v>
      </c>
    </row>
    <row r="11" spans="1:28" x14ac:dyDescent="0.25">
      <c r="A11" t="s">
        <v>28</v>
      </c>
      <c r="B11">
        <v>10</v>
      </c>
      <c r="C11">
        <v>5</v>
      </c>
      <c r="D11">
        <v>2</v>
      </c>
      <c r="E11">
        <v>0</v>
      </c>
      <c r="F11" t="s">
        <v>38</v>
      </c>
      <c r="G11">
        <v>34271</v>
      </c>
      <c r="H11">
        <v>1143083655</v>
      </c>
      <c r="I11">
        <v>2012.8333333333333</v>
      </c>
      <c r="J11">
        <v>0.99460784594217932</v>
      </c>
      <c r="K11">
        <v>0.98062014579772949</v>
      </c>
      <c r="L11">
        <v>0.93006993333498633</v>
      </c>
      <c r="M11">
        <v>0.965034965034965</v>
      </c>
      <c r="N11">
        <v>0.97286821705426352</v>
      </c>
      <c r="O11">
        <v>0.99852941176470589</v>
      </c>
      <c r="P11">
        <v>53740.333333333336</v>
      </c>
      <c r="Q11">
        <v>3582816834</v>
      </c>
      <c r="R11">
        <v>34040</v>
      </c>
      <c r="S11">
        <v>2</v>
      </c>
      <c r="T11">
        <v>122</v>
      </c>
      <c r="U11">
        <v>0.97202797202797209</v>
      </c>
      <c r="V11">
        <v>0.97868217054263562</v>
      </c>
      <c r="W11">
        <v>0.99558823529411766</v>
      </c>
      <c r="X11">
        <v>35849.166666666664</v>
      </c>
      <c r="Y11">
        <v>2167625235.1666665</v>
      </c>
      <c r="Z11">
        <v>34565</v>
      </c>
      <c r="AA11">
        <v>2</v>
      </c>
      <c r="AB11">
        <v>123</v>
      </c>
    </row>
    <row r="12" spans="1:28" x14ac:dyDescent="0.25">
      <c r="A12" t="s">
        <v>28</v>
      </c>
      <c r="B12">
        <v>10</v>
      </c>
      <c r="C12">
        <v>5</v>
      </c>
      <c r="D12">
        <v>2</v>
      </c>
      <c r="E12">
        <v>0</v>
      </c>
      <c r="F12" t="s">
        <v>39</v>
      </c>
      <c r="G12">
        <v>36976</v>
      </c>
      <c r="H12">
        <v>149161384.19999999</v>
      </c>
      <c r="I12">
        <v>294.2</v>
      </c>
      <c r="J12">
        <v>0.98823528289794926</v>
      </c>
      <c r="K12">
        <v>0.9883720874786377</v>
      </c>
      <c r="L12">
        <v>0.9496503472328186</v>
      </c>
      <c r="M12">
        <v>0.96643356643356637</v>
      </c>
      <c r="N12">
        <v>0.99767441860465111</v>
      </c>
      <c r="O12">
        <v>0.97882352941176476</v>
      </c>
      <c r="P12">
        <v>23869.4</v>
      </c>
      <c r="Q12">
        <v>1428131499.5999999</v>
      </c>
      <c r="R12">
        <v>36705</v>
      </c>
      <c r="S12">
        <v>2</v>
      </c>
      <c r="T12">
        <v>127</v>
      </c>
      <c r="U12">
        <v>0.98041958041958044</v>
      </c>
      <c r="V12">
        <v>0.99767441860465111</v>
      </c>
      <c r="W12">
        <v>0.96823529411764708</v>
      </c>
      <c r="X12">
        <v>23110.799999999999</v>
      </c>
      <c r="Y12">
        <v>1249851489.8</v>
      </c>
      <c r="Z12">
        <v>37250</v>
      </c>
      <c r="AA12">
        <v>2</v>
      </c>
      <c r="AB12">
        <v>128</v>
      </c>
    </row>
    <row r="13" spans="1:28" x14ac:dyDescent="0.25">
      <c r="A13" t="s">
        <v>28</v>
      </c>
      <c r="B13">
        <v>10</v>
      </c>
      <c r="C13">
        <v>5</v>
      </c>
      <c r="D13">
        <v>2</v>
      </c>
      <c r="E13">
        <v>0</v>
      </c>
      <c r="F13" t="s">
        <v>40</v>
      </c>
      <c r="G13">
        <v>39681</v>
      </c>
      <c r="H13">
        <v>170955774.59999999</v>
      </c>
      <c r="I13">
        <v>300.2</v>
      </c>
      <c r="J13">
        <v>1</v>
      </c>
      <c r="K13">
        <v>0.9883720874786377</v>
      </c>
      <c r="L13">
        <v>0.95804195404052739</v>
      </c>
      <c r="M13">
        <v>0.97622377622377621</v>
      </c>
      <c r="N13">
        <v>1</v>
      </c>
      <c r="O13">
        <v>0.97941176470588232</v>
      </c>
      <c r="P13">
        <v>19507.599999999999</v>
      </c>
      <c r="Q13">
        <v>1142127618.5999999</v>
      </c>
      <c r="R13">
        <v>39470</v>
      </c>
      <c r="S13">
        <v>2</v>
      </c>
      <c r="T13">
        <v>132</v>
      </c>
      <c r="U13">
        <v>0.97342657342657346</v>
      </c>
      <c r="V13">
        <v>0.99767441860465111</v>
      </c>
      <c r="W13">
        <v>0.98705882352941177</v>
      </c>
      <c r="X13">
        <v>35368.199999999997</v>
      </c>
      <c r="Y13">
        <v>2457714697.8000002</v>
      </c>
      <c r="Z13">
        <v>40035</v>
      </c>
      <c r="AA13">
        <v>2</v>
      </c>
      <c r="AB13">
        <v>133</v>
      </c>
    </row>
    <row r="14" spans="1:28" x14ac:dyDescent="0.25">
      <c r="A14" t="s">
        <v>28</v>
      </c>
      <c r="B14">
        <v>10</v>
      </c>
      <c r="C14">
        <v>5</v>
      </c>
      <c r="D14">
        <v>2</v>
      </c>
      <c r="E14">
        <v>0</v>
      </c>
      <c r="F14" t="s">
        <v>41</v>
      </c>
      <c r="G14">
        <v>42386</v>
      </c>
      <c r="H14">
        <v>133175940.5</v>
      </c>
      <c r="I14">
        <v>232</v>
      </c>
      <c r="J14">
        <v>0.99264705181121826</v>
      </c>
      <c r="K14">
        <v>0.97674417495727539</v>
      </c>
      <c r="L14">
        <v>0.96503496170043945</v>
      </c>
      <c r="M14">
        <v>0.97202797202797209</v>
      </c>
      <c r="N14">
        <v>0.98837209302325579</v>
      </c>
      <c r="O14">
        <v>0.97058823529411764</v>
      </c>
      <c r="P14">
        <v>9989</v>
      </c>
      <c r="Q14">
        <v>10199395239.5</v>
      </c>
      <c r="R14">
        <v>42335</v>
      </c>
      <c r="S14">
        <v>2</v>
      </c>
      <c r="T14">
        <v>137</v>
      </c>
      <c r="U14">
        <v>0.95804195804195802</v>
      </c>
      <c r="V14">
        <v>0.98837209302325579</v>
      </c>
      <c r="W14">
        <v>0.99411764705882355</v>
      </c>
      <c r="X14">
        <v>8712.5</v>
      </c>
      <c r="Y14">
        <v>10628388630.5</v>
      </c>
      <c r="Z14">
        <v>42920</v>
      </c>
      <c r="AA14">
        <v>2</v>
      </c>
      <c r="AB14">
        <v>138</v>
      </c>
    </row>
    <row r="15" spans="1:28" x14ac:dyDescent="0.25">
      <c r="A15" t="s">
        <v>28</v>
      </c>
      <c r="B15">
        <v>16</v>
      </c>
      <c r="C15">
        <v>9</v>
      </c>
      <c r="D15">
        <v>3</v>
      </c>
      <c r="E15">
        <v>0</v>
      </c>
      <c r="F15" t="s">
        <v>42</v>
      </c>
      <c r="G15">
        <v>40982</v>
      </c>
      <c r="H15">
        <v>71302875.400000006</v>
      </c>
      <c r="I15">
        <v>166.6</v>
      </c>
      <c r="J15">
        <v>0.99176471233367924</v>
      </c>
      <c r="K15">
        <v>0.9906976699829102</v>
      </c>
      <c r="L15">
        <v>0.95104894638061521</v>
      </c>
      <c r="M15">
        <v>0.97762237762237769</v>
      </c>
      <c r="N15">
        <v>0.99767441860465111</v>
      </c>
      <c r="O15">
        <v>0.98411764705882354</v>
      </c>
      <c r="P15">
        <v>4728.3999999999996</v>
      </c>
      <c r="Q15">
        <v>4823229015</v>
      </c>
      <c r="R15">
        <v>40604</v>
      </c>
      <c r="S15">
        <v>2</v>
      </c>
      <c r="T15">
        <v>134</v>
      </c>
      <c r="U15">
        <v>0.9706293706293706</v>
      </c>
      <c r="V15">
        <v>0.99767441860465111</v>
      </c>
      <c r="W15">
        <v>0.99176470588235299</v>
      </c>
      <c r="X15">
        <v>2309.4</v>
      </c>
      <c r="Y15">
        <v>2569946452.1999998</v>
      </c>
      <c r="Z15">
        <v>41177</v>
      </c>
      <c r="AA15">
        <v>2</v>
      </c>
      <c r="AB15">
        <v>135</v>
      </c>
    </row>
    <row r="16" spans="1:28" x14ac:dyDescent="0.25">
      <c r="A16" t="s">
        <v>28</v>
      </c>
      <c r="B16">
        <v>16</v>
      </c>
      <c r="C16">
        <v>9</v>
      </c>
      <c r="D16">
        <v>3</v>
      </c>
      <c r="E16">
        <v>0</v>
      </c>
      <c r="F16" t="s">
        <v>43</v>
      </c>
      <c r="G16">
        <v>44507</v>
      </c>
      <c r="H16">
        <v>61797137.5</v>
      </c>
      <c r="I16">
        <v>133.5</v>
      </c>
      <c r="J16">
        <v>1</v>
      </c>
      <c r="K16">
        <v>0.97093021869659424</v>
      </c>
      <c r="L16">
        <v>0.9440559446811676</v>
      </c>
      <c r="M16">
        <v>0.95454545454545459</v>
      </c>
      <c r="N16">
        <v>0.98255813953488369</v>
      </c>
      <c r="O16">
        <v>1</v>
      </c>
      <c r="P16">
        <v>1606.5</v>
      </c>
      <c r="Q16">
        <v>8516237402</v>
      </c>
      <c r="R16">
        <v>44102</v>
      </c>
      <c r="S16">
        <v>2</v>
      </c>
      <c r="T16">
        <v>140</v>
      </c>
      <c r="U16">
        <v>0.96153846153846156</v>
      </c>
      <c r="V16">
        <v>0.98255813953488369</v>
      </c>
      <c r="W16">
        <v>0.99264705882352944</v>
      </c>
      <c r="X16">
        <v>1172</v>
      </c>
      <c r="Y16">
        <v>6466687890</v>
      </c>
      <c r="Z16">
        <v>44699</v>
      </c>
      <c r="AA16">
        <v>2</v>
      </c>
      <c r="AB16">
        <v>141</v>
      </c>
    </row>
    <row r="17" spans="1:28" x14ac:dyDescent="0.25">
      <c r="A17" t="s">
        <v>28</v>
      </c>
      <c r="B17">
        <v>16</v>
      </c>
      <c r="C17">
        <v>9</v>
      </c>
      <c r="D17">
        <v>3</v>
      </c>
      <c r="E17">
        <v>0</v>
      </c>
      <c r="F17" t="s">
        <v>33</v>
      </c>
      <c r="G17">
        <v>29612</v>
      </c>
      <c r="H17">
        <v>28468082.5</v>
      </c>
      <c r="I17">
        <v>87.833333333333329</v>
      </c>
      <c r="J17">
        <v>1</v>
      </c>
      <c r="K17">
        <v>0.96705424785614014</v>
      </c>
      <c r="L17">
        <v>0.95804195602734887</v>
      </c>
      <c r="M17">
        <v>0.96853146853146854</v>
      </c>
      <c r="N17">
        <v>0.97480620155038755</v>
      </c>
      <c r="O17">
        <v>0.98676470588235299</v>
      </c>
      <c r="P17">
        <v>22428</v>
      </c>
      <c r="Q17">
        <v>1092907899.8333333</v>
      </c>
      <c r="R17">
        <v>29495</v>
      </c>
      <c r="S17">
        <v>2</v>
      </c>
      <c r="T17">
        <v>113</v>
      </c>
      <c r="U17">
        <v>0.96736596736596736</v>
      </c>
      <c r="V17">
        <v>0.97093023255813948</v>
      </c>
      <c r="W17">
        <v>0.98088235294117643</v>
      </c>
      <c r="X17">
        <v>11465.5</v>
      </c>
      <c r="Y17">
        <v>422570025.33333331</v>
      </c>
      <c r="Z17">
        <v>29984</v>
      </c>
      <c r="AA17">
        <v>2</v>
      </c>
      <c r="AB17">
        <v>114</v>
      </c>
    </row>
    <row r="18" spans="1:28" x14ac:dyDescent="0.25">
      <c r="A18" t="s">
        <v>28</v>
      </c>
      <c r="B18">
        <v>16</v>
      </c>
      <c r="C18">
        <v>9</v>
      </c>
      <c r="D18">
        <v>3</v>
      </c>
      <c r="E18">
        <v>0</v>
      </c>
      <c r="F18" t="s">
        <v>34</v>
      </c>
      <c r="G18">
        <v>33137</v>
      </c>
      <c r="H18">
        <v>34288492</v>
      </c>
      <c r="I18">
        <v>100.2</v>
      </c>
      <c r="J18">
        <v>1</v>
      </c>
      <c r="K18">
        <v>0.96046509742736819</v>
      </c>
      <c r="L18">
        <v>0.95104894638061521</v>
      </c>
      <c r="M18">
        <v>0.95944055944055939</v>
      </c>
      <c r="N18">
        <v>0.96046511627906983</v>
      </c>
      <c r="O18">
        <v>0.99470588235294122</v>
      </c>
      <c r="P18">
        <v>28933</v>
      </c>
      <c r="Q18">
        <v>1514479834.8</v>
      </c>
      <c r="R18">
        <v>33002</v>
      </c>
      <c r="S18">
        <v>2</v>
      </c>
      <c r="T18">
        <v>120</v>
      </c>
      <c r="U18">
        <v>0.965034965034965</v>
      </c>
      <c r="V18">
        <v>0.96279069767441861</v>
      </c>
      <c r="W18">
        <v>0.99352941176470588</v>
      </c>
      <c r="X18">
        <v>23218.2</v>
      </c>
      <c r="Y18">
        <v>1179883403.5999999</v>
      </c>
      <c r="Z18">
        <v>33519</v>
      </c>
      <c r="AA18">
        <v>2</v>
      </c>
      <c r="AB18">
        <v>121</v>
      </c>
    </row>
    <row r="19" spans="1:28" x14ac:dyDescent="0.25">
      <c r="A19" t="s">
        <v>28</v>
      </c>
      <c r="B19">
        <v>16</v>
      </c>
      <c r="C19">
        <v>9</v>
      </c>
      <c r="D19">
        <v>3</v>
      </c>
      <c r="E19">
        <v>0</v>
      </c>
      <c r="F19" t="s">
        <v>35</v>
      </c>
      <c r="G19">
        <v>36662</v>
      </c>
      <c r="H19">
        <v>40837277.600000001</v>
      </c>
      <c r="I19">
        <v>107</v>
      </c>
      <c r="J19">
        <v>1</v>
      </c>
      <c r="K19">
        <v>0.96046509742736819</v>
      </c>
      <c r="L19">
        <v>0.96503496170043945</v>
      </c>
      <c r="M19">
        <v>0.96223776223776225</v>
      </c>
      <c r="N19">
        <v>0.96046511627906983</v>
      </c>
      <c r="O19">
        <v>0.99352941176470588</v>
      </c>
      <c r="P19">
        <v>25191.8</v>
      </c>
      <c r="Q19">
        <v>1370898771</v>
      </c>
      <c r="R19">
        <v>36164</v>
      </c>
      <c r="S19">
        <v>2</v>
      </c>
      <c r="T19">
        <v>126</v>
      </c>
      <c r="U19">
        <v>0.96643356643356637</v>
      </c>
      <c r="V19">
        <v>0.95348837209302328</v>
      </c>
      <c r="W19">
        <v>0.99411764705882355</v>
      </c>
      <c r="X19">
        <v>14346</v>
      </c>
      <c r="Y19">
        <v>583119962.60000002</v>
      </c>
      <c r="Z19">
        <v>36705</v>
      </c>
      <c r="AA19">
        <v>2</v>
      </c>
      <c r="AB19">
        <v>127</v>
      </c>
    </row>
    <row r="20" spans="1:28" x14ac:dyDescent="0.25">
      <c r="A20" t="s">
        <v>28</v>
      </c>
      <c r="B20">
        <v>16</v>
      </c>
      <c r="C20">
        <v>9</v>
      </c>
      <c r="D20">
        <v>3</v>
      </c>
      <c r="E20">
        <v>0</v>
      </c>
      <c r="F20" t="s">
        <v>36</v>
      </c>
      <c r="G20">
        <v>40187</v>
      </c>
      <c r="H20">
        <v>48322193</v>
      </c>
      <c r="I20">
        <v>113.4</v>
      </c>
      <c r="J20">
        <v>1</v>
      </c>
      <c r="K20">
        <v>0.96046509742736819</v>
      </c>
      <c r="L20">
        <v>0.95524474382400515</v>
      </c>
      <c r="M20">
        <v>0.96223776223776225</v>
      </c>
      <c r="N20">
        <v>0.95581395348837217</v>
      </c>
      <c r="O20">
        <v>0.99411764705882355</v>
      </c>
      <c r="P20">
        <v>19714.400000000001</v>
      </c>
      <c r="Q20">
        <v>1049535942.8</v>
      </c>
      <c r="R20">
        <v>40035</v>
      </c>
      <c r="S20">
        <v>2</v>
      </c>
      <c r="T20">
        <v>133</v>
      </c>
      <c r="U20">
        <v>0.96643356643356637</v>
      </c>
      <c r="V20">
        <v>0.9511627906976744</v>
      </c>
      <c r="W20">
        <v>0.99294117647058822</v>
      </c>
      <c r="X20">
        <v>11466.8</v>
      </c>
      <c r="Y20">
        <v>419865589.39999998</v>
      </c>
      <c r="Z20">
        <v>40604</v>
      </c>
      <c r="AA20">
        <v>2</v>
      </c>
      <c r="AB20">
        <v>134</v>
      </c>
    </row>
    <row r="21" spans="1:28" x14ac:dyDescent="0.25">
      <c r="A21" t="s">
        <v>28</v>
      </c>
      <c r="B21">
        <v>16</v>
      </c>
      <c r="C21">
        <v>9</v>
      </c>
      <c r="D21">
        <v>3</v>
      </c>
      <c r="E21">
        <v>0</v>
      </c>
      <c r="F21" t="s">
        <v>37</v>
      </c>
      <c r="G21">
        <v>43712</v>
      </c>
      <c r="H21">
        <v>50900935.600000001</v>
      </c>
      <c r="I21">
        <v>107.2</v>
      </c>
      <c r="J21">
        <v>1</v>
      </c>
      <c r="K21">
        <v>0.95348834991455078</v>
      </c>
      <c r="L21">
        <v>0.96363636255264284</v>
      </c>
      <c r="M21">
        <v>0.96223776223776225</v>
      </c>
      <c r="N21">
        <v>0.95348837209302328</v>
      </c>
      <c r="O21">
        <v>0.99294117647058822</v>
      </c>
      <c r="P21">
        <v>11540.6</v>
      </c>
      <c r="Q21">
        <v>427511711.19999999</v>
      </c>
      <c r="R21">
        <v>43509</v>
      </c>
      <c r="S21">
        <v>2</v>
      </c>
      <c r="T21">
        <v>139</v>
      </c>
      <c r="U21">
        <v>0.965034965034965</v>
      </c>
      <c r="V21">
        <v>0.95581395348837217</v>
      </c>
      <c r="W21">
        <v>0.99470588235294122</v>
      </c>
      <c r="X21">
        <v>17585.400000000001</v>
      </c>
      <c r="Y21">
        <v>923744391.79999995</v>
      </c>
      <c r="Z21">
        <v>44102</v>
      </c>
      <c r="AA21">
        <v>2</v>
      </c>
      <c r="AB21">
        <v>140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892E4-AA01-477F-A3A0-EE37403A9B4C}">
  <dimension ref="A1:AB771"/>
  <sheetViews>
    <sheetView workbookViewId="0"/>
  </sheetViews>
  <sheetFormatPr defaultRowHeight="15" x14ac:dyDescent="0.25"/>
  <cols>
    <col min="1" max="1" width="16" bestFit="1" customWidth="1"/>
    <col min="2" max="2" width="10.7109375" bestFit="1" customWidth="1"/>
    <col min="3" max="3" width="28.7109375" bestFit="1" customWidth="1"/>
    <col min="4" max="4" width="13.5703125" bestFit="1" customWidth="1"/>
    <col min="5" max="5" width="10.5703125" bestFit="1" customWidth="1"/>
    <col min="6" max="6" width="12.28515625" bestFit="1" customWidth="1"/>
    <col min="7" max="7" width="13.85546875" bestFit="1" customWidth="1"/>
    <col min="8" max="8" width="22" bestFit="1" customWidth="1"/>
    <col min="9" max="9" width="12.28515625" bestFit="1" customWidth="1"/>
    <col min="10" max="10" width="15.42578125" bestFit="1" customWidth="1"/>
    <col min="11" max="11" width="13.7109375" bestFit="1" customWidth="1"/>
    <col min="12" max="12" width="14.7109375" bestFit="1" customWidth="1"/>
    <col min="13" max="13" width="15" bestFit="1" customWidth="1"/>
    <col min="14" max="14" width="14" bestFit="1" customWidth="1"/>
    <col min="15" max="15" width="15.7109375" bestFit="1" customWidth="1"/>
    <col min="16" max="16" width="12.5703125" bestFit="1" customWidth="1"/>
    <col min="17" max="17" width="22.28515625" bestFit="1" customWidth="1"/>
    <col min="18" max="18" width="14.140625" bestFit="1" customWidth="1"/>
    <col min="19" max="19" width="16.28515625" bestFit="1" customWidth="1"/>
    <col min="20" max="20" width="19" bestFit="1" customWidth="1"/>
    <col min="21" max="21" width="16.140625" bestFit="1" customWidth="1"/>
    <col min="22" max="22" width="15" bestFit="1" customWidth="1"/>
    <col min="23" max="23" width="16.7109375" bestFit="1" customWidth="1"/>
    <col min="24" max="24" width="13.5703125" bestFit="1" customWidth="1"/>
    <col min="25" max="25" width="23.28515625" bestFit="1" customWidth="1"/>
    <col min="26" max="26" width="15.140625" bestFit="1" customWidth="1"/>
    <col min="27" max="27" width="12.85546875" bestFit="1" customWidth="1"/>
    <col min="28" max="28" width="15.7109375" bestFit="1" customWidth="1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x14ac:dyDescent="0.25">
      <c r="A2" s="7" t="s">
        <v>44</v>
      </c>
      <c r="B2">
        <v>8</v>
      </c>
      <c r="C2">
        <v>3</v>
      </c>
      <c r="D2">
        <v>2</v>
      </c>
      <c r="E2">
        <v>0</v>
      </c>
      <c r="F2" s="7" t="s">
        <v>49</v>
      </c>
      <c r="G2">
        <v>279</v>
      </c>
      <c r="H2">
        <v>11935732</v>
      </c>
      <c r="I2">
        <v>1000000</v>
      </c>
      <c r="J2">
        <v>0.95505619049072266</v>
      </c>
      <c r="K2">
        <v>1</v>
      </c>
      <c r="L2">
        <v>0.97368419170379639</v>
      </c>
      <c r="M2">
        <v>0.94736842105263153</v>
      </c>
      <c r="N2">
        <v>1</v>
      </c>
      <c r="O2">
        <v>0.9438202247191011</v>
      </c>
      <c r="P2">
        <v>842</v>
      </c>
      <c r="Q2">
        <v>7680861</v>
      </c>
      <c r="R2">
        <v>255</v>
      </c>
      <c r="S2">
        <v>2</v>
      </c>
      <c r="T2">
        <v>9</v>
      </c>
      <c r="U2">
        <v>0.94736842105263153</v>
      </c>
      <c r="V2">
        <v>1</v>
      </c>
      <c r="W2">
        <v>0.9213483146067416</v>
      </c>
      <c r="X2">
        <v>752</v>
      </c>
      <c r="Y2">
        <v>6588715</v>
      </c>
      <c r="Z2">
        <v>303</v>
      </c>
      <c r="AA2">
        <v>2</v>
      </c>
      <c r="AB2">
        <v>10</v>
      </c>
    </row>
    <row r="3" spans="1:28" x14ac:dyDescent="0.25">
      <c r="A3" s="7" t="s">
        <v>44</v>
      </c>
      <c r="B3">
        <v>8</v>
      </c>
      <c r="C3">
        <v>3</v>
      </c>
      <c r="D3">
        <v>2</v>
      </c>
      <c r="E3">
        <v>0</v>
      </c>
      <c r="F3" s="7" t="s">
        <v>49</v>
      </c>
      <c r="G3">
        <v>279</v>
      </c>
      <c r="H3">
        <v>7062727</v>
      </c>
      <c r="I3">
        <v>1000000</v>
      </c>
      <c r="J3">
        <v>0.93258428573608398</v>
      </c>
      <c r="K3">
        <v>1</v>
      </c>
      <c r="L3">
        <v>0.94736844301223755</v>
      </c>
      <c r="M3">
        <v>0.97368421052631582</v>
      </c>
      <c r="N3">
        <v>1</v>
      </c>
      <c r="O3">
        <v>0.9550561797752809</v>
      </c>
      <c r="P3">
        <v>677</v>
      </c>
      <c r="Q3">
        <v>5981614</v>
      </c>
      <c r="R3">
        <v>255</v>
      </c>
      <c r="S3">
        <v>2</v>
      </c>
      <c r="T3">
        <v>9</v>
      </c>
      <c r="U3">
        <v>0.97368421052631582</v>
      </c>
      <c r="V3">
        <v>1</v>
      </c>
      <c r="W3">
        <v>0.9438202247191011</v>
      </c>
      <c r="X3">
        <v>1028</v>
      </c>
      <c r="Y3">
        <v>9095036</v>
      </c>
      <c r="Z3">
        <v>303</v>
      </c>
      <c r="AA3">
        <v>2</v>
      </c>
      <c r="AB3">
        <v>10</v>
      </c>
    </row>
    <row r="4" spans="1:28" x14ac:dyDescent="0.25">
      <c r="A4" s="7" t="s">
        <v>44</v>
      </c>
      <c r="B4">
        <v>8</v>
      </c>
      <c r="C4">
        <v>3</v>
      </c>
      <c r="D4">
        <v>2</v>
      </c>
      <c r="E4">
        <v>0</v>
      </c>
      <c r="F4" s="7" t="s">
        <v>49</v>
      </c>
      <c r="G4">
        <v>279</v>
      </c>
      <c r="H4">
        <v>21439449</v>
      </c>
      <c r="I4">
        <v>1000000</v>
      </c>
      <c r="J4">
        <v>0.94382023811340332</v>
      </c>
      <c r="K4">
        <v>1</v>
      </c>
      <c r="L4">
        <v>0.94736844301223755</v>
      </c>
      <c r="M4">
        <v>0.97368421052631582</v>
      </c>
      <c r="N4">
        <v>1</v>
      </c>
      <c r="O4">
        <v>0.9550561797752809</v>
      </c>
      <c r="P4">
        <v>665</v>
      </c>
      <c r="Q4">
        <v>5834474</v>
      </c>
      <c r="R4">
        <v>255</v>
      </c>
      <c r="S4">
        <v>2</v>
      </c>
      <c r="T4">
        <v>9</v>
      </c>
      <c r="U4">
        <v>0.92105263157894735</v>
      </c>
      <c r="V4">
        <v>1</v>
      </c>
      <c r="W4">
        <v>0.8764044943820225</v>
      </c>
      <c r="X4">
        <v>362</v>
      </c>
      <c r="Y4">
        <v>3178875</v>
      </c>
      <c r="Z4">
        <v>303</v>
      </c>
      <c r="AA4">
        <v>2</v>
      </c>
      <c r="AB4">
        <v>10</v>
      </c>
    </row>
    <row r="5" spans="1:28" x14ac:dyDescent="0.25">
      <c r="A5" s="7" t="s">
        <v>44</v>
      </c>
      <c r="B5">
        <v>8</v>
      </c>
      <c r="C5">
        <v>3</v>
      </c>
      <c r="D5">
        <v>2</v>
      </c>
      <c r="E5">
        <v>0</v>
      </c>
      <c r="F5" s="7" t="s">
        <v>49</v>
      </c>
      <c r="G5">
        <v>279</v>
      </c>
      <c r="H5">
        <v>25557884</v>
      </c>
      <c r="I5">
        <v>1000000</v>
      </c>
      <c r="J5">
        <v>0.96629214286804199</v>
      </c>
      <c r="K5">
        <v>1</v>
      </c>
      <c r="L5">
        <v>0.92105263471603394</v>
      </c>
      <c r="M5">
        <v>0.97368421052631582</v>
      </c>
      <c r="N5">
        <v>1</v>
      </c>
      <c r="O5">
        <v>0.9550561797752809</v>
      </c>
      <c r="P5">
        <v>945</v>
      </c>
      <c r="Q5">
        <v>10552513</v>
      </c>
      <c r="R5">
        <v>255</v>
      </c>
      <c r="S5">
        <v>2</v>
      </c>
      <c r="T5">
        <v>9</v>
      </c>
      <c r="U5">
        <v>0.94736842105263153</v>
      </c>
      <c r="V5">
        <v>1</v>
      </c>
      <c r="W5">
        <v>0.9550561797752809</v>
      </c>
      <c r="X5">
        <v>667</v>
      </c>
      <c r="Y5">
        <v>6020151</v>
      </c>
      <c r="Z5">
        <v>303</v>
      </c>
      <c r="AA5">
        <v>2</v>
      </c>
      <c r="AB5">
        <v>10</v>
      </c>
    </row>
    <row r="6" spans="1:28" x14ac:dyDescent="0.25">
      <c r="A6" s="7" t="s">
        <v>44</v>
      </c>
      <c r="B6">
        <v>8</v>
      </c>
      <c r="C6">
        <v>3</v>
      </c>
      <c r="D6">
        <v>2</v>
      </c>
      <c r="E6">
        <v>0</v>
      </c>
      <c r="F6" s="7" t="s">
        <v>49</v>
      </c>
      <c r="G6">
        <v>279</v>
      </c>
      <c r="H6">
        <v>19441334</v>
      </c>
      <c r="I6">
        <v>1000000</v>
      </c>
      <c r="J6">
        <v>0.97752809524536133</v>
      </c>
      <c r="K6">
        <v>1</v>
      </c>
      <c r="L6">
        <v>0.94736844301223755</v>
      </c>
      <c r="M6">
        <v>0.97368421052631582</v>
      </c>
      <c r="N6">
        <v>1</v>
      </c>
      <c r="O6">
        <v>0.9550561797752809</v>
      </c>
      <c r="P6">
        <v>695</v>
      </c>
      <c r="Q6">
        <v>7331292</v>
      </c>
      <c r="R6">
        <v>255</v>
      </c>
      <c r="S6">
        <v>2</v>
      </c>
      <c r="T6">
        <v>9</v>
      </c>
      <c r="U6">
        <v>0.94736842105263153</v>
      </c>
      <c r="V6">
        <v>1</v>
      </c>
      <c r="W6">
        <v>0.9213483146067416</v>
      </c>
      <c r="X6">
        <v>684</v>
      </c>
      <c r="Y6">
        <v>6717995</v>
      </c>
      <c r="Z6">
        <v>303</v>
      </c>
      <c r="AA6">
        <v>2</v>
      </c>
      <c r="AB6">
        <v>10</v>
      </c>
    </row>
    <row r="7" spans="1:28" x14ac:dyDescent="0.25">
      <c r="A7" s="7" t="s">
        <v>44</v>
      </c>
      <c r="B7">
        <v>8</v>
      </c>
      <c r="C7">
        <v>3</v>
      </c>
      <c r="D7">
        <v>2</v>
      </c>
      <c r="E7">
        <v>0</v>
      </c>
      <c r="F7" s="7" t="s">
        <v>54</v>
      </c>
      <c r="G7">
        <v>739</v>
      </c>
      <c r="H7">
        <v>8152995</v>
      </c>
      <c r="I7">
        <v>1000000</v>
      </c>
      <c r="J7">
        <v>0.92134833335876465</v>
      </c>
      <c r="K7">
        <v>1</v>
      </c>
      <c r="L7">
        <v>0.94736844301223755</v>
      </c>
      <c r="M7">
        <v>0.97368421052631582</v>
      </c>
      <c r="N7">
        <v>1</v>
      </c>
      <c r="O7">
        <v>0.9550561797752809</v>
      </c>
      <c r="P7">
        <v>320</v>
      </c>
      <c r="Q7">
        <v>3393131</v>
      </c>
      <c r="R7">
        <v>675</v>
      </c>
      <c r="S7">
        <v>2</v>
      </c>
      <c r="T7">
        <v>16</v>
      </c>
      <c r="U7">
        <v>0.94736842105263153</v>
      </c>
      <c r="V7">
        <v>1</v>
      </c>
      <c r="W7">
        <v>0.9213483146067416</v>
      </c>
      <c r="X7">
        <v>309</v>
      </c>
      <c r="Y7">
        <v>2832481</v>
      </c>
      <c r="Z7">
        <v>751</v>
      </c>
      <c r="AA7">
        <v>2</v>
      </c>
      <c r="AB7">
        <v>17</v>
      </c>
    </row>
    <row r="8" spans="1:28" x14ac:dyDescent="0.25">
      <c r="A8" s="7" t="s">
        <v>44</v>
      </c>
      <c r="B8">
        <v>8</v>
      </c>
      <c r="C8">
        <v>3</v>
      </c>
      <c r="D8">
        <v>2</v>
      </c>
      <c r="E8">
        <v>0</v>
      </c>
      <c r="F8" s="7" t="s">
        <v>54</v>
      </c>
      <c r="G8">
        <v>739</v>
      </c>
      <c r="H8">
        <v>10219340</v>
      </c>
      <c r="I8">
        <v>1000000</v>
      </c>
      <c r="J8">
        <v>0.89887642860412598</v>
      </c>
      <c r="K8">
        <v>1</v>
      </c>
      <c r="L8">
        <v>0.92105263471603394</v>
      </c>
      <c r="M8">
        <v>0.94736842105263153</v>
      </c>
      <c r="N8">
        <v>1</v>
      </c>
      <c r="O8">
        <v>0.9213483146067416</v>
      </c>
      <c r="P8">
        <v>415</v>
      </c>
      <c r="Q8">
        <v>4748418</v>
      </c>
      <c r="R8">
        <v>675</v>
      </c>
      <c r="S8">
        <v>2</v>
      </c>
      <c r="T8">
        <v>16</v>
      </c>
      <c r="U8">
        <v>0.97368421052631582</v>
      </c>
      <c r="V8">
        <v>1</v>
      </c>
      <c r="W8">
        <v>0.9550561797752809</v>
      </c>
      <c r="X8">
        <v>412</v>
      </c>
      <c r="Y8">
        <v>3897716</v>
      </c>
      <c r="Z8">
        <v>751</v>
      </c>
      <c r="AA8">
        <v>2</v>
      </c>
      <c r="AB8">
        <v>17</v>
      </c>
    </row>
    <row r="9" spans="1:28" x14ac:dyDescent="0.25">
      <c r="A9" s="7" t="s">
        <v>44</v>
      </c>
      <c r="B9">
        <v>8</v>
      </c>
      <c r="C9">
        <v>3</v>
      </c>
      <c r="D9">
        <v>2</v>
      </c>
      <c r="E9">
        <v>0</v>
      </c>
      <c r="F9" s="7" t="s">
        <v>54</v>
      </c>
      <c r="G9">
        <v>739</v>
      </c>
      <c r="H9">
        <v>12471606</v>
      </c>
      <c r="I9">
        <v>1000000</v>
      </c>
      <c r="J9">
        <v>0.94382023811340332</v>
      </c>
      <c r="K9">
        <v>1</v>
      </c>
      <c r="L9">
        <v>0.94736844301223755</v>
      </c>
      <c r="M9">
        <v>0.94736842105263153</v>
      </c>
      <c r="N9">
        <v>1</v>
      </c>
      <c r="O9">
        <v>0.9213483146067416</v>
      </c>
      <c r="P9">
        <v>358</v>
      </c>
      <c r="Q9">
        <v>3531553</v>
      </c>
      <c r="R9">
        <v>675</v>
      </c>
      <c r="S9">
        <v>2</v>
      </c>
      <c r="T9">
        <v>16</v>
      </c>
      <c r="U9">
        <v>0.94736842105263153</v>
      </c>
      <c r="V9">
        <v>1</v>
      </c>
      <c r="W9">
        <v>0.9438202247191011</v>
      </c>
      <c r="X9">
        <v>305</v>
      </c>
      <c r="Y9">
        <v>2797989</v>
      </c>
      <c r="Z9">
        <v>751</v>
      </c>
      <c r="AA9">
        <v>2</v>
      </c>
      <c r="AB9">
        <v>17</v>
      </c>
    </row>
    <row r="10" spans="1:28" x14ac:dyDescent="0.25">
      <c r="A10" s="7" t="s">
        <v>44</v>
      </c>
      <c r="B10">
        <v>8</v>
      </c>
      <c r="C10">
        <v>3</v>
      </c>
      <c r="D10">
        <v>2</v>
      </c>
      <c r="E10">
        <v>0</v>
      </c>
      <c r="F10" s="7" t="s">
        <v>54</v>
      </c>
      <c r="G10">
        <v>739</v>
      </c>
      <c r="H10">
        <v>8175468</v>
      </c>
      <c r="I10">
        <v>1000000</v>
      </c>
      <c r="J10">
        <v>0.92134833335876465</v>
      </c>
      <c r="K10">
        <v>1</v>
      </c>
      <c r="L10">
        <v>0.94736844301223755</v>
      </c>
      <c r="M10">
        <v>0.97368421052631582</v>
      </c>
      <c r="N10">
        <v>1</v>
      </c>
      <c r="O10">
        <v>0.9550561797752809</v>
      </c>
      <c r="P10">
        <v>320</v>
      </c>
      <c r="Q10">
        <v>3685458</v>
      </c>
      <c r="R10">
        <v>675</v>
      </c>
      <c r="S10">
        <v>2</v>
      </c>
      <c r="T10">
        <v>16</v>
      </c>
      <c r="U10">
        <v>0.94736842105263153</v>
      </c>
      <c r="V10">
        <v>1</v>
      </c>
      <c r="W10">
        <v>0.9213483146067416</v>
      </c>
      <c r="X10">
        <v>309</v>
      </c>
      <c r="Y10">
        <v>2876834</v>
      </c>
      <c r="Z10">
        <v>751</v>
      </c>
      <c r="AA10">
        <v>2</v>
      </c>
      <c r="AB10">
        <v>17</v>
      </c>
    </row>
    <row r="11" spans="1:28" x14ac:dyDescent="0.25">
      <c r="A11" s="7" t="s">
        <v>44</v>
      </c>
      <c r="B11">
        <v>8</v>
      </c>
      <c r="C11">
        <v>3</v>
      </c>
      <c r="D11">
        <v>2</v>
      </c>
      <c r="E11">
        <v>0</v>
      </c>
      <c r="F11" s="7" t="s">
        <v>54</v>
      </c>
      <c r="G11">
        <v>739</v>
      </c>
      <c r="H11">
        <v>8829793</v>
      </c>
      <c r="I11">
        <v>1000000</v>
      </c>
      <c r="J11">
        <v>0.98876404762268066</v>
      </c>
      <c r="K11">
        <v>1</v>
      </c>
      <c r="L11">
        <v>0.92105263471603394</v>
      </c>
      <c r="M11">
        <v>0.94736842105263153</v>
      </c>
      <c r="N11">
        <v>1</v>
      </c>
      <c r="O11">
        <v>0.9438202247191011</v>
      </c>
      <c r="P11">
        <v>376</v>
      </c>
      <c r="Q11">
        <v>4286252</v>
      </c>
      <c r="R11">
        <v>675</v>
      </c>
      <c r="S11">
        <v>2</v>
      </c>
      <c r="T11">
        <v>16</v>
      </c>
      <c r="U11">
        <v>0.97368421052631582</v>
      </c>
      <c r="V11">
        <v>1</v>
      </c>
      <c r="W11">
        <v>0.9550561797752809</v>
      </c>
      <c r="X11">
        <v>453</v>
      </c>
      <c r="Y11">
        <v>4316357</v>
      </c>
      <c r="Z11">
        <v>751</v>
      </c>
      <c r="AA11">
        <v>2</v>
      </c>
      <c r="AB11">
        <v>17</v>
      </c>
    </row>
    <row r="12" spans="1:28" x14ac:dyDescent="0.25">
      <c r="A12" s="7" t="s">
        <v>44</v>
      </c>
      <c r="B12">
        <v>8</v>
      </c>
      <c r="C12">
        <v>3</v>
      </c>
      <c r="D12">
        <v>2</v>
      </c>
      <c r="E12">
        <v>0</v>
      </c>
      <c r="F12" s="7" t="s">
        <v>50</v>
      </c>
      <c r="G12">
        <v>583</v>
      </c>
      <c r="H12">
        <v>4444837</v>
      </c>
      <c r="I12">
        <v>1000000</v>
      </c>
      <c r="J12">
        <v>0.96629214286804199</v>
      </c>
      <c r="K12">
        <v>1</v>
      </c>
      <c r="L12">
        <v>0.94736844301223755</v>
      </c>
      <c r="M12">
        <v>0.94736842105263153</v>
      </c>
      <c r="N12">
        <v>1</v>
      </c>
      <c r="O12">
        <v>0.9550561797752809</v>
      </c>
      <c r="P12">
        <v>454</v>
      </c>
      <c r="Q12">
        <v>4837602</v>
      </c>
      <c r="R12">
        <v>535</v>
      </c>
      <c r="S12">
        <v>2</v>
      </c>
      <c r="T12">
        <v>14</v>
      </c>
      <c r="U12">
        <v>0.94736842105263153</v>
      </c>
      <c r="V12">
        <v>1</v>
      </c>
      <c r="W12">
        <v>0.93258426966292129</v>
      </c>
      <c r="X12">
        <v>573</v>
      </c>
      <c r="Y12">
        <v>6050230</v>
      </c>
      <c r="Z12">
        <v>603</v>
      </c>
      <c r="AA12">
        <v>2</v>
      </c>
      <c r="AB12">
        <v>15</v>
      </c>
    </row>
    <row r="13" spans="1:28" x14ac:dyDescent="0.25">
      <c r="A13" s="7" t="s">
        <v>44</v>
      </c>
      <c r="B13">
        <v>8</v>
      </c>
      <c r="C13">
        <v>3</v>
      </c>
      <c r="D13">
        <v>2</v>
      </c>
      <c r="E13">
        <v>0</v>
      </c>
      <c r="F13" s="7" t="s">
        <v>50</v>
      </c>
      <c r="G13">
        <v>583</v>
      </c>
      <c r="H13">
        <v>13161349</v>
      </c>
      <c r="I13">
        <v>1000000</v>
      </c>
      <c r="J13">
        <v>0.96629214286804199</v>
      </c>
      <c r="K13">
        <v>1</v>
      </c>
      <c r="L13">
        <v>0.94736844301223755</v>
      </c>
      <c r="M13">
        <v>0.92105263157894735</v>
      </c>
      <c r="N13">
        <v>1</v>
      </c>
      <c r="O13">
        <v>0.88764044943820219</v>
      </c>
      <c r="P13">
        <v>457</v>
      </c>
      <c r="Q13">
        <v>4619467</v>
      </c>
      <c r="R13">
        <v>535</v>
      </c>
      <c r="S13">
        <v>2</v>
      </c>
      <c r="T13">
        <v>14</v>
      </c>
      <c r="U13">
        <v>0.97368421052631582</v>
      </c>
      <c r="V13">
        <v>1</v>
      </c>
      <c r="W13">
        <v>0.9438202247191011</v>
      </c>
      <c r="X13">
        <v>506</v>
      </c>
      <c r="Y13">
        <v>4791978</v>
      </c>
      <c r="Z13">
        <v>603</v>
      </c>
      <c r="AA13">
        <v>2</v>
      </c>
      <c r="AB13">
        <v>15</v>
      </c>
    </row>
    <row r="14" spans="1:28" x14ac:dyDescent="0.25">
      <c r="A14" s="7" t="s">
        <v>44</v>
      </c>
      <c r="B14">
        <v>8</v>
      </c>
      <c r="C14">
        <v>3</v>
      </c>
      <c r="D14">
        <v>2</v>
      </c>
      <c r="E14">
        <v>0</v>
      </c>
      <c r="F14" s="7" t="s">
        <v>50</v>
      </c>
      <c r="G14">
        <v>583</v>
      </c>
      <c r="H14">
        <v>17509030</v>
      </c>
      <c r="I14">
        <v>1000000</v>
      </c>
      <c r="J14">
        <v>0.94382023811340332</v>
      </c>
      <c r="K14">
        <v>1</v>
      </c>
      <c r="L14">
        <v>0.94736844301223755</v>
      </c>
      <c r="M14">
        <v>0.97368421052631582</v>
      </c>
      <c r="N14">
        <v>1</v>
      </c>
      <c r="O14">
        <v>0.9550561797752809</v>
      </c>
      <c r="P14">
        <v>451</v>
      </c>
      <c r="Q14">
        <v>4823462</v>
      </c>
      <c r="R14">
        <v>535</v>
      </c>
      <c r="S14">
        <v>2</v>
      </c>
      <c r="T14">
        <v>14</v>
      </c>
      <c r="U14">
        <v>0.97368421052631582</v>
      </c>
      <c r="V14">
        <v>1</v>
      </c>
      <c r="W14">
        <v>0.9438202247191011</v>
      </c>
      <c r="X14">
        <v>490</v>
      </c>
      <c r="Y14">
        <v>5859546</v>
      </c>
      <c r="Z14">
        <v>603</v>
      </c>
      <c r="AA14">
        <v>2</v>
      </c>
      <c r="AB14">
        <v>15</v>
      </c>
    </row>
    <row r="15" spans="1:28" x14ac:dyDescent="0.25">
      <c r="A15" s="7" t="s">
        <v>44</v>
      </c>
      <c r="B15">
        <v>8</v>
      </c>
      <c r="C15">
        <v>3</v>
      </c>
      <c r="D15">
        <v>2</v>
      </c>
      <c r="E15">
        <v>0</v>
      </c>
      <c r="F15" s="7" t="s">
        <v>50</v>
      </c>
      <c r="G15">
        <v>583</v>
      </c>
      <c r="H15">
        <v>20331019</v>
      </c>
      <c r="I15">
        <v>1000000</v>
      </c>
      <c r="J15">
        <v>0.97752809524536133</v>
      </c>
      <c r="K15">
        <v>1</v>
      </c>
      <c r="L15">
        <v>0.97368419170379639</v>
      </c>
      <c r="M15">
        <v>0.97368421052631582</v>
      </c>
      <c r="N15">
        <v>1</v>
      </c>
      <c r="O15">
        <v>0.9550561797752809</v>
      </c>
      <c r="P15">
        <v>475</v>
      </c>
      <c r="Q15">
        <v>4317008</v>
      </c>
      <c r="R15">
        <v>535</v>
      </c>
      <c r="S15">
        <v>2</v>
      </c>
      <c r="T15">
        <v>14</v>
      </c>
      <c r="U15">
        <v>0.97368421052631582</v>
      </c>
      <c r="V15">
        <v>1</v>
      </c>
      <c r="W15">
        <v>0.97752808988764039</v>
      </c>
      <c r="X15">
        <v>997</v>
      </c>
      <c r="Y15">
        <v>10983974</v>
      </c>
      <c r="Z15">
        <v>603</v>
      </c>
      <c r="AA15">
        <v>2</v>
      </c>
      <c r="AB15">
        <v>15</v>
      </c>
    </row>
    <row r="16" spans="1:28" x14ac:dyDescent="0.25">
      <c r="A16" s="7" t="s">
        <v>44</v>
      </c>
      <c r="B16">
        <v>8</v>
      </c>
      <c r="C16">
        <v>3</v>
      </c>
      <c r="D16">
        <v>2</v>
      </c>
      <c r="E16">
        <v>0</v>
      </c>
      <c r="F16" s="7" t="s">
        <v>50</v>
      </c>
      <c r="G16">
        <v>583</v>
      </c>
      <c r="H16">
        <v>20095316</v>
      </c>
      <c r="I16">
        <v>1000000</v>
      </c>
      <c r="J16">
        <v>0.97752809524536133</v>
      </c>
      <c r="K16">
        <v>1</v>
      </c>
      <c r="L16">
        <v>0.97368419170379639</v>
      </c>
      <c r="M16">
        <v>0.97368421052631582</v>
      </c>
      <c r="N16">
        <v>1</v>
      </c>
      <c r="O16">
        <v>0.9550561797752809</v>
      </c>
      <c r="P16">
        <v>405</v>
      </c>
      <c r="Q16">
        <v>3951464</v>
      </c>
      <c r="R16">
        <v>535</v>
      </c>
      <c r="S16">
        <v>2</v>
      </c>
      <c r="T16">
        <v>14</v>
      </c>
      <c r="U16">
        <v>0.97368421052631582</v>
      </c>
      <c r="V16">
        <v>1</v>
      </c>
      <c r="W16">
        <v>0.9550561797752809</v>
      </c>
      <c r="X16">
        <v>495</v>
      </c>
      <c r="Y16">
        <v>5686318</v>
      </c>
      <c r="Z16">
        <v>603</v>
      </c>
      <c r="AA16">
        <v>2</v>
      </c>
      <c r="AB16">
        <v>15</v>
      </c>
    </row>
    <row r="17" spans="1:28" x14ac:dyDescent="0.25">
      <c r="A17" s="7" t="s">
        <v>44</v>
      </c>
      <c r="B17">
        <v>8</v>
      </c>
      <c r="C17">
        <v>3</v>
      </c>
      <c r="D17">
        <v>2</v>
      </c>
      <c r="E17">
        <v>0</v>
      </c>
      <c r="F17" s="7" t="s">
        <v>51</v>
      </c>
      <c r="G17">
        <v>1043</v>
      </c>
      <c r="H17">
        <v>13119486</v>
      </c>
      <c r="I17">
        <v>1000000</v>
      </c>
      <c r="J17">
        <v>0.96629214286804199</v>
      </c>
      <c r="K17">
        <v>1</v>
      </c>
      <c r="L17">
        <v>0.97368419170379639</v>
      </c>
      <c r="M17">
        <v>0.94736842105263153</v>
      </c>
      <c r="N17">
        <v>1</v>
      </c>
      <c r="O17">
        <v>0.88764044943820219</v>
      </c>
      <c r="P17">
        <v>372</v>
      </c>
      <c r="Q17">
        <v>4450978</v>
      </c>
      <c r="R17">
        <v>1003</v>
      </c>
      <c r="S17">
        <v>2</v>
      </c>
      <c r="T17">
        <v>20</v>
      </c>
      <c r="U17">
        <v>0.94736842105263153</v>
      </c>
      <c r="V17">
        <v>1</v>
      </c>
      <c r="W17">
        <v>0.9213483146067416</v>
      </c>
      <c r="X17">
        <v>306</v>
      </c>
      <c r="Y17">
        <v>3292417</v>
      </c>
      <c r="Z17">
        <v>1095</v>
      </c>
      <c r="AA17">
        <v>2</v>
      </c>
      <c r="AB17">
        <v>21</v>
      </c>
    </row>
    <row r="18" spans="1:28" x14ac:dyDescent="0.25">
      <c r="A18" s="7" t="s">
        <v>44</v>
      </c>
      <c r="B18">
        <v>8</v>
      </c>
      <c r="C18">
        <v>3</v>
      </c>
      <c r="D18">
        <v>2</v>
      </c>
      <c r="E18">
        <v>0</v>
      </c>
      <c r="F18" s="7" t="s">
        <v>51</v>
      </c>
      <c r="G18">
        <v>1043</v>
      </c>
      <c r="H18">
        <v>6050358</v>
      </c>
      <c r="I18">
        <v>1000000</v>
      </c>
      <c r="J18">
        <v>0.89887642860412598</v>
      </c>
      <c r="K18">
        <v>1</v>
      </c>
      <c r="L18">
        <v>0.86842107772827148</v>
      </c>
      <c r="M18">
        <v>0.97368421052631582</v>
      </c>
      <c r="N18">
        <v>1</v>
      </c>
      <c r="O18">
        <v>0.9550561797752809</v>
      </c>
      <c r="P18">
        <v>300</v>
      </c>
      <c r="Q18">
        <v>2847154</v>
      </c>
      <c r="R18">
        <v>1003</v>
      </c>
      <c r="S18">
        <v>2</v>
      </c>
      <c r="T18">
        <v>20</v>
      </c>
      <c r="U18">
        <v>0.97368421052631582</v>
      </c>
      <c r="V18">
        <v>1</v>
      </c>
      <c r="W18">
        <v>0.9550561797752809</v>
      </c>
      <c r="X18">
        <v>347</v>
      </c>
      <c r="Y18">
        <v>4157942</v>
      </c>
      <c r="Z18">
        <v>1095</v>
      </c>
      <c r="AA18">
        <v>2</v>
      </c>
      <c r="AB18">
        <v>21</v>
      </c>
    </row>
    <row r="19" spans="1:28" x14ac:dyDescent="0.25">
      <c r="A19" s="7" t="s">
        <v>44</v>
      </c>
      <c r="B19">
        <v>8</v>
      </c>
      <c r="C19">
        <v>3</v>
      </c>
      <c r="D19">
        <v>2</v>
      </c>
      <c r="E19">
        <v>0</v>
      </c>
      <c r="F19" s="7" t="s">
        <v>51</v>
      </c>
      <c r="G19">
        <v>1043</v>
      </c>
      <c r="H19">
        <v>17868663</v>
      </c>
      <c r="I19">
        <v>1000000</v>
      </c>
      <c r="J19">
        <v>0.93258428573608398</v>
      </c>
      <c r="K19">
        <v>1</v>
      </c>
      <c r="L19">
        <v>0.94736844301223755</v>
      </c>
      <c r="M19">
        <v>0.97368421052631582</v>
      </c>
      <c r="N19">
        <v>1</v>
      </c>
      <c r="O19">
        <v>0.9550561797752809</v>
      </c>
      <c r="P19">
        <v>463</v>
      </c>
      <c r="Q19">
        <v>5030714</v>
      </c>
      <c r="R19">
        <v>1003</v>
      </c>
      <c r="S19">
        <v>2</v>
      </c>
      <c r="T19">
        <v>20</v>
      </c>
      <c r="U19">
        <v>0.97368421052631582</v>
      </c>
      <c r="V19">
        <v>1</v>
      </c>
      <c r="W19">
        <v>0.9438202247191011</v>
      </c>
      <c r="X19">
        <v>278</v>
      </c>
      <c r="Y19">
        <v>2684019</v>
      </c>
      <c r="Z19">
        <v>1095</v>
      </c>
      <c r="AA19">
        <v>2</v>
      </c>
      <c r="AB19">
        <v>21</v>
      </c>
    </row>
    <row r="20" spans="1:28" x14ac:dyDescent="0.25">
      <c r="A20" s="7" t="s">
        <v>44</v>
      </c>
      <c r="B20">
        <v>8</v>
      </c>
      <c r="C20">
        <v>3</v>
      </c>
      <c r="D20">
        <v>2</v>
      </c>
      <c r="E20">
        <v>0</v>
      </c>
      <c r="F20" s="7" t="s">
        <v>51</v>
      </c>
      <c r="G20">
        <v>1043</v>
      </c>
      <c r="H20">
        <v>21148333</v>
      </c>
      <c r="I20">
        <v>1000000</v>
      </c>
      <c r="J20">
        <v>0.95505619049072266</v>
      </c>
      <c r="K20">
        <v>1</v>
      </c>
      <c r="L20">
        <v>0.97368419170379639</v>
      </c>
      <c r="M20">
        <v>0.94736842105263153</v>
      </c>
      <c r="N20">
        <v>1</v>
      </c>
      <c r="O20">
        <v>0.9213483146067416</v>
      </c>
      <c r="P20">
        <v>250</v>
      </c>
      <c r="Q20">
        <v>3048695</v>
      </c>
      <c r="R20">
        <v>1003</v>
      </c>
      <c r="S20">
        <v>2</v>
      </c>
      <c r="T20">
        <v>20</v>
      </c>
      <c r="U20">
        <v>0.94736842105263153</v>
      </c>
      <c r="V20">
        <v>1</v>
      </c>
      <c r="W20">
        <v>0.9438202247191011</v>
      </c>
      <c r="X20">
        <v>367</v>
      </c>
      <c r="Y20">
        <v>6180619</v>
      </c>
      <c r="Z20">
        <v>1095</v>
      </c>
      <c r="AA20">
        <v>2</v>
      </c>
      <c r="AB20">
        <v>21</v>
      </c>
    </row>
    <row r="21" spans="1:28" x14ac:dyDescent="0.25">
      <c r="A21" s="7" t="s">
        <v>44</v>
      </c>
      <c r="B21">
        <v>8</v>
      </c>
      <c r="C21">
        <v>3</v>
      </c>
      <c r="D21">
        <v>2</v>
      </c>
      <c r="E21">
        <v>0</v>
      </c>
      <c r="F21" s="7" t="s">
        <v>51</v>
      </c>
      <c r="G21">
        <v>1043</v>
      </c>
      <c r="H21">
        <v>9366872</v>
      </c>
      <c r="I21">
        <v>1000000</v>
      </c>
      <c r="J21">
        <v>0.92134833335876465</v>
      </c>
      <c r="K21">
        <v>1</v>
      </c>
      <c r="L21">
        <v>0.94736844301223755</v>
      </c>
      <c r="M21">
        <v>0.97368421052631582</v>
      </c>
      <c r="N21">
        <v>1</v>
      </c>
      <c r="O21">
        <v>0.9438202247191011</v>
      </c>
      <c r="P21">
        <v>318</v>
      </c>
      <c r="Q21">
        <v>3636108</v>
      </c>
      <c r="R21">
        <v>1003</v>
      </c>
      <c r="S21">
        <v>2</v>
      </c>
      <c r="T21">
        <v>20</v>
      </c>
      <c r="U21">
        <v>0.97368421052631582</v>
      </c>
      <c r="V21">
        <v>1</v>
      </c>
      <c r="W21">
        <v>0.9550561797752809</v>
      </c>
      <c r="X21">
        <v>396</v>
      </c>
      <c r="Y21">
        <v>4493401</v>
      </c>
      <c r="Z21">
        <v>1095</v>
      </c>
      <c r="AA21">
        <v>2</v>
      </c>
      <c r="AB21">
        <v>21</v>
      </c>
    </row>
    <row r="22" spans="1:28" x14ac:dyDescent="0.25">
      <c r="A22" s="7" t="s">
        <v>44</v>
      </c>
      <c r="B22">
        <v>8</v>
      </c>
      <c r="C22">
        <v>3</v>
      </c>
      <c r="D22">
        <v>2</v>
      </c>
      <c r="E22">
        <v>0</v>
      </c>
      <c r="F22" s="7" t="s">
        <v>52</v>
      </c>
      <c r="G22">
        <v>793</v>
      </c>
      <c r="H22">
        <v>6061223</v>
      </c>
      <c r="I22">
        <v>1000000</v>
      </c>
      <c r="J22">
        <v>0.93258428573608398</v>
      </c>
      <c r="K22">
        <v>1</v>
      </c>
      <c r="L22">
        <v>0.94736844301223755</v>
      </c>
      <c r="M22">
        <v>0.94736842105263153</v>
      </c>
      <c r="N22">
        <v>1</v>
      </c>
      <c r="O22">
        <v>0.9213483146067416</v>
      </c>
      <c r="P22">
        <v>475</v>
      </c>
      <c r="Q22">
        <v>5043974</v>
      </c>
      <c r="R22">
        <v>751</v>
      </c>
      <c r="S22">
        <v>2</v>
      </c>
      <c r="T22">
        <v>17</v>
      </c>
      <c r="U22">
        <v>0.97368421052631582</v>
      </c>
      <c r="V22">
        <v>1</v>
      </c>
      <c r="W22">
        <v>0.9438202247191011</v>
      </c>
      <c r="X22">
        <v>424</v>
      </c>
      <c r="Y22">
        <v>4935217</v>
      </c>
      <c r="Z22">
        <v>831</v>
      </c>
      <c r="AA22">
        <v>2</v>
      </c>
      <c r="AB22">
        <v>18</v>
      </c>
    </row>
    <row r="23" spans="1:28" x14ac:dyDescent="0.25">
      <c r="A23" s="7" t="s">
        <v>44</v>
      </c>
      <c r="B23">
        <v>8</v>
      </c>
      <c r="C23">
        <v>3</v>
      </c>
      <c r="D23">
        <v>2</v>
      </c>
      <c r="E23">
        <v>0</v>
      </c>
      <c r="F23" s="7" t="s">
        <v>52</v>
      </c>
      <c r="G23">
        <v>793</v>
      </c>
      <c r="H23">
        <v>11116029</v>
      </c>
      <c r="I23">
        <v>1000000</v>
      </c>
      <c r="J23">
        <v>0.97752809524536133</v>
      </c>
      <c r="K23">
        <v>1</v>
      </c>
      <c r="L23">
        <v>0.97368419170379639</v>
      </c>
      <c r="M23">
        <v>0.97368421052631582</v>
      </c>
      <c r="N23">
        <v>1</v>
      </c>
      <c r="O23">
        <v>0.9550561797752809</v>
      </c>
      <c r="P23">
        <v>386</v>
      </c>
      <c r="Q23">
        <v>4679789</v>
      </c>
      <c r="R23">
        <v>751</v>
      </c>
      <c r="S23">
        <v>2</v>
      </c>
      <c r="T23">
        <v>17</v>
      </c>
      <c r="U23">
        <v>0.94736842105263153</v>
      </c>
      <c r="V23">
        <v>1</v>
      </c>
      <c r="W23">
        <v>0.9438202247191011</v>
      </c>
      <c r="X23">
        <v>393</v>
      </c>
      <c r="Y23">
        <v>3778821</v>
      </c>
      <c r="Z23">
        <v>831</v>
      </c>
      <c r="AA23">
        <v>2</v>
      </c>
      <c r="AB23">
        <v>18</v>
      </c>
    </row>
    <row r="24" spans="1:28" x14ac:dyDescent="0.25">
      <c r="A24" s="7" t="s">
        <v>44</v>
      </c>
      <c r="B24">
        <v>8</v>
      </c>
      <c r="C24">
        <v>3</v>
      </c>
      <c r="D24">
        <v>2</v>
      </c>
      <c r="E24">
        <v>0</v>
      </c>
      <c r="F24" s="7" t="s">
        <v>52</v>
      </c>
      <c r="G24">
        <v>793</v>
      </c>
      <c r="H24">
        <v>21075696</v>
      </c>
      <c r="I24">
        <v>1000000</v>
      </c>
      <c r="J24">
        <v>0.96629214286804199</v>
      </c>
      <c r="K24">
        <v>1</v>
      </c>
      <c r="L24">
        <v>0.97368419170379639</v>
      </c>
      <c r="M24">
        <v>0.97368421052631582</v>
      </c>
      <c r="N24">
        <v>1</v>
      </c>
      <c r="O24">
        <v>0.9438202247191011</v>
      </c>
      <c r="P24">
        <v>506</v>
      </c>
      <c r="Q24">
        <v>5605981</v>
      </c>
      <c r="R24">
        <v>751</v>
      </c>
      <c r="S24">
        <v>2</v>
      </c>
      <c r="T24">
        <v>17</v>
      </c>
      <c r="U24">
        <v>0.97368421052631582</v>
      </c>
      <c r="V24">
        <v>1</v>
      </c>
      <c r="W24">
        <v>0.9550561797752809</v>
      </c>
      <c r="X24">
        <v>334</v>
      </c>
      <c r="Y24">
        <v>4004917</v>
      </c>
      <c r="Z24">
        <v>831</v>
      </c>
      <c r="AA24">
        <v>2</v>
      </c>
      <c r="AB24">
        <v>18</v>
      </c>
    </row>
    <row r="25" spans="1:28" x14ac:dyDescent="0.25">
      <c r="A25" s="7" t="s">
        <v>44</v>
      </c>
      <c r="B25">
        <v>8</v>
      </c>
      <c r="C25">
        <v>3</v>
      </c>
      <c r="D25">
        <v>2</v>
      </c>
      <c r="E25">
        <v>0</v>
      </c>
      <c r="F25" s="7" t="s">
        <v>52</v>
      </c>
      <c r="G25">
        <v>793</v>
      </c>
      <c r="H25">
        <v>8153453</v>
      </c>
      <c r="I25">
        <v>1000000</v>
      </c>
      <c r="J25">
        <v>0.94382023811340332</v>
      </c>
      <c r="K25">
        <v>1</v>
      </c>
      <c r="L25">
        <v>0.97368419170379639</v>
      </c>
      <c r="M25">
        <v>0.94736842105263153</v>
      </c>
      <c r="N25">
        <v>1</v>
      </c>
      <c r="O25">
        <v>0.9213483146067416</v>
      </c>
      <c r="P25">
        <v>335</v>
      </c>
      <c r="Q25">
        <v>3263660</v>
      </c>
      <c r="R25">
        <v>751</v>
      </c>
      <c r="S25">
        <v>2</v>
      </c>
      <c r="T25">
        <v>17</v>
      </c>
      <c r="U25">
        <v>0.97368421052631582</v>
      </c>
      <c r="V25">
        <v>1</v>
      </c>
      <c r="W25">
        <v>0.9550561797752809</v>
      </c>
      <c r="X25">
        <v>394</v>
      </c>
      <c r="Y25">
        <v>4929567</v>
      </c>
      <c r="Z25">
        <v>831</v>
      </c>
      <c r="AA25">
        <v>2</v>
      </c>
      <c r="AB25">
        <v>18</v>
      </c>
    </row>
    <row r="26" spans="1:28" x14ac:dyDescent="0.25">
      <c r="A26" s="7" t="s">
        <v>44</v>
      </c>
      <c r="B26">
        <v>8</v>
      </c>
      <c r="C26">
        <v>3</v>
      </c>
      <c r="D26">
        <v>2</v>
      </c>
      <c r="E26">
        <v>0</v>
      </c>
      <c r="F26" s="7" t="s">
        <v>52</v>
      </c>
      <c r="G26">
        <v>793</v>
      </c>
      <c r="H26">
        <v>6401848</v>
      </c>
      <c r="I26">
        <v>1000000</v>
      </c>
      <c r="J26">
        <v>0.93258428573608398</v>
      </c>
      <c r="K26">
        <v>1</v>
      </c>
      <c r="L26">
        <v>0.94736844301223755</v>
      </c>
      <c r="M26">
        <v>0.94736842105263153</v>
      </c>
      <c r="N26">
        <v>1</v>
      </c>
      <c r="O26">
        <v>0.9213483146067416</v>
      </c>
      <c r="P26">
        <v>475</v>
      </c>
      <c r="Q26">
        <v>4601157</v>
      </c>
      <c r="R26">
        <v>751</v>
      </c>
      <c r="S26">
        <v>2</v>
      </c>
      <c r="T26">
        <v>17</v>
      </c>
      <c r="U26">
        <v>0.97368421052631582</v>
      </c>
      <c r="V26">
        <v>1</v>
      </c>
      <c r="W26">
        <v>0.9438202247191011</v>
      </c>
      <c r="X26">
        <v>424</v>
      </c>
      <c r="Y26">
        <v>5138999</v>
      </c>
      <c r="Z26">
        <v>831</v>
      </c>
      <c r="AA26">
        <v>2</v>
      </c>
      <c r="AB26">
        <v>18</v>
      </c>
    </row>
    <row r="27" spans="1:28" x14ac:dyDescent="0.25">
      <c r="A27" s="7" t="s">
        <v>44</v>
      </c>
      <c r="B27">
        <v>8</v>
      </c>
      <c r="C27">
        <v>3</v>
      </c>
      <c r="D27">
        <v>2</v>
      </c>
      <c r="E27">
        <v>0</v>
      </c>
      <c r="F27" s="7" t="s">
        <v>53</v>
      </c>
      <c r="G27">
        <v>1383</v>
      </c>
      <c r="H27">
        <v>6986131</v>
      </c>
      <c r="I27">
        <v>1000000</v>
      </c>
      <c r="J27">
        <v>0.93258428573608398</v>
      </c>
      <c r="K27">
        <v>1</v>
      </c>
      <c r="L27">
        <v>0.94736844301223755</v>
      </c>
      <c r="M27">
        <v>0.97368421052631582</v>
      </c>
      <c r="N27">
        <v>1</v>
      </c>
      <c r="O27">
        <v>0.9550561797752809</v>
      </c>
      <c r="P27">
        <v>339</v>
      </c>
      <c r="Q27">
        <v>3373471</v>
      </c>
      <c r="R27">
        <v>1291</v>
      </c>
      <c r="S27">
        <v>2</v>
      </c>
      <c r="T27">
        <v>23</v>
      </c>
      <c r="U27">
        <v>0.94736842105263153</v>
      </c>
      <c r="V27">
        <v>1</v>
      </c>
      <c r="W27">
        <v>0.9213483146067416</v>
      </c>
      <c r="X27">
        <v>219</v>
      </c>
      <c r="Y27">
        <v>2164380</v>
      </c>
      <c r="Z27">
        <v>1395</v>
      </c>
      <c r="AA27">
        <v>2</v>
      </c>
      <c r="AB27">
        <v>24</v>
      </c>
    </row>
    <row r="28" spans="1:28" x14ac:dyDescent="0.25">
      <c r="A28" s="7" t="s">
        <v>44</v>
      </c>
      <c r="B28">
        <v>8</v>
      </c>
      <c r="C28">
        <v>3</v>
      </c>
      <c r="D28">
        <v>2</v>
      </c>
      <c r="E28">
        <v>0</v>
      </c>
      <c r="F28" s="7" t="s">
        <v>53</v>
      </c>
      <c r="G28">
        <v>1383</v>
      </c>
      <c r="H28">
        <v>7310416</v>
      </c>
      <c r="I28">
        <v>1000000</v>
      </c>
      <c r="J28">
        <v>0.95505619049072266</v>
      </c>
      <c r="K28">
        <v>1</v>
      </c>
      <c r="L28">
        <v>0.89473682641983032</v>
      </c>
      <c r="M28">
        <v>0.94736842105263153</v>
      </c>
      <c r="N28">
        <v>1</v>
      </c>
      <c r="O28">
        <v>0.9438202247191011</v>
      </c>
      <c r="P28">
        <v>292</v>
      </c>
      <c r="Q28">
        <v>2908774</v>
      </c>
      <c r="R28">
        <v>1291</v>
      </c>
      <c r="S28">
        <v>2</v>
      </c>
      <c r="T28">
        <v>23</v>
      </c>
      <c r="U28">
        <v>0.94736842105263153</v>
      </c>
      <c r="V28">
        <v>1</v>
      </c>
      <c r="W28">
        <v>0.93258426966292129</v>
      </c>
      <c r="X28">
        <v>307</v>
      </c>
      <c r="Y28">
        <v>3071973</v>
      </c>
      <c r="Z28">
        <v>1395</v>
      </c>
      <c r="AA28">
        <v>2</v>
      </c>
      <c r="AB28">
        <v>24</v>
      </c>
    </row>
    <row r="29" spans="1:28" x14ac:dyDescent="0.25">
      <c r="A29" s="7" t="s">
        <v>44</v>
      </c>
      <c r="B29">
        <v>8</v>
      </c>
      <c r="C29">
        <v>3</v>
      </c>
      <c r="D29">
        <v>2</v>
      </c>
      <c r="E29">
        <v>0</v>
      </c>
      <c r="F29" s="7" t="s">
        <v>53</v>
      </c>
      <c r="G29">
        <v>1383</v>
      </c>
      <c r="H29">
        <v>8592235</v>
      </c>
      <c r="I29">
        <v>1000000</v>
      </c>
      <c r="J29">
        <v>0.97752809524536133</v>
      </c>
      <c r="K29">
        <v>1</v>
      </c>
      <c r="L29">
        <v>0.97368419170379639</v>
      </c>
      <c r="M29">
        <v>0.97368421052631582</v>
      </c>
      <c r="N29">
        <v>1</v>
      </c>
      <c r="O29">
        <v>0.9550561797752809</v>
      </c>
      <c r="P29">
        <v>393</v>
      </c>
      <c r="Q29">
        <v>4150025</v>
      </c>
      <c r="R29">
        <v>1291</v>
      </c>
      <c r="S29">
        <v>2</v>
      </c>
      <c r="T29">
        <v>23</v>
      </c>
      <c r="U29">
        <v>0.94736842105263153</v>
      </c>
      <c r="V29">
        <v>1</v>
      </c>
      <c r="W29">
        <v>0.9213483146067416</v>
      </c>
      <c r="X29">
        <v>204</v>
      </c>
      <c r="Y29">
        <v>1948527</v>
      </c>
      <c r="Z29">
        <v>1395</v>
      </c>
      <c r="AA29">
        <v>2</v>
      </c>
      <c r="AB29">
        <v>24</v>
      </c>
    </row>
    <row r="30" spans="1:28" x14ac:dyDescent="0.25">
      <c r="A30" s="7" t="s">
        <v>44</v>
      </c>
      <c r="B30">
        <v>8</v>
      </c>
      <c r="C30">
        <v>3</v>
      </c>
      <c r="D30">
        <v>2</v>
      </c>
      <c r="E30">
        <v>0</v>
      </c>
      <c r="F30" s="7" t="s">
        <v>53</v>
      </c>
      <c r="G30">
        <v>1383</v>
      </c>
      <c r="H30">
        <v>13392036</v>
      </c>
      <c r="I30">
        <v>1000000</v>
      </c>
      <c r="J30">
        <v>0.89887642860412598</v>
      </c>
      <c r="K30">
        <v>1</v>
      </c>
      <c r="L30">
        <v>0.92105263471603394</v>
      </c>
      <c r="M30">
        <v>0.94736842105263153</v>
      </c>
      <c r="N30">
        <v>1</v>
      </c>
      <c r="O30">
        <v>0.93258426966292129</v>
      </c>
      <c r="P30">
        <v>346</v>
      </c>
      <c r="Q30">
        <v>3274078</v>
      </c>
      <c r="R30">
        <v>1291</v>
      </c>
      <c r="S30">
        <v>2</v>
      </c>
      <c r="T30">
        <v>23</v>
      </c>
      <c r="U30">
        <v>0.94736842105263153</v>
      </c>
      <c r="V30">
        <v>1</v>
      </c>
      <c r="W30">
        <v>0.9438202247191011</v>
      </c>
      <c r="X30">
        <v>272</v>
      </c>
      <c r="Y30">
        <v>2630755</v>
      </c>
      <c r="Z30">
        <v>1395</v>
      </c>
      <c r="AA30">
        <v>2</v>
      </c>
      <c r="AB30">
        <v>24</v>
      </c>
    </row>
    <row r="31" spans="1:28" x14ac:dyDescent="0.25">
      <c r="A31" s="7" t="s">
        <v>44</v>
      </c>
      <c r="B31">
        <v>8</v>
      </c>
      <c r="C31">
        <v>3</v>
      </c>
      <c r="D31">
        <v>2</v>
      </c>
      <c r="E31">
        <v>0</v>
      </c>
      <c r="F31" s="7" t="s">
        <v>53</v>
      </c>
      <c r="G31">
        <v>1383</v>
      </c>
      <c r="H31">
        <v>15305540</v>
      </c>
      <c r="I31">
        <v>1000000</v>
      </c>
      <c r="J31">
        <v>0.96629214286804199</v>
      </c>
      <c r="K31">
        <v>1</v>
      </c>
      <c r="L31">
        <v>0.97368419170379639</v>
      </c>
      <c r="M31">
        <v>0.94736842105263153</v>
      </c>
      <c r="N31">
        <v>1</v>
      </c>
      <c r="O31">
        <v>0.9213483146067416</v>
      </c>
      <c r="P31">
        <v>351</v>
      </c>
      <c r="Q31">
        <v>3347679</v>
      </c>
      <c r="R31">
        <v>1291</v>
      </c>
      <c r="S31">
        <v>2</v>
      </c>
      <c r="T31">
        <v>23</v>
      </c>
      <c r="U31">
        <v>0.94736842105263153</v>
      </c>
      <c r="V31">
        <v>1</v>
      </c>
      <c r="W31">
        <v>0.9550561797752809</v>
      </c>
      <c r="X31">
        <v>339</v>
      </c>
      <c r="Y31">
        <v>3541165</v>
      </c>
      <c r="Z31">
        <v>1395</v>
      </c>
      <c r="AA31">
        <v>2</v>
      </c>
      <c r="AB31">
        <v>24</v>
      </c>
    </row>
    <row r="32" spans="1:28" x14ac:dyDescent="0.25">
      <c r="A32" s="7" t="s">
        <v>44</v>
      </c>
      <c r="B32">
        <v>8</v>
      </c>
      <c r="C32">
        <v>3</v>
      </c>
      <c r="D32">
        <v>2</v>
      </c>
      <c r="E32">
        <v>0</v>
      </c>
      <c r="F32" s="7" t="s">
        <v>55</v>
      </c>
      <c r="G32">
        <v>1003</v>
      </c>
      <c r="H32">
        <v>6933214</v>
      </c>
      <c r="I32">
        <v>1000000</v>
      </c>
      <c r="J32">
        <v>0.84269660711288452</v>
      </c>
      <c r="K32">
        <v>1</v>
      </c>
      <c r="L32">
        <v>0.84210526943206787</v>
      </c>
      <c r="M32">
        <v>0.97368421052631582</v>
      </c>
      <c r="N32">
        <v>1</v>
      </c>
      <c r="O32">
        <v>0.9550561797752809</v>
      </c>
      <c r="P32">
        <v>303</v>
      </c>
      <c r="Q32">
        <v>2835457</v>
      </c>
      <c r="R32">
        <v>915</v>
      </c>
      <c r="S32">
        <v>2</v>
      </c>
      <c r="T32">
        <v>19</v>
      </c>
      <c r="U32">
        <v>0.94736842105263153</v>
      </c>
      <c r="V32">
        <v>1</v>
      </c>
      <c r="W32">
        <v>0.9213483146067416</v>
      </c>
      <c r="X32">
        <v>383</v>
      </c>
      <c r="Y32">
        <v>3680162</v>
      </c>
      <c r="Z32">
        <v>1003</v>
      </c>
      <c r="AA32">
        <v>2</v>
      </c>
      <c r="AB32">
        <v>20</v>
      </c>
    </row>
    <row r="33" spans="1:28" x14ac:dyDescent="0.25">
      <c r="A33" s="7" t="s">
        <v>44</v>
      </c>
      <c r="B33">
        <v>8</v>
      </c>
      <c r="C33">
        <v>3</v>
      </c>
      <c r="D33">
        <v>2</v>
      </c>
      <c r="E33">
        <v>0</v>
      </c>
      <c r="F33" s="7" t="s">
        <v>55</v>
      </c>
      <c r="G33">
        <v>1003</v>
      </c>
      <c r="H33">
        <v>27327444</v>
      </c>
      <c r="I33">
        <v>1000000</v>
      </c>
      <c r="J33">
        <v>0.95505619049072266</v>
      </c>
      <c r="K33">
        <v>1</v>
      </c>
      <c r="L33">
        <v>0.97368419170379639</v>
      </c>
      <c r="M33">
        <v>0.94736842105263153</v>
      </c>
      <c r="N33">
        <v>1</v>
      </c>
      <c r="O33">
        <v>0.9213483146067416</v>
      </c>
      <c r="P33">
        <v>305</v>
      </c>
      <c r="Q33">
        <v>2858149</v>
      </c>
      <c r="R33">
        <v>915</v>
      </c>
      <c r="S33">
        <v>2</v>
      </c>
      <c r="T33">
        <v>19</v>
      </c>
      <c r="U33">
        <v>0.97368421052631582</v>
      </c>
      <c r="V33">
        <v>1</v>
      </c>
      <c r="W33">
        <v>0.9550561797752809</v>
      </c>
      <c r="X33">
        <v>299</v>
      </c>
      <c r="Y33">
        <v>2972024</v>
      </c>
      <c r="Z33">
        <v>1003</v>
      </c>
      <c r="AA33">
        <v>2</v>
      </c>
      <c r="AB33">
        <v>20</v>
      </c>
    </row>
    <row r="34" spans="1:28" x14ac:dyDescent="0.25">
      <c r="A34" s="7" t="s">
        <v>44</v>
      </c>
      <c r="B34">
        <v>8</v>
      </c>
      <c r="C34">
        <v>3</v>
      </c>
      <c r="D34">
        <v>2</v>
      </c>
      <c r="E34">
        <v>0</v>
      </c>
      <c r="F34" s="7" t="s">
        <v>55</v>
      </c>
      <c r="G34">
        <v>1003</v>
      </c>
      <c r="H34">
        <v>22779571</v>
      </c>
      <c r="I34">
        <v>1000000</v>
      </c>
      <c r="J34">
        <v>0.97752809524536133</v>
      </c>
      <c r="K34">
        <v>1</v>
      </c>
      <c r="L34">
        <v>0.97368419170379639</v>
      </c>
      <c r="M34">
        <v>0.94736842105263153</v>
      </c>
      <c r="N34">
        <v>1</v>
      </c>
      <c r="O34">
        <v>0.9438202247191011</v>
      </c>
      <c r="P34">
        <v>366</v>
      </c>
      <c r="Q34">
        <v>4220372</v>
      </c>
      <c r="R34">
        <v>915</v>
      </c>
      <c r="S34">
        <v>2</v>
      </c>
      <c r="T34">
        <v>19</v>
      </c>
      <c r="U34">
        <v>0.97368421052631582</v>
      </c>
      <c r="V34">
        <v>1</v>
      </c>
      <c r="W34">
        <v>0.9438202247191011</v>
      </c>
      <c r="X34">
        <v>404</v>
      </c>
      <c r="Y34">
        <v>4096319</v>
      </c>
      <c r="Z34">
        <v>1003</v>
      </c>
      <c r="AA34">
        <v>2</v>
      </c>
      <c r="AB34">
        <v>20</v>
      </c>
    </row>
    <row r="35" spans="1:28" x14ac:dyDescent="0.25">
      <c r="A35" s="7" t="s">
        <v>44</v>
      </c>
      <c r="B35">
        <v>8</v>
      </c>
      <c r="C35">
        <v>3</v>
      </c>
      <c r="D35">
        <v>2</v>
      </c>
      <c r="E35">
        <v>0</v>
      </c>
      <c r="F35" s="7" t="s">
        <v>55</v>
      </c>
      <c r="G35">
        <v>1003</v>
      </c>
      <c r="H35">
        <v>26694832</v>
      </c>
      <c r="I35">
        <v>1000000</v>
      </c>
      <c r="J35">
        <v>0.94382023811340332</v>
      </c>
      <c r="K35">
        <v>1</v>
      </c>
      <c r="L35">
        <v>0.94736844301223755</v>
      </c>
      <c r="M35">
        <v>0.94736842105263153</v>
      </c>
      <c r="N35">
        <v>1</v>
      </c>
      <c r="O35">
        <v>0.88764044943820219</v>
      </c>
      <c r="P35">
        <v>375</v>
      </c>
      <c r="Q35">
        <v>3922990</v>
      </c>
      <c r="R35">
        <v>915</v>
      </c>
      <c r="S35">
        <v>2</v>
      </c>
      <c r="T35">
        <v>19</v>
      </c>
      <c r="U35">
        <v>0.97368421052631582</v>
      </c>
      <c r="V35">
        <v>1</v>
      </c>
      <c r="W35">
        <v>0.9550561797752809</v>
      </c>
      <c r="X35">
        <v>344</v>
      </c>
      <c r="Y35">
        <v>3566334</v>
      </c>
      <c r="Z35">
        <v>1003</v>
      </c>
      <c r="AA35">
        <v>2</v>
      </c>
      <c r="AB35">
        <v>20</v>
      </c>
    </row>
    <row r="36" spans="1:28" x14ac:dyDescent="0.25">
      <c r="A36" s="7" t="s">
        <v>44</v>
      </c>
      <c r="B36">
        <v>8</v>
      </c>
      <c r="C36">
        <v>3</v>
      </c>
      <c r="D36">
        <v>2</v>
      </c>
      <c r="E36">
        <v>0</v>
      </c>
      <c r="F36" s="7" t="s">
        <v>55</v>
      </c>
      <c r="G36">
        <v>1003</v>
      </c>
      <c r="H36">
        <v>13201280</v>
      </c>
      <c r="I36">
        <v>1000000</v>
      </c>
      <c r="J36">
        <v>0.95505619049072266</v>
      </c>
      <c r="K36">
        <v>1</v>
      </c>
      <c r="L36">
        <v>0.97368419170379639</v>
      </c>
      <c r="M36">
        <v>0.97368421052631582</v>
      </c>
      <c r="N36">
        <v>1</v>
      </c>
      <c r="O36">
        <v>0.9550561797752809</v>
      </c>
      <c r="P36">
        <v>375</v>
      </c>
      <c r="Q36">
        <v>4026789</v>
      </c>
      <c r="R36">
        <v>915</v>
      </c>
      <c r="S36">
        <v>2</v>
      </c>
      <c r="T36">
        <v>19</v>
      </c>
      <c r="U36">
        <v>0.97368421052631582</v>
      </c>
      <c r="V36">
        <v>1</v>
      </c>
      <c r="W36">
        <v>0.9438202247191011</v>
      </c>
      <c r="X36">
        <v>356</v>
      </c>
      <c r="Y36">
        <v>3289140</v>
      </c>
      <c r="Z36">
        <v>1003</v>
      </c>
      <c r="AA36">
        <v>2</v>
      </c>
      <c r="AB36">
        <v>20</v>
      </c>
    </row>
    <row r="37" spans="1:28" x14ac:dyDescent="0.25">
      <c r="A37" s="7" t="s">
        <v>44</v>
      </c>
      <c r="B37">
        <v>8</v>
      </c>
      <c r="C37">
        <v>3</v>
      </c>
      <c r="D37">
        <v>2</v>
      </c>
      <c r="E37">
        <v>0</v>
      </c>
      <c r="F37" s="7" t="s">
        <v>56</v>
      </c>
      <c r="G37">
        <v>1723</v>
      </c>
      <c r="H37">
        <v>12579172</v>
      </c>
      <c r="I37">
        <v>1000000</v>
      </c>
      <c r="J37">
        <v>0.93258428573608398</v>
      </c>
      <c r="K37">
        <v>1</v>
      </c>
      <c r="L37">
        <v>0.92105263471603394</v>
      </c>
      <c r="M37">
        <v>0.97368421052631582</v>
      </c>
      <c r="N37">
        <v>1</v>
      </c>
      <c r="O37">
        <v>0.9550561797752809</v>
      </c>
      <c r="P37">
        <v>302</v>
      </c>
      <c r="Q37">
        <v>2888725</v>
      </c>
      <c r="R37">
        <v>1615</v>
      </c>
      <c r="S37">
        <v>2</v>
      </c>
      <c r="T37">
        <v>26</v>
      </c>
      <c r="U37">
        <v>0.97368421052631582</v>
      </c>
      <c r="V37">
        <v>1</v>
      </c>
      <c r="W37">
        <v>0.9550561797752809</v>
      </c>
      <c r="X37">
        <v>255</v>
      </c>
      <c r="Y37">
        <v>2530557</v>
      </c>
      <c r="Z37">
        <v>1731</v>
      </c>
      <c r="AA37">
        <v>2</v>
      </c>
      <c r="AB37">
        <v>27</v>
      </c>
    </row>
    <row r="38" spans="1:28" x14ac:dyDescent="0.25">
      <c r="A38" s="7" t="s">
        <v>44</v>
      </c>
      <c r="B38">
        <v>8</v>
      </c>
      <c r="C38">
        <v>3</v>
      </c>
      <c r="D38">
        <v>2</v>
      </c>
      <c r="E38">
        <v>0</v>
      </c>
      <c r="F38" s="7" t="s">
        <v>56</v>
      </c>
      <c r="G38">
        <v>1723</v>
      </c>
      <c r="H38">
        <v>27959213</v>
      </c>
      <c r="I38">
        <v>1000000</v>
      </c>
      <c r="J38">
        <v>0.96629214286804199</v>
      </c>
      <c r="K38">
        <v>1</v>
      </c>
      <c r="L38">
        <v>0.97368419170379639</v>
      </c>
      <c r="M38">
        <v>0.97368421052631582</v>
      </c>
      <c r="N38">
        <v>1</v>
      </c>
      <c r="O38">
        <v>0.9550561797752809</v>
      </c>
      <c r="P38">
        <v>334</v>
      </c>
      <c r="Q38">
        <v>3291047</v>
      </c>
      <c r="R38">
        <v>1615</v>
      </c>
      <c r="S38">
        <v>2</v>
      </c>
      <c r="T38">
        <v>26</v>
      </c>
      <c r="U38">
        <v>0.97368421052631582</v>
      </c>
      <c r="V38">
        <v>1</v>
      </c>
      <c r="W38">
        <v>0.9438202247191011</v>
      </c>
      <c r="X38">
        <v>259</v>
      </c>
      <c r="Y38">
        <v>2450961</v>
      </c>
      <c r="Z38">
        <v>1731</v>
      </c>
      <c r="AA38">
        <v>2</v>
      </c>
      <c r="AB38">
        <v>27</v>
      </c>
    </row>
    <row r="39" spans="1:28" x14ac:dyDescent="0.25">
      <c r="A39" s="7" t="s">
        <v>44</v>
      </c>
      <c r="B39">
        <v>8</v>
      </c>
      <c r="C39">
        <v>3</v>
      </c>
      <c r="D39">
        <v>2</v>
      </c>
      <c r="E39">
        <v>0</v>
      </c>
      <c r="F39" s="7" t="s">
        <v>56</v>
      </c>
      <c r="G39">
        <v>1723</v>
      </c>
      <c r="H39">
        <v>14705887</v>
      </c>
      <c r="I39">
        <v>1000000</v>
      </c>
      <c r="J39">
        <v>0.94382023811340332</v>
      </c>
      <c r="K39">
        <v>1</v>
      </c>
      <c r="L39">
        <v>0.94736844301223755</v>
      </c>
      <c r="M39">
        <v>0.94736842105263153</v>
      </c>
      <c r="N39">
        <v>1</v>
      </c>
      <c r="O39">
        <v>0.9550561797752809</v>
      </c>
      <c r="P39">
        <v>279</v>
      </c>
      <c r="Q39">
        <v>2770892</v>
      </c>
      <c r="R39">
        <v>1615</v>
      </c>
      <c r="S39">
        <v>2</v>
      </c>
      <c r="T39">
        <v>26</v>
      </c>
      <c r="U39">
        <v>0.97368421052631582</v>
      </c>
      <c r="V39">
        <v>1</v>
      </c>
      <c r="W39">
        <v>0.9550561797752809</v>
      </c>
      <c r="X39">
        <v>316</v>
      </c>
      <c r="Y39">
        <v>3040608</v>
      </c>
      <c r="Z39">
        <v>1731</v>
      </c>
      <c r="AA39">
        <v>2</v>
      </c>
      <c r="AB39">
        <v>27</v>
      </c>
    </row>
    <row r="40" spans="1:28" x14ac:dyDescent="0.25">
      <c r="A40" s="7" t="s">
        <v>44</v>
      </c>
      <c r="B40">
        <v>8</v>
      </c>
      <c r="C40">
        <v>3</v>
      </c>
      <c r="D40">
        <v>2</v>
      </c>
      <c r="E40">
        <v>0</v>
      </c>
      <c r="F40" s="7" t="s">
        <v>56</v>
      </c>
      <c r="G40">
        <v>1723</v>
      </c>
      <c r="H40">
        <v>21738807</v>
      </c>
      <c r="I40">
        <v>1000000</v>
      </c>
      <c r="J40">
        <v>0.95505619049072266</v>
      </c>
      <c r="K40">
        <v>1</v>
      </c>
      <c r="L40">
        <v>0.94736844301223755</v>
      </c>
      <c r="M40">
        <v>0.97368421052631582</v>
      </c>
      <c r="N40">
        <v>1</v>
      </c>
      <c r="O40">
        <v>0.9550561797752809</v>
      </c>
      <c r="P40">
        <v>330</v>
      </c>
      <c r="Q40">
        <v>3749287</v>
      </c>
      <c r="R40">
        <v>1615</v>
      </c>
      <c r="S40">
        <v>2</v>
      </c>
      <c r="T40">
        <v>26</v>
      </c>
      <c r="U40">
        <v>0.92105263157894735</v>
      </c>
      <c r="V40">
        <v>1</v>
      </c>
      <c r="W40">
        <v>0.898876404494382</v>
      </c>
      <c r="X40">
        <v>224</v>
      </c>
      <c r="Y40">
        <v>2068790</v>
      </c>
      <c r="Z40">
        <v>1731</v>
      </c>
      <c r="AA40">
        <v>2</v>
      </c>
      <c r="AB40">
        <v>27</v>
      </c>
    </row>
    <row r="41" spans="1:28" x14ac:dyDescent="0.25">
      <c r="A41" s="7" t="s">
        <v>44</v>
      </c>
      <c r="B41">
        <v>8</v>
      </c>
      <c r="C41">
        <v>3</v>
      </c>
      <c r="D41">
        <v>2</v>
      </c>
      <c r="E41">
        <v>0</v>
      </c>
      <c r="F41" s="7" t="s">
        <v>56</v>
      </c>
      <c r="G41">
        <v>1723</v>
      </c>
      <c r="H41">
        <v>10139194</v>
      </c>
      <c r="I41">
        <v>1000000</v>
      </c>
      <c r="J41">
        <v>0.94382023811340332</v>
      </c>
      <c r="K41">
        <v>1</v>
      </c>
      <c r="L41">
        <v>0.92105263471603394</v>
      </c>
      <c r="M41">
        <v>0.92105263157894735</v>
      </c>
      <c r="N41">
        <v>1</v>
      </c>
      <c r="O41">
        <v>0.88764044943820219</v>
      </c>
      <c r="P41">
        <v>281</v>
      </c>
      <c r="Q41">
        <v>3301129</v>
      </c>
      <c r="R41">
        <v>1615</v>
      </c>
      <c r="S41">
        <v>2</v>
      </c>
      <c r="T41">
        <v>26</v>
      </c>
      <c r="U41">
        <v>0.94736842105263153</v>
      </c>
      <c r="V41">
        <v>1</v>
      </c>
      <c r="W41">
        <v>0.9438202247191011</v>
      </c>
      <c r="X41">
        <v>280</v>
      </c>
      <c r="Y41">
        <v>3045496</v>
      </c>
      <c r="Z41">
        <v>1731</v>
      </c>
      <c r="AA41">
        <v>2</v>
      </c>
      <c r="AB41">
        <v>27</v>
      </c>
    </row>
    <row r="42" spans="1:28" x14ac:dyDescent="0.25">
      <c r="A42" s="7" t="s">
        <v>44</v>
      </c>
      <c r="B42">
        <v>8</v>
      </c>
      <c r="C42">
        <v>3</v>
      </c>
      <c r="D42">
        <v>2</v>
      </c>
      <c r="E42">
        <v>0</v>
      </c>
      <c r="F42" s="7" t="s">
        <v>45</v>
      </c>
      <c r="G42">
        <v>1213</v>
      </c>
      <c r="H42">
        <v>64068628</v>
      </c>
      <c r="I42">
        <v>1000000</v>
      </c>
      <c r="J42">
        <v>0.93258428573608398</v>
      </c>
      <c r="K42">
        <v>1</v>
      </c>
      <c r="L42">
        <v>0.94736844301223755</v>
      </c>
      <c r="M42">
        <v>0.94736842105263153</v>
      </c>
      <c r="N42">
        <v>1</v>
      </c>
      <c r="O42">
        <v>0.93258426966292129</v>
      </c>
      <c r="P42">
        <v>279</v>
      </c>
      <c r="Q42">
        <v>3415317</v>
      </c>
      <c r="R42">
        <v>1191</v>
      </c>
      <c r="S42">
        <v>2</v>
      </c>
      <c r="T42">
        <v>22</v>
      </c>
      <c r="U42">
        <v>0.97368421052631582</v>
      </c>
      <c r="V42">
        <v>1</v>
      </c>
      <c r="W42">
        <v>0.9438202247191011</v>
      </c>
      <c r="X42">
        <v>309</v>
      </c>
      <c r="Y42">
        <v>2939529</v>
      </c>
      <c r="Z42">
        <v>1291</v>
      </c>
      <c r="AA42">
        <v>2</v>
      </c>
      <c r="AB42">
        <v>23</v>
      </c>
    </row>
    <row r="43" spans="1:28" x14ac:dyDescent="0.25">
      <c r="A43" s="7" t="s">
        <v>44</v>
      </c>
      <c r="B43">
        <v>8</v>
      </c>
      <c r="C43">
        <v>3</v>
      </c>
      <c r="D43">
        <v>2</v>
      </c>
      <c r="E43">
        <v>0</v>
      </c>
      <c r="F43" s="7" t="s">
        <v>45</v>
      </c>
      <c r="G43">
        <v>1213</v>
      </c>
      <c r="H43">
        <v>22562764</v>
      </c>
      <c r="I43">
        <v>1000000</v>
      </c>
      <c r="J43">
        <v>0.96629214286804199</v>
      </c>
      <c r="K43">
        <v>1</v>
      </c>
      <c r="L43">
        <v>0.97368419170379639</v>
      </c>
      <c r="M43">
        <v>0.94736842105263153</v>
      </c>
      <c r="N43">
        <v>1</v>
      </c>
      <c r="O43">
        <v>0.9213483146067416</v>
      </c>
      <c r="P43">
        <v>269</v>
      </c>
      <c r="Q43">
        <v>2669589</v>
      </c>
      <c r="R43">
        <v>1191</v>
      </c>
      <c r="S43">
        <v>2</v>
      </c>
      <c r="T43">
        <v>22</v>
      </c>
      <c r="U43">
        <v>0.97368421052631582</v>
      </c>
      <c r="V43">
        <v>1</v>
      </c>
      <c r="W43">
        <v>0.9550561797752809</v>
      </c>
      <c r="X43">
        <v>273</v>
      </c>
      <c r="Y43">
        <v>3169253</v>
      </c>
      <c r="Z43">
        <v>1291</v>
      </c>
      <c r="AA43">
        <v>2</v>
      </c>
      <c r="AB43">
        <v>23</v>
      </c>
    </row>
    <row r="44" spans="1:28" x14ac:dyDescent="0.25">
      <c r="A44" s="7" t="s">
        <v>44</v>
      </c>
      <c r="B44">
        <v>8</v>
      </c>
      <c r="C44">
        <v>3</v>
      </c>
      <c r="D44">
        <v>2</v>
      </c>
      <c r="E44">
        <v>0</v>
      </c>
      <c r="F44" s="7" t="s">
        <v>45</v>
      </c>
      <c r="G44">
        <v>1213</v>
      </c>
      <c r="H44">
        <v>25823203</v>
      </c>
      <c r="I44">
        <v>1000000</v>
      </c>
      <c r="J44">
        <v>0.97752809524536133</v>
      </c>
      <c r="K44">
        <v>1</v>
      </c>
      <c r="L44">
        <v>0.97368419170379639</v>
      </c>
      <c r="M44">
        <v>0.94736842105263153</v>
      </c>
      <c r="N44">
        <v>1</v>
      </c>
      <c r="O44">
        <v>0.9213483146067416</v>
      </c>
      <c r="P44">
        <v>285</v>
      </c>
      <c r="Q44">
        <v>2723977</v>
      </c>
      <c r="R44">
        <v>1191</v>
      </c>
      <c r="S44">
        <v>2</v>
      </c>
      <c r="T44">
        <v>22</v>
      </c>
      <c r="U44">
        <v>0.94736842105263153</v>
      </c>
      <c r="V44">
        <v>1</v>
      </c>
      <c r="W44">
        <v>0.898876404494382</v>
      </c>
      <c r="X44">
        <v>290</v>
      </c>
      <c r="Y44">
        <v>3041903</v>
      </c>
      <c r="Z44">
        <v>1291</v>
      </c>
      <c r="AA44">
        <v>2</v>
      </c>
      <c r="AB44">
        <v>23</v>
      </c>
    </row>
    <row r="45" spans="1:28" x14ac:dyDescent="0.25">
      <c r="A45" s="7" t="s">
        <v>44</v>
      </c>
      <c r="B45">
        <v>8</v>
      </c>
      <c r="C45">
        <v>3</v>
      </c>
      <c r="D45">
        <v>2</v>
      </c>
      <c r="E45">
        <v>0</v>
      </c>
      <c r="F45" s="7" t="s">
        <v>45</v>
      </c>
      <c r="G45">
        <v>1213</v>
      </c>
      <c r="H45">
        <v>33548359</v>
      </c>
      <c r="I45">
        <v>1000000</v>
      </c>
      <c r="J45">
        <v>0.96629214286804199</v>
      </c>
      <c r="K45">
        <v>1</v>
      </c>
      <c r="L45">
        <v>0.97368419170379639</v>
      </c>
      <c r="M45">
        <v>0.94736842105263153</v>
      </c>
      <c r="N45">
        <v>1</v>
      </c>
      <c r="O45">
        <v>0.9213483146067416</v>
      </c>
      <c r="P45">
        <v>258</v>
      </c>
      <c r="Q45">
        <v>3091146</v>
      </c>
      <c r="R45">
        <v>1191</v>
      </c>
      <c r="S45">
        <v>2</v>
      </c>
      <c r="T45">
        <v>22</v>
      </c>
      <c r="U45">
        <v>0.97368421052631582</v>
      </c>
      <c r="V45">
        <v>1</v>
      </c>
      <c r="W45">
        <v>0.9550561797752809</v>
      </c>
      <c r="X45">
        <v>287</v>
      </c>
      <c r="Y45">
        <v>3367418</v>
      </c>
      <c r="Z45">
        <v>1291</v>
      </c>
      <c r="AA45">
        <v>2</v>
      </c>
      <c r="AB45">
        <v>23</v>
      </c>
    </row>
    <row r="46" spans="1:28" x14ac:dyDescent="0.25">
      <c r="A46" s="7" t="s">
        <v>44</v>
      </c>
      <c r="B46">
        <v>8</v>
      </c>
      <c r="C46">
        <v>3</v>
      </c>
      <c r="D46">
        <v>2</v>
      </c>
      <c r="E46">
        <v>0</v>
      </c>
      <c r="F46" s="7" t="s">
        <v>45</v>
      </c>
      <c r="G46">
        <v>1213</v>
      </c>
      <c r="H46">
        <v>6219330</v>
      </c>
      <c r="I46">
        <v>1000000</v>
      </c>
      <c r="J46">
        <v>0.96629214286804199</v>
      </c>
      <c r="K46">
        <v>1</v>
      </c>
      <c r="L46">
        <v>0.97368419170379639</v>
      </c>
      <c r="M46">
        <v>0.94736842105263153</v>
      </c>
      <c r="N46">
        <v>1</v>
      </c>
      <c r="O46">
        <v>0.898876404494382</v>
      </c>
      <c r="P46">
        <v>298</v>
      </c>
      <c r="Q46">
        <v>2950900</v>
      </c>
      <c r="R46">
        <v>1191</v>
      </c>
      <c r="S46">
        <v>2</v>
      </c>
      <c r="T46">
        <v>22</v>
      </c>
      <c r="U46">
        <v>0.97368421052631582</v>
      </c>
      <c r="V46">
        <v>1</v>
      </c>
      <c r="W46">
        <v>0.9550561797752809</v>
      </c>
      <c r="X46">
        <v>421</v>
      </c>
      <c r="Y46">
        <v>5257789</v>
      </c>
      <c r="Z46">
        <v>1291</v>
      </c>
      <c r="AA46">
        <v>2</v>
      </c>
      <c r="AB46">
        <v>23</v>
      </c>
    </row>
    <row r="47" spans="1:28" x14ac:dyDescent="0.25">
      <c r="A47" s="7" t="s">
        <v>44</v>
      </c>
      <c r="B47">
        <v>8</v>
      </c>
      <c r="C47">
        <v>3</v>
      </c>
      <c r="D47">
        <v>2</v>
      </c>
      <c r="E47">
        <v>0</v>
      </c>
      <c r="F47" s="7" t="s">
        <v>46</v>
      </c>
      <c r="G47">
        <v>2063</v>
      </c>
      <c r="H47">
        <v>25965442</v>
      </c>
      <c r="I47">
        <v>1000000</v>
      </c>
      <c r="J47">
        <v>0.97752809524536133</v>
      </c>
      <c r="K47">
        <v>1</v>
      </c>
      <c r="L47">
        <v>0.97368419170379639</v>
      </c>
      <c r="M47">
        <v>0.94736842105263153</v>
      </c>
      <c r="N47">
        <v>1</v>
      </c>
      <c r="O47">
        <v>0.898876404494382</v>
      </c>
      <c r="P47">
        <v>299</v>
      </c>
      <c r="Q47">
        <v>2871952</v>
      </c>
      <c r="R47">
        <v>1975</v>
      </c>
      <c r="S47">
        <v>2</v>
      </c>
      <c r="T47">
        <v>29</v>
      </c>
      <c r="U47">
        <v>0.92105263157894735</v>
      </c>
      <c r="V47">
        <v>1</v>
      </c>
      <c r="W47">
        <v>0.88764044943820219</v>
      </c>
      <c r="X47">
        <v>258</v>
      </c>
      <c r="Y47">
        <v>2829244</v>
      </c>
      <c r="Z47">
        <v>2103</v>
      </c>
      <c r="AA47">
        <v>2</v>
      </c>
      <c r="AB47">
        <v>30</v>
      </c>
    </row>
    <row r="48" spans="1:28" x14ac:dyDescent="0.25">
      <c r="A48" s="7" t="s">
        <v>44</v>
      </c>
      <c r="B48">
        <v>8</v>
      </c>
      <c r="C48">
        <v>3</v>
      </c>
      <c r="D48">
        <v>2</v>
      </c>
      <c r="E48">
        <v>0</v>
      </c>
      <c r="F48" s="7" t="s">
        <v>46</v>
      </c>
      <c r="G48">
        <v>2063</v>
      </c>
      <c r="H48">
        <v>17022034</v>
      </c>
      <c r="I48">
        <v>1000000</v>
      </c>
      <c r="J48">
        <v>0.92134833335876465</v>
      </c>
      <c r="K48">
        <v>1</v>
      </c>
      <c r="L48">
        <v>0.94736844301223755</v>
      </c>
      <c r="M48">
        <v>0.94736842105263153</v>
      </c>
      <c r="N48">
        <v>1</v>
      </c>
      <c r="O48">
        <v>0.9213483146067416</v>
      </c>
      <c r="P48">
        <v>206</v>
      </c>
      <c r="Q48">
        <v>2425118</v>
      </c>
      <c r="R48">
        <v>1975</v>
      </c>
      <c r="S48">
        <v>2</v>
      </c>
      <c r="T48">
        <v>29</v>
      </c>
      <c r="U48">
        <v>0.94736842105263153</v>
      </c>
      <c r="V48">
        <v>1</v>
      </c>
      <c r="W48">
        <v>0.9438202247191011</v>
      </c>
      <c r="X48">
        <v>256</v>
      </c>
      <c r="Y48">
        <v>2974238</v>
      </c>
      <c r="Z48">
        <v>2103</v>
      </c>
      <c r="AA48">
        <v>2</v>
      </c>
      <c r="AB48">
        <v>30</v>
      </c>
    </row>
    <row r="49" spans="1:28" x14ac:dyDescent="0.25">
      <c r="A49" s="7" t="s">
        <v>44</v>
      </c>
      <c r="B49">
        <v>8</v>
      </c>
      <c r="C49">
        <v>3</v>
      </c>
      <c r="D49">
        <v>2</v>
      </c>
      <c r="E49">
        <v>0</v>
      </c>
      <c r="F49" s="7" t="s">
        <v>46</v>
      </c>
      <c r="G49">
        <v>2063</v>
      </c>
      <c r="H49">
        <v>14030752</v>
      </c>
      <c r="I49">
        <v>1000000</v>
      </c>
      <c r="J49">
        <v>0.96629214286804199</v>
      </c>
      <c r="K49">
        <v>1</v>
      </c>
      <c r="L49">
        <v>0.94736844301223755</v>
      </c>
      <c r="M49">
        <v>0.97368421052631582</v>
      </c>
      <c r="N49">
        <v>1</v>
      </c>
      <c r="O49">
        <v>0.9550561797752809</v>
      </c>
      <c r="P49">
        <v>196</v>
      </c>
      <c r="Q49">
        <v>2547850</v>
      </c>
      <c r="R49">
        <v>1975</v>
      </c>
      <c r="S49">
        <v>2</v>
      </c>
      <c r="T49">
        <v>29</v>
      </c>
      <c r="U49">
        <v>0.94736842105263153</v>
      </c>
      <c r="V49">
        <v>1</v>
      </c>
      <c r="W49">
        <v>0.93258426966292129</v>
      </c>
      <c r="X49">
        <v>279</v>
      </c>
      <c r="Y49">
        <v>2819663</v>
      </c>
      <c r="Z49">
        <v>2103</v>
      </c>
      <c r="AA49">
        <v>2</v>
      </c>
      <c r="AB49">
        <v>30</v>
      </c>
    </row>
    <row r="50" spans="1:28" x14ac:dyDescent="0.25">
      <c r="A50" s="7" t="s">
        <v>44</v>
      </c>
      <c r="B50">
        <v>8</v>
      </c>
      <c r="C50">
        <v>3</v>
      </c>
      <c r="D50">
        <v>2</v>
      </c>
      <c r="E50">
        <v>0</v>
      </c>
      <c r="F50" s="7" t="s">
        <v>46</v>
      </c>
      <c r="G50">
        <v>2063</v>
      </c>
      <c r="H50">
        <v>17015469</v>
      </c>
      <c r="I50">
        <v>1000000</v>
      </c>
      <c r="J50">
        <v>0.96629214286804199</v>
      </c>
      <c r="K50">
        <v>1</v>
      </c>
      <c r="L50">
        <v>0.94736844301223755</v>
      </c>
      <c r="M50">
        <v>0.94736842105263153</v>
      </c>
      <c r="N50">
        <v>1</v>
      </c>
      <c r="O50">
        <v>0.9438202247191011</v>
      </c>
      <c r="P50">
        <v>260</v>
      </c>
      <c r="Q50">
        <v>2618294</v>
      </c>
      <c r="R50">
        <v>1975</v>
      </c>
      <c r="S50">
        <v>2</v>
      </c>
      <c r="T50">
        <v>29</v>
      </c>
      <c r="U50">
        <v>0.94736842105263153</v>
      </c>
      <c r="V50">
        <v>1</v>
      </c>
      <c r="W50">
        <v>0.9550561797752809</v>
      </c>
      <c r="X50">
        <v>231</v>
      </c>
      <c r="Y50">
        <v>2447385</v>
      </c>
      <c r="Z50">
        <v>2103</v>
      </c>
      <c r="AA50">
        <v>2</v>
      </c>
      <c r="AB50">
        <v>30</v>
      </c>
    </row>
    <row r="51" spans="1:28" x14ac:dyDescent="0.25">
      <c r="A51" s="7" t="s">
        <v>44</v>
      </c>
      <c r="B51">
        <v>8</v>
      </c>
      <c r="C51">
        <v>3</v>
      </c>
      <c r="D51">
        <v>2</v>
      </c>
      <c r="E51">
        <v>0</v>
      </c>
      <c r="F51" s="7" t="s">
        <v>46</v>
      </c>
      <c r="G51">
        <v>2063</v>
      </c>
      <c r="H51">
        <v>13313083</v>
      </c>
      <c r="I51">
        <v>1000000</v>
      </c>
      <c r="J51">
        <v>0.95505619049072266</v>
      </c>
      <c r="K51">
        <v>1</v>
      </c>
      <c r="L51">
        <v>0.94736844301223755</v>
      </c>
      <c r="M51">
        <v>0.97368421052631582</v>
      </c>
      <c r="N51">
        <v>1</v>
      </c>
      <c r="O51">
        <v>0.9438202247191011</v>
      </c>
      <c r="P51">
        <v>343</v>
      </c>
      <c r="Q51">
        <v>3360742</v>
      </c>
      <c r="R51">
        <v>1975</v>
      </c>
      <c r="S51">
        <v>2</v>
      </c>
      <c r="T51">
        <v>29</v>
      </c>
      <c r="U51">
        <v>0.97368421052631582</v>
      </c>
      <c r="V51">
        <v>1</v>
      </c>
      <c r="W51">
        <v>0.9438202247191011</v>
      </c>
      <c r="X51">
        <v>314</v>
      </c>
      <c r="Y51">
        <v>3313027</v>
      </c>
      <c r="Z51">
        <v>2103</v>
      </c>
      <c r="AA51">
        <v>2</v>
      </c>
      <c r="AB51">
        <v>30</v>
      </c>
    </row>
    <row r="52" spans="1:28" x14ac:dyDescent="0.25">
      <c r="A52" s="7" t="s">
        <v>44</v>
      </c>
      <c r="B52">
        <v>8</v>
      </c>
      <c r="C52">
        <v>3</v>
      </c>
      <c r="D52">
        <v>2</v>
      </c>
      <c r="E52">
        <v>0</v>
      </c>
      <c r="F52" s="7" t="s">
        <v>47</v>
      </c>
      <c r="G52">
        <v>1423</v>
      </c>
      <c r="H52">
        <v>18786801</v>
      </c>
      <c r="I52">
        <v>1000000</v>
      </c>
      <c r="J52">
        <v>0.88764047622680664</v>
      </c>
      <c r="K52">
        <v>1</v>
      </c>
      <c r="L52">
        <v>0.92105263471603394</v>
      </c>
      <c r="M52">
        <v>0.94736842105263153</v>
      </c>
      <c r="N52">
        <v>1</v>
      </c>
      <c r="O52">
        <v>0.9438202247191011</v>
      </c>
      <c r="P52">
        <v>285</v>
      </c>
      <c r="Q52">
        <v>3648326</v>
      </c>
      <c r="R52">
        <v>1395</v>
      </c>
      <c r="S52">
        <v>2</v>
      </c>
      <c r="T52">
        <v>24</v>
      </c>
      <c r="U52">
        <v>0.97368421052631582</v>
      </c>
      <c r="V52">
        <v>1</v>
      </c>
      <c r="W52">
        <v>0.9550561797752809</v>
      </c>
      <c r="X52">
        <v>300</v>
      </c>
      <c r="Y52">
        <v>3014551</v>
      </c>
      <c r="Z52">
        <v>1503</v>
      </c>
      <c r="AA52">
        <v>2</v>
      </c>
      <c r="AB52">
        <v>25</v>
      </c>
    </row>
    <row r="53" spans="1:28" x14ac:dyDescent="0.25">
      <c r="A53" s="7" t="s">
        <v>44</v>
      </c>
      <c r="B53">
        <v>8</v>
      </c>
      <c r="C53">
        <v>3</v>
      </c>
      <c r="D53">
        <v>2</v>
      </c>
      <c r="E53">
        <v>0</v>
      </c>
      <c r="F53" s="7" t="s">
        <v>47</v>
      </c>
      <c r="G53">
        <v>1423</v>
      </c>
      <c r="H53">
        <v>23977678</v>
      </c>
      <c r="I53">
        <v>1000000</v>
      </c>
      <c r="J53">
        <v>0.95505619049072266</v>
      </c>
      <c r="K53">
        <v>1</v>
      </c>
      <c r="L53">
        <v>0.94736844301223755</v>
      </c>
      <c r="M53">
        <v>0.97368421052631582</v>
      </c>
      <c r="N53">
        <v>1</v>
      </c>
      <c r="O53">
        <v>0.9438202247191011</v>
      </c>
      <c r="P53">
        <v>247</v>
      </c>
      <c r="Q53">
        <v>2967653</v>
      </c>
      <c r="R53">
        <v>1395</v>
      </c>
      <c r="S53">
        <v>2</v>
      </c>
      <c r="T53">
        <v>24</v>
      </c>
      <c r="U53">
        <v>0.94736842105263153</v>
      </c>
      <c r="V53">
        <v>1</v>
      </c>
      <c r="W53">
        <v>0.93258426966292129</v>
      </c>
      <c r="X53">
        <v>245</v>
      </c>
      <c r="Y53">
        <v>3043863</v>
      </c>
      <c r="Z53">
        <v>1503</v>
      </c>
      <c r="AA53">
        <v>2</v>
      </c>
      <c r="AB53">
        <v>25</v>
      </c>
    </row>
    <row r="54" spans="1:28" x14ac:dyDescent="0.25">
      <c r="A54" s="7" t="s">
        <v>44</v>
      </c>
      <c r="B54">
        <v>8</v>
      </c>
      <c r="C54">
        <v>3</v>
      </c>
      <c r="D54">
        <v>2</v>
      </c>
      <c r="E54">
        <v>0</v>
      </c>
      <c r="F54" s="7" t="s">
        <v>47</v>
      </c>
      <c r="G54">
        <v>1423</v>
      </c>
      <c r="H54">
        <v>16270010</v>
      </c>
      <c r="I54">
        <v>1000000</v>
      </c>
      <c r="J54">
        <v>0.92134833335876465</v>
      </c>
      <c r="K54">
        <v>1</v>
      </c>
      <c r="L54">
        <v>0.94736844301223755</v>
      </c>
      <c r="M54">
        <v>0.94736842105263153</v>
      </c>
      <c r="N54">
        <v>1</v>
      </c>
      <c r="O54">
        <v>0.9213483146067416</v>
      </c>
      <c r="P54">
        <v>266</v>
      </c>
      <c r="Q54">
        <v>2926582</v>
      </c>
      <c r="R54">
        <v>1395</v>
      </c>
      <c r="S54">
        <v>2</v>
      </c>
      <c r="T54">
        <v>24</v>
      </c>
      <c r="U54">
        <v>0.97368421052631582</v>
      </c>
      <c r="V54">
        <v>1</v>
      </c>
      <c r="W54">
        <v>0.9550561797752809</v>
      </c>
      <c r="X54">
        <v>382</v>
      </c>
      <c r="Y54">
        <v>3636337</v>
      </c>
      <c r="Z54">
        <v>1503</v>
      </c>
      <c r="AA54">
        <v>2</v>
      </c>
      <c r="AB54">
        <v>25</v>
      </c>
    </row>
    <row r="55" spans="1:28" x14ac:dyDescent="0.25">
      <c r="A55" s="7" t="s">
        <v>44</v>
      </c>
      <c r="B55">
        <v>8</v>
      </c>
      <c r="C55">
        <v>3</v>
      </c>
      <c r="D55">
        <v>2</v>
      </c>
      <c r="E55">
        <v>0</v>
      </c>
      <c r="F55" s="7" t="s">
        <v>47</v>
      </c>
      <c r="G55">
        <v>1423</v>
      </c>
      <c r="H55">
        <v>20487588</v>
      </c>
      <c r="I55">
        <v>1000000</v>
      </c>
      <c r="J55">
        <v>0.98876404762268066</v>
      </c>
      <c r="K55">
        <v>1</v>
      </c>
      <c r="L55">
        <v>0.97368419170379639</v>
      </c>
      <c r="M55">
        <v>0.94736842105263153</v>
      </c>
      <c r="N55">
        <v>1</v>
      </c>
      <c r="O55">
        <v>0.9213483146067416</v>
      </c>
      <c r="P55">
        <v>220</v>
      </c>
      <c r="Q55">
        <v>2116845</v>
      </c>
      <c r="R55">
        <v>1395</v>
      </c>
      <c r="S55">
        <v>2</v>
      </c>
      <c r="T55">
        <v>24</v>
      </c>
      <c r="U55">
        <v>0.97368421052631582</v>
      </c>
      <c r="V55">
        <v>1</v>
      </c>
      <c r="W55">
        <v>0.9550561797752809</v>
      </c>
      <c r="X55">
        <v>313</v>
      </c>
      <c r="Y55">
        <v>3588293</v>
      </c>
      <c r="Z55">
        <v>1503</v>
      </c>
      <c r="AA55">
        <v>2</v>
      </c>
      <c r="AB55">
        <v>25</v>
      </c>
    </row>
    <row r="56" spans="1:28" x14ac:dyDescent="0.25">
      <c r="A56" s="7" t="s">
        <v>44</v>
      </c>
      <c r="B56">
        <v>8</v>
      </c>
      <c r="C56">
        <v>3</v>
      </c>
      <c r="D56">
        <v>2</v>
      </c>
      <c r="E56">
        <v>0</v>
      </c>
      <c r="F56" s="7" t="s">
        <v>47</v>
      </c>
      <c r="G56">
        <v>1423</v>
      </c>
      <c r="H56">
        <v>9138330</v>
      </c>
      <c r="I56">
        <v>1000000</v>
      </c>
      <c r="J56">
        <v>0.96629214286804199</v>
      </c>
      <c r="K56">
        <v>1</v>
      </c>
      <c r="L56">
        <v>0.97368419170379639</v>
      </c>
      <c r="M56">
        <v>0.97368421052631582</v>
      </c>
      <c r="N56">
        <v>1</v>
      </c>
      <c r="O56">
        <v>0.9662921348314607</v>
      </c>
      <c r="P56">
        <v>316</v>
      </c>
      <c r="Q56">
        <v>2922082</v>
      </c>
      <c r="R56">
        <v>1395</v>
      </c>
      <c r="S56">
        <v>2</v>
      </c>
      <c r="T56">
        <v>24</v>
      </c>
      <c r="U56">
        <v>0.94736842105263153</v>
      </c>
      <c r="V56">
        <v>1</v>
      </c>
      <c r="W56">
        <v>0.9213483146067416</v>
      </c>
      <c r="X56">
        <v>319</v>
      </c>
      <c r="Y56">
        <v>3213437</v>
      </c>
      <c r="Z56">
        <v>1503</v>
      </c>
      <c r="AA56">
        <v>2</v>
      </c>
      <c r="AB56">
        <v>25</v>
      </c>
    </row>
    <row r="57" spans="1:28" x14ac:dyDescent="0.25">
      <c r="A57" s="7" t="s">
        <v>44</v>
      </c>
      <c r="B57">
        <v>8</v>
      </c>
      <c r="C57">
        <v>3</v>
      </c>
      <c r="D57">
        <v>2</v>
      </c>
      <c r="E57">
        <v>0</v>
      </c>
      <c r="F57" s="7" t="s">
        <v>48</v>
      </c>
      <c r="G57">
        <v>2403</v>
      </c>
      <c r="H57">
        <v>12132703</v>
      </c>
      <c r="I57">
        <v>1000000</v>
      </c>
      <c r="J57">
        <v>0.91011238098144531</v>
      </c>
      <c r="K57">
        <v>1</v>
      </c>
      <c r="L57">
        <v>0.94736844301223755</v>
      </c>
      <c r="M57">
        <v>0.94736842105263153</v>
      </c>
      <c r="N57">
        <v>1</v>
      </c>
      <c r="O57">
        <v>0.9438202247191011</v>
      </c>
      <c r="P57">
        <v>240</v>
      </c>
      <c r="Q57">
        <v>2351456</v>
      </c>
      <c r="R57">
        <v>2371</v>
      </c>
      <c r="S57">
        <v>2</v>
      </c>
      <c r="T57">
        <v>32</v>
      </c>
      <c r="U57">
        <v>0.94736842105263153</v>
      </c>
      <c r="V57">
        <v>1</v>
      </c>
      <c r="W57">
        <v>0.9438202247191011</v>
      </c>
      <c r="X57">
        <v>252</v>
      </c>
      <c r="Y57">
        <v>2774246</v>
      </c>
      <c r="Z57">
        <v>2511</v>
      </c>
      <c r="AA57">
        <v>2</v>
      </c>
      <c r="AB57">
        <v>33</v>
      </c>
    </row>
    <row r="58" spans="1:28" x14ac:dyDescent="0.25">
      <c r="A58" s="7" t="s">
        <v>44</v>
      </c>
      <c r="B58">
        <v>8</v>
      </c>
      <c r="C58">
        <v>3</v>
      </c>
      <c r="D58">
        <v>2</v>
      </c>
      <c r="E58">
        <v>0</v>
      </c>
      <c r="F58" s="7" t="s">
        <v>48</v>
      </c>
      <c r="G58">
        <v>2403</v>
      </c>
      <c r="H58">
        <v>26095769</v>
      </c>
      <c r="I58">
        <v>1000000</v>
      </c>
      <c r="J58">
        <v>0.92134833335876465</v>
      </c>
      <c r="K58">
        <v>1</v>
      </c>
      <c r="L58">
        <v>0.94736844301223755</v>
      </c>
      <c r="M58">
        <v>0.94736842105263153</v>
      </c>
      <c r="N58">
        <v>1</v>
      </c>
      <c r="O58">
        <v>0.9213483146067416</v>
      </c>
      <c r="P58">
        <v>222</v>
      </c>
      <c r="Q58">
        <v>2076946</v>
      </c>
      <c r="R58">
        <v>2371</v>
      </c>
      <c r="S58">
        <v>2</v>
      </c>
      <c r="T58">
        <v>32</v>
      </c>
      <c r="U58">
        <v>0.94736842105263153</v>
      </c>
      <c r="V58">
        <v>1</v>
      </c>
      <c r="W58">
        <v>0.9438202247191011</v>
      </c>
      <c r="X58">
        <v>232</v>
      </c>
      <c r="Y58">
        <v>2055915</v>
      </c>
      <c r="Z58">
        <v>2511</v>
      </c>
      <c r="AA58">
        <v>2</v>
      </c>
      <c r="AB58">
        <v>33</v>
      </c>
    </row>
    <row r="59" spans="1:28" x14ac:dyDescent="0.25">
      <c r="A59" s="7" t="s">
        <v>44</v>
      </c>
      <c r="B59">
        <v>8</v>
      </c>
      <c r="C59">
        <v>3</v>
      </c>
      <c r="D59">
        <v>2</v>
      </c>
      <c r="E59">
        <v>0</v>
      </c>
      <c r="F59" s="7" t="s">
        <v>48</v>
      </c>
      <c r="G59">
        <v>2403</v>
      </c>
      <c r="H59">
        <v>40294648</v>
      </c>
      <c r="I59">
        <v>1000000</v>
      </c>
      <c r="J59">
        <v>0.97752809524536133</v>
      </c>
      <c r="K59">
        <v>1</v>
      </c>
      <c r="L59">
        <v>0.97368419170379639</v>
      </c>
      <c r="M59">
        <v>0.97368421052631582</v>
      </c>
      <c r="N59">
        <v>1</v>
      </c>
      <c r="O59">
        <v>0.9438202247191011</v>
      </c>
      <c r="P59">
        <v>309</v>
      </c>
      <c r="Q59">
        <v>3569637</v>
      </c>
      <c r="R59">
        <v>2371</v>
      </c>
      <c r="S59">
        <v>2</v>
      </c>
      <c r="T59">
        <v>32</v>
      </c>
      <c r="U59">
        <v>0.94736842105263153</v>
      </c>
      <c r="V59">
        <v>1</v>
      </c>
      <c r="W59">
        <v>0.9438202247191011</v>
      </c>
      <c r="X59">
        <v>217</v>
      </c>
      <c r="Y59">
        <v>2079312</v>
      </c>
      <c r="Z59">
        <v>2511</v>
      </c>
      <c r="AA59">
        <v>2</v>
      </c>
      <c r="AB59">
        <v>33</v>
      </c>
    </row>
    <row r="60" spans="1:28" x14ac:dyDescent="0.25">
      <c r="A60" s="7" t="s">
        <v>44</v>
      </c>
      <c r="B60">
        <v>8</v>
      </c>
      <c r="C60">
        <v>3</v>
      </c>
      <c r="D60">
        <v>2</v>
      </c>
      <c r="E60">
        <v>0</v>
      </c>
      <c r="F60" s="7" t="s">
        <v>48</v>
      </c>
      <c r="G60">
        <v>2403</v>
      </c>
      <c r="H60">
        <v>8427572</v>
      </c>
      <c r="I60">
        <v>1000000</v>
      </c>
      <c r="J60">
        <v>0.94382023811340332</v>
      </c>
      <c r="K60">
        <v>1</v>
      </c>
      <c r="L60">
        <v>0.94736844301223755</v>
      </c>
      <c r="M60">
        <v>0.97368421052631582</v>
      </c>
      <c r="N60">
        <v>1</v>
      </c>
      <c r="O60">
        <v>0.9550561797752809</v>
      </c>
      <c r="P60">
        <v>263</v>
      </c>
      <c r="Q60">
        <v>3185229</v>
      </c>
      <c r="R60">
        <v>2371</v>
      </c>
      <c r="S60">
        <v>2</v>
      </c>
      <c r="T60">
        <v>32</v>
      </c>
      <c r="U60">
        <v>0.97368421052631582</v>
      </c>
      <c r="V60">
        <v>1</v>
      </c>
      <c r="W60">
        <v>0.9550561797752809</v>
      </c>
      <c r="X60">
        <v>236</v>
      </c>
      <c r="Y60">
        <v>2811533</v>
      </c>
      <c r="Z60">
        <v>2511</v>
      </c>
      <c r="AA60">
        <v>2</v>
      </c>
      <c r="AB60">
        <v>33</v>
      </c>
    </row>
    <row r="61" spans="1:28" x14ac:dyDescent="0.25">
      <c r="A61" s="7" t="s">
        <v>44</v>
      </c>
      <c r="B61">
        <v>8</v>
      </c>
      <c r="C61">
        <v>3</v>
      </c>
      <c r="D61">
        <v>2</v>
      </c>
      <c r="E61">
        <v>0</v>
      </c>
      <c r="F61" s="7" t="s">
        <v>48</v>
      </c>
      <c r="G61">
        <v>2403</v>
      </c>
      <c r="H61">
        <v>12003244</v>
      </c>
      <c r="I61">
        <v>1000000</v>
      </c>
      <c r="J61">
        <v>0.96629214286804199</v>
      </c>
      <c r="K61">
        <v>1</v>
      </c>
      <c r="L61">
        <v>0.94736844301223755</v>
      </c>
      <c r="M61">
        <v>0.94736842105263153</v>
      </c>
      <c r="N61">
        <v>1</v>
      </c>
      <c r="O61">
        <v>0.9438202247191011</v>
      </c>
      <c r="P61">
        <v>243</v>
      </c>
      <c r="Q61">
        <v>2932010</v>
      </c>
      <c r="R61">
        <v>2371</v>
      </c>
      <c r="S61">
        <v>2</v>
      </c>
      <c r="T61">
        <v>32</v>
      </c>
      <c r="U61">
        <v>0.97368421052631582</v>
      </c>
      <c r="V61">
        <v>1</v>
      </c>
      <c r="W61">
        <v>0.9550561797752809</v>
      </c>
      <c r="X61">
        <v>255</v>
      </c>
      <c r="Y61">
        <v>2868010</v>
      </c>
      <c r="Z61">
        <v>2511</v>
      </c>
      <c r="AA61">
        <v>2</v>
      </c>
      <c r="AB61">
        <v>33</v>
      </c>
    </row>
    <row r="62" spans="1:28" x14ac:dyDescent="0.25">
      <c r="A62" s="7" t="s">
        <v>44</v>
      </c>
      <c r="B62">
        <v>10</v>
      </c>
      <c r="C62">
        <v>3</v>
      </c>
      <c r="D62">
        <v>3</v>
      </c>
      <c r="E62">
        <v>0</v>
      </c>
      <c r="F62" s="7" t="s">
        <v>49</v>
      </c>
      <c r="G62">
        <v>342</v>
      </c>
      <c r="H62">
        <v>3126409</v>
      </c>
      <c r="I62">
        <v>1000000</v>
      </c>
      <c r="J62">
        <v>0.97752809524536133</v>
      </c>
      <c r="K62">
        <v>1</v>
      </c>
      <c r="L62">
        <v>0.97368419170379639</v>
      </c>
      <c r="M62">
        <v>0.92105263157894735</v>
      </c>
      <c r="N62">
        <v>1</v>
      </c>
      <c r="O62">
        <v>0.8764044943820225</v>
      </c>
      <c r="P62">
        <v>398</v>
      </c>
      <c r="Q62">
        <v>3640524</v>
      </c>
      <c r="R62">
        <v>303</v>
      </c>
      <c r="S62">
        <v>2</v>
      </c>
      <c r="T62">
        <v>10</v>
      </c>
      <c r="U62">
        <v>0.97368421052631582</v>
      </c>
      <c r="V62">
        <v>1</v>
      </c>
      <c r="W62">
        <v>0.9662921348314607</v>
      </c>
      <c r="X62">
        <v>685</v>
      </c>
      <c r="Y62">
        <v>7259229</v>
      </c>
      <c r="Z62">
        <v>355</v>
      </c>
      <c r="AA62">
        <v>2</v>
      </c>
      <c r="AB62">
        <v>11</v>
      </c>
    </row>
    <row r="63" spans="1:28" x14ac:dyDescent="0.25">
      <c r="A63" s="7" t="s">
        <v>44</v>
      </c>
      <c r="B63">
        <v>10</v>
      </c>
      <c r="C63">
        <v>3</v>
      </c>
      <c r="D63">
        <v>3</v>
      </c>
      <c r="E63">
        <v>0</v>
      </c>
      <c r="F63" s="7" t="s">
        <v>49</v>
      </c>
      <c r="G63">
        <v>342</v>
      </c>
      <c r="H63">
        <v>3445885</v>
      </c>
      <c r="I63">
        <v>1000000</v>
      </c>
      <c r="J63">
        <v>0.97752809524536133</v>
      </c>
      <c r="K63">
        <v>1</v>
      </c>
      <c r="L63">
        <v>0.97368419170379639</v>
      </c>
      <c r="M63">
        <v>0.92105263157894735</v>
      </c>
      <c r="N63">
        <v>1</v>
      </c>
      <c r="O63">
        <v>0.8764044943820225</v>
      </c>
      <c r="P63">
        <v>398</v>
      </c>
      <c r="Q63">
        <v>3640547</v>
      </c>
      <c r="R63">
        <v>303</v>
      </c>
      <c r="S63">
        <v>2</v>
      </c>
      <c r="T63">
        <v>10</v>
      </c>
      <c r="U63">
        <v>0.97368421052631582</v>
      </c>
      <c r="V63">
        <v>1</v>
      </c>
      <c r="W63">
        <v>0.9662921348314607</v>
      </c>
      <c r="X63">
        <v>685</v>
      </c>
      <c r="Y63">
        <v>6386336</v>
      </c>
      <c r="Z63">
        <v>355</v>
      </c>
      <c r="AA63">
        <v>2</v>
      </c>
      <c r="AB63">
        <v>11</v>
      </c>
    </row>
    <row r="64" spans="1:28" x14ac:dyDescent="0.25">
      <c r="A64" s="7" t="s">
        <v>44</v>
      </c>
      <c r="B64">
        <v>10</v>
      </c>
      <c r="C64">
        <v>3</v>
      </c>
      <c r="D64">
        <v>3</v>
      </c>
      <c r="E64">
        <v>0</v>
      </c>
      <c r="F64" s="7" t="s">
        <v>49</v>
      </c>
      <c r="G64">
        <v>342</v>
      </c>
      <c r="H64">
        <v>8964632</v>
      </c>
      <c r="I64">
        <v>1000000</v>
      </c>
      <c r="J64">
        <v>0.86516851186752319</v>
      </c>
      <c r="K64">
        <v>1</v>
      </c>
      <c r="L64">
        <v>0.86842107772827148</v>
      </c>
      <c r="M64">
        <v>0.94736842105263153</v>
      </c>
      <c r="N64">
        <v>1</v>
      </c>
      <c r="O64">
        <v>0.9213483146067416</v>
      </c>
      <c r="P64">
        <v>523</v>
      </c>
      <c r="Q64">
        <v>4709294</v>
      </c>
      <c r="R64">
        <v>303</v>
      </c>
      <c r="S64">
        <v>2</v>
      </c>
      <c r="T64">
        <v>10</v>
      </c>
      <c r="U64">
        <v>0.97368421052631582</v>
      </c>
      <c r="V64">
        <v>1</v>
      </c>
      <c r="W64">
        <v>0.97752808988764039</v>
      </c>
      <c r="X64">
        <v>633</v>
      </c>
      <c r="Y64">
        <v>6489091</v>
      </c>
      <c r="Z64">
        <v>355</v>
      </c>
      <c r="AA64">
        <v>2</v>
      </c>
      <c r="AB64">
        <v>11</v>
      </c>
    </row>
    <row r="65" spans="1:28" x14ac:dyDescent="0.25">
      <c r="A65" s="7" t="s">
        <v>44</v>
      </c>
      <c r="B65">
        <v>10</v>
      </c>
      <c r="C65">
        <v>3</v>
      </c>
      <c r="D65">
        <v>3</v>
      </c>
      <c r="E65">
        <v>0</v>
      </c>
      <c r="F65" s="7" t="s">
        <v>49</v>
      </c>
      <c r="G65">
        <v>342</v>
      </c>
      <c r="H65">
        <v>22320232</v>
      </c>
      <c r="I65">
        <v>1000000</v>
      </c>
      <c r="J65">
        <v>0.96629214286804199</v>
      </c>
      <c r="K65">
        <v>1</v>
      </c>
      <c r="L65">
        <v>0.97368419170379639</v>
      </c>
      <c r="M65">
        <v>0.97368421052631582</v>
      </c>
      <c r="N65">
        <v>1</v>
      </c>
      <c r="O65">
        <v>0.9550561797752809</v>
      </c>
      <c r="P65">
        <v>519</v>
      </c>
      <c r="Q65">
        <v>4765242</v>
      </c>
      <c r="R65">
        <v>303</v>
      </c>
      <c r="S65">
        <v>2</v>
      </c>
      <c r="T65">
        <v>10</v>
      </c>
      <c r="U65">
        <v>0.94736842105263153</v>
      </c>
      <c r="V65">
        <v>1</v>
      </c>
      <c r="W65">
        <v>0.93258426966292129</v>
      </c>
      <c r="X65">
        <v>484</v>
      </c>
      <c r="Y65">
        <v>4794278</v>
      </c>
      <c r="Z65">
        <v>355</v>
      </c>
      <c r="AA65">
        <v>2</v>
      </c>
      <c r="AB65">
        <v>11</v>
      </c>
    </row>
    <row r="66" spans="1:28" x14ac:dyDescent="0.25">
      <c r="A66" s="7" t="s">
        <v>44</v>
      </c>
      <c r="B66">
        <v>10</v>
      </c>
      <c r="C66">
        <v>3</v>
      </c>
      <c r="D66">
        <v>3</v>
      </c>
      <c r="E66">
        <v>0</v>
      </c>
      <c r="F66" s="7" t="s">
        <v>49</v>
      </c>
      <c r="G66">
        <v>342</v>
      </c>
      <c r="H66">
        <v>3482728</v>
      </c>
      <c r="I66">
        <v>1000000</v>
      </c>
      <c r="J66">
        <v>0.97752809524536133</v>
      </c>
      <c r="K66">
        <v>1</v>
      </c>
      <c r="L66">
        <v>0.97368419170379639</v>
      </c>
      <c r="M66">
        <v>0.92105263157894735</v>
      </c>
      <c r="N66">
        <v>1</v>
      </c>
      <c r="O66">
        <v>0.8764044943820225</v>
      </c>
      <c r="P66">
        <v>398</v>
      </c>
      <c r="Q66">
        <v>4018032</v>
      </c>
      <c r="R66">
        <v>303</v>
      </c>
      <c r="S66">
        <v>2</v>
      </c>
      <c r="T66">
        <v>10</v>
      </c>
      <c r="U66">
        <v>0.97368421052631582</v>
      </c>
      <c r="V66">
        <v>1</v>
      </c>
      <c r="W66">
        <v>0.9662921348314607</v>
      </c>
      <c r="X66">
        <v>685</v>
      </c>
      <c r="Y66">
        <v>6440579</v>
      </c>
      <c r="Z66">
        <v>355</v>
      </c>
      <c r="AA66">
        <v>2</v>
      </c>
      <c r="AB66">
        <v>11</v>
      </c>
    </row>
    <row r="67" spans="1:28" x14ac:dyDescent="0.25">
      <c r="A67" s="7" t="s">
        <v>44</v>
      </c>
      <c r="B67">
        <v>10</v>
      </c>
      <c r="C67">
        <v>3</v>
      </c>
      <c r="D67">
        <v>3</v>
      </c>
      <c r="E67">
        <v>0</v>
      </c>
      <c r="F67" s="7" t="s">
        <v>54</v>
      </c>
      <c r="G67">
        <v>907</v>
      </c>
      <c r="H67">
        <v>4835658</v>
      </c>
      <c r="I67">
        <v>1000000</v>
      </c>
      <c r="J67">
        <v>0.98876404762268066</v>
      </c>
      <c r="K67">
        <v>1</v>
      </c>
      <c r="L67">
        <v>0.97368419170379639</v>
      </c>
      <c r="M67">
        <v>0.94736842105263153</v>
      </c>
      <c r="N67">
        <v>1</v>
      </c>
      <c r="O67">
        <v>0.9550561797752809</v>
      </c>
      <c r="P67">
        <v>356</v>
      </c>
      <c r="Q67">
        <v>4076182</v>
      </c>
      <c r="R67">
        <v>831</v>
      </c>
      <c r="S67">
        <v>2</v>
      </c>
      <c r="T67">
        <v>18</v>
      </c>
      <c r="U67">
        <v>0.94736842105263153</v>
      </c>
      <c r="V67">
        <v>1</v>
      </c>
      <c r="W67">
        <v>0.93258426966292129</v>
      </c>
      <c r="X67">
        <v>286</v>
      </c>
      <c r="Y67">
        <v>2764260</v>
      </c>
      <c r="Z67">
        <v>915</v>
      </c>
      <c r="AA67">
        <v>2</v>
      </c>
      <c r="AB67">
        <v>19</v>
      </c>
    </row>
    <row r="68" spans="1:28" x14ac:dyDescent="0.25">
      <c r="A68" s="7" t="s">
        <v>44</v>
      </c>
      <c r="B68">
        <v>10</v>
      </c>
      <c r="C68">
        <v>3</v>
      </c>
      <c r="D68">
        <v>3</v>
      </c>
      <c r="E68">
        <v>0</v>
      </c>
      <c r="F68" s="7" t="s">
        <v>54</v>
      </c>
      <c r="G68">
        <v>907</v>
      </c>
      <c r="H68">
        <v>14564908</v>
      </c>
      <c r="I68">
        <v>1000000</v>
      </c>
      <c r="J68">
        <v>0.94382023811340332</v>
      </c>
      <c r="K68">
        <v>1</v>
      </c>
      <c r="L68">
        <v>0.97368419170379639</v>
      </c>
      <c r="M68">
        <v>0.92105263157894735</v>
      </c>
      <c r="N68">
        <v>1</v>
      </c>
      <c r="O68">
        <v>0.88764044943820219</v>
      </c>
      <c r="P68">
        <v>347</v>
      </c>
      <c r="Q68">
        <v>3223789</v>
      </c>
      <c r="R68">
        <v>831</v>
      </c>
      <c r="S68">
        <v>2</v>
      </c>
      <c r="T68">
        <v>18</v>
      </c>
      <c r="U68">
        <v>0.94736842105263153</v>
      </c>
      <c r="V68">
        <v>1</v>
      </c>
      <c r="W68">
        <v>0.9550561797752809</v>
      </c>
      <c r="X68">
        <v>344</v>
      </c>
      <c r="Y68">
        <v>3126875</v>
      </c>
      <c r="Z68">
        <v>915</v>
      </c>
      <c r="AA68">
        <v>2</v>
      </c>
      <c r="AB68">
        <v>19</v>
      </c>
    </row>
    <row r="69" spans="1:28" x14ac:dyDescent="0.25">
      <c r="A69" s="7" t="s">
        <v>44</v>
      </c>
      <c r="B69">
        <v>10</v>
      </c>
      <c r="C69">
        <v>3</v>
      </c>
      <c r="D69">
        <v>3</v>
      </c>
      <c r="E69">
        <v>0</v>
      </c>
      <c r="F69" s="7" t="s">
        <v>54</v>
      </c>
      <c r="G69">
        <v>907</v>
      </c>
      <c r="H69">
        <v>4519803</v>
      </c>
      <c r="I69">
        <v>1000000</v>
      </c>
      <c r="J69">
        <v>0.97752809524536133</v>
      </c>
      <c r="K69">
        <v>1</v>
      </c>
      <c r="L69">
        <v>0.94736844301223755</v>
      </c>
      <c r="M69">
        <v>0.97368421052631582</v>
      </c>
      <c r="N69">
        <v>1</v>
      </c>
      <c r="O69">
        <v>0.9438202247191011</v>
      </c>
      <c r="P69">
        <v>347</v>
      </c>
      <c r="Q69">
        <v>3802243</v>
      </c>
      <c r="R69">
        <v>831</v>
      </c>
      <c r="S69">
        <v>2</v>
      </c>
      <c r="T69">
        <v>18</v>
      </c>
      <c r="U69">
        <v>0.94736842105263153</v>
      </c>
      <c r="V69">
        <v>1</v>
      </c>
      <c r="W69">
        <v>0.9213483146067416</v>
      </c>
      <c r="X69">
        <v>325</v>
      </c>
      <c r="Y69">
        <v>3357603</v>
      </c>
      <c r="Z69">
        <v>915</v>
      </c>
      <c r="AA69">
        <v>2</v>
      </c>
      <c r="AB69">
        <v>19</v>
      </c>
    </row>
    <row r="70" spans="1:28" x14ac:dyDescent="0.25">
      <c r="A70" s="7" t="s">
        <v>44</v>
      </c>
      <c r="B70">
        <v>10</v>
      </c>
      <c r="C70">
        <v>3</v>
      </c>
      <c r="D70">
        <v>3</v>
      </c>
      <c r="E70">
        <v>0</v>
      </c>
      <c r="F70" s="7" t="s">
        <v>54</v>
      </c>
      <c r="G70">
        <v>907</v>
      </c>
      <c r="H70">
        <v>8764772</v>
      </c>
      <c r="I70">
        <v>1000000</v>
      </c>
      <c r="J70">
        <v>0.94382023811340332</v>
      </c>
      <c r="K70">
        <v>1</v>
      </c>
      <c r="L70">
        <v>0.89473682641983032</v>
      </c>
      <c r="M70">
        <v>0.94736842105263153</v>
      </c>
      <c r="N70">
        <v>1</v>
      </c>
      <c r="O70">
        <v>0.9213483146067416</v>
      </c>
      <c r="P70">
        <v>439</v>
      </c>
      <c r="Q70">
        <v>4893633</v>
      </c>
      <c r="R70">
        <v>831</v>
      </c>
      <c r="S70">
        <v>2</v>
      </c>
      <c r="T70">
        <v>18</v>
      </c>
      <c r="U70">
        <v>0.94736842105263153</v>
      </c>
      <c r="V70">
        <v>1</v>
      </c>
      <c r="W70">
        <v>0.93258426966292129</v>
      </c>
      <c r="X70">
        <v>448</v>
      </c>
      <c r="Y70">
        <v>4609856</v>
      </c>
      <c r="Z70">
        <v>915</v>
      </c>
      <c r="AA70">
        <v>2</v>
      </c>
      <c r="AB70">
        <v>19</v>
      </c>
    </row>
    <row r="71" spans="1:28" x14ac:dyDescent="0.25">
      <c r="A71" s="7" t="s">
        <v>44</v>
      </c>
      <c r="B71">
        <v>10</v>
      </c>
      <c r="C71">
        <v>3</v>
      </c>
      <c r="D71">
        <v>3</v>
      </c>
      <c r="E71">
        <v>0</v>
      </c>
      <c r="F71" s="7" t="s">
        <v>54</v>
      </c>
      <c r="G71">
        <v>907</v>
      </c>
      <c r="H71">
        <v>25576136</v>
      </c>
      <c r="I71">
        <v>1000000</v>
      </c>
      <c r="J71">
        <v>0.93258428573608398</v>
      </c>
      <c r="K71">
        <v>1</v>
      </c>
      <c r="L71">
        <v>0.94736844301223755</v>
      </c>
      <c r="M71">
        <v>0.97368421052631582</v>
      </c>
      <c r="N71">
        <v>1</v>
      </c>
      <c r="O71">
        <v>0.9662921348314607</v>
      </c>
      <c r="P71">
        <v>377</v>
      </c>
      <c r="Q71">
        <v>4282564</v>
      </c>
      <c r="R71">
        <v>831</v>
      </c>
      <c r="S71">
        <v>2</v>
      </c>
      <c r="T71">
        <v>18</v>
      </c>
      <c r="U71">
        <v>0.94736842105263153</v>
      </c>
      <c r="V71">
        <v>1</v>
      </c>
      <c r="W71">
        <v>0.9438202247191011</v>
      </c>
      <c r="X71">
        <v>387</v>
      </c>
      <c r="Y71">
        <v>3801178</v>
      </c>
      <c r="Z71">
        <v>915</v>
      </c>
      <c r="AA71">
        <v>2</v>
      </c>
      <c r="AB71">
        <v>19</v>
      </c>
    </row>
    <row r="72" spans="1:28" x14ac:dyDescent="0.25">
      <c r="A72" s="7" t="s">
        <v>44</v>
      </c>
      <c r="B72">
        <v>10</v>
      </c>
      <c r="C72">
        <v>3</v>
      </c>
      <c r="D72">
        <v>3</v>
      </c>
      <c r="E72">
        <v>0</v>
      </c>
      <c r="F72" s="7" t="s">
        <v>50</v>
      </c>
      <c r="G72">
        <v>715</v>
      </c>
      <c r="H72">
        <v>1191991017</v>
      </c>
      <c r="I72">
        <v>12426</v>
      </c>
      <c r="J72">
        <v>0.43820226192474365</v>
      </c>
      <c r="K72">
        <v>0.95652174949645996</v>
      </c>
      <c r="L72">
        <v>0.52631580829620361</v>
      </c>
      <c r="M72">
        <v>0.97368421052631582</v>
      </c>
      <c r="N72">
        <v>1</v>
      </c>
      <c r="O72">
        <v>0.9438202247191011</v>
      </c>
      <c r="P72">
        <v>475</v>
      </c>
      <c r="Q72">
        <v>5411089</v>
      </c>
      <c r="R72">
        <v>675</v>
      </c>
      <c r="S72">
        <v>2</v>
      </c>
      <c r="T72">
        <v>16</v>
      </c>
      <c r="U72">
        <v>0.97368421052631582</v>
      </c>
      <c r="V72">
        <v>1</v>
      </c>
      <c r="W72">
        <v>0.9438202247191011</v>
      </c>
      <c r="X72">
        <v>392</v>
      </c>
      <c r="Y72">
        <v>3556548</v>
      </c>
      <c r="Z72">
        <v>751</v>
      </c>
      <c r="AA72">
        <v>2</v>
      </c>
      <c r="AB72">
        <v>17</v>
      </c>
    </row>
    <row r="73" spans="1:28" x14ac:dyDescent="0.25">
      <c r="A73" s="7" t="s">
        <v>44</v>
      </c>
      <c r="B73">
        <v>10</v>
      </c>
      <c r="C73">
        <v>3</v>
      </c>
      <c r="D73">
        <v>3</v>
      </c>
      <c r="E73">
        <v>0</v>
      </c>
      <c r="F73" s="7" t="s">
        <v>50</v>
      </c>
      <c r="G73">
        <v>715</v>
      </c>
      <c r="H73">
        <v>1035774569</v>
      </c>
      <c r="I73">
        <v>10667</v>
      </c>
      <c r="J73">
        <v>0.62921351194381714</v>
      </c>
      <c r="K73">
        <v>0.95652174949645996</v>
      </c>
      <c r="L73">
        <v>0.63157892227172852</v>
      </c>
      <c r="M73">
        <v>0.94736842105263153</v>
      </c>
      <c r="N73">
        <v>1</v>
      </c>
      <c r="O73">
        <v>0.93258426966292129</v>
      </c>
      <c r="P73">
        <v>296</v>
      </c>
      <c r="Q73">
        <v>2863729</v>
      </c>
      <c r="R73">
        <v>675</v>
      </c>
      <c r="S73">
        <v>2</v>
      </c>
      <c r="T73">
        <v>16</v>
      </c>
      <c r="U73">
        <v>0.97368421052631582</v>
      </c>
      <c r="V73">
        <v>1</v>
      </c>
      <c r="W73">
        <v>0.9438202247191011</v>
      </c>
      <c r="X73">
        <v>387</v>
      </c>
      <c r="Y73">
        <v>3626294</v>
      </c>
      <c r="Z73">
        <v>751</v>
      </c>
      <c r="AA73">
        <v>2</v>
      </c>
      <c r="AB73">
        <v>17</v>
      </c>
    </row>
    <row r="74" spans="1:28" x14ac:dyDescent="0.25">
      <c r="A74" s="7" t="s">
        <v>44</v>
      </c>
      <c r="B74">
        <v>10</v>
      </c>
      <c r="C74">
        <v>3</v>
      </c>
      <c r="D74">
        <v>3</v>
      </c>
      <c r="E74">
        <v>0</v>
      </c>
      <c r="F74" s="7" t="s">
        <v>50</v>
      </c>
      <c r="G74">
        <v>715</v>
      </c>
      <c r="H74">
        <v>5228431</v>
      </c>
      <c r="I74">
        <v>1000000</v>
      </c>
      <c r="J74">
        <v>0.96629214286804199</v>
      </c>
      <c r="K74">
        <v>1</v>
      </c>
      <c r="L74">
        <v>0.94736844301223755</v>
      </c>
      <c r="M74">
        <v>0.97368421052631582</v>
      </c>
      <c r="N74">
        <v>1</v>
      </c>
      <c r="O74">
        <v>0.97752808988764039</v>
      </c>
      <c r="P74">
        <v>186</v>
      </c>
      <c r="Q74">
        <v>2134409</v>
      </c>
      <c r="R74">
        <v>675</v>
      </c>
      <c r="S74">
        <v>2</v>
      </c>
      <c r="T74">
        <v>16</v>
      </c>
      <c r="U74">
        <v>0.94736842105263153</v>
      </c>
      <c r="V74">
        <v>1</v>
      </c>
      <c r="W74">
        <v>0.9213483146067416</v>
      </c>
      <c r="X74">
        <v>487</v>
      </c>
      <c r="Y74">
        <v>5103557</v>
      </c>
      <c r="Z74">
        <v>751</v>
      </c>
      <c r="AA74">
        <v>2</v>
      </c>
      <c r="AB74">
        <v>17</v>
      </c>
    </row>
    <row r="75" spans="1:28" x14ac:dyDescent="0.25">
      <c r="A75" s="7" t="s">
        <v>44</v>
      </c>
      <c r="B75">
        <v>10</v>
      </c>
      <c r="C75">
        <v>3</v>
      </c>
      <c r="D75">
        <v>3</v>
      </c>
      <c r="E75">
        <v>0</v>
      </c>
      <c r="F75" s="7" t="s">
        <v>50</v>
      </c>
      <c r="G75">
        <v>715</v>
      </c>
      <c r="H75">
        <v>45236499</v>
      </c>
      <c r="I75">
        <v>1000000</v>
      </c>
      <c r="J75">
        <v>0.96629214286804199</v>
      </c>
      <c r="K75">
        <v>1</v>
      </c>
      <c r="L75">
        <v>0.94736844301223755</v>
      </c>
      <c r="M75">
        <v>0.97368421052631582</v>
      </c>
      <c r="N75">
        <v>1</v>
      </c>
      <c r="O75">
        <v>0.97752808988764039</v>
      </c>
      <c r="P75">
        <v>312</v>
      </c>
      <c r="Q75">
        <v>3731433</v>
      </c>
      <c r="R75">
        <v>675</v>
      </c>
      <c r="S75">
        <v>2</v>
      </c>
      <c r="T75">
        <v>16</v>
      </c>
      <c r="U75">
        <v>0.97368421052631582</v>
      </c>
      <c r="V75">
        <v>1</v>
      </c>
      <c r="W75">
        <v>0.9550561797752809</v>
      </c>
      <c r="X75">
        <v>557</v>
      </c>
      <c r="Y75">
        <v>5948835</v>
      </c>
      <c r="Z75">
        <v>751</v>
      </c>
      <c r="AA75">
        <v>2</v>
      </c>
      <c r="AB75">
        <v>17</v>
      </c>
    </row>
    <row r="76" spans="1:28" x14ac:dyDescent="0.25">
      <c r="A76" s="7" t="s">
        <v>44</v>
      </c>
      <c r="B76">
        <v>10</v>
      </c>
      <c r="C76">
        <v>3</v>
      </c>
      <c r="D76">
        <v>3</v>
      </c>
      <c r="E76">
        <v>0</v>
      </c>
      <c r="F76" s="7" t="s">
        <v>50</v>
      </c>
      <c r="G76">
        <v>715</v>
      </c>
      <c r="H76">
        <v>1045733715</v>
      </c>
      <c r="I76">
        <v>10494</v>
      </c>
      <c r="J76">
        <v>0.68539327383041382</v>
      </c>
      <c r="K76">
        <v>0.95652174949645996</v>
      </c>
      <c r="L76">
        <v>0.68421053886413574</v>
      </c>
      <c r="M76">
        <v>0.97368421052631582</v>
      </c>
      <c r="N76">
        <v>1</v>
      </c>
      <c r="O76">
        <v>0.9662921348314607</v>
      </c>
      <c r="P76">
        <v>585</v>
      </c>
      <c r="Q76">
        <v>6091660</v>
      </c>
      <c r="R76">
        <v>675</v>
      </c>
      <c r="S76">
        <v>2</v>
      </c>
      <c r="T76">
        <v>16</v>
      </c>
      <c r="U76">
        <v>0.94736842105263153</v>
      </c>
      <c r="V76">
        <v>1</v>
      </c>
      <c r="W76">
        <v>0.9213483146067416</v>
      </c>
      <c r="X76">
        <v>265</v>
      </c>
      <c r="Y76">
        <v>2740989</v>
      </c>
      <c r="Z76">
        <v>751</v>
      </c>
      <c r="AA76">
        <v>2</v>
      </c>
      <c r="AB76">
        <v>17</v>
      </c>
    </row>
    <row r="77" spans="1:28" x14ac:dyDescent="0.25">
      <c r="A77" s="7" t="s">
        <v>44</v>
      </c>
      <c r="B77">
        <v>10</v>
      </c>
      <c r="C77">
        <v>3</v>
      </c>
      <c r="D77">
        <v>3</v>
      </c>
      <c r="E77">
        <v>0</v>
      </c>
      <c r="F77" s="7" t="s">
        <v>51</v>
      </c>
      <c r="G77">
        <v>1280</v>
      </c>
      <c r="H77">
        <v>49884393</v>
      </c>
      <c r="I77">
        <v>1000000</v>
      </c>
      <c r="J77">
        <v>0.88764047622680664</v>
      </c>
      <c r="K77">
        <v>1</v>
      </c>
      <c r="L77">
        <v>0.92105263471603394</v>
      </c>
      <c r="M77">
        <v>0.97368421052631582</v>
      </c>
      <c r="N77">
        <v>1</v>
      </c>
      <c r="O77">
        <v>0.9550561797752809</v>
      </c>
      <c r="P77">
        <v>367</v>
      </c>
      <c r="Q77">
        <v>3571200</v>
      </c>
      <c r="R77">
        <v>1191</v>
      </c>
      <c r="S77">
        <v>2</v>
      </c>
      <c r="T77">
        <v>22</v>
      </c>
      <c r="U77">
        <v>0.94736842105263153</v>
      </c>
      <c r="V77">
        <v>1</v>
      </c>
      <c r="W77">
        <v>0.93258426966292129</v>
      </c>
      <c r="X77">
        <v>275</v>
      </c>
      <c r="Y77">
        <v>2680516</v>
      </c>
      <c r="Z77">
        <v>1291</v>
      </c>
      <c r="AA77">
        <v>2</v>
      </c>
      <c r="AB77">
        <v>23</v>
      </c>
    </row>
    <row r="78" spans="1:28" x14ac:dyDescent="0.25">
      <c r="A78" s="7" t="s">
        <v>44</v>
      </c>
      <c r="B78">
        <v>10</v>
      </c>
      <c r="C78">
        <v>3</v>
      </c>
      <c r="D78">
        <v>3</v>
      </c>
      <c r="E78">
        <v>0</v>
      </c>
      <c r="F78" s="7" t="s">
        <v>51</v>
      </c>
      <c r="G78">
        <v>1280</v>
      </c>
      <c r="H78">
        <v>1072741607</v>
      </c>
      <c r="I78">
        <v>10083</v>
      </c>
      <c r="J78">
        <v>0.43820226192474365</v>
      </c>
      <c r="K78">
        <v>0.86956518888473511</v>
      </c>
      <c r="L78">
        <v>0.57894736528396606</v>
      </c>
      <c r="M78">
        <v>0.94736842105263153</v>
      </c>
      <c r="N78">
        <v>1</v>
      </c>
      <c r="O78">
        <v>0.93258426966292129</v>
      </c>
      <c r="P78">
        <v>260</v>
      </c>
      <c r="Q78">
        <v>2804352</v>
      </c>
      <c r="R78">
        <v>1191</v>
      </c>
      <c r="S78">
        <v>2</v>
      </c>
      <c r="T78">
        <v>22</v>
      </c>
      <c r="U78">
        <v>0.94736842105263153</v>
      </c>
      <c r="V78">
        <v>1</v>
      </c>
      <c r="W78">
        <v>0.9438202247191011</v>
      </c>
      <c r="X78">
        <v>274</v>
      </c>
      <c r="Y78">
        <v>3252295</v>
      </c>
      <c r="Z78">
        <v>1291</v>
      </c>
      <c r="AA78">
        <v>2</v>
      </c>
      <c r="AB78">
        <v>23</v>
      </c>
    </row>
    <row r="79" spans="1:28" x14ac:dyDescent="0.25">
      <c r="A79" s="7" t="s">
        <v>44</v>
      </c>
      <c r="B79">
        <v>10</v>
      </c>
      <c r="C79">
        <v>3</v>
      </c>
      <c r="D79">
        <v>3</v>
      </c>
      <c r="E79">
        <v>0</v>
      </c>
      <c r="F79" s="7" t="s">
        <v>51</v>
      </c>
      <c r="G79">
        <v>1280</v>
      </c>
      <c r="H79">
        <v>54665285</v>
      </c>
      <c r="I79">
        <v>1000000</v>
      </c>
      <c r="J79">
        <v>0.93258428573608398</v>
      </c>
      <c r="K79">
        <v>1</v>
      </c>
      <c r="L79">
        <v>0.92105263471603394</v>
      </c>
      <c r="M79">
        <v>0.97368421052631582</v>
      </c>
      <c r="N79">
        <v>1</v>
      </c>
      <c r="O79">
        <v>0.9438202247191011</v>
      </c>
      <c r="P79">
        <v>301</v>
      </c>
      <c r="Q79">
        <v>3906001</v>
      </c>
      <c r="R79">
        <v>1191</v>
      </c>
      <c r="S79">
        <v>2</v>
      </c>
      <c r="T79">
        <v>22</v>
      </c>
      <c r="U79">
        <v>0.97368421052631582</v>
      </c>
      <c r="V79">
        <v>1</v>
      </c>
      <c r="W79">
        <v>0.9662921348314607</v>
      </c>
      <c r="X79">
        <v>379</v>
      </c>
      <c r="Y79">
        <v>4606780</v>
      </c>
      <c r="Z79">
        <v>1291</v>
      </c>
      <c r="AA79">
        <v>2</v>
      </c>
      <c r="AB79">
        <v>23</v>
      </c>
    </row>
    <row r="80" spans="1:28" x14ac:dyDescent="0.25">
      <c r="A80" s="7" t="s">
        <v>44</v>
      </c>
      <c r="B80">
        <v>10</v>
      </c>
      <c r="C80">
        <v>3</v>
      </c>
      <c r="D80">
        <v>3</v>
      </c>
      <c r="E80">
        <v>0</v>
      </c>
      <c r="F80" s="7" t="s">
        <v>51</v>
      </c>
      <c r="G80">
        <v>1280</v>
      </c>
      <c r="H80">
        <v>77004674</v>
      </c>
      <c r="I80">
        <v>1000000</v>
      </c>
      <c r="J80">
        <v>0.92134833335876465</v>
      </c>
      <c r="K80">
        <v>1</v>
      </c>
      <c r="L80">
        <v>0.97368419170379639</v>
      </c>
      <c r="M80">
        <v>0.94736842105263153</v>
      </c>
      <c r="N80">
        <v>1</v>
      </c>
      <c r="O80">
        <v>0.9550561797752809</v>
      </c>
      <c r="P80">
        <v>300</v>
      </c>
      <c r="Q80">
        <v>2999767</v>
      </c>
      <c r="R80">
        <v>1191</v>
      </c>
      <c r="S80">
        <v>2</v>
      </c>
      <c r="T80">
        <v>22</v>
      </c>
      <c r="U80">
        <v>0.97368421052631582</v>
      </c>
      <c r="V80">
        <v>1</v>
      </c>
      <c r="W80">
        <v>0.9438202247191011</v>
      </c>
      <c r="X80">
        <v>313</v>
      </c>
      <c r="Y80">
        <v>2955862</v>
      </c>
      <c r="Z80">
        <v>1291</v>
      </c>
      <c r="AA80">
        <v>2</v>
      </c>
      <c r="AB80">
        <v>23</v>
      </c>
    </row>
    <row r="81" spans="1:28" x14ac:dyDescent="0.25">
      <c r="A81" s="7" t="s">
        <v>44</v>
      </c>
      <c r="B81">
        <v>10</v>
      </c>
      <c r="C81">
        <v>3</v>
      </c>
      <c r="D81">
        <v>3</v>
      </c>
      <c r="E81">
        <v>0</v>
      </c>
      <c r="F81" s="7" t="s">
        <v>51</v>
      </c>
      <c r="G81">
        <v>1280</v>
      </c>
      <c r="H81">
        <v>1152377268</v>
      </c>
      <c r="I81">
        <v>10912</v>
      </c>
      <c r="J81">
        <v>0.66292136907577515</v>
      </c>
      <c r="K81">
        <v>0.91304349899291992</v>
      </c>
      <c r="L81">
        <v>0.63157892227172852</v>
      </c>
      <c r="M81">
        <v>0.94736842105263153</v>
      </c>
      <c r="N81">
        <v>1</v>
      </c>
      <c r="O81">
        <v>0.9438202247191011</v>
      </c>
      <c r="P81">
        <v>352</v>
      </c>
      <c r="Q81">
        <v>4014684</v>
      </c>
      <c r="R81">
        <v>1191</v>
      </c>
      <c r="S81">
        <v>2</v>
      </c>
      <c r="T81">
        <v>22</v>
      </c>
      <c r="U81">
        <v>0.97368421052631582</v>
      </c>
      <c r="V81">
        <v>1</v>
      </c>
      <c r="W81">
        <v>0.9438202247191011</v>
      </c>
      <c r="X81">
        <v>284</v>
      </c>
      <c r="Y81">
        <v>2627096</v>
      </c>
      <c r="Z81">
        <v>1291</v>
      </c>
      <c r="AA81">
        <v>2</v>
      </c>
      <c r="AB81">
        <v>23</v>
      </c>
    </row>
    <row r="82" spans="1:28" x14ac:dyDescent="0.25">
      <c r="A82" s="7" t="s">
        <v>44</v>
      </c>
      <c r="B82">
        <v>10</v>
      </c>
      <c r="C82">
        <v>3</v>
      </c>
      <c r="D82">
        <v>3</v>
      </c>
      <c r="E82">
        <v>0</v>
      </c>
      <c r="F82" s="7" t="s">
        <v>52</v>
      </c>
      <c r="G82">
        <v>973</v>
      </c>
      <c r="H82">
        <v>36534952</v>
      </c>
      <c r="I82">
        <v>1000000</v>
      </c>
      <c r="J82">
        <v>0.97752809524536133</v>
      </c>
      <c r="K82">
        <v>1</v>
      </c>
      <c r="L82">
        <v>0.97368419170379639</v>
      </c>
      <c r="M82">
        <v>0.97368421052631582</v>
      </c>
      <c r="N82">
        <v>1</v>
      </c>
      <c r="O82">
        <v>0.9550561797752809</v>
      </c>
      <c r="P82">
        <v>353</v>
      </c>
      <c r="Q82">
        <v>3702474</v>
      </c>
      <c r="R82">
        <v>915</v>
      </c>
      <c r="S82">
        <v>2</v>
      </c>
      <c r="T82">
        <v>19</v>
      </c>
      <c r="U82">
        <v>0.97368421052631582</v>
      </c>
      <c r="V82">
        <v>1</v>
      </c>
      <c r="W82">
        <v>0.9550561797752809</v>
      </c>
      <c r="X82">
        <v>313</v>
      </c>
      <c r="Y82">
        <v>3237938</v>
      </c>
      <c r="Z82">
        <v>1003</v>
      </c>
      <c r="AA82">
        <v>2</v>
      </c>
      <c r="AB82">
        <v>20</v>
      </c>
    </row>
    <row r="83" spans="1:28" x14ac:dyDescent="0.25">
      <c r="A83" s="7" t="s">
        <v>44</v>
      </c>
      <c r="B83">
        <v>10</v>
      </c>
      <c r="C83">
        <v>3</v>
      </c>
      <c r="D83">
        <v>3</v>
      </c>
      <c r="E83">
        <v>0</v>
      </c>
      <c r="F83" s="7" t="s">
        <v>52</v>
      </c>
      <c r="G83">
        <v>973</v>
      </c>
      <c r="H83">
        <v>67901164</v>
      </c>
      <c r="I83">
        <v>1000000</v>
      </c>
      <c r="J83">
        <v>0.93258428573608398</v>
      </c>
      <c r="K83">
        <v>1</v>
      </c>
      <c r="L83">
        <v>0.94736844301223755</v>
      </c>
      <c r="M83">
        <v>0.94736842105263153</v>
      </c>
      <c r="N83">
        <v>1</v>
      </c>
      <c r="O83">
        <v>0.93258426966292129</v>
      </c>
      <c r="P83">
        <v>334</v>
      </c>
      <c r="Q83">
        <v>3007632</v>
      </c>
      <c r="R83">
        <v>915</v>
      </c>
      <c r="S83">
        <v>2</v>
      </c>
      <c r="T83">
        <v>19</v>
      </c>
      <c r="U83">
        <v>0.92105263157894735</v>
      </c>
      <c r="V83">
        <v>1</v>
      </c>
      <c r="W83">
        <v>0.88764044943820219</v>
      </c>
      <c r="X83">
        <v>457</v>
      </c>
      <c r="Y83">
        <v>5328753</v>
      </c>
      <c r="Z83">
        <v>1003</v>
      </c>
      <c r="AA83">
        <v>2</v>
      </c>
      <c r="AB83">
        <v>20</v>
      </c>
    </row>
    <row r="84" spans="1:28" x14ac:dyDescent="0.25">
      <c r="A84" s="7" t="s">
        <v>44</v>
      </c>
      <c r="B84">
        <v>10</v>
      </c>
      <c r="C84">
        <v>3</v>
      </c>
      <c r="D84">
        <v>3</v>
      </c>
      <c r="E84">
        <v>0</v>
      </c>
      <c r="F84" s="7" t="s">
        <v>52</v>
      </c>
      <c r="G84">
        <v>973</v>
      </c>
      <c r="H84">
        <v>15300159</v>
      </c>
      <c r="I84">
        <v>1000000</v>
      </c>
      <c r="J84">
        <v>0.97752809524536133</v>
      </c>
      <c r="K84">
        <v>1</v>
      </c>
      <c r="L84">
        <v>0.94736844301223755</v>
      </c>
      <c r="M84">
        <v>0.94736842105263153</v>
      </c>
      <c r="N84">
        <v>1</v>
      </c>
      <c r="O84">
        <v>0.9550561797752809</v>
      </c>
      <c r="P84">
        <v>391</v>
      </c>
      <c r="Q84">
        <v>4837872</v>
      </c>
      <c r="R84">
        <v>915</v>
      </c>
      <c r="S84">
        <v>2</v>
      </c>
      <c r="T84">
        <v>19</v>
      </c>
      <c r="U84">
        <v>0.97368421052631582</v>
      </c>
      <c r="V84">
        <v>1</v>
      </c>
      <c r="W84">
        <v>0.9438202247191011</v>
      </c>
      <c r="X84">
        <v>366</v>
      </c>
      <c r="Y84">
        <v>4167994</v>
      </c>
      <c r="Z84">
        <v>1003</v>
      </c>
      <c r="AA84">
        <v>2</v>
      </c>
      <c r="AB84">
        <v>20</v>
      </c>
    </row>
    <row r="85" spans="1:28" x14ac:dyDescent="0.25">
      <c r="A85" s="7" t="s">
        <v>44</v>
      </c>
      <c r="B85">
        <v>10</v>
      </c>
      <c r="C85">
        <v>3</v>
      </c>
      <c r="D85">
        <v>3</v>
      </c>
      <c r="E85">
        <v>0</v>
      </c>
      <c r="F85" s="7" t="s">
        <v>52</v>
      </c>
      <c r="G85">
        <v>973</v>
      </c>
      <c r="H85">
        <v>1064646805</v>
      </c>
      <c r="I85">
        <v>10267</v>
      </c>
      <c r="J85">
        <v>0.2584269642829895</v>
      </c>
      <c r="K85">
        <v>0.95652174949645996</v>
      </c>
      <c r="L85">
        <v>0.1315789520740509</v>
      </c>
      <c r="M85">
        <v>0.92105263157894735</v>
      </c>
      <c r="N85">
        <v>1</v>
      </c>
      <c r="O85">
        <v>0.8764044943820225</v>
      </c>
      <c r="P85">
        <v>437</v>
      </c>
      <c r="Q85">
        <v>4538425</v>
      </c>
      <c r="R85">
        <v>915</v>
      </c>
      <c r="S85">
        <v>2</v>
      </c>
      <c r="T85">
        <v>19</v>
      </c>
      <c r="U85">
        <v>0.97368421052631582</v>
      </c>
      <c r="V85">
        <v>1</v>
      </c>
      <c r="W85">
        <v>0.9550561797752809</v>
      </c>
      <c r="X85">
        <v>445</v>
      </c>
      <c r="Y85">
        <v>4546131</v>
      </c>
      <c r="Z85">
        <v>1003</v>
      </c>
      <c r="AA85">
        <v>2</v>
      </c>
      <c r="AB85">
        <v>20</v>
      </c>
    </row>
    <row r="86" spans="1:28" x14ac:dyDescent="0.25">
      <c r="A86" s="7" t="s">
        <v>44</v>
      </c>
      <c r="B86">
        <v>10</v>
      </c>
      <c r="C86">
        <v>3</v>
      </c>
      <c r="D86">
        <v>3</v>
      </c>
      <c r="E86">
        <v>0</v>
      </c>
      <c r="F86" s="7" t="s">
        <v>52</v>
      </c>
      <c r="G86">
        <v>973</v>
      </c>
      <c r="H86">
        <v>23627886</v>
      </c>
      <c r="I86">
        <v>1000000</v>
      </c>
      <c r="J86">
        <v>0.92134833335876465</v>
      </c>
      <c r="K86">
        <v>1</v>
      </c>
      <c r="L86">
        <v>0.94736844301223755</v>
      </c>
      <c r="M86">
        <v>0.97368421052631582</v>
      </c>
      <c r="N86">
        <v>1</v>
      </c>
      <c r="O86">
        <v>0.9438202247191011</v>
      </c>
      <c r="P86">
        <v>318</v>
      </c>
      <c r="Q86">
        <v>3459645</v>
      </c>
      <c r="R86">
        <v>915</v>
      </c>
      <c r="S86">
        <v>2</v>
      </c>
      <c r="T86">
        <v>19</v>
      </c>
      <c r="U86">
        <v>0.94736842105263153</v>
      </c>
      <c r="V86">
        <v>1</v>
      </c>
      <c r="W86">
        <v>0.9438202247191011</v>
      </c>
      <c r="X86">
        <v>428</v>
      </c>
      <c r="Y86">
        <v>3983822</v>
      </c>
      <c r="Z86">
        <v>1003</v>
      </c>
      <c r="AA86">
        <v>2</v>
      </c>
      <c r="AB86">
        <v>20</v>
      </c>
    </row>
    <row r="87" spans="1:28" x14ac:dyDescent="0.25">
      <c r="A87" s="7" t="s">
        <v>44</v>
      </c>
      <c r="B87">
        <v>10</v>
      </c>
      <c r="C87">
        <v>3</v>
      </c>
      <c r="D87">
        <v>3</v>
      </c>
      <c r="E87">
        <v>0</v>
      </c>
      <c r="F87" s="7" t="s">
        <v>53</v>
      </c>
      <c r="G87">
        <v>1698</v>
      </c>
      <c r="H87">
        <v>15595702</v>
      </c>
      <c r="I87">
        <v>1000000</v>
      </c>
      <c r="J87">
        <v>0.98876404762268066</v>
      </c>
      <c r="K87">
        <v>1</v>
      </c>
      <c r="L87">
        <v>0.94736844301223755</v>
      </c>
      <c r="M87">
        <v>0.97368421052631582</v>
      </c>
      <c r="N87">
        <v>1</v>
      </c>
      <c r="O87">
        <v>0.9550561797752809</v>
      </c>
      <c r="P87">
        <v>282</v>
      </c>
      <c r="Q87">
        <v>2547375</v>
      </c>
      <c r="R87">
        <v>1615</v>
      </c>
      <c r="S87">
        <v>2</v>
      </c>
      <c r="T87">
        <v>26</v>
      </c>
      <c r="U87">
        <v>0.94736842105263153</v>
      </c>
      <c r="V87">
        <v>1</v>
      </c>
      <c r="W87">
        <v>0.9438202247191011</v>
      </c>
      <c r="X87">
        <v>223</v>
      </c>
      <c r="Y87">
        <v>2379469</v>
      </c>
      <c r="Z87">
        <v>1731</v>
      </c>
      <c r="AA87">
        <v>2</v>
      </c>
      <c r="AB87">
        <v>27</v>
      </c>
    </row>
    <row r="88" spans="1:28" x14ac:dyDescent="0.25">
      <c r="A88" s="7" t="s">
        <v>44</v>
      </c>
      <c r="B88">
        <v>10</v>
      </c>
      <c r="C88">
        <v>3</v>
      </c>
      <c r="D88">
        <v>3</v>
      </c>
      <c r="E88">
        <v>0</v>
      </c>
      <c r="F88" s="7" t="s">
        <v>53</v>
      </c>
      <c r="G88">
        <v>1698</v>
      </c>
      <c r="H88">
        <v>1129329154</v>
      </c>
      <c r="I88">
        <v>10438</v>
      </c>
      <c r="J88">
        <v>0.62921351194381714</v>
      </c>
      <c r="K88">
        <v>0.95652174949645996</v>
      </c>
      <c r="L88">
        <v>0.65789473056793213</v>
      </c>
      <c r="M88">
        <v>0.94736842105263153</v>
      </c>
      <c r="N88">
        <v>1</v>
      </c>
      <c r="O88">
        <v>0.88764044943820219</v>
      </c>
      <c r="P88">
        <v>201</v>
      </c>
      <c r="Q88">
        <v>2553154</v>
      </c>
      <c r="R88">
        <v>1615</v>
      </c>
      <c r="S88">
        <v>2</v>
      </c>
      <c r="T88">
        <v>26</v>
      </c>
      <c r="U88">
        <v>0.94736842105263153</v>
      </c>
      <c r="V88">
        <v>1</v>
      </c>
      <c r="W88">
        <v>0.9438202247191011</v>
      </c>
      <c r="X88">
        <v>269</v>
      </c>
      <c r="Y88">
        <v>2930834</v>
      </c>
      <c r="Z88">
        <v>1731</v>
      </c>
      <c r="AA88">
        <v>2</v>
      </c>
      <c r="AB88">
        <v>27</v>
      </c>
    </row>
    <row r="89" spans="1:28" x14ac:dyDescent="0.25">
      <c r="A89" s="7" t="s">
        <v>44</v>
      </c>
      <c r="B89">
        <v>10</v>
      </c>
      <c r="C89">
        <v>3</v>
      </c>
      <c r="D89">
        <v>3</v>
      </c>
      <c r="E89">
        <v>0</v>
      </c>
      <c r="F89" s="7" t="s">
        <v>53</v>
      </c>
      <c r="G89">
        <v>1698</v>
      </c>
      <c r="H89">
        <v>1128808377</v>
      </c>
      <c r="I89">
        <v>10545</v>
      </c>
      <c r="J89">
        <v>0.57303369045257568</v>
      </c>
      <c r="K89">
        <v>0.95652174949645996</v>
      </c>
      <c r="L89">
        <v>0.52631580829620361</v>
      </c>
      <c r="M89">
        <v>0.94736842105263153</v>
      </c>
      <c r="N89">
        <v>1</v>
      </c>
      <c r="O89">
        <v>0.9213483146067416</v>
      </c>
      <c r="P89">
        <v>377</v>
      </c>
      <c r="Q89">
        <v>3737987</v>
      </c>
      <c r="R89">
        <v>1615</v>
      </c>
      <c r="S89">
        <v>2</v>
      </c>
      <c r="T89">
        <v>26</v>
      </c>
      <c r="U89">
        <v>0.94736842105263153</v>
      </c>
      <c r="V89">
        <v>1</v>
      </c>
      <c r="W89">
        <v>0.9213483146067416</v>
      </c>
      <c r="X89">
        <v>244</v>
      </c>
      <c r="Y89">
        <v>2988214</v>
      </c>
      <c r="Z89">
        <v>1731</v>
      </c>
      <c r="AA89">
        <v>2</v>
      </c>
      <c r="AB89">
        <v>27</v>
      </c>
    </row>
    <row r="90" spans="1:28" x14ac:dyDescent="0.25">
      <c r="A90" s="7" t="s">
        <v>44</v>
      </c>
      <c r="B90">
        <v>10</v>
      </c>
      <c r="C90">
        <v>3</v>
      </c>
      <c r="D90">
        <v>3</v>
      </c>
      <c r="E90">
        <v>0</v>
      </c>
      <c r="F90" s="7" t="s">
        <v>53</v>
      </c>
      <c r="G90">
        <v>1698</v>
      </c>
      <c r="H90">
        <v>19176182</v>
      </c>
      <c r="I90">
        <v>1000000</v>
      </c>
      <c r="J90">
        <v>0.94382023811340332</v>
      </c>
      <c r="K90">
        <v>1</v>
      </c>
      <c r="L90">
        <v>0.92105263471603394</v>
      </c>
      <c r="M90">
        <v>0.97368421052631582</v>
      </c>
      <c r="N90">
        <v>1</v>
      </c>
      <c r="O90">
        <v>0.9550561797752809</v>
      </c>
      <c r="P90">
        <v>288</v>
      </c>
      <c r="Q90">
        <v>3604120</v>
      </c>
      <c r="R90">
        <v>1615</v>
      </c>
      <c r="S90">
        <v>2</v>
      </c>
      <c r="T90">
        <v>26</v>
      </c>
      <c r="U90">
        <v>0.97368421052631582</v>
      </c>
      <c r="V90">
        <v>1</v>
      </c>
      <c r="W90">
        <v>0.9550561797752809</v>
      </c>
      <c r="X90">
        <v>272</v>
      </c>
      <c r="Y90">
        <v>2537422</v>
      </c>
      <c r="Z90">
        <v>1731</v>
      </c>
      <c r="AA90">
        <v>2</v>
      </c>
      <c r="AB90">
        <v>27</v>
      </c>
    </row>
    <row r="91" spans="1:28" x14ac:dyDescent="0.25">
      <c r="A91" s="7" t="s">
        <v>44</v>
      </c>
      <c r="B91">
        <v>10</v>
      </c>
      <c r="C91">
        <v>3</v>
      </c>
      <c r="D91">
        <v>3</v>
      </c>
      <c r="E91">
        <v>0</v>
      </c>
      <c r="F91" s="7" t="s">
        <v>53</v>
      </c>
      <c r="G91">
        <v>1698</v>
      </c>
      <c r="H91">
        <v>1086939819</v>
      </c>
      <c r="I91">
        <v>10077</v>
      </c>
      <c r="J91">
        <v>0.59550559520721436</v>
      </c>
      <c r="K91">
        <v>0.91304349899291992</v>
      </c>
      <c r="L91">
        <v>0.44736841320991516</v>
      </c>
      <c r="M91">
        <v>0.97368421052631582</v>
      </c>
      <c r="N91">
        <v>1</v>
      </c>
      <c r="O91">
        <v>0.9550561797752809</v>
      </c>
      <c r="P91">
        <v>302</v>
      </c>
      <c r="Q91">
        <v>3316051</v>
      </c>
      <c r="R91">
        <v>1615</v>
      </c>
      <c r="S91">
        <v>2</v>
      </c>
      <c r="T91">
        <v>26</v>
      </c>
      <c r="U91">
        <v>0.94736842105263153</v>
      </c>
      <c r="V91">
        <v>1</v>
      </c>
      <c r="W91">
        <v>0.9550561797752809</v>
      </c>
      <c r="X91">
        <v>230</v>
      </c>
      <c r="Y91">
        <v>2871807</v>
      </c>
      <c r="Z91">
        <v>1731</v>
      </c>
      <c r="AA91">
        <v>2</v>
      </c>
      <c r="AB91">
        <v>27</v>
      </c>
    </row>
    <row r="92" spans="1:28" x14ac:dyDescent="0.25">
      <c r="A92" s="7" t="s">
        <v>44</v>
      </c>
      <c r="B92">
        <v>10</v>
      </c>
      <c r="C92">
        <v>3</v>
      </c>
      <c r="D92">
        <v>3</v>
      </c>
      <c r="E92">
        <v>0</v>
      </c>
      <c r="F92" s="7" t="s">
        <v>55</v>
      </c>
      <c r="G92">
        <v>1231</v>
      </c>
      <c r="H92">
        <v>19221733</v>
      </c>
      <c r="I92">
        <v>1000000</v>
      </c>
      <c r="J92">
        <v>0.97752809524536133</v>
      </c>
      <c r="K92">
        <v>1</v>
      </c>
      <c r="L92">
        <v>0.92105263471603394</v>
      </c>
      <c r="M92">
        <v>0.94736842105263153</v>
      </c>
      <c r="N92">
        <v>1</v>
      </c>
      <c r="O92">
        <v>0.93258426966292129</v>
      </c>
      <c r="P92">
        <v>358</v>
      </c>
      <c r="Q92">
        <v>3202310</v>
      </c>
      <c r="R92">
        <v>1191</v>
      </c>
      <c r="S92">
        <v>2</v>
      </c>
      <c r="T92">
        <v>22</v>
      </c>
      <c r="U92">
        <v>0.97368421052631582</v>
      </c>
      <c r="V92">
        <v>1</v>
      </c>
      <c r="W92">
        <v>0.9550561797752809</v>
      </c>
      <c r="X92">
        <v>342</v>
      </c>
      <c r="Y92">
        <v>3153369</v>
      </c>
      <c r="Z92">
        <v>1291</v>
      </c>
      <c r="AA92">
        <v>2</v>
      </c>
      <c r="AB92">
        <v>23</v>
      </c>
    </row>
    <row r="93" spans="1:28" x14ac:dyDescent="0.25">
      <c r="A93" s="7" t="s">
        <v>44</v>
      </c>
      <c r="B93">
        <v>10</v>
      </c>
      <c r="C93">
        <v>3</v>
      </c>
      <c r="D93">
        <v>3</v>
      </c>
      <c r="E93">
        <v>0</v>
      </c>
      <c r="F93" s="7" t="s">
        <v>55</v>
      </c>
      <c r="G93">
        <v>1231</v>
      </c>
      <c r="H93">
        <v>14254460</v>
      </c>
      <c r="I93">
        <v>1000000</v>
      </c>
      <c r="J93">
        <v>0.92134833335876465</v>
      </c>
      <c r="K93">
        <v>1</v>
      </c>
      <c r="L93">
        <v>0.89473682641983032</v>
      </c>
      <c r="M93">
        <v>0.97368421052631582</v>
      </c>
      <c r="N93">
        <v>1</v>
      </c>
      <c r="O93">
        <v>0.9438202247191011</v>
      </c>
      <c r="P93">
        <v>290</v>
      </c>
      <c r="Q93">
        <v>3466957</v>
      </c>
      <c r="R93">
        <v>1191</v>
      </c>
      <c r="S93">
        <v>2</v>
      </c>
      <c r="T93">
        <v>22</v>
      </c>
      <c r="U93">
        <v>0.97368421052631582</v>
      </c>
      <c r="V93">
        <v>1</v>
      </c>
      <c r="W93">
        <v>0.9662921348314607</v>
      </c>
      <c r="X93">
        <v>164</v>
      </c>
      <c r="Y93">
        <v>1478613</v>
      </c>
      <c r="Z93">
        <v>1291</v>
      </c>
      <c r="AA93">
        <v>2</v>
      </c>
      <c r="AB93">
        <v>23</v>
      </c>
    </row>
    <row r="94" spans="1:28" x14ac:dyDescent="0.25">
      <c r="A94" s="7" t="s">
        <v>44</v>
      </c>
      <c r="B94">
        <v>10</v>
      </c>
      <c r="C94">
        <v>3</v>
      </c>
      <c r="D94">
        <v>3</v>
      </c>
      <c r="E94">
        <v>0</v>
      </c>
      <c r="F94" s="7" t="s">
        <v>55</v>
      </c>
      <c r="G94">
        <v>1231</v>
      </c>
      <c r="H94">
        <v>18134002</v>
      </c>
      <c r="I94">
        <v>1000000</v>
      </c>
      <c r="J94">
        <v>0.91011238098144531</v>
      </c>
      <c r="K94">
        <v>1</v>
      </c>
      <c r="L94">
        <v>0.94736844301223755</v>
      </c>
      <c r="M94">
        <v>0.94736842105263153</v>
      </c>
      <c r="N94">
        <v>1</v>
      </c>
      <c r="O94">
        <v>0.9438202247191011</v>
      </c>
      <c r="P94">
        <v>323</v>
      </c>
      <c r="Q94">
        <v>3320836</v>
      </c>
      <c r="R94">
        <v>1191</v>
      </c>
      <c r="S94">
        <v>2</v>
      </c>
      <c r="T94">
        <v>22</v>
      </c>
      <c r="U94">
        <v>0.94736842105263153</v>
      </c>
      <c r="V94">
        <v>1</v>
      </c>
      <c r="W94">
        <v>0.9550561797752809</v>
      </c>
      <c r="X94">
        <v>246</v>
      </c>
      <c r="Y94">
        <v>2993487</v>
      </c>
      <c r="Z94">
        <v>1291</v>
      </c>
      <c r="AA94">
        <v>2</v>
      </c>
      <c r="AB94">
        <v>23</v>
      </c>
    </row>
    <row r="95" spans="1:28" x14ac:dyDescent="0.25">
      <c r="A95" s="7" t="s">
        <v>44</v>
      </c>
      <c r="B95">
        <v>10</v>
      </c>
      <c r="C95">
        <v>3</v>
      </c>
      <c r="D95">
        <v>3</v>
      </c>
      <c r="E95">
        <v>0</v>
      </c>
      <c r="F95" s="7" t="s">
        <v>55</v>
      </c>
      <c r="G95">
        <v>1231</v>
      </c>
      <c r="H95">
        <v>38531989</v>
      </c>
      <c r="I95">
        <v>1000000</v>
      </c>
      <c r="J95">
        <v>0.93258428573608398</v>
      </c>
      <c r="K95">
        <v>1</v>
      </c>
      <c r="L95">
        <v>0.92105263471603394</v>
      </c>
      <c r="M95">
        <v>0.94736842105263153</v>
      </c>
      <c r="N95">
        <v>1</v>
      </c>
      <c r="O95">
        <v>0.898876404494382</v>
      </c>
      <c r="P95">
        <v>305</v>
      </c>
      <c r="Q95">
        <v>3362074</v>
      </c>
      <c r="R95">
        <v>1191</v>
      </c>
      <c r="S95">
        <v>2</v>
      </c>
      <c r="T95">
        <v>22</v>
      </c>
      <c r="U95">
        <v>0.97368421052631582</v>
      </c>
      <c r="V95">
        <v>1</v>
      </c>
      <c r="W95">
        <v>0.9438202247191011</v>
      </c>
      <c r="X95">
        <v>360</v>
      </c>
      <c r="Y95">
        <v>3485029</v>
      </c>
      <c r="Z95">
        <v>1291</v>
      </c>
      <c r="AA95">
        <v>2</v>
      </c>
      <c r="AB95">
        <v>23</v>
      </c>
    </row>
    <row r="96" spans="1:28" x14ac:dyDescent="0.25">
      <c r="A96" s="7" t="s">
        <v>44</v>
      </c>
      <c r="B96">
        <v>10</v>
      </c>
      <c r="C96">
        <v>3</v>
      </c>
      <c r="D96">
        <v>3</v>
      </c>
      <c r="E96">
        <v>0</v>
      </c>
      <c r="F96" s="7" t="s">
        <v>55</v>
      </c>
      <c r="G96">
        <v>1231</v>
      </c>
      <c r="H96">
        <v>1171031518</v>
      </c>
      <c r="I96">
        <v>11372</v>
      </c>
      <c r="J96">
        <v>0.57303369045257568</v>
      </c>
      <c r="K96">
        <v>0.86956518888473511</v>
      </c>
      <c r="L96">
        <v>0.68421053886413574</v>
      </c>
      <c r="M96">
        <v>0.94736842105263153</v>
      </c>
      <c r="N96">
        <v>1</v>
      </c>
      <c r="O96">
        <v>0.9213483146067416</v>
      </c>
      <c r="P96">
        <v>297</v>
      </c>
      <c r="Q96">
        <v>3471917</v>
      </c>
      <c r="R96">
        <v>1191</v>
      </c>
      <c r="S96">
        <v>2</v>
      </c>
      <c r="T96">
        <v>22</v>
      </c>
      <c r="U96">
        <v>0.97368421052631582</v>
      </c>
      <c r="V96">
        <v>1</v>
      </c>
      <c r="W96">
        <v>0.9438202247191011</v>
      </c>
      <c r="X96">
        <v>244</v>
      </c>
      <c r="Y96">
        <v>3137858</v>
      </c>
      <c r="Z96">
        <v>1291</v>
      </c>
      <c r="AA96">
        <v>2</v>
      </c>
      <c r="AB96">
        <v>23</v>
      </c>
    </row>
    <row r="97" spans="1:28" x14ac:dyDescent="0.25">
      <c r="A97" s="7" t="s">
        <v>44</v>
      </c>
      <c r="B97">
        <v>10</v>
      </c>
      <c r="C97">
        <v>3</v>
      </c>
      <c r="D97">
        <v>3</v>
      </c>
      <c r="E97">
        <v>0</v>
      </c>
      <c r="F97" s="7" t="s">
        <v>56</v>
      </c>
      <c r="G97">
        <v>2116</v>
      </c>
      <c r="H97">
        <v>3738655</v>
      </c>
      <c r="I97">
        <v>1000000</v>
      </c>
      <c r="J97">
        <v>0.95505619049072266</v>
      </c>
      <c r="K97">
        <v>1</v>
      </c>
      <c r="L97">
        <v>0.94736844301223755</v>
      </c>
      <c r="M97">
        <v>0.94736842105263153</v>
      </c>
      <c r="N97">
        <v>1</v>
      </c>
      <c r="O97">
        <v>0.9550561797752809</v>
      </c>
      <c r="P97">
        <v>283</v>
      </c>
      <c r="Q97">
        <v>2519849</v>
      </c>
      <c r="R97">
        <v>2103</v>
      </c>
      <c r="S97">
        <v>2</v>
      </c>
      <c r="T97">
        <v>30</v>
      </c>
      <c r="U97">
        <v>0.94736842105263153</v>
      </c>
      <c r="V97">
        <v>1</v>
      </c>
      <c r="W97">
        <v>0.93258426966292129</v>
      </c>
      <c r="X97">
        <v>213</v>
      </c>
      <c r="Y97">
        <v>2060338</v>
      </c>
      <c r="Z97">
        <v>2235</v>
      </c>
      <c r="AA97">
        <v>2</v>
      </c>
      <c r="AB97">
        <v>31</v>
      </c>
    </row>
    <row r="98" spans="1:28" x14ac:dyDescent="0.25">
      <c r="A98" s="7" t="s">
        <v>44</v>
      </c>
      <c r="B98">
        <v>10</v>
      </c>
      <c r="C98">
        <v>3</v>
      </c>
      <c r="D98">
        <v>3</v>
      </c>
      <c r="E98">
        <v>0</v>
      </c>
      <c r="F98" s="7" t="s">
        <v>56</v>
      </c>
      <c r="G98">
        <v>2116</v>
      </c>
      <c r="H98">
        <v>2194249782</v>
      </c>
      <c r="I98">
        <v>20031</v>
      </c>
      <c r="J98">
        <v>0.57303369045257568</v>
      </c>
      <c r="K98">
        <v>0.95652174949645996</v>
      </c>
      <c r="L98">
        <v>0.47368422150611877</v>
      </c>
      <c r="M98">
        <v>0.97368421052631582</v>
      </c>
      <c r="N98">
        <v>1</v>
      </c>
      <c r="O98">
        <v>0.9438202247191011</v>
      </c>
      <c r="P98">
        <v>228</v>
      </c>
      <c r="Q98">
        <v>3006403</v>
      </c>
      <c r="R98">
        <v>2103</v>
      </c>
      <c r="S98">
        <v>2</v>
      </c>
      <c r="T98">
        <v>30</v>
      </c>
      <c r="U98">
        <v>0.94736842105263153</v>
      </c>
      <c r="V98">
        <v>1</v>
      </c>
      <c r="W98">
        <v>0.9438202247191011</v>
      </c>
      <c r="X98">
        <v>362</v>
      </c>
      <c r="Y98">
        <v>3562512</v>
      </c>
      <c r="Z98">
        <v>2235</v>
      </c>
      <c r="AA98">
        <v>2</v>
      </c>
      <c r="AB98">
        <v>31</v>
      </c>
    </row>
    <row r="99" spans="1:28" x14ac:dyDescent="0.25">
      <c r="A99" s="7" t="s">
        <v>44</v>
      </c>
      <c r="B99">
        <v>10</v>
      </c>
      <c r="C99">
        <v>3</v>
      </c>
      <c r="D99">
        <v>3</v>
      </c>
      <c r="E99">
        <v>0</v>
      </c>
      <c r="F99" s="7" t="s">
        <v>56</v>
      </c>
      <c r="G99">
        <v>2116</v>
      </c>
      <c r="H99">
        <v>1103078178</v>
      </c>
      <c r="I99">
        <v>10018</v>
      </c>
      <c r="J99">
        <v>0.79775279760360718</v>
      </c>
      <c r="K99">
        <v>0.95652174949645996</v>
      </c>
      <c r="L99">
        <v>0.81578946113586426</v>
      </c>
      <c r="M99">
        <v>0.94736842105263153</v>
      </c>
      <c r="N99">
        <v>1</v>
      </c>
      <c r="O99">
        <v>0.93258426966292129</v>
      </c>
      <c r="P99">
        <v>240</v>
      </c>
      <c r="Q99">
        <v>2961274</v>
      </c>
      <c r="R99">
        <v>2103</v>
      </c>
      <c r="S99">
        <v>2</v>
      </c>
      <c r="T99">
        <v>30</v>
      </c>
      <c r="U99">
        <v>0.94736842105263153</v>
      </c>
      <c r="V99">
        <v>1</v>
      </c>
      <c r="W99">
        <v>0.9213483146067416</v>
      </c>
      <c r="X99">
        <v>330</v>
      </c>
      <c r="Y99">
        <v>3268315</v>
      </c>
      <c r="Z99">
        <v>2235</v>
      </c>
      <c r="AA99">
        <v>2</v>
      </c>
      <c r="AB99">
        <v>31</v>
      </c>
    </row>
    <row r="100" spans="1:28" x14ac:dyDescent="0.25">
      <c r="A100" s="7" t="s">
        <v>44</v>
      </c>
      <c r="B100">
        <v>10</v>
      </c>
      <c r="C100">
        <v>3</v>
      </c>
      <c r="D100">
        <v>3</v>
      </c>
      <c r="E100">
        <v>0</v>
      </c>
      <c r="F100" s="7" t="s">
        <v>56</v>
      </c>
      <c r="G100">
        <v>2116</v>
      </c>
      <c r="H100">
        <v>1504019392</v>
      </c>
      <c r="I100">
        <v>13427</v>
      </c>
      <c r="J100">
        <v>0.82022470235824585</v>
      </c>
      <c r="K100">
        <v>0.95652174949645996</v>
      </c>
      <c r="L100">
        <v>0.89473682641983032</v>
      </c>
      <c r="M100">
        <v>0.94736842105263153</v>
      </c>
      <c r="N100">
        <v>1</v>
      </c>
      <c r="O100">
        <v>0.9550561797752809</v>
      </c>
      <c r="P100">
        <v>288</v>
      </c>
      <c r="Q100">
        <v>2647305</v>
      </c>
      <c r="R100">
        <v>2103</v>
      </c>
      <c r="S100">
        <v>2</v>
      </c>
      <c r="T100">
        <v>30</v>
      </c>
      <c r="U100">
        <v>0.97368421052631582</v>
      </c>
      <c r="V100">
        <v>1</v>
      </c>
      <c r="W100">
        <v>0.9550561797752809</v>
      </c>
      <c r="X100">
        <v>246</v>
      </c>
      <c r="Y100">
        <v>2236027</v>
      </c>
      <c r="Z100">
        <v>2235</v>
      </c>
      <c r="AA100">
        <v>2</v>
      </c>
      <c r="AB100">
        <v>31</v>
      </c>
    </row>
    <row r="101" spans="1:28" x14ac:dyDescent="0.25">
      <c r="A101" s="7" t="s">
        <v>44</v>
      </c>
      <c r="B101">
        <v>10</v>
      </c>
      <c r="C101">
        <v>3</v>
      </c>
      <c r="D101">
        <v>3</v>
      </c>
      <c r="E101">
        <v>0</v>
      </c>
      <c r="F101" s="7" t="s">
        <v>56</v>
      </c>
      <c r="G101">
        <v>2116</v>
      </c>
      <c r="H101">
        <v>1141600411</v>
      </c>
      <c r="I101">
        <v>10120</v>
      </c>
      <c r="J101">
        <v>0.61797749996185303</v>
      </c>
      <c r="K101">
        <v>0.95652174949645996</v>
      </c>
      <c r="L101">
        <v>0.65789473056793213</v>
      </c>
      <c r="M101">
        <v>0.94736842105263153</v>
      </c>
      <c r="N101">
        <v>1</v>
      </c>
      <c r="O101">
        <v>0.9438202247191011</v>
      </c>
      <c r="P101">
        <v>269</v>
      </c>
      <c r="Q101">
        <v>3615844</v>
      </c>
      <c r="R101">
        <v>2103</v>
      </c>
      <c r="S101">
        <v>2</v>
      </c>
      <c r="T101">
        <v>30</v>
      </c>
      <c r="U101">
        <v>0.97368421052631582</v>
      </c>
      <c r="V101">
        <v>1</v>
      </c>
      <c r="W101">
        <v>0.9438202247191011</v>
      </c>
      <c r="X101">
        <v>249</v>
      </c>
      <c r="Y101">
        <v>2856186</v>
      </c>
      <c r="Z101">
        <v>2235</v>
      </c>
      <c r="AA101">
        <v>2</v>
      </c>
      <c r="AB101">
        <v>31</v>
      </c>
    </row>
    <row r="102" spans="1:28" x14ac:dyDescent="0.25">
      <c r="A102" s="7" t="s">
        <v>44</v>
      </c>
      <c r="B102">
        <v>10</v>
      </c>
      <c r="C102">
        <v>3</v>
      </c>
      <c r="D102">
        <v>3</v>
      </c>
      <c r="E102">
        <v>0</v>
      </c>
      <c r="F102" s="7" t="s">
        <v>45</v>
      </c>
      <c r="G102">
        <v>1489</v>
      </c>
      <c r="H102">
        <v>45045519</v>
      </c>
      <c r="I102">
        <v>1000000</v>
      </c>
      <c r="J102">
        <v>0.91011238098144531</v>
      </c>
      <c r="K102">
        <v>1</v>
      </c>
      <c r="L102">
        <v>0.92105263471603394</v>
      </c>
      <c r="M102">
        <v>0.94736842105263153</v>
      </c>
      <c r="N102">
        <v>1</v>
      </c>
      <c r="O102">
        <v>0.9213483146067416</v>
      </c>
      <c r="P102">
        <v>324</v>
      </c>
      <c r="Q102">
        <v>3376401</v>
      </c>
      <c r="R102">
        <v>1395</v>
      </c>
      <c r="S102">
        <v>2</v>
      </c>
      <c r="T102">
        <v>24</v>
      </c>
      <c r="U102">
        <v>0.94736842105263153</v>
      </c>
      <c r="V102">
        <v>1</v>
      </c>
      <c r="W102">
        <v>0.9101123595505618</v>
      </c>
      <c r="X102">
        <v>240</v>
      </c>
      <c r="Y102">
        <v>2883931</v>
      </c>
      <c r="Z102">
        <v>1503</v>
      </c>
      <c r="AA102">
        <v>2</v>
      </c>
      <c r="AB102">
        <v>25</v>
      </c>
    </row>
    <row r="103" spans="1:28" x14ac:dyDescent="0.25">
      <c r="A103" s="7" t="s">
        <v>44</v>
      </c>
      <c r="B103">
        <v>10</v>
      </c>
      <c r="C103">
        <v>3</v>
      </c>
      <c r="D103">
        <v>3</v>
      </c>
      <c r="E103">
        <v>0</v>
      </c>
      <c r="F103" s="7" t="s">
        <v>45</v>
      </c>
      <c r="G103">
        <v>1489</v>
      </c>
      <c r="H103">
        <v>69916044</v>
      </c>
      <c r="I103">
        <v>1000000</v>
      </c>
      <c r="J103">
        <v>0.95505619049072266</v>
      </c>
      <c r="K103">
        <v>1</v>
      </c>
      <c r="L103">
        <v>0.97368419170379639</v>
      </c>
      <c r="M103">
        <v>0.97368421052631582</v>
      </c>
      <c r="N103">
        <v>1</v>
      </c>
      <c r="O103">
        <v>0.9550561797752809</v>
      </c>
      <c r="P103">
        <v>290</v>
      </c>
      <c r="Q103">
        <v>3433560</v>
      </c>
      <c r="R103">
        <v>1395</v>
      </c>
      <c r="S103">
        <v>2</v>
      </c>
      <c r="T103">
        <v>24</v>
      </c>
      <c r="U103">
        <v>0.94736842105263153</v>
      </c>
      <c r="V103">
        <v>1</v>
      </c>
      <c r="W103">
        <v>0.9213483146067416</v>
      </c>
      <c r="X103">
        <v>244</v>
      </c>
      <c r="Y103">
        <v>2253940</v>
      </c>
      <c r="Z103">
        <v>1503</v>
      </c>
      <c r="AA103">
        <v>2</v>
      </c>
      <c r="AB103">
        <v>25</v>
      </c>
    </row>
    <row r="104" spans="1:28" x14ac:dyDescent="0.25">
      <c r="A104" s="7" t="s">
        <v>44</v>
      </c>
      <c r="B104">
        <v>10</v>
      </c>
      <c r="C104">
        <v>3</v>
      </c>
      <c r="D104">
        <v>3</v>
      </c>
      <c r="E104">
        <v>0</v>
      </c>
      <c r="F104" s="7" t="s">
        <v>45</v>
      </c>
      <c r="G104">
        <v>1489</v>
      </c>
      <c r="H104">
        <v>14817364</v>
      </c>
      <c r="I104">
        <v>1000000</v>
      </c>
      <c r="J104">
        <v>0.92134833335876465</v>
      </c>
      <c r="K104">
        <v>1</v>
      </c>
      <c r="L104">
        <v>0.92105263471603394</v>
      </c>
      <c r="M104">
        <v>0.97368421052631582</v>
      </c>
      <c r="N104">
        <v>1</v>
      </c>
      <c r="O104">
        <v>0.9662921348314607</v>
      </c>
      <c r="P104">
        <v>401</v>
      </c>
      <c r="Q104">
        <v>4136853</v>
      </c>
      <c r="R104">
        <v>1395</v>
      </c>
      <c r="S104">
        <v>2</v>
      </c>
      <c r="T104">
        <v>24</v>
      </c>
      <c r="U104">
        <v>0.94736842105263153</v>
      </c>
      <c r="V104">
        <v>1</v>
      </c>
      <c r="W104">
        <v>0.9550561797752809</v>
      </c>
      <c r="X104">
        <v>247</v>
      </c>
      <c r="Y104">
        <v>2320704</v>
      </c>
      <c r="Z104">
        <v>1503</v>
      </c>
      <c r="AA104">
        <v>2</v>
      </c>
      <c r="AB104">
        <v>25</v>
      </c>
    </row>
    <row r="105" spans="1:28" x14ac:dyDescent="0.25">
      <c r="A105" s="7" t="s">
        <v>44</v>
      </c>
      <c r="B105">
        <v>10</v>
      </c>
      <c r="C105">
        <v>3</v>
      </c>
      <c r="D105">
        <v>3</v>
      </c>
      <c r="E105">
        <v>0</v>
      </c>
      <c r="F105" s="7" t="s">
        <v>45</v>
      </c>
      <c r="G105">
        <v>1489</v>
      </c>
      <c r="H105">
        <v>17104155</v>
      </c>
      <c r="I105">
        <v>1000000</v>
      </c>
      <c r="J105">
        <v>0.96629214286804199</v>
      </c>
      <c r="K105">
        <v>1</v>
      </c>
      <c r="L105">
        <v>0.97368419170379639</v>
      </c>
      <c r="M105">
        <v>0.97368421052631582</v>
      </c>
      <c r="N105">
        <v>1</v>
      </c>
      <c r="O105">
        <v>0.9438202247191011</v>
      </c>
      <c r="P105">
        <v>408</v>
      </c>
      <c r="Q105">
        <v>3704774</v>
      </c>
      <c r="R105">
        <v>1395</v>
      </c>
      <c r="S105">
        <v>2</v>
      </c>
      <c r="T105">
        <v>24</v>
      </c>
      <c r="U105">
        <v>0.97368421052631582</v>
      </c>
      <c r="V105">
        <v>1</v>
      </c>
      <c r="W105">
        <v>0.9550561797752809</v>
      </c>
      <c r="X105">
        <v>325</v>
      </c>
      <c r="Y105">
        <v>3540725</v>
      </c>
      <c r="Z105">
        <v>1503</v>
      </c>
      <c r="AA105">
        <v>2</v>
      </c>
      <c r="AB105">
        <v>25</v>
      </c>
    </row>
    <row r="106" spans="1:28" x14ac:dyDescent="0.25">
      <c r="A106" s="7" t="s">
        <v>44</v>
      </c>
      <c r="B106">
        <v>10</v>
      </c>
      <c r="C106">
        <v>3</v>
      </c>
      <c r="D106">
        <v>3</v>
      </c>
      <c r="E106">
        <v>0</v>
      </c>
      <c r="F106" s="7" t="s">
        <v>45</v>
      </c>
      <c r="G106">
        <v>1489</v>
      </c>
      <c r="H106">
        <v>61183397</v>
      </c>
      <c r="I106">
        <v>1000000</v>
      </c>
      <c r="J106">
        <v>0.84269660711288452</v>
      </c>
      <c r="K106">
        <v>1</v>
      </c>
      <c r="L106">
        <v>0.92105263471603394</v>
      </c>
      <c r="M106">
        <v>0.97368421052631582</v>
      </c>
      <c r="N106">
        <v>1</v>
      </c>
      <c r="O106">
        <v>0.9550561797752809</v>
      </c>
      <c r="P106">
        <v>338</v>
      </c>
      <c r="Q106">
        <v>3406237</v>
      </c>
      <c r="R106">
        <v>1395</v>
      </c>
      <c r="S106">
        <v>2</v>
      </c>
      <c r="T106">
        <v>24</v>
      </c>
      <c r="U106">
        <v>0.94736842105263153</v>
      </c>
      <c r="V106">
        <v>1</v>
      </c>
      <c r="W106">
        <v>0.88764044943820219</v>
      </c>
      <c r="X106">
        <v>297</v>
      </c>
      <c r="Y106">
        <v>2786491</v>
      </c>
      <c r="Z106">
        <v>1503</v>
      </c>
      <c r="AA106">
        <v>2</v>
      </c>
      <c r="AB106">
        <v>25</v>
      </c>
    </row>
    <row r="107" spans="1:28" x14ac:dyDescent="0.25">
      <c r="A107" s="7" t="s">
        <v>44</v>
      </c>
      <c r="B107">
        <v>10</v>
      </c>
      <c r="C107">
        <v>3</v>
      </c>
      <c r="D107">
        <v>3</v>
      </c>
      <c r="E107">
        <v>0</v>
      </c>
      <c r="F107" s="7" t="s">
        <v>46</v>
      </c>
      <c r="G107">
        <v>2534</v>
      </c>
      <c r="H107">
        <v>1616064515</v>
      </c>
      <c r="I107">
        <v>13892</v>
      </c>
      <c r="J107">
        <v>0.53932583332061768</v>
      </c>
      <c r="K107">
        <v>0.95652174949645996</v>
      </c>
      <c r="L107">
        <v>0.63157892227172852</v>
      </c>
      <c r="M107">
        <v>0.94736842105263153</v>
      </c>
      <c r="N107">
        <v>1</v>
      </c>
      <c r="O107">
        <v>0.9213483146067416</v>
      </c>
      <c r="P107">
        <v>236</v>
      </c>
      <c r="Q107">
        <v>3065832</v>
      </c>
      <c r="R107">
        <v>2511</v>
      </c>
      <c r="S107">
        <v>2</v>
      </c>
      <c r="T107">
        <v>33</v>
      </c>
      <c r="U107">
        <v>0.94736842105263153</v>
      </c>
      <c r="V107">
        <v>1</v>
      </c>
      <c r="W107">
        <v>0.9550561797752809</v>
      </c>
      <c r="X107">
        <v>218</v>
      </c>
      <c r="Y107">
        <v>3002360</v>
      </c>
      <c r="Z107">
        <v>2655</v>
      </c>
      <c r="AA107">
        <v>2</v>
      </c>
      <c r="AB107">
        <v>34</v>
      </c>
    </row>
    <row r="108" spans="1:28" x14ac:dyDescent="0.25">
      <c r="A108" s="7" t="s">
        <v>44</v>
      </c>
      <c r="B108">
        <v>10</v>
      </c>
      <c r="C108">
        <v>3</v>
      </c>
      <c r="D108">
        <v>3</v>
      </c>
      <c r="E108">
        <v>0</v>
      </c>
      <c r="F108" s="7" t="s">
        <v>46</v>
      </c>
      <c r="G108">
        <v>2534</v>
      </c>
      <c r="H108">
        <v>1143111397</v>
      </c>
      <c r="I108">
        <v>10038</v>
      </c>
      <c r="J108">
        <v>0.483146071434021</v>
      </c>
      <c r="K108">
        <v>0.91304349899291992</v>
      </c>
      <c r="L108">
        <v>0.44736841320991516</v>
      </c>
      <c r="M108">
        <v>0.94736842105263153</v>
      </c>
      <c r="N108">
        <v>1</v>
      </c>
      <c r="O108">
        <v>0.9550561797752809</v>
      </c>
      <c r="P108">
        <v>243</v>
      </c>
      <c r="Q108">
        <v>3022905</v>
      </c>
      <c r="R108">
        <v>2511</v>
      </c>
      <c r="S108">
        <v>2</v>
      </c>
      <c r="T108">
        <v>33</v>
      </c>
      <c r="U108">
        <v>0.97368421052631582</v>
      </c>
      <c r="V108">
        <v>1</v>
      </c>
      <c r="W108">
        <v>0.9662921348314607</v>
      </c>
      <c r="X108">
        <v>264</v>
      </c>
      <c r="Y108">
        <v>2675239</v>
      </c>
      <c r="Z108">
        <v>2655</v>
      </c>
      <c r="AA108">
        <v>2</v>
      </c>
      <c r="AB108">
        <v>34</v>
      </c>
    </row>
    <row r="109" spans="1:28" x14ac:dyDescent="0.25">
      <c r="A109" s="7" t="s">
        <v>44</v>
      </c>
      <c r="B109">
        <v>10</v>
      </c>
      <c r="C109">
        <v>3</v>
      </c>
      <c r="D109">
        <v>3</v>
      </c>
      <c r="E109">
        <v>0</v>
      </c>
      <c r="F109" s="7" t="s">
        <v>46</v>
      </c>
      <c r="G109">
        <v>2534</v>
      </c>
      <c r="H109">
        <v>65402962</v>
      </c>
      <c r="I109">
        <v>1000000</v>
      </c>
      <c r="J109">
        <v>0.94382023811340332</v>
      </c>
      <c r="K109">
        <v>1</v>
      </c>
      <c r="L109">
        <v>0.89473682641983032</v>
      </c>
      <c r="M109">
        <v>0.97368421052631582</v>
      </c>
      <c r="N109">
        <v>1</v>
      </c>
      <c r="O109">
        <v>0.9438202247191011</v>
      </c>
      <c r="P109">
        <v>198</v>
      </c>
      <c r="Q109">
        <v>2516210</v>
      </c>
      <c r="R109">
        <v>2511</v>
      </c>
      <c r="S109">
        <v>2</v>
      </c>
      <c r="T109">
        <v>33</v>
      </c>
      <c r="U109">
        <v>0.94736842105263153</v>
      </c>
      <c r="V109">
        <v>1</v>
      </c>
      <c r="W109">
        <v>0.9550561797752809</v>
      </c>
      <c r="X109">
        <v>219</v>
      </c>
      <c r="Y109">
        <v>2857670</v>
      </c>
      <c r="Z109">
        <v>2655</v>
      </c>
      <c r="AA109">
        <v>2</v>
      </c>
      <c r="AB109">
        <v>34</v>
      </c>
    </row>
    <row r="110" spans="1:28" x14ac:dyDescent="0.25">
      <c r="A110" s="7" t="s">
        <v>44</v>
      </c>
      <c r="B110">
        <v>10</v>
      </c>
      <c r="C110">
        <v>3</v>
      </c>
      <c r="D110">
        <v>3</v>
      </c>
      <c r="E110">
        <v>0</v>
      </c>
      <c r="F110" s="7" t="s">
        <v>46</v>
      </c>
      <c r="G110">
        <v>2534</v>
      </c>
      <c r="H110">
        <v>24521283</v>
      </c>
      <c r="I110">
        <v>1000000</v>
      </c>
      <c r="J110">
        <v>0.95505619049072266</v>
      </c>
      <c r="K110">
        <v>1</v>
      </c>
      <c r="L110">
        <v>0.97368419170379639</v>
      </c>
      <c r="M110">
        <v>0.97368421052631582</v>
      </c>
      <c r="N110">
        <v>1</v>
      </c>
      <c r="O110">
        <v>0.9550561797752809</v>
      </c>
      <c r="P110">
        <v>197</v>
      </c>
      <c r="Q110">
        <v>1841872</v>
      </c>
      <c r="R110">
        <v>2511</v>
      </c>
      <c r="S110">
        <v>2</v>
      </c>
      <c r="T110">
        <v>33</v>
      </c>
      <c r="U110">
        <v>0.97368421052631582</v>
      </c>
      <c r="V110">
        <v>1</v>
      </c>
      <c r="W110">
        <v>0.9550561797752809</v>
      </c>
      <c r="X110">
        <v>334</v>
      </c>
      <c r="Y110">
        <v>3722474</v>
      </c>
      <c r="Z110">
        <v>2655</v>
      </c>
      <c r="AA110">
        <v>2</v>
      </c>
      <c r="AB110">
        <v>34</v>
      </c>
    </row>
    <row r="111" spans="1:28" x14ac:dyDescent="0.25">
      <c r="A111" s="7" t="s">
        <v>44</v>
      </c>
      <c r="B111">
        <v>10</v>
      </c>
      <c r="C111">
        <v>3</v>
      </c>
      <c r="D111">
        <v>3</v>
      </c>
      <c r="E111">
        <v>0</v>
      </c>
      <c r="F111" s="7" t="s">
        <v>46</v>
      </c>
      <c r="G111">
        <v>2534</v>
      </c>
      <c r="H111">
        <v>14006878</v>
      </c>
      <c r="I111">
        <v>1000000</v>
      </c>
      <c r="J111">
        <v>0.97752809524536133</v>
      </c>
      <c r="K111">
        <v>1</v>
      </c>
      <c r="L111">
        <v>0.92105263471603394</v>
      </c>
      <c r="M111">
        <v>0.97368421052631582</v>
      </c>
      <c r="N111">
        <v>1</v>
      </c>
      <c r="O111">
        <v>0.9550561797752809</v>
      </c>
      <c r="P111">
        <v>224</v>
      </c>
      <c r="Q111">
        <v>2205791</v>
      </c>
      <c r="R111">
        <v>2511</v>
      </c>
      <c r="S111">
        <v>2</v>
      </c>
      <c r="T111">
        <v>33</v>
      </c>
      <c r="U111">
        <v>0.94736842105263153</v>
      </c>
      <c r="V111">
        <v>1</v>
      </c>
      <c r="W111">
        <v>0.9438202247191011</v>
      </c>
      <c r="X111">
        <v>247</v>
      </c>
      <c r="Y111">
        <v>2838006</v>
      </c>
      <c r="Z111">
        <v>2655</v>
      </c>
      <c r="AA111">
        <v>2</v>
      </c>
      <c r="AB111">
        <v>34</v>
      </c>
    </row>
    <row r="112" spans="1:28" x14ac:dyDescent="0.25">
      <c r="A112" s="7" t="s">
        <v>44</v>
      </c>
      <c r="B112">
        <v>10</v>
      </c>
      <c r="C112">
        <v>3</v>
      </c>
      <c r="D112">
        <v>3</v>
      </c>
      <c r="E112">
        <v>0</v>
      </c>
      <c r="F112" s="7" t="s">
        <v>47</v>
      </c>
      <c r="G112">
        <v>1747</v>
      </c>
      <c r="H112">
        <v>1093766414</v>
      </c>
      <c r="I112">
        <v>10195</v>
      </c>
      <c r="J112">
        <v>0.516853928565979</v>
      </c>
      <c r="K112">
        <v>0.91304349899291992</v>
      </c>
      <c r="L112">
        <v>0.5</v>
      </c>
      <c r="M112">
        <v>0.97368421052631582</v>
      </c>
      <c r="N112">
        <v>1</v>
      </c>
      <c r="O112">
        <v>0.9550561797752809</v>
      </c>
      <c r="P112">
        <v>289</v>
      </c>
      <c r="Q112">
        <v>2863716</v>
      </c>
      <c r="R112">
        <v>1731</v>
      </c>
      <c r="S112">
        <v>2</v>
      </c>
      <c r="T112">
        <v>27</v>
      </c>
      <c r="U112">
        <v>0.94736842105263153</v>
      </c>
      <c r="V112">
        <v>1</v>
      </c>
      <c r="W112">
        <v>0.9213483146067416</v>
      </c>
      <c r="X112">
        <v>340</v>
      </c>
      <c r="Y112">
        <v>4067610</v>
      </c>
      <c r="Z112">
        <v>1851</v>
      </c>
      <c r="AA112">
        <v>2</v>
      </c>
      <c r="AB112">
        <v>28</v>
      </c>
    </row>
    <row r="113" spans="1:28" x14ac:dyDescent="0.25">
      <c r="A113" s="7" t="s">
        <v>44</v>
      </c>
      <c r="B113">
        <v>10</v>
      </c>
      <c r="C113">
        <v>3</v>
      </c>
      <c r="D113">
        <v>3</v>
      </c>
      <c r="E113">
        <v>0</v>
      </c>
      <c r="F113" s="7" t="s">
        <v>47</v>
      </c>
      <c r="G113">
        <v>1747</v>
      </c>
      <c r="H113">
        <v>27230226</v>
      </c>
      <c r="I113">
        <v>1000000</v>
      </c>
      <c r="J113">
        <v>0.97752809524536133</v>
      </c>
      <c r="K113">
        <v>1</v>
      </c>
      <c r="L113">
        <v>0.97368419170379639</v>
      </c>
      <c r="M113">
        <v>0.97368421052631582</v>
      </c>
      <c r="N113">
        <v>1</v>
      </c>
      <c r="O113">
        <v>0.9550561797752809</v>
      </c>
      <c r="P113">
        <v>332</v>
      </c>
      <c r="Q113">
        <v>3921548</v>
      </c>
      <c r="R113">
        <v>1731</v>
      </c>
      <c r="S113">
        <v>2</v>
      </c>
      <c r="T113">
        <v>27</v>
      </c>
      <c r="U113">
        <v>0.94736842105263153</v>
      </c>
      <c r="V113">
        <v>1</v>
      </c>
      <c r="W113">
        <v>0.9662921348314607</v>
      </c>
      <c r="X113">
        <v>51</v>
      </c>
      <c r="Y113">
        <v>455077</v>
      </c>
      <c r="Z113">
        <v>1851</v>
      </c>
      <c r="AA113">
        <v>2</v>
      </c>
      <c r="AB113">
        <v>28</v>
      </c>
    </row>
    <row r="114" spans="1:28" x14ac:dyDescent="0.25">
      <c r="A114" s="7" t="s">
        <v>44</v>
      </c>
      <c r="B114">
        <v>10</v>
      </c>
      <c r="C114">
        <v>3</v>
      </c>
      <c r="D114">
        <v>3</v>
      </c>
      <c r="E114">
        <v>0</v>
      </c>
      <c r="F114" s="7" t="s">
        <v>47</v>
      </c>
      <c r="G114">
        <v>1747</v>
      </c>
      <c r="H114">
        <v>1120313658</v>
      </c>
      <c r="I114">
        <v>10552</v>
      </c>
      <c r="J114">
        <v>0.59550559520721436</v>
      </c>
      <c r="K114">
        <v>0.95652174949645996</v>
      </c>
      <c r="L114">
        <v>0.71052628755569458</v>
      </c>
      <c r="M114">
        <v>0.97368421052631582</v>
      </c>
      <c r="N114">
        <v>1</v>
      </c>
      <c r="O114">
        <v>0.9662921348314607</v>
      </c>
      <c r="P114">
        <v>374</v>
      </c>
      <c r="Q114">
        <v>3746300</v>
      </c>
      <c r="R114">
        <v>1731</v>
      </c>
      <c r="S114">
        <v>2</v>
      </c>
      <c r="T114">
        <v>27</v>
      </c>
      <c r="U114">
        <v>0.94736842105263153</v>
      </c>
      <c r="V114">
        <v>1</v>
      </c>
      <c r="W114">
        <v>0.9101123595505618</v>
      </c>
      <c r="X114">
        <v>274</v>
      </c>
      <c r="Y114">
        <v>2520758</v>
      </c>
      <c r="Z114">
        <v>1851</v>
      </c>
      <c r="AA114">
        <v>2</v>
      </c>
      <c r="AB114">
        <v>28</v>
      </c>
    </row>
    <row r="115" spans="1:28" x14ac:dyDescent="0.25">
      <c r="A115" s="7" t="s">
        <v>44</v>
      </c>
      <c r="B115">
        <v>10</v>
      </c>
      <c r="C115">
        <v>3</v>
      </c>
      <c r="D115">
        <v>3</v>
      </c>
      <c r="E115">
        <v>0</v>
      </c>
      <c r="F115" s="7" t="s">
        <v>47</v>
      </c>
      <c r="G115">
        <v>1747</v>
      </c>
      <c r="H115">
        <v>14141899</v>
      </c>
      <c r="I115">
        <v>1000000</v>
      </c>
      <c r="J115">
        <v>0.93258428573608398</v>
      </c>
      <c r="K115">
        <v>1</v>
      </c>
      <c r="L115">
        <v>0.94736844301223755</v>
      </c>
      <c r="M115">
        <v>0.94736842105263153</v>
      </c>
      <c r="N115">
        <v>1</v>
      </c>
      <c r="O115">
        <v>0.9438202247191011</v>
      </c>
      <c r="P115">
        <v>283</v>
      </c>
      <c r="Q115">
        <v>2530173</v>
      </c>
      <c r="R115">
        <v>1731</v>
      </c>
      <c r="S115">
        <v>2</v>
      </c>
      <c r="T115">
        <v>27</v>
      </c>
      <c r="U115">
        <v>0.94736842105263153</v>
      </c>
      <c r="V115">
        <v>1</v>
      </c>
      <c r="W115">
        <v>0.898876404494382</v>
      </c>
      <c r="X115">
        <v>244</v>
      </c>
      <c r="Y115">
        <v>2147326</v>
      </c>
      <c r="Z115">
        <v>1851</v>
      </c>
      <c r="AA115">
        <v>2</v>
      </c>
      <c r="AB115">
        <v>28</v>
      </c>
    </row>
    <row r="116" spans="1:28" x14ac:dyDescent="0.25">
      <c r="A116" s="7" t="s">
        <v>44</v>
      </c>
      <c r="B116">
        <v>10</v>
      </c>
      <c r="C116">
        <v>3</v>
      </c>
      <c r="D116">
        <v>3</v>
      </c>
      <c r="E116">
        <v>0</v>
      </c>
      <c r="F116" s="7" t="s">
        <v>47</v>
      </c>
      <c r="G116">
        <v>1747</v>
      </c>
      <c r="H116">
        <v>39387965</v>
      </c>
      <c r="I116">
        <v>1000000</v>
      </c>
      <c r="J116">
        <v>0.95505619049072266</v>
      </c>
      <c r="K116">
        <v>1</v>
      </c>
      <c r="L116">
        <v>0.97368419170379639</v>
      </c>
      <c r="M116">
        <v>0.94736842105263153</v>
      </c>
      <c r="N116">
        <v>1</v>
      </c>
      <c r="O116">
        <v>0.93258426966292129</v>
      </c>
      <c r="P116">
        <v>272</v>
      </c>
      <c r="Q116">
        <v>3069242</v>
      </c>
      <c r="R116">
        <v>1731</v>
      </c>
      <c r="S116">
        <v>2</v>
      </c>
      <c r="T116">
        <v>27</v>
      </c>
      <c r="U116">
        <v>0.94736842105263153</v>
      </c>
      <c r="V116">
        <v>1</v>
      </c>
      <c r="W116">
        <v>0.9213483146067416</v>
      </c>
      <c r="X116">
        <v>238</v>
      </c>
      <c r="Y116">
        <v>3116616</v>
      </c>
      <c r="Z116">
        <v>1851</v>
      </c>
      <c r="AA116">
        <v>2</v>
      </c>
      <c r="AB116">
        <v>28</v>
      </c>
    </row>
    <row r="117" spans="1:28" x14ac:dyDescent="0.25">
      <c r="A117" s="7" t="s">
        <v>44</v>
      </c>
      <c r="B117">
        <v>10</v>
      </c>
      <c r="C117">
        <v>3</v>
      </c>
      <c r="D117">
        <v>3</v>
      </c>
      <c r="E117">
        <v>0</v>
      </c>
      <c r="F117" s="7" t="s">
        <v>48</v>
      </c>
      <c r="G117">
        <v>2952</v>
      </c>
      <c r="H117">
        <v>61123808</v>
      </c>
      <c r="I117">
        <v>1000000</v>
      </c>
      <c r="J117">
        <v>0.92134833335876465</v>
      </c>
      <c r="K117">
        <v>1</v>
      </c>
      <c r="L117">
        <v>0.92105263471603394</v>
      </c>
      <c r="M117">
        <v>0.94736842105263153</v>
      </c>
      <c r="N117">
        <v>1</v>
      </c>
      <c r="O117">
        <v>0.9438202247191011</v>
      </c>
      <c r="P117">
        <v>228</v>
      </c>
      <c r="Q117">
        <v>2825668</v>
      </c>
      <c r="R117">
        <v>2803</v>
      </c>
      <c r="S117">
        <v>2</v>
      </c>
      <c r="T117">
        <v>35</v>
      </c>
      <c r="U117">
        <v>0.94736842105263153</v>
      </c>
      <c r="V117">
        <v>1</v>
      </c>
      <c r="W117">
        <v>0.9438202247191011</v>
      </c>
      <c r="X117">
        <v>219</v>
      </c>
      <c r="Y117">
        <v>2347729</v>
      </c>
      <c r="Z117">
        <v>2955</v>
      </c>
      <c r="AA117">
        <v>2</v>
      </c>
      <c r="AB117">
        <v>36</v>
      </c>
    </row>
    <row r="118" spans="1:28" x14ac:dyDescent="0.25">
      <c r="A118" s="7" t="s">
        <v>44</v>
      </c>
      <c r="B118">
        <v>10</v>
      </c>
      <c r="C118">
        <v>3</v>
      </c>
      <c r="D118">
        <v>3</v>
      </c>
      <c r="E118">
        <v>0</v>
      </c>
      <c r="F118" s="7" t="s">
        <v>48</v>
      </c>
      <c r="G118">
        <v>2952</v>
      </c>
      <c r="H118">
        <v>41158083</v>
      </c>
      <c r="I118">
        <v>1000000</v>
      </c>
      <c r="J118">
        <v>0.96629214286804199</v>
      </c>
      <c r="K118">
        <v>1</v>
      </c>
      <c r="L118">
        <v>0.97368419170379639</v>
      </c>
      <c r="M118">
        <v>0.97368421052631582</v>
      </c>
      <c r="N118">
        <v>1</v>
      </c>
      <c r="O118">
        <v>0.9550561797752809</v>
      </c>
      <c r="P118">
        <v>235</v>
      </c>
      <c r="Q118">
        <v>2399523</v>
      </c>
      <c r="R118">
        <v>2803</v>
      </c>
      <c r="S118">
        <v>2</v>
      </c>
      <c r="T118">
        <v>35</v>
      </c>
      <c r="U118">
        <v>0.94736842105263153</v>
      </c>
      <c r="V118">
        <v>1</v>
      </c>
      <c r="W118">
        <v>0.93258426966292129</v>
      </c>
      <c r="X118">
        <v>197</v>
      </c>
      <c r="Y118">
        <v>1770870</v>
      </c>
      <c r="Z118">
        <v>2955</v>
      </c>
      <c r="AA118">
        <v>2</v>
      </c>
      <c r="AB118">
        <v>36</v>
      </c>
    </row>
    <row r="119" spans="1:28" x14ac:dyDescent="0.25">
      <c r="A119" s="7" t="s">
        <v>44</v>
      </c>
      <c r="B119">
        <v>10</v>
      </c>
      <c r="C119">
        <v>3</v>
      </c>
      <c r="D119">
        <v>3</v>
      </c>
      <c r="E119">
        <v>0</v>
      </c>
      <c r="F119" s="7" t="s">
        <v>48</v>
      </c>
      <c r="G119">
        <v>2952</v>
      </c>
      <c r="H119">
        <v>8603529</v>
      </c>
      <c r="I119">
        <v>1000000</v>
      </c>
      <c r="J119">
        <v>0.95505619049072266</v>
      </c>
      <c r="K119">
        <v>1</v>
      </c>
      <c r="L119">
        <v>0.97368419170379639</v>
      </c>
      <c r="M119">
        <v>0.97368421052631582</v>
      </c>
      <c r="N119">
        <v>1</v>
      </c>
      <c r="O119">
        <v>0.9662921348314607</v>
      </c>
      <c r="P119">
        <v>41</v>
      </c>
      <c r="Q119">
        <v>555589</v>
      </c>
      <c r="R119">
        <v>2803</v>
      </c>
      <c r="S119">
        <v>2</v>
      </c>
      <c r="T119">
        <v>35</v>
      </c>
      <c r="U119">
        <v>0.94736842105263153</v>
      </c>
      <c r="V119">
        <v>1</v>
      </c>
      <c r="W119">
        <v>0.9101123595505618</v>
      </c>
      <c r="X119">
        <v>181</v>
      </c>
      <c r="Y119">
        <v>2228543</v>
      </c>
      <c r="Z119">
        <v>2955</v>
      </c>
      <c r="AA119">
        <v>2</v>
      </c>
      <c r="AB119">
        <v>36</v>
      </c>
    </row>
    <row r="120" spans="1:28" x14ac:dyDescent="0.25">
      <c r="A120" s="7" t="s">
        <v>44</v>
      </c>
      <c r="B120">
        <v>10</v>
      </c>
      <c r="C120">
        <v>3</v>
      </c>
      <c r="D120">
        <v>3</v>
      </c>
      <c r="E120">
        <v>0</v>
      </c>
      <c r="F120" s="7" t="s">
        <v>48</v>
      </c>
      <c r="G120">
        <v>2952</v>
      </c>
      <c r="H120">
        <v>8904275</v>
      </c>
      <c r="I120">
        <v>1000000</v>
      </c>
      <c r="J120">
        <v>0.95505619049072266</v>
      </c>
      <c r="K120">
        <v>1</v>
      </c>
      <c r="L120">
        <v>0.94736844301223755</v>
      </c>
      <c r="M120">
        <v>0.97368421052631582</v>
      </c>
      <c r="N120">
        <v>1</v>
      </c>
      <c r="O120">
        <v>0.9550561797752809</v>
      </c>
      <c r="P120">
        <v>279</v>
      </c>
      <c r="Q120">
        <v>2499749</v>
      </c>
      <c r="R120">
        <v>2803</v>
      </c>
      <c r="S120">
        <v>2</v>
      </c>
      <c r="T120">
        <v>35</v>
      </c>
      <c r="U120">
        <v>0.94736842105263153</v>
      </c>
      <c r="V120">
        <v>1</v>
      </c>
      <c r="W120">
        <v>0.9438202247191011</v>
      </c>
      <c r="X120">
        <v>265</v>
      </c>
      <c r="Y120">
        <v>2396734</v>
      </c>
      <c r="Z120">
        <v>2955</v>
      </c>
      <c r="AA120">
        <v>2</v>
      </c>
      <c r="AB120">
        <v>36</v>
      </c>
    </row>
    <row r="121" spans="1:28" x14ac:dyDescent="0.25">
      <c r="A121" s="7" t="s">
        <v>44</v>
      </c>
      <c r="B121">
        <v>10</v>
      </c>
      <c r="C121">
        <v>3</v>
      </c>
      <c r="D121">
        <v>3</v>
      </c>
      <c r="E121">
        <v>0</v>
      </c>
      <c r="F121" s="7" t="s">
        <v>48</v>
      </c>
      <c r="G121">
        <v>2952</v>
      </c>
      <c r="H121">
        <v>1276590263</v>
      </c>
      <c r="I121">
        <v>10918</v>
      </c>
      <c r="J121">
        <v>0.69662922620773315</v>
      </c>
      <c r="K121">
        <v>0.95652174949645996</v>
      </c>
      <c r="L121">
        <v>0.86842107772827148</v>
      </c>
      <c r="M121">
        <v>0.97368421052631582</v>
      </c>
      <c r="N121">
        <v>1</v>
      </c>
      <c r="O121">
        <v>0.9438202247191011</v>
      </c>
      <c r="P121">
        <v>263</v>
      </c>
      <c r="Q121">
        <v>3322778</v>
      </c>
      <c r="R121">
        <v>2803</v>
      </c>
      <c r="S121">
        <v>2</v>
      </c>
      <c r="T121">
        <v>35</v>
      </c>
      <c r="U121">
        <v>0.97368421052631582</v>
      </c>
      <c r="V121">
        <v>1</v>
      </c>
      <c r="W121">
        <v>0.9438202247191011</v>
      </c>
      <c r="X121">
        <v>333</v>
      </c>
      <c r="Y121">
        <v>4005968</v>
      </c>
      <c r="Z121">
        <v>2955</v>
      </c>
      <c r="AA121">
        <v>2</v>
      </c>
      <c r="AB121">
        <v>36</v>
      </c>
    </row>
    <row r="122" spans="1:28" x14ac:dyDescent="0.25">
      <c r="A122" s="7" t="s">
        <v>44</v>
      </c>
      <c r="B122">
        <v>12</v>
      </c>
      <c r="C122">
        <v>3</v>
      </c>
      <c r="D122">
        <v>4</v>
      </c>
      <c r="E122">
        <v>0</v>
      </c>
      <c r="F122" s="7" t="s">
        <v>49</v>
      </c>
      <c r="G122">
        <v>405</v>
      </c>
      <c r="H122">
        <v>696542380</v>
      </c>
      <c r="I122">
        <v>10054</v>
      </c>
      <c r="J122">
        <v>0.15730337798595428</v>
      </c>
      <c r="K122">
        <v>0.82608693838119507</v>
      </c>
      <c r="L122">
        <v>0.10526315867900848</v>
      </c>
      <c r="M122">
        <v>0.94736842105263153</v>
      </c>
      <c r="N122">
        <v>1</v>
      </c>
      <c r="O122">
        <v>0.93258426966292129</v>
      </c>
      <c r="P122">
        <v>450</v>
      </c>
      <c r="Q122">
        <v>3932046</v>
      </c>
      <c r="R122">
        <v>355</v>
      </c>
      <c r="S122">
        <v>2</v>
      </c>
      <c r="T122">
        <v>11</v>
      </c>
      <c r="U122">
        <v>0.94736842105263153</v>
      </c>
      <c r="V122">
        <v>1</v>
      </c>
      <c r="W122">
        <v>0.9213483146067416</v>
      </c>
      <c r="X122">
        <v>479</v>
      </c>
      <c r="Y122">
        <v>5376739</v>
      </c>
      <c r="Z122">
        <v>411</v>
      </c>
      <c r="AA122">
        <v>2</v>
      </c>
      <c r="AB122">
        <v>12</v>
      </c>
    </row>
    <row r="123" spans="1:28" x14ac:dyDescent="0.25">
      <c r="A123" s="7" t="s">
        <v>44</v>
      </c>
      <c r="B123">
        <v>12</v>
      </c>
      <c r="C123">
        <v>3</v>
      </c>
      <c r="D123">
        <v>4</v>
      </c>
      <c r="E123">
        <v>0</v>
      </c>
      <c r="F123" s="7" t="s">
        <v>49</v>
      </c>
      <c r="G123">
        <v>405</v>
      </c>
      <c r="H123">
        <v>800195852</v>
      </c>
      <c r="I123">
        <v>11428</v>
      </c>
      <c r="J123">
        <v>0.69662922620773315</v>
      </c>
      <c r="K123">
        <v>0.95652174949645996</v>
      </c>
      <c r="L123">
        <v>0.63157892227172852</v>
      </c>
      <c r="M123">
        <v>0.97368421052631582</v>
      </c>
      <c r="N123">
        <v>1</v>
      </c>
      <c r="O123">
        <v>0.9550561797752809</v>
      </c>
      <c r="P123">
        <v>586</v>
      </c>
      <c r="Q123">
        <v>7016172</v>
      </c>
      <c r="R123">
        <v>355</v>
      </c>
      <c r="S123">
        <v>2</v>
      </c>
      <c r="T123">
        <v>11</v>
      </c>
      <c r="U123">
        <v>0.94736842105263153</v>
      </c>
      <c r="V123">
        <v>1</v>
      </c>
      <c r="W123">
        <v>0.93258426966292129</v>
      </c>
      <c r="X123">
        <v>474</v>
      </c>
      <c r="Y123">
        <v>4548340</v>
      </c>
      <c r="Z123">
        <v>411</v>
      </c>
      <c r="AA123">
        <v>2</v>
      </c>
      <c r="AB123">
        <v>12</v>
      </c>
    </row>
    <row r="124" spans="1:28" x14ac:dyDescent="0.25">
      <c r="A124" s="7" t="s">
        <v>44</v>
      </c>
      <c r="B124">
        <v>12</v>
      </c>
      <c r="C124">
        <v>3</v>
      </c>
      <c r="D124">
        <v>4</v>
      </c>
      <c r="E124">
        <v>0</v>
      </c>
      <c r="F124" s="7" t="s">
        <v>49</v>
      </c>
      <c r="G124">
        <v>405</v>
      </c>
      <c r="H124">
        <v>712020471</v>
      </c>
      <c r="I124">
        <v>10289</v>
      </c>
      <c r="J124">
        <v>0.67415732145309448</v>
      </c>
      <c r="K124">
        <v>0.95652174949645996</v>
      </c>
      <c r="L124">
        <v>0.71052628755569458</v>
      </c>
      <c r="M124">
        <v>0.97368421052631582</v>
      </c>
      <c r="N124">
        <v>1</v>
      </c>
      <c r="O124">
        <v>0.9438202247191011</v>
      </c>
      <c r="P124">
        <v>563</v>
      </c>
      <c r="Q124">
        <v>7181135</v>
      </c>
      <c r="R124">
        <v>355</v>
      </c>
      <c r="S124">
        <v>2</v>
      </c>
      <c r="T124">
        <v>11</v>
      </c>
      <c r="U124">
        <v>0.94736842105263153</v>
      </c>
      <c r="V124">
        <v>1</v>
      </c>
      <c r="W124">
        <v>0.9101123595505618</v>
      </c>
      <c r="X124">
        <v>446</v>
      </c>
      <c r="Y124">
        <v>4698930</v>
      </c>
      <c r="Z124">
        <v>411</v>
      </c>
      <c r="AA124">
        <v>2</v>
      </c>
      <c r="AB124">
        <v>12</v>
      </c>
    </row>
    <row r="125" spans="1:28" x14ac:dyDescent="0.25">
      <c r="A125" s="7" t="s">
        <v>44</v>
      </c>
      <c r="B125">
        <v>12</v>
      </c>
      <c r="C125">
        <v>3</v>
      </c>
      <c r="D125">
        <v>4</v>
      </c>
      <c r="E125">
        <v>0</v>
      </c>
      <c r="F125" s="7" t="s">
        <v>49</v>
      </c>
      <c r="G125">
        <v>405</v>
      </c>
      <c r="H125">
        <v>712297524</v>
      </c>
      <c r="I125">
        <v>10270</v>
      </c>
      <c r="J125">
        <v>0.43820226192474365</v>
      </c>
      <c r="K125">
        <v>0.95652174949645996</v>
      </c>
      <c r="L125">
        <v>0.44736841320991516</v>
      </c>
      <c r="M125">
        <v>0.92105263157894735</v>
      </c>
      <c r="N125">
        <v>1</v>
      </c>
      <c r="O125">
        <v>0.8764044943820225</v>
      </c>
      <c r="P125">
        <v>464</v>
      </c>
      <c r="Q125">
        <v>4166539</v>
      </c>
      <c r="R125">
        <v>355</v>
      </c>
      <c r="S125">
        <v>2</v>
      </c>
      <c r="T125">
        <v>11</v>
      </c>
      <c r="U125">
        <v>0.94736842105263153</v>
      </c>
      <c r="V125">
        <v>1</v>
      </c>
      <c r="W125">
        <v>0.9213483146067416</v>
      </c>
      <c r="X125">
        <v>611</v>
      </c>
      <c r="Y125">
        <v>7252860</v>
      </c>
      <c r="Z125">
        <v>411</v>
      </c>
      <c r="AA125">
        <v>2</v>
      </c>
      <c r="AB125">
        <v>12</v>
      </c>
    </row>
    <row r="126" spans="1:28" x14ac:dyDescent="0.25">
      <c r="A126" s="7" t="s">
        <v>44</v>
      </c>
      <c r="B126">
        <v>12</v>
      </c>
      <c r="C126">
        <v>3</v>
      </c>
      <c r="D126">
        <v>4</v>
      </c>
      <c r="E126">
        <v>0</v>
      </c>
      <c r="F126" s="7" t="s">
        <v>49</v>
      </c>
      <c r="G126">
        <v>405</v>
      </c>
      <c r="H126">
        <v>703423925</v>
      </c>
      <c r="I126">
        <v>10074</v>
      </c>
      <c r="J126">
        <v>0.39325842261314392</v>
      </c>
      <c r="K126">
        <v>0.86956518888473511</v>
      </c>
      <c r="L126">
        <v>0.42105263471603394</v>
      </c>
      <c r="M126">
        <v>0.97368421052631582</v>
      </c>
      <c r="N126">
        <v>1</v>
      </c>
      <c r="O126">
        <v>0.9438202247191011</v>
      </c>
      <c r="P126">
        <v>529</v>
      </c>
      <c r="Q126">
        <v>4834917</v>
      </c>
      <c r="R126">
        <v>355</v>
      </c>
      <c r="S126">
        <v>2</v>
      </c>
      <c r="T126">
        <v>11</v>
      </c>
      <c r="U126">
        <v>0.97368421052631582</v>
      </c>
      <c r="V126">
        <v>1</v>
      </c>
      <c r="W126">
        <v>0.9662921348314607</v>
      </c>
      <c r="X126">
        <v>2912</v>
      </c>
      <c r="Y126">
        <v>32123560</v>
      </c>
      <c r="Z126">
        <v>411</v>
      </c>
      <c r="AA126">
        <v>2</v>
      </c>
      <c r="AB126">
        <v>12</v>
      </c>
    </row>
    <row r="127" spans="1:28" x14ac:dyDescent="0.25">
      <c r="A127" s="7" t="s">
        <v>44</v>
      </c>
      <c r="B127">
        <v>12</v>
      </c>
      <c r="C127">
        <v>3</v>
      </c>
      <c r="D127">
        <v>4</v>
      </c>
      <c r="E127">
        <v>0</v>
      </c>
      <c r="F127" s="7" t="s">
        <v>54</v>
      </c>
      <c r="G127">
        <v>1075</v>
      </c>
      <c r="H127">
        <v>19170534</v>
      </c>
      <c r="I127">
        <v>1000000</v>
      </c>
      <c r="J127">
        <v>0.93258428573608398</v>
      </c>
      <c r="K127">
        <v>1</v>
      </c>
      <c r="L127">
        <v>0.89473682641983032</v>
      </c>
      <c r="M127">
        <v>0.97368421052631582</v>
      </c>
      <c r="N127">
        <v>1</v>
      </c>
      <c r="O127">
        <v>0.9550561797752809</v>
      </c>
      <c r="P127">
        <v>364</v>
      </c>
      <c r="Q127">
        <v>4748068</v>
      </c>
      <c r="R127">
        <v>1003</v>
      </c>
      <c r="S127">
        <v>2</v>
      </c>
      <c r="T127">
        <v>20</v>
      </c>
      <c r="U127">
        <v>0.94736842105263153</v>
      </c>
      <c r="V127">
        <v>1</v>
      </c>
      <c r="W127">
        <v>0.9213483146067416</v>
      </c>
      <c r="X127">
        <v>286</v>
      </c>
      <c r="Y127">
        <v>3189166</v>
      </c>
      <c r="Z127">
        <v>1095</v>
      </c>
      <c r="AA127">
        <v>2</v>
      </c>
      <c r="AB127">
        <v>21</v>
      </c>
    </row>
    <row r="128" spans="1:28" x14ac:dyDescent="0.25">
      <c r="A128" s="7" t="s">
        <v>44</v>
      </c>
      <c r="B128">
        <v>12</v>
      </c>
      <c r="C128">
        <v>3</v>
      </c>
      <c r="D128">
        <v>4</v>
      </c>
      <c r="E128">
        <v>0</v>
      </c>
      <c r="F128" s="7" t="s">
        <v>54</v>
      </c>
      <c r="G128">
        <v>1075</v>
      </c>
      <c r="H128">
        <v>6552267</v>
      </c>
      <c r="I128">
        <v>1000000</v>
      </c>
      <c r="J128">
        <v>0.8764045238494873</v>
      </c>
      <c r="K128">
        <v>1</v>
      </c>
      <c r="L128">
        <v>0.89473682641983032</v>
      </c>
      <c r="M128">
        <v>0.97368421052631582</v>
      </c>
      <c r="N128">
        <v>1</v>
      </c>
      <c r="O128">
        <v>0.9550561797752809</v>
      </c>
      <c r="P128">
        <v>378</v>
      </c>
      <c r="Q128">
        <v>3634468</v>
      </c>
      <c r="R128">
        <v>1003</v>
      </c>
      <c r="S128">
        <v>2</v>
      </c>
      <c r="T128">
        <v>20</v>
      </c>
      <c r="U128">
        <v>0.94736842105263153</v>
      </c>
      <c r="V128">
        <v>1</v>
      </c>
      <c r="W128">
        <v>0.9438202247191011</v>
      </c>
      <c r="X128">
        <v>394</v>
      </c>
      <c r="Y128">
        <v>3785974</v>
      </c>
      <c r="Z128">
        <v>1095</v>
      </c>
      <c r="AA128">
        <v>2</v>
      </c>
      <c r="AB128">
        <v>21</v>
      </c>
    </row>
    <row r="129" spans="1:28" x14ac:dyDescent="0.25">
      <c r="A129" s="7" t="s">
        <v>44</v>
      </c>
      <c r="B129">
        <v>12</v>
      </c>
      <c r="C129">
        <v>3</v>
      </c>
      <c r="D129">
        <v>4</v>
      </c>
      <c r="E129">
        <v>0</v>
      </c>
      <c r="F129" s="7" t="s">
        <v>54</v>
      </c>
      <c r="G129">
        <v>1075</v>
      </c>
      <c r="H129">
        <v>259286387</v>
      </c>
      <c r="I129">
        <v>1000000</v>
      </c>
      <c r="J129">
        <v>0.92134833335876465</v>
      </c>
      <c r="K129">
        <v>1</v>
      </c>
      <c r="L129">
        <v>0.94736844301223755</v>
      </c>
      <c r="M129">
        <v>0.94736842105263153</v>
      </c>
      <c r="N129">
        <v>1</v>
      </c>
      <c r="O129">
        <v>0.9213483146067416</v>
      </c>
      <c r="P129">
        <v>429</v>
      </c>
      <c r="Q129">
        <v>4675633</v>
      </c>
      <c r="R129">
        <v>1003</v>
      </c>
      <c r="S129">
        <v>2</v>
      </c>
      <c r="T129">
        <v>20</v>
      </c>
      <c r="U129">
        <v>0.94736842105263153</v>
      </c>
      <c r="V129">
        <v>1</v>
      </c>
      <c r="W129">
        <v>0.93258426966292129</v>
      </c>
      <c r="X129">
        <v>368</v>
      </c>
      <c r="Y129">
        <v>4363387</v>
      </c>
      <c r="Z129">
        <v>1095</v>
      </c>
      <c r="AA129">
        <v>2</v>
      </c>
      <c r="AB129">
        <v>21</v>
      </c>
    </row>
    <row r="130" spans="1:28" x14ac:dyDescent="0.25">
      <c r="A130" s="7" t="s">
        <v>44</v>
      </c>
      <c r="B130">
        <v>12</v>
      </c>
      <c r="C130">
        <v>3</v>
      </c>
      <c r="D130">
        <v>4</v>
      </c>
      <c r="E130">
        <v>0</v>
      </c>
      <c r="F130" s="7" t="s">
        <v>54</v>
      </c>
      <c r="G130">
        <v>1075</v>
      </c>
      <c r="H130">
        <v>794928775</v>
      </c>
      <c r="I130">
        <v>10125</v>
      </c>
      <c r="J130">
        <v>0.40449437499046326</v>
      </c>
      <c r="K130">
        <v>0.91304349899291992</v>
      </c>
      <c r="L130">
        <v>0.31578946113586426</v>
      </c>
      <c r="M130">
        <v>0.97368421052631582</v>
      </c>
      <c r="N130">
        <v>1</v>
      </c>
      <c r="O130">
        <v>0.9550561797752809</v>
      </c>
      <c r="P130">
        <v>437</v>
      </c>
      <c r="Q130">
        <v>4152974</v>
      </c>
      <c r="R130">
        <v>1003</v>
      </c>
      <c r="S130">
        <v>2</v>
      </c>
      <c r="T130">
        <v>20</v>
      </c>
      <c r="U130">
        <v>0.97368421052631582</v>
      </c>
      <c r="V130">
        <v>1</v>
      </c>
      <c r="W130">
        <v>0.9438202247191011</v>
      </c>
      <c r="X130">
        <v>367</v>
      </c>
      <c r="Y130">
        <v>3415567</v>
      </c>
      <c r="Z130">
        <v>1095</v>
      </c>
      <c r="AA130">
        <v>2</v>
      </c>
      <c r="AB130">
        <v>21</v>
      </c>
    </row>
    <row r="131" spans="1:28" x14ac:dyDescent="0.25">
      <c r="A131" s="7" t="s">
        <v>44</v>
      </c>
      <c r="B131">
        <v>12</v>
      </c>
      <c r="C131">
        <v>3</v>
      </c>
      <c r="D131">
        <v>4</v>
      </c>
      <c r="E131">
        <v>0</v>
      </c>
      <c r="F131" s="7" t="s">
        <v>54</v>
      </c>
      <c r="G131">
        <v>1075</v>
      </c>
      <c r="H131">
        <v>16090018</v>
      </c>
      <c r="I131">
        <v>1000000</v>
      </c>
      <c r="J131">
        <v>0.88764047622680664</v>
      </c>
      <c r="K131">
        <v>1</v>
      </c>
      <c r="L131">
        <v>0.73684209585189819</v>
      </c>
      <c r="M131">
        <v>0.97368421052631582</v>
      </c>
      <c r="N131">
        <v>1</v>
      </c>
      <c r="O131">
        <v>0.9550561797752809</v>
      </c>
      <c r="P131">
        <v>386</v>
      </c>
      <c r="Q131">
        <v>4130774</v>
      </c>
      <c r="R131">
        <v>1003</v>
      </c>
      <c r="S131">
        <v>2</v>
      </c>
      <c r="T131">
        <v>20</v>
      </c>
      <c r="U131">
        <v>0.97368421052631582</v>
      </c>
      <c r="V131">
        <v>1</v>
      </c>
      <c r="W131">
        <v>0.9438202247191011</v>
      </c>
      <c r="X131">
        <v>377</v>
      </c>
      <c r="Y131">
        <v>4418345</v>
      </c>
      <c r="Z131">
        <v>1095</v>
      </c>
      <c r="AA131">
        <v>2</v>
      </c>
      <c r="AB131">
        <v>21</v>
      </c>
    </row>
    <row r="132" spans="1:28" hidden="1" x14ac:dyDescent="0.25">
      <c r="A132" s="7" t="s">
        <v>57</v>
      </c>
      <c r="B132">
        <v>8</v>
      </c>
      <c r="C132">
        <v>3</v>
      </c>
      <c r="D132">
        <v>2</v>
      </c>
      <c r="E132">
        <v>0</v>
      </c>
      <c r="F132" s="7" t="s">
        <v>76</v>
      </c>
      <c r="G132">
        <v>1884</v>
      </c>
      <c r="H132">
        <v>10498521</v>
      </c>
      <c r="I132">
        <v>1000000</v>
      </c>
      <c r="J132">
        <v>0.93396228551864624</v>
      </c>
      <c r="K132">
        <v>1</v>
      </c>
      <c r="L132">
        <v>0.82222223281860352</v>
      </c>
      <c r="M132">
        <v>0.88888888888888884</v>
      </c>
      <c r="N132">
        <v>0.96296296296296291</v>
      </c>
      <c r="O132">
        <v>1</v>
      </c>
      <c r="P132">
        <v>1000000</v>
      </c>
      <c r="Q132">
        <v>8498653510</v>
      </c>
      <c r="R132">
        <v>1849</v>
      </c>
      <c r="S132">
        <v>2</v>
      </c>
      <c r="T132">
        <v>26</v>
      </c>
      <c r="U132">
        <v>0.8666666666666667</v>
      </c>
      <c r="V132">
        <v>0.96296296296296291</v>
      </c>
      <c r="W132">
        <v>1</v>
      </c>
      <c r="X132">
        <v>32430</v>
      </c>
      <c r="Y132">
        <v>258080302</v>
      </c>
      <c r="Z132">
        <v>1974</v>
      </c>
      <c r="AA132">
        <v>2</v>
      </c>
      <c r="AB132">
        <v>27</v>
      </c>
    </row>
    <row r="133" spans="1:28" hidden="1" x14ac:dyDescent="0.25">
      <c r="A133" s="7" t="s">
        <v>57</v>
      </c>
      <c r="B133">
        <v>8</v>
      </c>
      <c r="C133">
        <v>3</v>
      </c>
      <c r="D133">
        <v>2</v>
      </c>
      <c r="E133">
        <v>0</v>
      </c>
      <c r="F133" s="7" t="s">
        <v>76</v>
      </c>
      <c r="G133">
        <v>1884</v>
      </c>
      <c r="H133">
        <v>8002168</v>
      </c>
      <c r="I133">
        <v>1000000</v>
      </c>
      <c r="J133">
        <v>0.99056601524353027</v>
      </c>
      <c r="K133">
        <v>1</v>
      </c>
      <c r="L133">
        <v>0.86666667461395264</v>
      </c>
      <c r="M133">
        <v>0.88888888888888884</v>
      </c>
      <c r="N133">
        <v>0.96296296296296291</v>
      </c>
      <c r="O133">
        <v>1</v>
      </c>
      <c r="P133">
        <v>1000000</v>
      </c>
      <c r="Q133">
        <v>8708235215</v>
      </c>
      <c r="R133">
        <v>1849</v>
      </c>
      <c r="S133">
        <v>2</v>
      </c>
      <c r="T133">
        <v>26</v>
      </c>
      <c r="U133">
        <v>0.88888888888888884</v>
      </c>
      <c r="V133">
        <v>0.96296296296296291</v>
      </c>
      <c r="W133">
        <v>1</v>
      </c>
      <c r="X133">
        <v>1000000</v>
      </c>
      <c r="Y133">
        <v>8749226928</v>
      </c>
      <c r="Z133">
        <v>1974</v>
      </c>
      <c r="AA133">
        <v>2</v>
      </c>
      <c r="AB133">
        <v>27</v>
      </c>
    </row>
    <row r="134" spans="1:28" hidden="1" x14ac:dyDescent="0.25">
      <c r="A134" s="7" t="s">
        <v>28</v>
      </c>
      <c r="B134">
        <v>10</v>
      </c>
      <c r="C134">
        <v>5</v>
      </c>
      <c r="D134">
        <v>2</v>
      </c>
      <c r="E134">
        <v>0</v>
      </c>
      <c r="F134" s="7" t="s">
        <v>38</v>
      </c>
      <c r="G134">
        <v>34271</v>
      </c>
      <c r="H134">
        <v>5995324821</v>
      </c>
      <c r="I134">
        <v>10234</v>
      </c>
      <c r="J134">
        <v>1</v>
      </c>
      <c r="K134">
        <v>0.95348834991455078</v>
      </c>
      <c r="L134">
        <v>0.92307692766189575</v>
      </c>
      <c r="M134">
        <v>0.95804195804195802</v>
      </c>
      <c r="N134">
        <v>0.95348837209302328</v>
      </c>
      <c r="O134">
        <v>0.99117647058823533</v>
      </c>
      <c r="P134">
        <v>13844</v>
      </c>
      <c r="Q134">
        <v>1870621202</v>
      </c>
      <c r="R134">
        <v>34040</v>
      </c>
      <c r="S134">
        <v>2</v>
      </c>
      <c r="T134">
        <v>122</v>
      </c>
      <c r="U134">
        <v>0.95804195804195802</v>
      </c>
      <c r="V134">
        <v>0.98837209302325579</v>
      </c>
      <c r="W134">
        <v>1</v>
      </c>
      <c r="X134">
        <v>36356</v>
      </c>
      <c r="Y134">
        <v>2476348166</v>
      </c>
      <c r="Z134">
        <v>34565</v>
      </c>
      <c r="AA134">
        <v>2</v>
      </c>
      <c r="AB134">
        <v>123</v>
      </c>
    </row>
    <row r="135" spans="1:28" hidden="1" x14ac:dyDescent="0.25">
      <c r="A135" s="7" t="s">
        <v>57</v>
      </c>
      <c r="B135">
        <v>18</v>
      </c>
      <c r="C135">
        <v>9</v>
      </c>
      <c r="D135">
        <v>4</v>
      </c>
      <c r="E135">
        <v>0</v>
      </c>
      <c r="F135" s="7" t="s">
        <v>65</v>
      </c>
      <c r="G135">
        <v>12058</v>
      </c>
      <c r="H135">
        <v>1978913290</v>
      </c>
      <c r="I135">
        <v>10143</v>
      </c>
      <c r="J135">
        <v>0.25471699237823486</v>
      </c>
      <c r="K135">
        <v>0.74074071645736694</v>
      </c>
      <c r="L135">
        <v>0.31111112236976624</v>
      </c>
      <c r="M135">
        <v>0.91111111111111109</v>
      </c>
      <c r="N135">
        <v>1</v>
      </c>
      <c r="O135">
        <v>0.91509433962264153</v>
      </c>
      <c r="P135">
        <v>8795</v>
      </c>
      <c r="Q135">
        <v>413552040</v>
      </c>
      <c r="R135">
        <v>12048</v>
      </c>
      <c r="S135">
        <v>2</v>
      </c>
      <c r="T135">
        <v>73</v>
      </c>
      <c r="U135">
        <v>0.93333333333333335</v>
      </c>
      <c r="V135">
        <v>1</v>
      </c>
      <c r="W135">
        <v>0.93396226415094341</v>
      </c>
      <c r="X135">
        <v>67555</v>
      </c>
      <c r="Y135">
        <v>3852007284</v>
      </c>
      <c r="Z135">
        <v>12361</v>
      </c>
      <c r="AA135">
        <v>2</v>
      </c>
      <c r="AB135">
        <v>74</v>
      </c>
    </row>
    <row r="136" spans="1:28" hidden="1" x14ac:dyDescent="0.25">
      <c r="A136" s="7" t="s">
        <v>57</v>
      </c>
      <c r="B136">
        <v>18</v>
      </c>
      <c r="C136">
        <v>9</v>
      </c>
      <c r="D136">
        <v>4</v>
      </c>
      <c r="E136">
        <v>0</v>
      </c>
      <c r="F136" s="7" t="s">
        <v>65</v>
      </c>
      <c r="G136">
        <v>12058</v>
      </c>
      <c r="H136">
        <v>1999978833</v>
      </c>
      <c r="I136">
        <v>10062</v>
      </c>
      <c r="J136">
        <v>0.27358490228652954</v>
      </c>
      <c r="K136">
        <v>0.74074071645736694</v>
      </c>
      <c r="L136">
        <v>0.24444444477558136</v>
      </c>
      <c r="M136">
        <v>0.91111111111111109</v>
      </c>
      <c r="N136">
        <v>0.96296296296296291</v>
      </c>
      <c r="O136">
        <v>1</v>
      </c>
      <c r="P136">
        <v>31031</v>
      </c>
      <c r="Q136">
        <v>1698167784</v>
      </c>
      <c r="R136">
        <v>12048</v>
      </c>
      <c r="S136">
        <v>2</v>
      </c>
      <c r="T136">
        <v>73</v>
      </c>
      <c r="U136">
        <v>0.91111111111111109</v>
      </c>
      <c r="V136">
        <v>1</v>
      </c>
      <c r="W136">
        <v>0.93396226415094341</v>
      </c>
      <c r="X136">
        <v>9344</v>
      </c>
      <c r="Y136">
        <v>433697280</v>
      </c>
      <c r="Z136">
        <v>12361</v>
      </c>
      <c r="AA136">
        <v>2</v>
      </c>
      <c r="AB136">
        <v>74</v>
      </c>
    </row>
    <row r="137" spans="1:28" hidden="1" x14ac:dyDescent="0.25">
      <c r="A137" s="7" t="s">
        <v>57</v>
      </c>
      <c r="B137">
        <v>18</v>
      </c>
      <c r="C137">
        <v>9</v>
      </c>
      <c r="D137">
        <v>4</v>
      </c>
      <c r="E137">
        <v>0</v>
      </c>
      <c r="F137" s="7" t="s">
        <v>65</v>
      </c>
      <c r="G137">
        <v>12058</v>
      </c>
      <c r="H137">
        <v>2066078353</v>
      </c>
      <c r="I137">
        <v>10289</v>
      </c>
      <c r="J137">
        <v>0.28301885724067688</v>
      </c>
      <c r="K137">
        <v>0.74074071645736694</v>
      </c>
      <c r="L137">
        <v>0.3333333432674408</v>
      </c>
      <c r="M137">
        <v>0.91111111111111109</v>
      </c>
      <c r="N137">
        <v>0.96296296296296291</v>
      </c>
      <c r="O137">
        <v>1</v>
      </c>
      <c r="P137">
        <v>31887</v>
      </c>
      <c r="Q137">
        <v>1833068524</v>
      </c>
      <c r="R137">
        <v>12048</v>
      </c>
      <c r="S137">
        <v>2</v>
      </c>
      <c r="T137">
        <v>73</v>
      </c>
      <c r="U137">
        <v>0.91111111111111109</v>
      </c>
      <c r="V137">
        <v>0.96296296296296291</v>
      </c>
      <c r="W137">
        <v>1</v>
      </c>
      <c r="X137">
        <v>42681</v>
      </c>
      <c r="Y137">
        <v>2505055001</v>
      </c>
      <c r="Z137">
        <v>12361</v>
      </c>
      <c r="AA137">
        <v>2</v>
      </c>
      <c r="AB137">
        <v>74</v>
      </c>
    </row>
    <row r="138" spans="1:28" hidden="1" x14ac:dyDescent="0.25">
      <c r="A138" s="7" t="s">
        <v>57</v>
      </c>
      <c r="B138">
        <v>18</v>
      </c>
      <c r="C138">
        <v>9</v>
      </c>
      <c r="D138">
        <v>4</v>
      </c>
      <c r="E138">
        <v>0</v>
      </c>
      <c r="F138" s="7" t="s">
        <v>65</v>
      </c>
      <c r="G138">
        <v>12058</v>
      </c>
      <c r="H138">
        <v>2036909451</v>
      </c>
      <c r="I138">
        <v>10165</v>
      </c>
      <c r="J138">
        <v>0.27358490228652954</v>
      </c>
      <c r="K138">
        <v>0.70370370149612427</v>
      </c>
      <c r="L138">
        <v>0.17777778208255768</v>
      </c>
      <c r="M138">
        <v>0.91111111111111109</v>
      </c>
      <c r="N138">
        <v>0.96296296296296291</v>
      </c>
      <c r="O138">
        <v>1</v>
      </c>
      <c r="P138">
        <v>18841</v>
      </c>
      <c r="Q138">
        <v>992351130</v>
      </c>
      <c r="R138">
        <v>12048</v>
      </c>
      <c r="S138">
        <v>2</v>
      </c>
      <c r="T138">
        <v>73</v>
      </c>
      <c r="U138">
        <v>0.91111111111111109</v>
      </c>
      <c r="V138">
        <v>0.96296296296296291</v>
      </c>
      <c r="W138">
        <v>1</v>
      </c>
      <c r="X138">
        <v>31978</v>
      </c>
      <c r="Y138">
        <v>1801468959</v>
      </c>
      <c r="Z138">
        <v>12361</v>
      </c>
      <c r="AA138">
        <v>2</v>
      </c>
      <c r="AB138">
        <v>74</v>
      </c>
    </row>
    <row r="139" spans="1:28" hidden="1" x14ac:dyDescent="0.25">
      <c r="A139" s="7" t="s">
        <v>57</v>
      </c>
      <c r="B139">
        <v>18</v>
      </c>
      <c r="C139">
        <v>9</v>
      </c>
      <c r="D139">
        <v>4</v>
      </c>
      <c r="E139">
        <v>0</v>
      </c>
      <c r="F139" s="7" t="s">
        <v>65</v>
      </c>
      <c r="G139">
        <v>12058</v>
      </c>
      <c r="H139">
        <v>2022925476</v>
      </c>
      <c r="I139">
        <v>10031</v>
      </c>
      <c r="J139">
        <v>0.34905660152435303</v>
      </c>
      <c r="K139">
        <v>0.66666668653488159</v>
      </c>
      <c r="L139">
        <v>0.40000000596046448</v>
      </c>
      <c r="M139">
        <v>0.91111111111111109</v>
      </c>
      <c r="N139">
        <v>0.96296296296296291</v>
      </c>
      <c r="O139">
        <v>1</v>
      </c>
      <c r="P139">
        <v>78690</v>
      </c>
      <c r="Q139">
        <v>4814325387</v>
      </c>
      <c r="R139">
        <v>12048</v>
      </c>
      <c r="S139">
        <v>2</v>
      </c>
      <c r="T139">
        <v>73</v>
      </c>
      <c r="U139">
        <v>0.91111111111111109</v>
      </c>
      <c r="V139">
        <v>1</v>
      </c>
      <c r="W139">
        <v>0.92452830188679247</v>
      </c>
      <c r="X139">
        <v>9004</v>
      </c>
      <c r="Y139">
        <v>438363438</v>
      </c>
      <c r="Z139">
        <v>12361</v>
      </c>
      <c r="AA139">
        <v>2</v>
      </c>
      <c r="AB139">
        <v>74</v>
      </c>
    </row>
    <row r="140" spans="1:28" x14ac:dyDescent="0.25">
      <c r="A140" s="7" t="s">
        <v>44</v>
      </c>
      <c r="B140">
        <v>12</v>
      </c>
      <c r="C140">
        <v>3</v>
      </c>
      <c r="D140">
        <v>4</v>
      </c>
      <c r="E140">
        <v>0</v>
      </c>
      <c r="F140" s="7" t="s">
        <v>50</v>
      </c>
      <c r="G140">
        <v>847</v>
      </c>
      <c r="H140">
        <v>1131629014</v>
      </c>
      <c r="I140">
        <v>10296</v>
      </c>
      <c r="J140">
        <v>0.47191011905670166</v>
      </c>
      <c r="K140">
        <v>0.78260868787765503</v>
      </c>
      <c r="L140">
        <v>0.42105263471603394</v>
      </c>
      <c r="M140">
        <v>0.89473684210526316</v>
      </c>
      <c r="N140">
        <v>1</v>
      </c>
      <c r="O140">
        <v>0.898876404494382</v>
      </c>
      <c r="P140">
        <v>349</v>
      </c>
      <c r="Q140">
        <v>3589320</v>
      </c>
      <c r="R140">
        <v>831</v>
      </c>
      <c r="S140">
        <v>2</v>
      </c>
      <c r="T140">
        <v>18</v>
      </c>
      <c r="U140">
        <v>0.89473684210526316</v>
      </c>
      <c r="V140">
        <v>1</v>
      </c>
      <c r="W140">
        <v>0.88764044943820219</v>
      </c>
      <c r="X140">
        <v>376</v>
      </c>
      <c r="Y140">
        <v>3441818</v>
      </c>
      <c r="Z140">
        <v>915</v>
      </c>
      <c r="AA140">
        <v>2</v>
      </c>
      <c r="AB140">
        <v>19</v>
      </c>
    </row>
    <row r="141" spans="1:28" hidden="1" x14ac:dyDescent="0.25">
      <c r="A141" s="7" t="s">
        <v>28</v>
      </c>
      <c r="B141">
        <v>10</v>
      </c>
      <c r="C141">
        <v>5</v>
      </c>
      <c r="D141">
        <v>2</v>
      </c>
      <c r="E141">
        <v>0</v>
      </c>
      <c r="F141" s="7" t="s">
        <v>38</v>
      </c>
      <c r="G141">
        <v>34271</v>
      </c>
      <c r="H141">
        <v>153057949</v>
      </c>
      <c r="I141">
        <v>350</v>
      </c>
      <c r="J141">
        <v>1</v>
      </c>
      <c r="K141">
        <v>0.97674417495727539</v>
      </c>
      <c r="L141">
        <v>0.92307692766189575</v>
      </c>
      <c r="M141">
        <v>0.97202797202797198</v>
      </c>
      <c r="N141">
        <v>0.97674418604651159</v>
      </c>
      <c r="O141">
        <v>1</v>
      </c>
      <c r="P141">
        <v>119836</v>
      </c>
      <c r="Q141">
        <v>7958847742</v>
      </c>
      <c r="R141">
        <v>34040</v>
      </c>
      <c r="S141">
        <v>2</v>
      </c>
      <c r="T141">
        <v>122</v>
      </c>
      <c r="U141">
        <v>0.95804195804195802</v>
      </c>
      <c r="V141">
        <v>0.96511627906976749</v>
      </c>
      <c r="W141">
        <v>0.9882352941176471</v>
      </c>
      <c r="X141">
        <v>15310</v>
      </c>
      <c r="Y141">
        <v>726476593</v>
      </c>
      <c r="Z141">
        <v>34565</v>
      </c>
      <c r="AA141">
        <v>2</v>
      </c>
      <c r="AB141">
        <v>123</v>
      </c>
    </row>
    <row r="142" spans="1:28" hidden="1" x14ac:dyDescent="0.25">
      <c r="A142" s="7" t="s">
        <v>28</v>
      </c>
      <c r="B142">
        <v>10</v>
      </c>
      <c r="C142">
        <v>5</v>
      </c>
      <c r="D142">
        <v>2</v>
      </c>
      <c r="E142">
        <v>0</v>
      </c>
      <c r="F142" s="7" t="s">
        <v>38</v>
      </c>
      <c r="G142">
        <v>34271</v>
      </c>
      <c r="H142">
        <v>211104343</v>
      </c>
      <c r="I142">
        <v>461</v>
      </c>
      <c r="J142">
        <v>1</v>
      </c>
      <c r="K142">
        <v>0.9883720874786377</v>
      </c>
      <c r="L142">
        <v>0.93006992340087891</v>
      </c>
      <c r="M142">
        <v>0.965034965034965</v>
      </c>
      <c r="N142">
        <v>0.98837209302325579</v>
      </c>
      <c r="O142">
        <v>1</v>
      </c>
      <c r="P142">
        <v>55809</v>
      </c>
      <c r="Q142">
        <v>3494830435</v>
      </c>
      <c r="R142">
        <v>34040</v>
      </c>
      <c r="S142">
        <v>2</v>
      </c>
      <c r="T142">
        <v>122</v>
      </c>
      <c r="U142">
        <v>0.98601398601398604</v>
      </c>
      <c r="V142">
        <v>0.98837209302325579</v>
      </c>
      <c r="W142">
        <v>1</v>
      </c>
      <c r="X142">
        <v>39811</v>
      </c>
      <c r="Y142">
        <v>2277849357</v>
      </c>
      <c r="Z142">
        <v>34565</v>
      </c>
      <c r="AA142">
        <v>2</v>
      </c>
      <c r="AB142">
        <v>123</v>
      </c>
    </row>
    <row r="143" spans="1:28" hidden="1" x14ac:dyDescent="0.25">
      <c r="A143" s="7" t="s">
        <v>28</v>
      </c>
      <c r="B143">
        <v>10</v>
      </c>
      <c r="C143">
        <v>5</v>
      </c>
      <c r="D143">
        <v>2</v>
      </c>
      <c r="E143">
        <v>0</v>
      </c>
      <c r="F143" s="7" t="s">
        <v>38</v>
      </c>
      <c r="G143">
        <v>34271</v>
      </c>
      <c r="H143">
        <v>159277873</v>
      </c>
      <c r="I143">
        <v>334</v>
      </c>
      <c r="J143">
        <v>0.96764707565307617</v>
      </c>
      <c r="K143">
        <v>1</v>
      </c>
      <c r="L143">
        <v>0.93006992340087891</v>
      </c>
      <c r="M143">
        <v>0.97202797202797198</v>
      </c>
      <c r="N143">
        <v>0.96511627906976749</v>
      </c>
      <c r="O143">
        <v>1</v>
      </c>
      <c r="P143">
        <v>35774</v>
      </c>
      <c r="Q143">
        <v>2069041575</v>
      </c>
      <c r="R143">
        <v>34040</v>
      </c>
      <c r="S143">
        <v>2</v>
      </c>
      <c r="T143">
        <v>122</v>
      </c>
      <c r="U143">
        <v>0.965034965034965</v>
      </c>
      <c r="V143">
        <v>0.97674418604651159</v>
      </c>
      <c r="W143">
        <v>1</v>
      </c>
      <c r="X143">
        <v>69102</v>
      </c>
      <c r="Y143">
        <v>4552762317</v>
      </c>
      <c r="Z143">
        <v>34565</v>
      </c>
      <c r="AA143">
        <v>2</v>
      </c>
      <c r="AB143">
        <v>123</v>
      </c>
    </row>
    <row r="144" spans="1:28" hidden="1" x14ac:dyDescent="0.25">
      <c r="A144" s="7" t="s">
        <v>28</v>
      </c>
      <c r="B144">
        <v>10</v>
      </c>
      <c r="C144">
        <v>5</v>
      </c>
      <c r="D144">
        <v>2</v>
      </c>
      <c r="E144">
        <v>0</v>
      </c>
      <c r="F144" s="7" t="s">
        <v>38</v>
      </c>
      <c r="G144">
        <v>34271</v>
      </c>
      <c r="H144">
        <v>224376066</v>
      </c>
      <c r="I144">
        <v>461</v>
      </c>
      <c r="J144">
        <v>1</v>
      </c>
      <c r="K144">
        <v>0.9883720874786377</v>
      </c>
      <c r="L144">
        <v>0.92307692766189575</v>
      </c>
      <c r="M144">
        <v>0.965034965034965</v>
      </c>
      <c r="N144">
        <v>0.98837209302325579</v>
      </c>
      <c r="O144">
        <v>1</v>
      </c>
      <c r="P144">
        <v>55809</v>
      </c>
      <c r="Q144">
        <v>3534952144</v>
      </c>
      <c r="R144">
        <v>34040</v>
      </c>
      <c r="S144">
        <v>2</v>
      </c>
      <c r="T144">
        <v>122</v>
      </c>
      <c r="U144">
        <v>0.98601398601398604</v>
      </c>
      <c r="V144">
        <v>0.98837209302325579</v>
      </c>
      <c r="W144">
        <v>1</v>
      </c>
      <c r="X144">
        <v>39811</v>
      </c>
      <c r="Y144">
        <v>2300205862</v>
      </c>
      <c r="Z144">
        <v>34565</v>
      </c>
      <c r="AA144">
        <v>2</v>
      </c>
      <c r="AB144">
        <v>123</v>
      </c>
    </row>
    <row r="145" spans="1:28" hidden="1" x14ac:dyDescent="0.25">
      <c r="A145" s="7" t="s">
        <v>28</v>
      </c>
      <c r="B145">
        <v>10</v>
      </c>
      <c r="C145">
        <v>5</v>
      </c>
      <c r="D145">
        <v>2</v>
      </c>
      <c r="E145">
        <v>0</v>
      </c>
      <c r="F145" s="7" t="s">
        <v>38</v>
      </c>
      <c r="G145">
        <v>34271</v>
      </c>
      <c r="H145">
        <v>115360878</v>
      </c>
      <c r="I145">
        <v>237</v>
      </c>
      <c r="J145">
        <v>1</v>
      </c>
      <c r="K145">
        <v>0.97674417495727539</v>
      </c>
      <c r="L145">
        <v>0.95104897022247314</v>
      </c>
      <c r="M145">
        <v>0.95804195804195802</v>
      </c>
      <c r="N145">
        <v>0.96511627906976749</v>
      </c>
      <c r="O145">
        <v>1</v>
      </c>
      <c r="P145">
        <v>41370</v>
      </c>
      <c r="Q145">
        <v>2568607906</v>
      </c>
      <c r="R145">
        <v>34040</v>
      </c>
      <c r="S145">
        <v>2</v>
      </c>
      <c r="T145">
        <v>122</v>
      </c>
      <c r="U145">
        <v>0.97902097902097907</v>
      </c>
      <c r="V145">
        <v>0.96511627906976749</v>
      </c>
      <c r="W145">
        <v>0.98529411764705888</v>
      </c>
      <c r="X145">
        <v>14705</v>
      </c>
      <c r="Y145">
        <v>672109116</v>
      </c>
      <c r="Z145">
        <v>34565</v>
      </c>
      <c r="AA145">
        <v>2</v>
      </c>
      <c r="AB145">
        <v>123</v>
      </c>
    </row>
    <row r="146" spans="1:28" hidden="1" x14ac:dyDescent="0.25">
      <c r="A146" s="7" t="s">
        <v>28</v>
      </c>
      <c r="B146">
        <v>10</v>
      </c>
      <c r="C146">
        <v>5</v>
      </c>
      <c r="D146">
        <v>2</v>
      </c>
      <c r="E146">
        <v>0</v>
      </c>
      <c r="F146" s="7" t="s">
        <v>39</v>
      </c>
      <c r="G146">
        <v>36976</v>
      </c>
      <c r="H146">
        <v>238400726</v>
      </c>
      <c r="I146">
        <v>434</v>
      </c>
      <c r="J146">
        <v>1</v>
      </c>
      <c r="K146">
        <v>0.96511626243591309</v>
      </c>
      <c r="L146">
        <v>0.97202795743942261</v>
      </c>
      <c r="M146">
        <v>0.965034965034965</v>
      </c>
      <c r="N146">
        <v>0.98837209302325579</v>
      </c>
      <c r="O146">
        <v>1</v>
      </c>
      <c r="P146">
        <v>66841</v>
      </c>
      <c r="Q146">
        <v>4554180593</v>
      </c>
      <c r="R146">
        <v>36705</v>
      </c>
      <c r="S146">
        <v>2</v>
      </c>
      <c r="T146">
        <v>127</v>
      </c>
      <c r="U146">
        <v>0.965034965034965</v>
      </c>
      <c r="V146">
        <v>0.98837209302325579</v>
      </c>
      <c r="W146">
        <v>1</v>
      </c>
      <c r="X146">
        <v>46833</v>
      </c>
      <c r="Y146">
        <v>2791918634</v>
      </c>
      <c r="Z146">
        <v>37250</v>
      </c>
      <c r="AA146">
        <v>2</v>
      </c>
      <c r="AB146">
        <v>128</v>
      </c>
    </row>
    <row r="147" spans="1:28" hidden="1" x14ac:dyDescent="0.25">
      <c r="A147" s="7" t="s">
        <v>57</v>
      </c>
      <c r="B147">
        <v>18</v>
      </c>
      <c r="C147">
        <v>9</v>
      </c>
      <c r="D147">
        <v>4</v>
      </c>
      <c r="E147">
        <v>0</v>
      </c>
      <c r="F147" s="7" t="s">
        <v>65</v>
      </c>
      <c r="G147">
        <v>12058</v>
      </c>
      <c r="H147">
        <v>2789969771</v>
      </c>
      <c r="I147">
        <v>10163</v>
      </c>
      <c r="J147">
        <v>0.41509434580802917</v>
      </c>
      <c r="K147">
        <v>0.70370370149612427</v>
      </c>
      <c r="L147">
        <v>0.46666666865348816</v>
      </c>
      <c r="M147">
        <v>0.91111111111111109</v>
      </c>
      <c r="N147">
        <v>0.96296296296296291</v>
      </c>
      <c r="O147">
        <v>1</v>
      </c>
      <c r="P147">
        <v>20311</v>
      </c>
      <c r="Q147">
        <v>1268340380</v>
      </c>
      <c r="R147">
        <v>12048</v>
      </c>
      <c r="S147">
        <v>2</v>
      </c>
      <c r="T147">
        <v>73</v>
      </c>
      <c r="U147">
        <v>0.88888888888888884</v>
      </c>
      <c r="V147">
        <v>0.96296296296296291</v>
      </c>
      <c r="W147">
        <v>1</v>
      </c>
      <c r="X147">
        <v>19395</v>
      </c>
      <c r="Y147">
        <v>1200972346</v>
      </c>
      <c r="Z147">
        <v>12361</v>
      </c>
      <c r="AA147">
        <v>2</v>
      </c>
      <c r="AB147">
        <v>74</v>
      </c>
    </row>
    <row r="148" spans="1:28" hidden="1" x14ac:dyDescent="0.25">
      <c r="A148" s="7" t="s">
        <v>57</v>
      </c>
      <c r="B148">
        <v>18</v>
      </c>
      <c r="C148">
        <v>9</v>
      </c>
      <c r="D148">
        <v>4</v>
      </c>
      <c r="E148">
        <v>0</v>
      </c>
      <c r="F148" s="7" t="s">
        <v>65</v>
      </c>
      <c r="G148">
        <v>12058</v>
      </c>
      <c r="H148">
        <v>2946307565</v>
      </c>
      <c r="I148">
        <v>10166</v>
      </c>
      <c r="J148">
        <v>0.34905660152435303</v>
      </c>
      <c r="K148">
        <v>0.62962961196899414</v>
      </c>
      <c r="L148">
        <v>0.37777778506278992</v>
      </c>
      <c r="M148">
        <v>0.93333333333333335</v>
      </c>
      <c r="N148">
        <v>0.96296296296296291</v>
      </c>
      <c r="O148">
        <v>1</v>
      </c>
      <c r="P148">
        <v>19867</v>
      </c>
      <c r="Q148">
        <v>1230714792</v>
      </c>
      <c r="R148">
        <v>12048</v>
      </c>
      <c r="S148">
        <v>2</v>
      </c>
      <c r="T148">
        <v>73</v>
      </c>
      <c r="U148">
        <v>0.88888888888888884</v>
      </c>
      <c r="V148">
        <v>0.96296296296296291</v>
      </c>
      <c r="W148">
        <v>1</v>
      </c>
      <c r="X148">
        <v>21199</v>
      </c>
      <c r="Y148">
        <v>1341926819</v>
      </c>
      <c r="Z148">
        <v>12361</v>
      </c>
      <c r="AA148">
        <v>2</v>
      </c>
      <c r="AB148">
        <v>74</v>
      </c>
    </row>
    <row r="149" spans="1:28" hidden="1" x14ac:dyDescent="0.25">
      <c r="A149" s="7" t="s">
        <v>57</v>
      </c>
      <c r="B149">
        <v>18</v>
      </c>
      <c r="C149">
        <v>9</v>
      </c>
      <c r="D149">
        <v>4</v>
      </c>
      <c r="E149">
        <v>0</v>
      </c>
      <c r="F149" s="7" t="s">
        <v>65</v>
      </c>
      <c r="G149">
        <v>12058</v>
      </c>
      <c r="H149">
        <v>2808750599</v>
      </c>
      <c r="I149">
        <v>10069</v>
      </c>
      <c r="J149">
        <v>0.32075470685958862</v>
      </c>
      <c r="K149">
        <v>0.70370370149612427</v>
      </c>
      <c r="L149">
        <v>0.3333333432674408</v>
      </c>
      <c r="M149">
        <v>0.97777777777777775</v>
      </c>
      <c r="N149">
        <v>0.96296296296296291</v>
      </c>
      <c r="O149">
        <v>1</v>
      </c>
      <c r="P149">
        <v>19491</v>
      </c>
      <c r="Q149">
        <v>1225752467</v>
      </c>
      <c r="R149">
        <v>12048</v>
      </c>
      <c r="S149">
        <v>2</v>
      </c>
      <c r="T149">
        <v>73</v>
      </c>
      <c r="U149">
        <v>0.93333333333333335</v>
      </c>
      <c r="V149">
        <v>0.96296296296296291</v>
      </c>
      <c r="W149">
        <v>1</v>
      </c>
      <c r="X149">
        <v>18435</v>
      </c>
      <c r="Y149">
        <v>1137397469</v>
      </c>
      <c r="Z149">
        <v>12361</v>
      </c>
      <c r="AA149">
        <v>2</v>
      </c>
      <c r="AB149">
        <v>74</v>
      </c>
    </row>
    <row r="150" spans="1:28" hidden="1" x14ac:dyDescent="0.25">
      <c r="A150" s="7" t="s">
        <v>57</v>
      </c>
      <c r="B150">
        <v>18</v>
      </c>
      <c r="C150">
        <v>9</v>
      </c>
      <c r="D150">
        <v>4</v>
      </c>
      <c r="E150">
        <v>0</v>
      </c>
      <c r="F150" s="7" t="s">
        <v>65</v>
      </c>
      <c r="G150">
        <v>12058</v>
      </c>
      <c r="H150">
        <v>2937977834</v>
      </c>
      <c r="I150">
        <v>10063</v>
      </c>
      <c r="J150">
        <v>0.29245284199714661</v>
      </c>
      <c r="K150">
        <v>0.62962961196899414</v>
      </c>
      <c r="L150">
        <v>0.42222222685813904</v>
      </c>
      <c r="M150">
        <v>0.8666666666666667</v>
      </c>
      <c r="N150">
        <v>0.96296296296296291</v>
      </c>
      <c r="O150">
        <v>1</v>
      </c>
      <c r="P150">
        <v>29661</v>
      </c>
      <c r="Q150">
        <v>1969264388</v>
      </c>
      <c r="R150">
        <v>12048</v>
      </c>
      <c r="S150">
        <v>2</v>
      </c>
      <c r="T150">
        <v>73</v>
      </c>
      <c r="U150">
        <v>0.8666666666666667</v>
      </c>
      <c r="V150">
        <v>0.96296296296296291</v>
      </c>
      <c r="W150">
        <v>1</v>
      </c>
      <c r="X150">
        <v>19670</v>
      </c>
      <c r="Y150">
        <v>1237410251</v>
      </c>
      <c r="Z150">
        <v>12361</v>
      </c>
      <c r="AA150">
        <v>2</v>
      </c>
      <c r="AB150">
        <v>74</v>
      </c>
    </row>
    <row r="151" spans="1:28" hidden="1" x14ac:dyDescent="0.25">
      <c r="A151" s="7" t="s">
        <v>57</v>
      </c>
      <c r="B151">
        <v>18</v>
      </c>
      <c r="C151">
        <v>9</v>
      </c>
      <c r="D151">
        <v>4</v>
      </c>
      <c r="E151">
        <v>0</v>
      </c>
      <c r="F151" s="7" t="s">
        <v>65</v>
      </c>
      <c r="G151">
        <v>12058</v>
      </c>
      <c r="H151">
        <v>3147631946</v>
      </c>
      <c r="I151">
        <v>11351</v>
      </c>
      <c r="J151">
        <v>0.33962264657020569</v>
      </c>
      <c r="K151">
        <v>0.70370370149612427</v>
      </c>
      <c r="L151">
        <v>0.20000000298023224</v>
      </c>
      <c r="M151">
        <v>0.88888888888888884</v>
      </c>
      <c r="N151">
        <v>0.96296296296296291</v>
      </c>
      <c r="O151">
        <v>1</v>
      </c>
      <c r="P151">
        <v>19231</v>
      </c>
      <c r="Q151">
        <v>1194202815</v>
      </c>
      <c r="R151">
        <v>12048</v>
      </c>
      <c r="S151">
        <v>2</v>
      </c>
      <c r="T151">
        <v>73</v>
      </c>
      <c r="U151">
        <v>0.93333333333333335</v>
      </c>
      <c r="V151">
        <v>0.96296296296296291</v>
      </c>
      <c r="W151">
        <v>1</v>
      </c>
      <c r="X151">
        <v>18771</v>
      </c>
      <c r="Y151">
        <v>1163847417</v>
      </c>
      <c r="Z151">
        <v>12361</v>
      </c>
      <c r="AA151">
        <v>2</v>
      </c>
      <c r="AB151">
        <v>74</v>
      </c>
    </row>
    <row r="152" spans="1:28" hidden="1" x14ac:dyDescent="0.25">
      <c r="A152" s="7" t="s">
        <v>57</v>
      </c>
      <c r="B152">
        <v>18</v>
      </c>
      <c r="C152">
        <v>9</v>
      </c>
      <c r="D152">
        <v>4</v>
      </c>
      <c r="E152">
        <v>0</v>
      </c>
      <c r="F152" s="7" t="s">
        <v>66</v>
      </c>
      <c r="G152">
        <v>14563</v>
      </c>
      <c r="H152">
        <v>3039215731</v>
      </c>
      <c r="I152">
        <v>10007</v>
      </c>
      <c r="J152">
        <v>0.21698112785816193</v>
      </c>
      <c r="K152">
        <v>0.70370370149612427</v>
      </c>
      <c r="L152">
        <v>0.26666668057441711</v>
      </c>
      <c r="M152">
        <v>0.88888888888888884</v>
      </c>
      <c r="N152">
        <v>0.96296296296296291</v>
      </c>
      <c r="O152">
        <v>1</v>
      </c>
      <c r="P152">
        <v>18958</v>
      </c>
      <c r="Q152">
        <v>1167939766</v>
      </c>
      <c r="R152">
        <v>14323</v>
      </c>
      <c r="S152">
        <v>2</v>
      </c>
      <c r="T152">
        <v>80</v>
      </c>
      <c r="U152">
        <v>0.88888888888888884</v>
      </c>
      <c r="V152">
        <v>0.96296296296296291</v>
      </c>
      <c r="W152">
        <v>1</v>
      </c>
      <c r="X152">
        <v>19092</v>
      </c>
      <c r="Y152">
        <v>1151837828</v>
      </c>
      <c r="Z152">
        <v>14664</v>
      </c>
      <c r="AA152">
        <v>2</v>
      </c>
      <c r="AB152">
        <v>81</v>
      </c>
    </row>
    <row r="153" spans="1:28" hidden="1" x14ac:dyDescent="0.25">
      <c r="A153" s="7" t="s">
        <v>57</v>
      </c>
      <c r="B153">
        <v>18</v>
      </c>
      <c r="C153">
        <v>9</v>
      </c>
      <c r="D153">
        <v>4</v>
      </c>
      <c r="E153">
        <v>0</v>
      </c>
      <c r="F153" s="7" t="s">
        <v>66</v>
      </c>
      <c r="G153">
        <v>14563</v>
      </c>
      <c r="H153">
        <v>2999107022</v>
      </c>
      <c r="I153">
        <v>10038</v>
      </c>
      <c r="J153">
        <v>0.39622640609741211</v>
      </c>
      <c r="K153">
        <v>0.70370370149612427</v>
      </c>
      <c r="L153">
        <v>0.26666668057441711</v>
      </c>
      <c r="M153">
        <v>0.9555555555555556</v>
      </c>
      <c r="N153">
        <v>0.96296296296296291</v>
      </c>
      <c r="O153">
        <v>1</v>
      </c>
      <c r="P153">
        <v>11506</v>
      </c>
      <c r="Q153">
        <v>654576017</v>
      </c>
      <c r="R153">
        <v>14323</v>
      </c>
      <c r="S153">
        <v>2</v>
      </c>
      <c r="T153">
        <v>80</v>
      </c>
      <c r="U153">
        <v>0.8666666666666667</v>
      </c>
      <c r="V153">
        <v>0.96296296296296291</v>
      </c>
      <c r="W153">
        <v>1</v>
      </c>
      <c r="X153">
        <v>54251</v>
      </c>
      <c r="Y153">
        <v>3850747090</v>
      </c>
      <c r="Z153">
        <v>14664</v>
      </c>
      <c r="AA153">
        <v>2</v>
      </c>
      <c r="AB153">
        <v>81</v>
      </c>
    </row>
    <row r="154" spans="1:28" hidden="1" x14ac:dyDescent="0.25">
      <c r="A154" s="7" t="s">
        <v>28</v>
      </c>
      <c r="B154">
        <v>16</v>
      </c>
      <c r="C154">
        <v>9</v>
      </c>
      <c r="D154">
        <v>3</v>
      </c>
      <c r="E154">
        <v>0</v>
      </c>
      <c r="F154" s="7" t="s">
        <v>33</v>
      </c>
      <c r="G154">
        <v>29612</v>
      </c>
      <c r="H154">
        <v>33150629</v>
      </c>
      <c r="I154">
        <v>92</v>
      </c>
      <c r="J154">
        <v>1</v>
      </c>
      <c r="K154">
        <v>0.97674417495727539</v>
      </c>
      <c r="L154">
        <v>0.95104897022247314</v>
      </c>
      <c r="M154">
        <v>0.97202797202797198</v>
      </c>
      <c r="N154">
        <v>0.97674418604651159</v>
      </c>
      <c r="O154">
        <v>1</v>
      </c>
      <c r="P154">
        <v>24371</v>
      </c>
      <c r="Q154">
        <v>1255294874</v>
      </c>
      <c r="R154">
        <v>29495</v>
      </c>
      <c r="S154">
        <v>2</v>
      </c>
      <c r="T154">
        <v>113</v>
      </c>
      <c r="U154">
        <v>0.97902097902097907</v>
      </c>
      <c r="V154">
        <v>0.96511627906976749</v>
      </c>
      <c r="W154">
        <v>0.98235294117647054</v>
      </c>
      <c r="X154">
        <v>12233</v>
      </c>
      <c r="Y154">
        <v>459275800</v>
      </c>
      <c r="Z154">
        <v>29984</v>
      </c>
      <c r="AA154">
        <v>2</v>
      </c>
      <c r="AB154">
        <v>114</v>
      </c>
    </row>
    <row r="155" spans="1:28" hidden="1" x14ac:dyDescent="0.25">
      <c r="A155" s="7" t="s">
        <v>28</v>
      </c>
      <c r="B155">
        <v>16</v>
      </c>
      <c r="C155">
        <v>9</v>
      </c>
      <c r="D155">
        <v>3</v>
      </c>
      <c r="E155">
        <v>0</v>
      </c>
      <c r="F155" s="7" t="s">
        <v>33</v>
      </c>
      <c r="G155">
        <v>29612</v>
      </c>
      <c r="H155">
        <v>30265257</v>
      </c>
      <c r="I155">
        <v>96</v>
      </c>
      <c r="J155">
        <v>1</v>
      </c>
      <c r="K155">
        <v>0.97674417495727539</v>
      </c>
      <c r="L155">
        <v>0.97902095317840576</v>
      </c>
      <c r="M155">
        <v>0.97902097902097907</v>
      </c>
      <c r="N155">
        <v>0.96511627906976749</v>
      </c>
      <c r="O155">
        <v>0.99411764705882355</v>
      </c>
      <c r="P155">
        <v>25242</v>
      </c>
      <c r="Q155">
        <v>1292746861</v>
      </c>
      <c r="R155">
        <v>29495</v>
      </c>
      <c r="S155">
        <v>2</v>
      </c>
      <c r="T155">
        <v>113</v>
      </c>
      <c r="U155">
        <v>0.97202797202797198</v>
      </c>
      <c r="V155">
        <v>1</v>
      </c>
      <c r="W155">
        <v>0.97352941176470587</v>
      </c>
      <c r="X155">
        <v>16216</v>
      </c>
      <c r="Y155">
        <v>679590779</v>
      </c>
      <c r="Z155">
        <v>29984</v>
      </c>
      <c r="AA155">
        <v>2</v>
      </c>
      <c r="AB155">
        <v>114</v>
      </c>
    </row>
    <row r="156" spans="1:28" hidden="1" x14ac:dyDescent="0.25">
      <c r="A156" s="7" t="s">
        <v>28</v>
      </c>
      <c r="B156">
        <v>16</v>
      </c>
      <c r="C156">
        <v>9</v>
      </c>
      <c r="D156">
        <v>3</v>
      </c>
      <c r="E156">
        <v>0</v>
      </c>
      <c r="F156" s="7" t="s">
        <v>33</v>
      </c>
      <c r="G156">
        <v>29612</v>
      </c>
      <c r="H156">
        <v>30959092</v>
      </c>
      <c r="I156">
        <v>97</v>
      </c>
      <c r="J156">
        <v>1</v>
      </c>
      <c r="K156">
        <v>0.96511626243591309</v>
      </c>
      <c r="L156">
        <v>0.97902095317840576</v>
      </c>
      <c r="M156">
        <v>0.965034965034965</v>
      </c>
      <c r="N156">
        <v>0.97674418604651159</v>
      </c>
      <c r="O156">
        <v>0.9882352941176471</v>
      </c>
      <c r="P156">
        <v>13443</v>
      </c>
      <c r="Q156">
        <v>517943634</v>
      </c>
      <c r="R156">
        <v>29495</v>
      </c>
      <c r="S156">
        <v>2</v>
      </c>
      <c r="T156">
        <v>113</v>
      </c>
      <c r="U156">
        <v>0.965034965034965</v>
      </c>
      <c r="V156">
        <v>0.97674418604651159</v>
      </c>
      <c r="W156">
        <v>0.9882352941176471</v>
      </c>
      <c r="X156">
        <v>15067</v>
      </c>
      <c r="Y156">
        <v>621067269</v>
      </c>
      <c r="Z156">
        <v>29984</v>
      </c>
      <c r="AA156">
        <v>2</v>
      </c>
      <c r="AB156">
        <v>114</v>
      </c>
    </row>
    <row r="157" spans="1:28" hidden="1" x14ac:dyDescent="0.25">
      <c r="A157" s="7" t="s">
        <v>28</v>
      </c>
      <c r="B157">
        <v>8</v>
      </c>
      <c r="C157">
        <v>3</v>
      </c>
      <c r="D157">
        <v>2</v>
      </c>
      <c r="E157">
        <v>0</v>
      </c>
      <c r="F157" s="7" t="s">
        <v>29</v>
      </c>
      <c r="G157">
        <v>9176</v>
      </c>
      <c r="H157">
        <v>197897401</v>
      </c>
      <c r="I157">
        <v>1111</v>
      </c>
      <c r="J157">
        <v>1</v>
      </c>
      <c r="K157">
        <v>0.9883720874786377</v>
      </c>
      <c r="L157">
        <v>0.93706291913986206</v>
      </c>
      <c r="M157">
        <v>0.98601398601398604</v>
      </c>
      <c r="N157">
        <v>0.97674418604651159</v>
      </c>
      <c r="O157">
        <v>0.98529411764705888</v>
      </c>
      <c r="P157">
        <v>60380</v>
      </c>
      <c r="Q157">
        <v>2001013228</v>
      </c>
      <c r="R157">
        <v>9029</v>
      </c>
      <c r="S157">
        <v>2</v>
      </c>
      <c r="T157">
        <v>59</v>
      </c>
      <c r="U157">
        <v>0.965034965034965</v>
      </c>
      <c r="V157">
        <v>0.98837209302325579</v>
      </c>
      <c r="W157">
        <v>1</v>
      </c>
      <c r="X157">
        <v>116832</v>
      </c>
      <c r="Y157">
        <v>3916795221</v>
      </c>
      <c r="Z157">
        <v>9302</v>
      </c>
      <c r="AA157">
        <v>2</v>
      </c>
      <c r="AB157">
        <v>60</v>
      </c>
    </row>
    <row r="158" spans="1:28" hidden="1" x14ac:dyDescent="0.25">
      <c r="A158" s="7" t="s">
        <v>28</v>
      </c>
      <c r="B158">
        <v>8</v>
      </c>
      <c r="C158">
        <v>3</v>
      </c>
      <c r="D158">
        <v>2</v>
      </c>
      <c r="E158">
        <v>0</v>
      </c>
      <c r="F158" s="7" t="s">
        <v>29</v>
      </c>
      <c r="G158">
        <v>9176</v>
      </c>
      <c r="H158">
        <v>75336560</v>
      </c>
      <c r="I158">
        <v>358</v>
      </c>
      <c r="J158">
        <v>0.979411780834198</v>
      </c>
      <c r="K158">
        <v>1</v>
      </c>
      <c r="L158">
        <v>0.93706291913986206</v>
      </c>
      <c r="M158">
        <v>0.95104895104895104</v>
      </c>
      <c r="N158">
        <v>0.98837209302325579</v>
      </c>
      <c r="O158">
        <v>0.99411764705882355</v>
      </c>
      <c r="P158">
        <v>26752</v>
      </c>
      <c r="Q158">
        <v>739081350</v>
      </c>
      <c r="R158">
        <v>9029</v>
      </c>
      <c r="S158">
        <v>2</v>
      </c>
      <c r="T158">
        <v>59</v>
      </c>
      <c r="U158">
        <v>0.97202797202797198</v>
      </c>
      <c r="V158">
        <v>0.98837209302325579</v>
      </c>
      <c r="W158">
        <v>1</v>
      </c>
      <c r="X158">
        <v>71937</v>
      </c>
      <c r="Y158">
        <v>2338606948</v>
      </c>
      <c r="Z158">
        <v>9302</v>
      </c>
      <c r="AA158">
        <v>2</v>
      </c>
      <c r="AB158">
        <v>60</v>
      </c>
    </row>
    <row r="159" spans="1:28" hidden="1" x14ac:dyDescent="0.25">
      <c r="A159" s="7" t="s">
        <v>28</v>
      </c>
      <c r="B159">
        <v>8</v>
      </c>
      <c r="C159">
        <v>3</v>
      </c>
      <c r="D159">
        <v>2</v>
      </c>
      <c r="E159">
        <v>0</v>
      </c>
      <c r="F159" s="7" t="s">
        <v>29</v>
      </c>
      <c r="G159">
        <v>9176</v>
      </c>
      <c r="H159">
        <v>114884890</v>
      </c>
      <c r="I159">
        <v>566</v>
      </c>
      <c r="J159">
        <v>0.98823529481887817</v>
      </c>
      <c r="K159">
        <v>1</v>
      </c>
      <c r="L159">
        <v>0.94405591487884521</v>
      </c>
      <c r="M159">
        <v>0.965034965034965</v>
      </c>
      <c r="N159">
        <v>1</v>
      </c>
      <c r="O159">
        <v>1</v>
      </c>
      <c r="P159">
        <v>60246</v>
      </c>
      <c r="Q159">
        <v>1986867000</v>
      </c>
      <c r="R159">
        <v>9029</v>
      </c>
      <c r="S159">
        <v>2</v>
      </c>
      <c r="T159">
        <v>59</v>
      </c>
      <c r="U159">
        <v>0.97202797202797198</v>
      </c>
      <c r="V159">
        <v>0.98837209302325579</v>
      </c>
      <c r="W159">
        <v>0.99411764705882355</v>
      </c>
      <c r="X159">
        <v>27559</v>
      </c>
      <c r="Y159">
        <v>739725382</v>
      </c>
      <c r="Z159">
        <v>9302</v>
      </c>
      <c r="AA159">
        <v>2</v>
      </c>
      <c r="AB159">
        <v>60</v>
      </c>
    </row>
    <row r="160" spans="1:28" hidden="1" x14ac:dyDescent="0.25">
      <c r="A160" s="7" t="s">
        <v>57</v>
      </c>
      <c r="B160">
        <v>8</v>
      </c>
      <c r="C160">
        <v>3</v>
      </c>
      <c r="D160">
        <v>2</v>
      </c>
      <c r="E160">
        <v>0</v>
      </c>
      <c r="F160" s="7" t="s">
        <v>76</v>
      </c>
      <c r="G160">
        <v>1884</v>
      </c>
      <c r="H160">
        <v>8965597</v>
      </c>
      <c r="I160">
        <v>100</v>
      </c>
      <c r="J160">
        <v>1</v>
      </c>
      <c r="K160">
        <v>0.96296298503875732</v>
      </c>
      <c r="L160">
        <v>0.82222223281860352</v>
      </c>
      <c r="M160">
        <v>0.88888888888888884</v>
      </c>
      <c r="N160">
        <v>0.96296296296296291</v>
      </c>
      <c r="O160">
        <v>1</v>
      </c>
      <c r="P160">
        <v>11591</v>
      </c>
      <c r="Q160">
        <v>101638018</v>
      </c>
      <c r="R160">
        <v>1849</v>
      </c>
      <c r="S160">
        <v>2</v>
      </c>
      <c r="T160">
        <v>26</v>
      </c>
      <c r="U160">
        <v>0.88888888888888884</v>
      </c>
      <c r="V160">
        <v>0.96296296296296291</v>
      </c>
      <c r="W160">
        <v>1</v>
      </c>
      <c r="X160">
        <v>11395</v>
      </c>
      <c r="Y160">
        <v>96060671</v>
      </c>
      <c r="Z160">
        <v>1974</v>
      </c>
      <c r="AA160">
        <v>2</v>
      </c>
      <c r="AB160">
        <v>27</v>
      </c>
    </row>
    <row r="161" spans="1:28" x14ac:dyDescent="0.25">
      <c r="A161" s="7" t="s">
        <v>44</v>
      </c>
      <c r="B161">
        <v>12</v>
      </c>
      <c r="C161">
        <v>3</v>
      </c>
      <c r="D161">
        <v>4</v>
      </c>
      <c r="E161">
        <v>0</v>
      </c>
      <c r="F161" s="7" t="s">
        <v>50</v>
      </c>
      <c r="G161">
        <v>847</v>
      </c>
      <c r="H161">
        <v>1118250561</v>
      </c>
      <c r="I161">
        <v>10029</v>
      </c>
      <c r="J161">
        <v>0.39325842261314392</v>
      </c>
      <c r="K161">
        <v>0.91304349899291992</v>
      </c>
      <c r="L161">
        <v>0.34210526943206787</v>
      </c>
      <c r="M161">
        <v>0.86842105263157898</v>
      </c>
      <c r="N161">
        <v>0.95652173913043481</v>
      </c>
      <c r="O161">
        <v>1</v>
      </c>
      <c r="P161">
        <v>1000000</v>
      </c>
      <c r="Q161">
        <v>9589968494</v>
      </c>
      <c r="R161">
        <v>831</v>
      </c>
      <c r="S161">
        <v>2</v>
      </c>
      <c r="T161">
        <v>18</v>
      </c>
      <c r="U161">
        <v>0.86842105263157898</v>
      </c>
      <c r="V161">
        <v>1</v>
      </c>
      <c r="W161">
        <v>0.9887640449438202</v>
      </c>
      <c r="X161">
        <v>111</v>
      </c>
      <c r="Y161">
        <v>919453</v>
      </c>
      <c r="Z161">
        <v>915</v>
      </c>
      <c r="AA161">
        <v>2</v>
      </c>
      <c r="AB161">
        <v>19</v>
      </c>
    </row>
    <row r="162" spans="1:28" x14ac:dyDescent="0.25">
      <c r="A162" s="7" t="s">
        <v>44</v>
      </c>
      <c r="B162">
        <v>12</v>
      </c>
      <c r="C162">
        <v>3</v>
      </c>
      <c r="D162">
        <v>4</v>
      </c>
      <c r="E162">
        <v>0</v>
      </c>
      <c r="F162" s="7" t="s">
        <v>50</v>
      </c>
      <c r="G162">
        <v>847</v>
      </c>
      <c r="H162">
        <v>1153739922</v>
      </c>
      <c r="I162">
        <v>10006</v>
      </c>
      <c r="J162">
        <v>0.26966291666030884</v>
      </c>
      <c r="K162">
        <v>0.69565218687057495</v>
      </c>
      <c r="L162">
        <v>0.23684211075305939</v>
      </c>
      <c r="M162">
        <v>0.86842105263157898</v>
      </c>
      <c r="N162">
        <v>0.95652173913043481</v>
      </c>
      <c r="O162">
        <v>1</v>
      </c>
      <c r="P162">
        <v>1000000</v>
      </c>
      <c r="Q162">
        <v>11178097620</v>
      </c>
      <c r="R162">
        <v>831</v>
      </c>
      <c r="S162">
        <v>2</v>
      </c>
      <c r="T162">
        <v>18</v>
      </c>
      <c r="U162">
        <v>0.84210526315789469</v>
      </c>
      <c r="V162">
        <v>1</v>
      </c>
      <c r="W162">
        <v>0.97752808988764039</v>
      </c>
      <c r="X162">
        <v>142</v>
      </c>
      <c r="Y162">
        <v>1400842</v>
      </c>
      <c r="Z162">
        <v>915</v>
      </c>
      <c r="AA162">
        <v>2</v>
      </c>
      <c r="AB162">
        <v>19</v>
      </c>
    </row>
    <row r="163" spans="1:28" x14ac:dyDescent="0.25">
      <c r="A163" s="7" t="s">
        <v>44</v>
      </c>
      <c r="B163">
        <v>12</v>
      </c>
      <c r="C163">
        <v>3</v>
      </c>
      <c r="D163">
        <v>4</v>
      </c>
      <c r="E163">
        <v>0</v>
      </c>
      <c r="F163" s="7" t="s">
        <v>50</v>
      </c>
      <c r="G163">
        <v>847</v>
      </c>
      <c r="H163">
        <v>1180052502</v>
      </c>
      <c r="I163">
        <v>10006</v>
      </c>
      <c r="J163">
        <v>0.47191011905670166</v>
      </c>
      <c r="K163">
        <v>0.69565218687057495</v>
      </c>
      <c r="L163">
        <v>0.42105263471603394</v>
      </c>
      <c r="M163">
        <v>0.86842105263157898</v>
      </c>
      <c r="N163">
        <v>0.95652173913043481</v>
      </c>
      <c r="O163">
        <v>1</v>
      </c>
      <c r="P163">
        <v>1000000</v>
      </c>
      <c r="Q163">
        <v>11118036470</v>
      </c>
      <c r="R163">
        <v>831</v>
      </c>
      <c r="S163">
        <v>2</v>
      </c>
      <c r="T163">
        <v>18</v>
      </c>
      <c r="U163">
        <v>0.84210526315789469</v>
      </c>
      <c r="V163">
        <v>1</v>
      </c>
      <c r="W163">
        <v>0.97752808988764039</v>
      </c>
      <c r="X163">
        <v>142</v>
      </c>
      <c r="Y163">
        <v>1769165</v>
      </c>
      <c r="Z163">
        <v>915</v>
      </c>
      <c r="AA163">
        <v>2</v>
      </c>
      <c r="AB163">
        <v>19</v>
      </c>
    </row>
    <row r="164" spans="1:28" x14ac:dyDescent="0.25">
      <c r="A164" s="7" t="s">
        <v>44</v>
      </c>
      <c r="B164">
        <v>12</v>
      </c>
      <c r="C164">
        <v>3</v>
      </c>
      <c r="D164">
        <v>4</v>
      </c>
      <c r="E164">
        <v>0</v>
      </c>
      <c r="F164" s="7" t="s">
        <v>50</v>
      </c>
      <c r="G164">
        <v>847</v>
      </c>
      <c r="H164">
        <v>1133684827</v>
      </c>
      <c r="I164">
        <v>10055</v>
      </c>
      <c r="J164">
        <v>0.53932583332061768</v>
      </c>
      <c r="K164">
        <v>0.82608693838119507</v>
      </c>
      <c r="L164">
        <v>0.57894736528396606</v>
      </c>
      <c r="M164">
        <v>0.97368421052631582</v>
      </c>
      <c r="N164">
        <v>1</v>
      </c>
      <c r="O164">
        <v>0.9550561797752809</v>
      </c>
      <c r="P164">
        <v>127</v>
      </c>
      <c r="Q164">
        <v>1596530</v>
      </c>
      <c r="R164">
        <v>831</v>
      </c>
      <c r="S164">
        <v>2</v>
      </c>
      <c r="T164">
        <v>18</v>
      </c>
      <c r="U164">
        <v>0.92105263157894735</v>
      </c>
      <c r="V164">
        <v>1</v>
      </c>
      <c r="W164">
        <v>0.9887640449438202</v>
      </c>
      <c r="X164">
        <v>210</v>
      </c>
      <c r="Y164">
        <v>2474495</v>
      </c>
      <c r="Z164">
        <v>915</v>
      </c>
      <c r="AA164">
        <v>2</v>
      </c>
      <c r="AB164">
        <v>19</v>
      </c>
    </row>
    <row r="165" spans="1:28" hidden="1" x14ac:dyDescent="0.25">
      <c r="A165" s="7" t="s">
        <v>28</v>
      </c>
      <c r="B165">
        <v>16</v>
      </c>
      <c r="C165">
        <v>9</v>
      </c>
      <c r="D165">
        <v>3</v>
      </c>
      <c r="E165">
        <v>0</v>
      </c>
      <c r="F165" s="7" t="s">
        <v>33</v>
      </c>
      <c r="G165">
        <v>29612</v>
      </c>
      <c r="H165">
        <v>21771344</v>
      </c>
      <c r="I165">
        <v>63</v>
      </c>
      <c r="J165">
        <v>1</v>
      </c>
      <c r="K165">
        <v>0.97674417495727539</v>
      </c>
      <c r="L165">
        <v>0.96503496170043945</v>
      </c>
      <c r="M165">
        <v>0.97202797202797198</v>
      </c>
      <c r="N165">
        <v>0.98837209302325579</v>
      </c>
      <c r="O165">
        <v>0.96470588235294119</v>
      </c>
      <c r="P165">
        <v>2282</v>
      </c>
      <c r="Q165">
        <v>38029453</v>
      </c>
      <c r="R165">
        <v>29495</v>
      </c>
      <c r="S165">
        <v>2</v>
      </c>
      <c r="T165">
        <v>113</v>
      </c>
      <c r="U165">
        <v>0.965034965034965</v>
      </c>
      <c r="V165">
        <v>0.97674418604651159</v>
      </c>
      <c r="W165">
        <v>0.97058823529411764</v>
      </c>
      <c r="X165">
        <v>2188</v>
      </c>
      <c r="Y165">
        <v>33062352</v>
      </c>
      <c r="Z165">
        <v>29984</v>
      </c>
      <c r="AA165">
        <v>2</v>
      </c>
      <c r="AB165">
        <v>114</v>
      </c>
    </row>
    <row r="166" spans="1:28" x14ac:dyDescent="0.25">
      <c r="A166" s="7" t="s">
        <v>44</v>
      </c>
      <c r="B166">
        <v>12</v>
      </c>
      <c r="C166">
        <v>3</v>
      </c>
      <c r="D166">
        <v>4</v>
      </c>
      <c r="E166">
        <v>0</v>
      </c>
      <c r="F166" s="7" t="s">
        <v>50</v>
      </c>
      <c r="G166">
        <v>847</v>
      </c>
      <c r="H166">
        <v>1107353207</v>
      </c>
      <c r="I166">
        <v>10031</v>
      </c>
      <c r="J166">
        <v>0.38202247023582458</v>
      </c>
      <c r="K166">
        <v>0.73913043737411499</v>
      </c>
      <c r="L166">
        <v>0.31578946113586426</v>
      </c>
      <c r="M166">
        <v>0.94736842105263153</v>
      </c>
      <c r="N166">
        <v>1</v>
      </c>
      <c r="O166">
        <v>0.9550561797752809</v>
      </c>
      <c r="P166">
        <v>261</v>
      </c>
      <c r="Q166">
        <v>2268353</v>
      </c>
      <c r="R166">
        <v>831</v>
      </c>
      <c r="S166">
        <v>2</v>
      </c>
      <c r="T166">
        <v>18</v>
      </c>
      <c r="U166">
        <v>0.97368421052631582</v>
      </c>
      <c r="V166">
        <v>1</v>
      </c>
      <c r="W166">
        <v>0.9662921348314607</v>
      </c>
      <c r="X166">
        <v>358</v>
      </c>
      <c r="Y166">
        <v>2858671</v>
      </c>
      <c r="Z166">
        <v>915</v>
      </c>
      <c r="AA166">
        <v>2</v>
      </c>
      <c r="AB166">
        <v>19</v>
      </c>
    </row>
    <row r="167" spans="1:28" x14ac:dyDescent="0.25">
      <c r="A167" s="7" t="s">
        <v>44</v>
      </c>
      <c r="B167">
        <v>12</v>
      </c>
      <c r="C167">
        <v>3</v>
      </c>
      <c r="D167">
        <v>4</v>
      </c>
      <c r="E167">
        <v>0</v>
      </c>
      <c r="F167" s="7" t="s">
        <v>51</v>
      </c>
      <c r="G167">
        <v>1517</v>
      </c>
      <c r="H167">
        <v>1189874376</v>
      </c>
      <c r="I167">
        <v>10018</v>
      </c>
      <c r="J167">
        <v>0.47191011905670166</v>
      </c>
      <c r="K167">
        <v>0.73913043737411499</v>
      </c>
      <c r="L167">
        <v>0.44736841320991516</v>
      </c>
      <c r="M167">
        <v>0.97368421052631582</v>
      </c>
      <c r="N167">
        <v>1</v>
      </c>
      <c r="O167">
        <v>0.9662921348314607</v>
      </c>
      <c r="P167">
        <v>263</v>
      </c>
      <c r="Q167">
        <v>2534670</v>
      </c>
      <c r="R167">
        <v>1503</v>
      </c>
      <c r="S167">
        <v>2</v>
      </c>
      <c r="T167">
        <v>25</v>
      </c>
      <c r="U167">
        <v>0.97368421052631582</v>
      </c>
      <c r="V167">
        <v>1</v>
      </c>
      <c r="W167">
        <v>0.9438202247191011</v>
      </c>
      <c r="X167">
        <v>36</v>
      </c>
      <c r="Y167">
        <v>365106</v>
      </c>
      <c r="Z167">
        <v>1615</v>
      </c>
      <c r="AA167">
        <v>2</v>
      </c>
      <c r="AB167">
        <v>26</v>
      </c>
    </row>
    <row r="168" spans="1:28" x14ac:dyDescent="0.25">
      <c r="A168" s="7" t="s">
        <v>44</v>
      </c>
      <c r="B168">
        <v>12</v>
      </c>
      <c r="C168">
        <v>3</v>
      </c>
      <c r="D168">
        <v>4</v>
      </c>
      <c r="E168">
        <v>0</v>
      </c>
      <c r="F168" s="7" t="s">
        <v>51</v>
      </c>
      <c r="G168">
        <v>1517</v>
      </c>
      <c r="H168">
        <v>1203329353</v>
      </c>
      <c r="I168">
        <v>10034</v>
      </c>
      <c r="J168">
        <v>0.24719101190567017</v>
      </c>
      <c r="K168">
        <v>0.78260868787765503</v>
      </c>
      <c r="L168">
        <v>0.18421052396297455</v>
      </c>
      <c r="M168">
        <v>0.89473684210526316</v>
      </c>
      <c r="N168">
        <v>1</v>
      </c>
      <c r="O168">
        <v>0.9101123595505618</v>
      </c>
      <c r="P168">
        <v>59</v>
      </c>
      <c r="Q168">
        <v>494824</v>
      </c>
      <c r="R168">
        <v>1503</v>
      </c>
      <c r="S168">
        <v>2</v>
      </c>
      <c r="T168">
        <v>25</v>
      </c>
      <c r="U168">
        <v>0.97368421052631582</v>
      </c>
      <c r="V168">
        <v>1</v>
      </c>
      <c r="W168">
        <v>0.9662921348314607</v>
      </c>
      <c r="X168">
        <v>264</v>
      </c>
      <c r="Y168">
        <v>2362187</v>
      </c>
      <c r="Z168">
        <v>1615</v>
      </c>
      <c r="AA168">
        <v>2</v>
      </c>
      <c r="AB168">
        <v>26</v>
      </c>
    </row>
    <row r="169" spans="1:28" x14ac:dyDescent="0.25">
      <c r="A169" s="7" t="s">
        <v>44</v>
      </c>
      <c r="B169">
        <v>12</v>
      </c>
      <c r="C169">
        <v>3</v>
      </c>
      <c r="D169">
        <v>4</v>
      </c>
      <c r="E169">
        <v>0</v>
      </c>
      <c r="F169" s="7" t="s">
        <v>51</v>
      </c>
      <c r="G169">
        <v>1517</v>
      </c>
      <c r="H169">
        <v>1128532366</v>
      </c>
      <c r="I169">
        <v>10031</v>
      </c>
      <c r="J169">
        <v>0.41573032736778259</v>
      </c>
      <c r="K169">
        <v>0.73913043737411499</v>
      </c>
      <c r="L169">
        <v>0.34210526943206787</v>
      </c>
      <c r="M169">
        <v>0.97368421052631582</v>
      </c>
      <c r="N169">
        <v>1</v>
      </c>
      <c r="O169">
        <v>0.9662921348314607</v>
      </c>
      <c r="P169">
        <v>245</v>
      </c>
      <c r="Q169">
        <v>2755305</v>
      </c>
      <c r="R169">
        <v>1503</v>
      </c>
      <c r="S169">
        <v>2</v>
      </c>
      <c r="T169">
        <v>25</v>
      </c>
      <c r="U169">
        <v>0.94736842105263153</v>
      </c>
      <c r="V169">
        <v>1</v>
      </c>
      <c r="W169">
        <v>0.9550561797752809</v>
      </c>
      <c r="X169">
        <v>135</v>
      </c>
      <c r="Y169">
        <v>1339167</v>
      </c>
      <c r="Z169">
        <v>1615</v>
      </c>
      <c r="AA169">
        <v>2</v>
      </c>
      <c r="AB169">
        <v>26</v>
      </c>
    </row>
    <row r="170" spans="1:28" x14ac:dyDescent="0.25">
      <c r="A170" s="7" t="s">
        <v>44</v>
      </c>
      <c r="B170">
        <v>12</v>
      </c>
      <c r="C170">
        <v>3</v>
      </c>
      <c r="D170">
        <v>4</v>
      </c>
      <c r="E170">
        <v>0</v>
      </c>
      <c r="F170" s="7" t="s">
        <v>51</v>
      </c>
      <c r="G170">
        <v>1517</v>
      </c>
      <c r="H170">
        <v>1135597027</v>
      </c>
      <c r="I170">
        <v>10154</v>
      </c>
      <c r="J170">
        <v>0.55056178569793701</v>
      </c>
      <c r="K170">
        <v>0.73913043737411499</v>
      </c>
      <c r="L170">
        <v>0.44736841320991516</v>
      </c>
      <c r="M170">
        <v>0.97368421052631582</v>
      </c>
      <c r="N170">
        <v>1</v>
      </c>
      <c r="O170">
        <v>0.9662921348314607</v>
      </c>
      <c r="P170">
        <v>318</v>
      </c>
      <c r="Q170">
        <v>2778177</v>
      </c>
      <c r="R170">
        <v>1503</v>
      </c>
      <c r="S170">
        <v>2</v>
      </c>
      <c r="T170">
        <v>25</v>
      </c>
      <c r="U170">
        <v>0.97368421052631582</v>
      </c>
      <c r="V170">
        <v>1</v>
      </c>
      <c r="W170">
        <v>0.93258426966292129</v>
      </c>
      <c r="X170">
        <v>236</v>
      </c>
      <c r="Y170">
        <v>2210387</v>
      </c>
      <c r="Z170">
        <v>1615</v>
      </c>
      <c r="AA170">
        <v>2</v>
      </c>
      <c r="AB170">
        <v>26</v>
      </c>
    </row>
    <row r="171" spans="1:28" x14ac:dyDescent="0.25">
      <c r="A171" s="7" t="s">
        <v>44</v>
      </c>
      <c r="B171">
        <v>12</v>
      </c>
      <c r="C171">
        <v>3</v>
      </c>
      <c r="D171">
        <v>4</v>
      </c>
      <c r="E171">
        <v>0</v>
      </c>
      <c r="F171" s="7" t="s">
        <v>51</v>
      </c>
      <c r="G171">
        <v>1517</v>
      </c>
      <c r="H171">
        <v>1628200437</v>
      </c>
      <c r="I171">
        <v>14212</v>
      </c>
      <c r="J171">
        <v>0.20224718749523163</v>
      </c>
      <c r="K171">
        <v>0.78260868787765503</v>
      </c>
      <c r="L171">
        <v>0.18421052396297455</v>
      </c>
      <c r="M171">
        <v>0.97368421052631582</v>
      </c>
      <c r="N171">
        <v>1</v>
      </c>
      <c r="O171">
        <v>0.9662921348314607</v>
      </c>
      <c r="P171">
        <v>386</v>
      </c>
      <c r="Q171">
        <v>3895090</v>
      </c>
      <c r="R171">
        <v>1503</v>
      </c>
      <c r="S171">
        <v>2</v>
      </c>
      <c r="T171">
        <v>25</v>
      </c>
      <c r="U171">
        <v>0.94736842105263153</v>
      </c>
      <c r="V171">
        <v>1</v>
      </c>
      <c r="W171">
        <v>0.9550561797752809</v>
      </c>
      <c r="X171">
        <v>222</v>
      </c>
      <c r="Y171">
        <v>1798597</v>
      </c>
      <c r="Z171">
        <v>1615</v>
      </c>
      <c r="AA171">
        <v>2</v>
      </c>
      <c r="AB171">
        <v>26</v>
      </c>
    </row>
    <row r="172" spans="1:28" x14ac:dyDescent="0.25">
      <c r="A172" s="7" t="s">
        <v>44</v>
      </c>
      <c r="B172">
        <v>12</v>
      </c>
      <c r="C172">
        <v>3</v>
      </c>
      <c r="D172">
        <v>4</v>
      </c>
      <c r="E172">
        <v>0</v>
      </c>
      <c r="F172" s="7" t="s">
        <v>52</v>
      </c>
      <c r="G172">
        <v>1153</v>
      </c>
      <c r="H172">
        <v>1174128382</v>
      </c>
      <c r="I172">
        <v>10786</v>
      </c>
      <c r="J172">
        <v>0.29213482141494751</v>
      </c>
      <c r="K172">
        <v>0.78260868787765503</v>
      </c>
      <c r="L172">
        <v>0.23684211075305939</v>
      </c>
      <c r="M172">
        <v>0.97368421052631582</v>
      </c>
      <c r="N172">
        <v>1</v>
      </c>
      <c r="O172">
        <v>0.9550561797752809</v>
      </c>
      <c r="P172">
        <v>348</v>
      </c>
      <c r="Q172">
        <v>3798296</v>
      </c>
      <c r="R172">
        <v>1095</v>
      </c>
      <c r="S172">
        <v>2</v>
      </c>
      <c r="T172">
        <v>21</v>
      </c>
      <c r="U172">
        <v>0.97368421052631582</v>
      </c>
      <c r="V172">
        <v>1</v>
      </c>
      <c r="W172">
        <v>0.9550561797752809</v>
      </c>
      <c r="X172">
        <v>263</v>
      </c>
      <c r="Y172">
        <v>3083007</v>
      </c>
      <c r="Z172">
        <v>1191</v>
      </c>
      <c r="AA172">
        <v>2</v>
      </c>
      <c r="AB172">
        <v>22</v>
      </c>
    </row>
    <row r="173" spans="1:28" x14ac:dyDescent="0.25">
      <c r="A173" s="7" t="s">
        <v>44</v>
      </c>
      <c r="B173">
        <v>12</v>
      </c>
      <c r="C173">
        <v>3</v>
      </c>
      <c r="D173">
        <v>4</v>
      </c>
      <c r="E173">
        <v>0</v>
      </c>
      <c r="F173" s="7" t="s">
        <v>52</v>
      </c>
      <c r="G173">
        <v>1153</v>
      </c>
      <c r="H173">
        <v>1406848459</v>
      </c>
      <c r="I173">
        <v>12740</v>
      </c>
      <c r="J173">
        <v>0.24719101190567017</v>
      </c>
      <c r="K173">
        <v>0.86956518888473511</v>
      </c>
      <c r="L173">
        <v>0.23684211075305939</v>
      </c>
      <c r="M173">
        <v>0.97368421052631582</v>
      </c>
      <c r="N173">
        <v>1</v>
      </c>
      <c r="O173">
        <v>0.9662921348314607</v>
      </c>
      <c r="P173">
        <v>238</v>
      </c>
      <c r="Q173">
        <v>1975938</v>
      </c>
      <c r="R173">
        <v>1095</v>
      </c>
      <c r="S173">
        <v>2</v>
      </c>
      <c r="T173">
        <v>21</v>
      </c>
      <c r="U173">
        <v>0.97368421052631582</v>
      </c>
      <c r="V173">
        <v>1</v>
      </c>
      <c r="W173">
        <v>0.93258426966292129</v>
      </c>
      <c r="X173">
        <v>224</v>
      </c>
      <c r="Y173">
        <v>1890496</v>
      </c>
      <c r="Z173">
        <v>1191</v>
      </c>
      <c r="AA173">
        <v>2</v>
      </c>
      <c r="AB173">
        <v>22</v>
      </c>
    </row>
    <row r="174" spans="1:28" x14ac:dyDescent="0.25">
      <c r="A174" s="7" t="s">
        <v>44</v>
      </c>
      <c r="B174">
        <v>12</v>
      </c>
      <c r="C174">
        <v>3</v>
      </c>
      <c r="D174">
        <v>4</v>
      </c>
      <c r="E174">
        <v>0</v>
      </c>
      <c r="F174" s="7" t="s">
        <v>52</v>
      </c>
      <c r="G174">
        <v>1153</v>
      </c>
      <c r="H174">
        <v>2104416200</v>
      </c>
      <c r="I174">
        <v>18781</v>
      </c>
      <c r="J174">
        <v>0.60674154758453369</v>
      </c>
      <c r="K174">
        <v>0.86956518888473511</v>
      </c>
      <c r="L174">
        <v>0.65789473056793213</v>
      </c>
      <c r="M174">
        <v>1</v>
      </c>
      <c r="N174">
        <v>1</v>
      </c>
      <c r="O174">
        <v>0.9438202247191011</v>
      </c>
      <c r="P174">
        <v>167</v>
      </c>
      <c r="Q174">
        <v>1820819</v>
      </c>
      <c r="R174">
        <v>1095</v>
      </c>
      <c r="S174">
        <v>2</v>
      </c>
      <c r="T174">
        <v>21</v>
      </c>
      <c r="U174">
        <v>1</v>
      </c>
      <c r="V174">
        <v>1</v>
      </c>
      <c r="W174">
        <v>0.9438202247191011</v>
      </c>
      <c r="X174">
        <v>207</v>
      </c>
      <c r="Y174">
        <v>1739542</v>
      </c>
      <c r="Z174">
        <v>1191</v>
      </c>
      <c r="AA174">
        <v>2</v>
      </c>
      <c r="AB174">
        <v>22</v>
      </c>
    </row>
    <row r="175" spans="1:28" x14ac:dyDescent="0.25">
      <c r="A175" s="7" t="s">
        <v>44</v>
      </c>
      <c r="B175">
        <v>12</v>
      </c>
      <c r="C175">
        <v>3</v>
      </c>
      <c r="D175">
        <v>4</v>
      </c>
      <c r="E175">
        <v>0</v>
      </c>
      <c r="F175" s="7" t="s">
        <v>52</v>
      </c>
      <c r="G175">
        <v>1153</v>
      </c>
      <c r="H175">
        <v>1085561567</v>
      </c>
      <c r="I175">
        <v>10066</v>
      </c>
      <c r="J175">
        <v>0.22471910715103149</v>
      </c>
      <c r="K175">
        <v>0.78260868787765503</v>
      </c>
      <c r="L175">
        <v>0.18421052396297455</v>
      </c>
      <c r="M175">
        <v>1</v>
      </c>
      <c r="N175">
        <v>1</v>
      </c>
      <c r="O175">
        <v>0.9662921348314607</v>
      </c>
      <c r="P175">
        <v>707</v>
      </c>
      <c r="Q175">
        <v>7661469</v>
      </c>
      <c r="R175">
        <v>1095</v>
      </c>
      <c r="S175">
        <v>2</v>
      </c>
      <c r="T175">
        <v>21</v>
      </c>
      <c r="U175">
        <v>1</v>
      </c>
      <c r="V175">
        <v>1</v>
      </c>
      <c r="W175">
        <v>0.9662921348314607</v>
      </c>
      <c r="X175">
        <v>453</v>
      </c>
      <c r="Y175">
        <v>3662869</v>
      </c>
      <c r="Z175">
        <v>1191</v>
      </c>
      <c r="AA175">
        <v>2</v>
      </c>
      <c r="AB175">
        <v>22</v>
      </c>
    </row>
    <row r="176" spans="1:28" x14ac:dyDescent="0.25">
      <c r="A176" s="7" t="s">
        <v>44</v>
      </c>
      <c r="B176">
        <v>12</v>
      </c>
      <c r="C176">
        <v>3</v>
      </c>
      <c r="D176">
        <v>4</v>
      </c>
      <c r="E176">
        <v>0</v>
      </c>
      <c r="F176" s="7" t="s">
        <v>52</v>
      </c>
      <c r="G176">
        <v>1153</v>
      </c>
      <c r="H176">
        <v>1856728139</v>
      </c>
      <c r="I176">
        <v>17217</v>
      </c>
      <c r="J176">
        <v>0.82022470235824585</v>
      </c>
      <c r="K176">
        <v>0.95652174949645996</v>
      </c>
      <c r="L176">
        <v>0.84210526943206787</v>
      </c>
      <c r="M176">
        <v>1</v>
      </c>
      <c r="N176">
        <v>1</v>
      </c>
      <c r="O176">
        <v>0.9550561797752809</v>
      </c>
      <c r="P176">
        <v>889</v>
      </c>
      <c r="Q176">
        <v>8342113</v>
      </c>
      <c r="R176">
        <v>1095</v>
      </c>
      <c r="S176">
        <v>2</v>
      </c>
      <c r="T176">
        <v>21</v>
      </c>
      <c r="U176">
        <v>0.97368421052631582</v>
      </c>
      <c r="V176">
        <v>1</v>
      </c>
      <c r="W176">
        <v>0.9662921348314607</v>
      </c>
      <c r="X176">
        <v>341</v>
      </c>
      <c r="Y176">
        <v>2738923</v>
      </c>
      <c r="Z176">
        <v>1191</v>
      </c>
      <c r="AA176">
        <v>2</v>
      </c>
      <c r="AB176">
        <v>22</v>
      </c>
    </row>
    <row r="177" spans="1:28" x14ac:dyDescent="0.25">
      <c r="A177" s="7" t="s">
        <v>44</v>
      </c>
      <c r="B177">
        <v>12</v>
      </c>
      <c r="C177">
        <v>3</v>
      </c>
      <c r="D177">
        <v>4</v>
      </c>
      <c r="E177">
        <v>0</v>
      </c>
      <c r="F177" s="7" t="s">
        <v>53</v>
      </c>
      <c r="G177">
        <v>2013</v>
      </c>
      <c r="H177">
        <v>1153931168</v>
      </c>
      <c r="I177">
        <v>10007</v>
      </c>
      <c r="J177">
        <v>0.34831461310386658</v>
      </c>
      <c r="K177">
        <v>0.78260868787765503</v>
      </c>
      <c r="L177">
        <v>0.44736841320991516</v>
      </c>
      <c r="M177">
        <v>0.97368421052631582</v>
      </c>
      <c r="N177">
        <v>1</v>
      </c>
      <c r="O177">
        <v>0.9662921348314607</v>
      </c>
      <c r="P177">
        <v>235</v>
      </c>
      <c r="Q177">
        <v>2456890</v>
      </c>
      <c r="R177">
        <v>1975</v>
      </c>
      <c r="S177">
        <v>2</v>
      </c>
      <c r="T177">
        <v>29</v>
      </c>
      <c r="U177">
        <v>0.97368421052631582</v>
      </c>
      <c r="V177">
        <v>1</v>
      </c>
      <c r="W177">
        <v>0.9662921348314607</v>
      </c>
      <c r="X177">
        <v>315</v>
      </c>
      <c r="Y177">
        <v>3497443</v>
      </c>
      <c r="Z177">
        <v>2103</v>
      </c>
      <c r="AA177">
        <v>2</v>
      </c>
      <c r="AB177">
        <v>30</v>
      </c>
    </row>
    <row r="178" spans="1:28" x14ac:dyDescent="0.25">
      <c r="A178" s="7" t="s">
        <v>44</v>
      </c>
      <c r="B178">
        <v>12</v>
      </c>
      <c r="C178">
        <v>3</v>
      </c>
      <c r="D178">
        <v>4</v>
      </c>
      <c r="E178">
        <v>0</v>
      </c>
      <c r="F178" s="7" t="s">
        <v>53</v>
      </c>
      <c r="G178">
        <v>2013</v>
      </c>
      <c r="H178">
        <v>1183122713</v>
      </c>
      <c r="I178">
        <v>10233</v>
      </c>
      <c r="J178">
        <v>0.23595505952835083</v>
      </c>
      <c r="K178">
        <v>0.78260868787765503</v>
      </c>
      <c r="L178">
        <v>0.26315790414810181</v>
      </c>
      <c r="M178">
        <v>0.97368421052631582</v>
      </c>
      <c r="N178">
        <v>1</v>
      </c>
      <c r="O178">
        <v>0.9550561797752809</v>
      </c>
      <c r="P178">
        <v>239</v>
      </c>
      <c r="Q178">
        <v>1989197</v>
      </c>
      <c r="R178">
        <v>1975</v>
      </c>
      <c r="S178">
        <v>2</v>
      </c>
      <c r="T178">
        <v>29</v>
      </c>
      <c r="U178">
        <v>0.97368421052631582</v>
      </c>
      <c r="V178">
        <v>1</v>
      </c>
      <c r="W178">
        <v>0.9662921348314607</v>
      </c>
      <c r="X178">
        <v>326</v>
      </c>
      <c r="Y178">
        <v>3207820</v>
      </c>
      <c r="Z178">
        <v>2103</v>
      </c>
      <c r="AA178">
        <v>2</v>
      </c>
      <c r="AB178">
        <v>30</v>
      </c>
    </row>
    <row r="179" spans="1:28" x14ac:dyDescent="0.25">
      <c r="A179" s="7" t="s">
        <v>44</v>
      </c>
      <c r="B179">
        <v>12</v>
      </c>
      <c r="C179">
        <v>3</v>
      </c>
      <c r="D179">
        <v>4</v>
      </c>
      <c r="E179">
        <v>0</v>
      </c>
      <c r="F179" s="7" t="s">
        <v>53</v>
      </c>
      <c r="G179">
        <v>2013</v>
      </c>
      <c r="H179">
        <v>1353940889</v>
      </c>
      <c r="I179">
        <v>11548</v>
      </c>
      <c r="J179">
        <v>0.33707866072654724</v>
      </c>
      <c r="K179">
        <v>0.82608693838119507</v>
      </c>
      <c r="L179">
        <v>0.31578946113586426</v>
      </c>
      <c r="M179">
        <v>0.97368421052631582</v>
      </c>
      <c r="N179">
        <v>1</v>
      </c>
      <c r="O179">
        <v>0.9438202247191011</v>
      </c>
      <c r="P179">
        <v>229</v>
      </c>
      <c r="Q179">
        <v>2562755</v>
      </c>
      <c r="R179">
        <v>1975</v>
      </c>
      <c r="S179">
        <v>2</v>
      </c>
      <c r="T179">
        <v>29</v>
      </c>
      <c r="U179">
        <v>0.97368421052631582</v>
      </c>
      <c r="V179">
        <v>1</v>
      </c>
      <c r="W179">
        <v>0.9662921348314607</v>
      </c>
      <c r="X179">
        <v>314</v>
      </c>
      <c r="Y179">
        <v>2741978</v>
      </c>
      <c r="Z179">
        <v>2103</v>
      </c>
      <c r="AA179">
        <v>2</v>
      </c>
      <c r="AB179">
        <v>30</v>
      </c>
    </row>
    <row r="180" spans="1:28" x14ac:dyDescent="0.25">
      <c r="A180" s="7" t="s">
        <v>44</v>
      </c>
      <c r="B180">
        <v>12</v>
      </c>
      <c r="C180">
        <v>3</v>
      </c>
      <c r="D180">
        <v>4</v>
      </c>
      <c r="E180">
        <v>0</v>
      </c>
      <c r="F180" s="7" t="s">
        <v>53</v>
      </c>
      <c r="G180">
        <v>2013</v>
      </c>
      <c r="H180">
        <v>1166191263</v>
      </c>
      <c r="I180">
        <v>10032</v>
      </c>
      <c r="J180">
        <v>0.73033708333969116</v>
      </c>
      <c r="K180">
        <v>0.78260868787765503</v>
      </c>
      <c r="L180">
        <v>0.73684209585189819</v>
      </c>
      <c r="M180">
        <v>0.97368421052631582</v>
      </c>
      <c r="N180">
        <v>1</v>
      </c>
      <c r="O180">
        <v>0.9662921348314607</v>
      </c>
      <c r="P180">
        <v>194</v>
      </c>
      <c r="Q180">
        <v>1733834</v>
      </c>
      <c r="R180">
        <v>1975</v>
      </c>
      <c r="S180">
        <v>2</v>
      </c>
      <c r="T180">
        <v>29</v>
      </c>
      <c r="U180">
        <v>0.97368421052631582</v>
      </c>
      <c r="V180">
        <v>1</v>
      </c>
      <c r="W180">
        <v>0.9101123595505618</v>
      </c>
      <c r="X180">
        <v>120</v>
      </c>
      <c r="Y180">
        <v>1327250</v>
      </c>
      <c r="Z180">
        <v>2103</v>
      </c>
      <c r="AA180">
        <v>2</v>
      </c>
      <c r="AB180">
        <v>30</v>
      </c>
    </row>
    <row r="181" spans="1:28" x14ac:dyDescent="0.25">
      <c r="A181" s="7" t="s">
        <v>44</v>
      </c>
      <c r="B181">
        <v>12</v>
      </c>
      <c r="C181">
        <v>3</v>
      </c>
      <c r="D181">
        <v>4</v>
      </c>
      <c r="E181">
        <v>0</v>
      </c>
      <c r="F181" s="7" t="s">
        <v>53</v>
      </c>
      <c r="G181">
        <v>2013</v>
      </c>
      <c r="H181">
        <v>1236013286</v>
      </c>
      <c r="I181">
        <v>10690</v>
      </c>
      <c r="J181">
        <v>0.49438202381134033</v>
      </c>
      <c r="K181">
        <v>0.82608693838119507</v>
      </c>
      <c r="L181">
        <v>0.5</v>
      </c>
      <c r="M181">
        <v>0.94736842105263153</v>
      </c>
      <c r="N181">
        <v>1</v>
      </c>
      <c r="O181">
        <v>0.9213483146067416</v>
      </c>
      <c r="P181">
        <v>16</v>
      </c>
      <c r="Q181">
        <v>120290</v>
      </c>
      <c r="R181">
        <v>1975</v>
      </c>
      <c r="S181">
        <v>2</v>
      </c>
      <c r="T181">
        <v>29</v>
      </c>
      <c r="U181">
        <v>0.94736842105263153</v>
      </c>
      <c r="V181">
        <v>1</v>
      </c>
      <c r="W181">
        <v>0.9438202247191011</v>
      </c>
      <c r="X181">
        <v>136</v>
      </c>
      <c r="Y181">
        <v>1083495</v>
      </c>
      <c r="Z181">
        <v>2103</v>
      </c>
      <c r="AA181">
        <v>2</v>
      </c>
      <c r="AB181">
        <v>30</v>
      </c>
    </row>
    <row r="182" spans="1:28" x14ac:dyDescent="0.25">
      <c r="A182" s="7" t="s">
        <v>44</v>
      </c>
      <c r="B182">
        <v>12</v>
      </c>
      <c r="C182">
        <v>3</v>
      </c>
      <c r="D182">
        <v>4</v>
      </c>
      <c r="E182">
        <v>0</v>
      </c>
      <c r="F182" s="7" t="s">
        <v>55</v>
      </c>
      <c r="G182">
        <v>1459</v>
      </c>
      <c r="H182">
        <v>1349919891</v>
      </c>
      <c r="I182">
        <v>12328</v>
      </c>
      <c r="J182">
        <v>0.516853928565979</v>
      </c>
      <c r="K182">
        <v>0.78260868787765503</v>
      </c>
      <c r="L182">
        <v>0.44736841320991516</v>
      </c>
      <c r="M182">
        <v>0.97368421052631582</v>
      </c>
      <c r="N182">
        <v>1</v>
      </c>
      <c r="O182">
        <v>0.9550561797752809</v>
      </c>
      <c r="P182">
        <v>239</v>
      </c>
      <c r="Q182">
        <v>2580285</v>
      </c>
      <c r="R182">
        <v>1395</v>
      </c>
      <c r="S182">
        <v>2</v>
      </c>
      <c r="T182">
        <v>24</v>
      </c>
      <c r="U182">
        <v>0.97368421052631582</v>
      </c>
      <c r="V182">
        <v>1</v>
      </c>
      <c r="W182">
        <v>0.9438202247191011</v>
      </c>
      <c r="X182">
        <v>308</v>
      </c>
      <c r="Y182">
        <v>3300236</v>
      </c>
      <c r="Z182">
        <v>1503</v>
      </c>
      <c r="AA182">
        <v>2</v>
      </c>
      <c r="AB182">
        <v>25</v>
      </c>
    </row>
    <row r="183" spans="1:28" x14ac:dyDescent="0.25">
      <c r="A183" s="7" t="s">
        <v>44</v>
      </c>
      <c r="B183">
        <v>12</v>
      </c>
      <c r="C183">
        <v>3</v>
      </c>
      <c r="D183">
        <v>4</v>
      </c>
      <c r="E183">
        <v>0</v>
      </c>
      <c r="F183" s="7" t="s">
        <v>55</v>
      </c>
      <c r="G183">
        <v>1459</v>
      </c>
      <c r="H183">
        <v>1104247633</v>
      </c>
      <c r="I183">
        <v>10092</v>
      </c>
      <c r="J183">
        <v>0.43820226192474365</v>
      </c>
      <c r="K183">
        <v>0.78260868787765503</v>
      </c>
      <c r="L183">
        <v>0.60526317358016968</v>
      </c>
      <c r="M183">
        <v>0.97368421052631582</v>
      </c>
      <c r="N183">
        <v>1</v>
      </c>
      <c r="O183">
        <v>0.9662921348314607</v>
      </c>
      <c r="P183">
        <v>331</v>
      </c>
      <c r="Q183">
        <v>2924782</v>
      </c>
      <c r="R183">
        <v>1395</v>
      </c>
      <c r="S183">
        <v>2</v>
      </c>
      <c r="T183">
        <v>24</v>
      </c>
      <c r="U183">
        <v>0.97368421052631582</v>
      </c>
      <c r="V183">
        <v>1</v>
      </c>
      <c r="W183">
        <v>0.9662921348314607</v>
      </c>
      <c r="X183">
        <v>257</v>
      </c>
      <c r="Y183">
        <v>2109740</v>
      </c>
      <c r="Z183">
        <v>1503</v>
      </c>
      <c r="AA183">
        <v>2</v>
      </c>
      <c r="AB183">
        <v>25</v>
      </c>
    </row>
    <row r="184" spans="1:28" x14ac:dyDescent="0.25">
      <c r="A184" s="7" t="s">
        <v>44</v>
      </c>
      <c r="B184">
        <v>12</v>
      </c>
      <c r="C184">
        <v>3</v>
      </c>
      <c r="D184">
        <v>4</v>
      </c>
      <c r="E184">
        <v>0</v>
      </c>
      <c r="F184" s="7" t="s">
        <v>55</v>
      </c>
      <c r="G184">
        <v>1459</v>
      </c>
      <c r="H184">
        <v>1101143923</v>
      </c>
      <c r="I184">
        <v>10050</v>
      </c>
      <c r="J184">
        <v>0.50561797618865967</v>
      </c>
      <c r="K184">
        <v>0.69565218687057495</v>
      </c>
      <c r="L184">
        <v>0.52631580829620361</v>
      </c>
      <c r="M184">
        <v>0.97368421052631582</v>
      </c>
      <c r="N184">
        <v>1</v>
      </c>
      <c r="O184">
        <v>0.9438202247191011</v>
      </c>
      <c r="P184">
        <v>246</v>
      </c>
      <c r="Q184">
        <v>2799887</v>
      </c>
      <c r="R184">
        <v>1395</v>
      </c>
      <c r="S184">
        <v>2</v>
      </c>
      <c r="T184">
        <v>24</v>
      </c>
      <c r="U184">
        <v>0.97368421052631582</v>
      </c>
      <c r="V184">
        <v>1</v>
      </c>
      <c r="W184">
        <v>0.9662921348314607</v>
      </c>
      <c r="X184">
        <v>291</v>
      </c>
      <c r="Y184">
        <v>3155456</v>
      </c>
      <c r="Z184">
        <v>1503</v>
      </c>
      <c r="AA184">
        <v>2</v>
      </c>
      <c r="AB184">
        <v>25</v>
      </c>
    </row>
    <row r="185" spans="1:28" x14ac:dyDescent="0.25">
      <c r="A185" s="7" t="s">
        <v>44</v>
      </c>
      <c r="B185">
        <v>12</v>
      </c>
      <c r="C185">
        <v>3</v>
      </c>
      <c r="D185">
        <v>4</v>
      </c>
      <c r="E185">
        <v>0</v>
      </c>
      <c r="F185" s="7" t="s">
        <v>55</v>
      </c>
      <c r="G185">
        <v>1459</v>
      </c>
      <c r="H185">
        <v>1227676094</v>
      </c>
      <c r="I185">
        <v>11219</v>
      </c>
      <c r="J185">
        <v>0.47191011905670166</v>
      </c>
      <c r="K185">
        <v>0.78260868787765503</v>
      </c>
      <c r="L185">
        <v>0.52631580829620361</v>
      </c>
      <c r="M185">
        <v>0.97368421052631582</v>
      </c>
      <c r="N185">
        <v>1</v>
      </c>
      <c r="O185">
        <v>0.93258426966292129</v>
      </c>
      <c r="P185">
        <v>180</v>
      </c>
      <c r="Q185">
        <v>1424792</v>
      </c>
      <c r="R185">
        <v>1395</v>
      </c>
      <c r="S185">
        <v>2</v>
      </c>
      <c r="T185">
        <v>24</v>
      </c>
      <c r="U185">
        <v>0.97368421052631582</v>
      </c>
      <c r="V185">
        <v>1</v>
      </c>
      <c r="W185">
        <v>0.9550561797752809</v>
      </c>
      <c r="X185">
        <v>232</v>
      </c>
      <c r="Y185">
        <v>1806924</v>
      </c>
      <c r="Z185">
        <v>1503</v>
      </c>
      <c r="AA185">
        <v>2</v>
      </c>
      <c r="AB185">
        <v>25</v>
      </c>
    </row>
    <row r="186" spans="1:28" x14ac:dyDescent="0.25">
      <c r="A186" s="7" t="s">
        <v>44</v>
      </c>
      <c r="B186">
        <v>12</v>
      </c>
      <c r="C186">
        <v>3</v>
      </c>
      <c r="D186">
        <v>4</v>
      </c>
      <c r="E186">
        <v>0</v>
      </c>
      <c r="F186" s="7" t="s">
        <v>55</v>
      </c>
      <c r="G186">
        <v>1459</v>
      </c>
      <c r="H186">
        <v>1180708084</v>
      </c>
      <c r="I186">
        <v>10772</v>
      </c>
      <c r="J186">
        <v>0.55056178569793701</v>
      </c>
      <c r="K186">
        <v>0.73913043737411499</v>
      </c>
      <c r="L186">
        <v>0.57894736528396606</v>
      </c>
      <c r="M186">
        <v>0.97368421052631582</v>
      </c>
      <c r="N186">
        <v>1</v>
      </c>
      <c r="O186">
        <v>0.9438202247191011</v>
      </c>
      <c r="P186">
        <v>148</v>
      </c>
      <c r="Q186">
        <v>1183871</v>
      </c>
      <c r="R186">
        <v>1395</v>
      </c>
      <c r="S186">
        <v>2</v>
      </c>
      <c r="T186">
        <v>24</v>
      </c>
      <c r="U186">
        <v>1</v>
      </c>
      <c r="V186">
        <v>1</v>
      </c>
      <c r="W186">
        <v>0.9662921348314607</v>
      </c>
      <c r="X186">
        <v>534</v>
      </c>
      <c r="Y186">
        <v>4570039</v>
      </c>
      <c r="Z186">
        <v>1503</v>
      </c>
      <c r="AA186">
        <v>2</v>
      </c>
      <c r="AB186">
        <v>25</v>
      </c>
    </row>
    <row r="187" spans="1:28" x14ac:dyDescent="0.25">
      <c r="A187" s="7" t="s">
        <v>44</v>
      </c>
      <c r="B187">
        <v>12</v>
      </c>
      <c r="C187">
        <v>3</v>
      </c>
      <c r="D187">
        <v>4</v>
      </c>
      <c r="E187">
        <v>0</v>
      </c>
      <c r="F187" s="7" t="s">
        <v>56</v>
      </c>
      <c r="G187">
        <v>2509</v>
      </c>
      <c r="H187">
        <v>1189043081</v>
      </c>
      <c r="I187">
        <v>10015</v>
      </c>
      <c r="J187">
        <v>0.23595505952835083</v>
      </c>
      <c r="K187">
        <v>0.78260868787765503</v>
      </c>
      <c r="L187">
        <v>0.26315790414810181</v>
      </c>
      <c r="M187">
        <v>0.97368421052631582</v>
      </c>
      <c r="N187">
        <v>1</v>
      </c>
      <c r="O187">
        <v>0.9550561797752809</v>
      </c>
      <c r="P187">
        <v>171</v>
      </c>
      <c r="Q187">
        <v>1891678</v>
      </c>
      <c r="R187">
        <v>2371</v>
      </c>
      <c r="S187">
        <v>2</v>
      </c>
      <c r="T187">
        <v>32</v>
      </c>
      <c r="U187">
        <v>0.97368421052631582</v>
      </c>
      <c r="V187">
        <v>1</v>
      </c>
      <c r="W187">
        <v>0.93258426966292129</v>
      </c>
      <c r="X187">
        <v>141</v>
      </c>
      <c r="Y187">
        <v>1609972</v>
      </c>
      <c r="Z187">
        <v>2511</v>
      </c>
      <c r="AA187">
        <v>2</v>
      </c>
      <c r="AB187">
        <v>33</v>
      </c>
    </row>
    <row r="188" spans="1:28" x14ac:dyDescent="0.25">
      <c r="A188" s="7" t="s">
        <v>44</v>
      </c>
      <c r="B188">
        <v>12</v>
      </c>
      <c r="C188">
        <v>3</v>
      </c>
      <c r="D188">
        <v>4</v>
      </c>
      <c r="E188">
        <v>0</v>
      </c>
      <c r="F188" s="7" t="s">
        <v>56</v>
      </c>
      <c r="G188">
        <v>2509</v>
      </c>
      <c r="H188">
        <v>1198186303</v>
      </c>
      <c r="I188">
        <v>10061</v>
      </c>
      <c r="J188">
        <v>0.39325842261314392</v>
      </c>
      <c r="K188">
        <v>0.78260868787765503</v>
      </c>
      <c r="L188">
        <v>0.44736841320991516</v>
      </c>
      <c r="M188">
        <v>0.97368421052631582</v>
      </c>
      <c r="N188">
        <v>1</v>
      </c>
      <c r="O188">
        <v>0.9662921348314607</v>
      </c>
      <c r="P188">
        <v>420</v>
      </c>
      <c r="Q188">
        <v>3990807</v>
      </c>
      <c r="R188">
        <v>2371</v>
      </c>
      <c r="S188">
        <v>2</v>
      </c>
      <c r="T188">
        <v>32</v>
      </c>
      <c r="U188">
        <v>1</v>
      </c>
      <c r="V188">
        <v>1</v>
      </c>
      <c r="W188">
        <v>0.9662921348314607</v>
      </c>
      <c r="X188">
        <v>517</v>
      </c>
      <c r="Y188">
        <v>4902987</v>
      </c>
      <c r="Z188">
        <v>2511</v>
      </c>
      <c r="AA188">
        <v>2</v>
      </c>
      <c r="AB188">
        <v>33</v>
      </c>
    </row>
    <row r="189" spans="1:28" x14ac:dyDescent="0.25">
      <c r="A189" s="7" t="s">
        <v>44</v>
      </c>
      <c r="B189">
        <v>12</v>
      </c>
      <c r="C189">
        <v>3</v>
      </c>
      <c r="D189">
        <v>4</v>
      </c>
      <c r="E189">
        <v>0</v>
      </c>
      <c r="F189" s="7" t="s">
        <v>56</v>
      </c>
      <c r="G189">
        <v>2509</v>
      </c>
      <c r="H189">
        <v>1187836204</v>
      </c>
      <c r="I189">
        <v>10016</v>
      </c>
      <c r="J189">
        <v>0.34831461310386658</v>
      </c>
      <c r="K189">
        <v>0.86956518888473511</v>
      </c>
      <c r="L189">
        <v>0.42105263471603394</v>
      </c>
      <c r="M189">
        <v>0.97368421052631582</v>
      </c>
      <c r="N189">
        <v>1</v>
      </c>
      <c r="O189">
        <v>0.9662921348314607</v>
      </c>
      <c r="P189">
        <v>299</v>
      </c>
      <c r="Q189">
        <v>3152122</v>
      </c>
      <c r="R189">
        <v>2371</v>
      </c>
      <c r="S189">
        <v>2</v>
      </c>
      <c r="T189">
        <v>32</v>
      </c>
      <c r="U189">
        <v>0.97368421052631582</v>
      </c>
      <c r="V189">
        <v>1</v>
      </c>
      <c r="W189">
        <v>0.9662921348314607</v>
      </c>
      <c r="X189">
        <v>178</v>
      </c>
      <c r="Y189">
        <v>1996696</v>
      </c>
      <c r="Z189">
        <v>2511</v>
      </c>
      <c r="AA189">
        <v>2</v>
      </c>
      <c r="AB189">
        <v>33</v>
      </c>
    </row>
    <row r="190" spans="1:28" x14ac:dyDescent="0.25">
      <c r="A190" s="7" t="s">
        <v>44</v>
      </c>
      <c r="B190">
        <v>12</v>
      </c>
      <c r="C190">
        <v>3</v>
      </c>
      <c r="D190">
        <v>4</v>
      </c>
      <c r="E190">
        <v>0</v>
      </c>
      <c r="F190" s="7" t="s">
        <v>56</v>
      </c>
      <c r="G190">
        <v>2509</v>
      </c>
      <c r="H190">
        <v>1200754059</v>
      </c>
      <c r="I190">
        <v>10124</v>
      </c>
      <c r="J190">
        <v>0.62921351194381714</v>
      </c>
      <c r="K190">
        <v>0.95652174949645996</v>
      </c>
      <c r="L190">
        <v>0.60526317358016968</v>
      </c>
      <c r="M190">
        <v>1</v>
      </c>
      <c r="N190">
        <v>1</v>
      </c>
      <c r="O190">
        <v>0.9662921348314607</v>
      </c>
      <c r="P190">
        <v>472</v>
      </c>
      <c r="Q190">
        <v>3899202</v>
      </c>
      <c r="R190">
        <v>2371</v>
      </c>
      <c r="S190">
        <v>2</v>
      </c>
      <c r="T190">
        <v>32</v>
      </c>
      <c r="U190">
        <v>0.97368421052631582</v>
      </c>
      <c r="V190">
        <v>1</v>
      </c>
      <c r="W190">
        <v>0.9662921348314607</v>
      </c>
      <c r="X190">
        <v>196</v>
      </c>
      <c r="Y190">
        <v>1859193</v>
      </c>
      <c r="Z190">
        <v>2511</v>
      </c>
      <c r="AA190">
        <v>2</v>
      </c>
      <c r="AB190">
        <v>33</v>
      </c>
    </row>
    <row r="191" spans="1:28" x14ac:dyDescent="0.25">
      <c r="A191" s="7" t="s">
        <v>44</v>
      </c>
      <c r="B191">
        <v>12</v>
      </c>
      <c r="C191">
        <v>3</v>
      </c>
      <c r="D191">
        <v>4</v>
      </c>
      <c r="E191">
        <v>0</v>
      </c>
      <c r="F191" s="7" t="s">
        <v>56</v>
      </c>
      <c r="G191">
        <v>2509</v>
      </c>
      <c r="H191">
        <v>1210781799</v>
      </c>
      <c r="I191">
        <v>10021</v>
      </c>
      <c r="J191">
        <v>0.38202247023582458</v>
      </c>
      <c r="K191">
        <v>0.86956518888473511</v>
      </c>
      <c r="L191">
        <v>0.39473685622215271</v>
      </c>
      <c r="M191">
        <v>0.97368421052631582</v>
      </c>
      <c r="N191">
        <v>1</v>
      </c>
      <c r="O191">
        <v>0.9662921348314607</v>
      </c>
      <c r="P191">
        <v>193</v>
      </c>
      <c r="Q191">
        <v>2101311</v>
      </c>
      <c r="R191">
        <v>2371</v>
      </c>
      <c r="S191">
        <v>2</v>
      </c>
      <c r="T191">
        <v>32</v>
      </c>
      <c r="U191">
        <v>0.97368421052631582</v>
      </c>
      <c r="V191">
        <v>1</v>
      </c>
      <c r="W191">
        <v>0.9662921348314607</v>
      </c>
      <c r="X191">
        <v>245</v>
      </c>
      <c r="Y191">
        <v>2714387</v>
      </c>
      <c r="Z191">
        <v>2511</v>
      </c>
      <c r="AA191">
        <v>2</v>
      </c>
      <c r="AB191">
        <v>33</v>
      </c>
    </row>
    <row r="192" spans="1:28" x14ac:dyDescent="0.25">
      <c r="A192" s="7" t="s">
        <v>44</v>
      </c>
      <c r="B192">
        <v>12</v>
      </c>
      <c r="C192">
        <v>3</v>
      </c>
      <c r="D192">
        <v>4</v>
      </c>
      <c r="E192">
        <v>0</v>
      </c>
      <c r="F192" s="7" t="s">
        <v>45</v>
      </c>
      <c r="G192">
        <v>1765</v>
      </c>
      <c r="H192">
        <v>1244095530</v>
      </c>
      <c r="I192">
        <v>10979</v>
      </c>
      <c r="J192">
        <v>0.24719101190567017</v>
      </c>
      <c r="K192">
        <v>0.78260868787765503</v>
      </c>
      <c r="L192">
        <v>0.3684210479259491</v>
      </c>
      <c r="M192">
        <v>0.97368421052631582</v>
      </c>
      <c r="N192">
        <v>1</v>
      </c>
      <c r="O192">
        <v>0.9662921348314607</v>
      </c>
      <c r="P192">
        <v>249</v>
      </c>
      <c r="Q192">
        <v>2816521</v>
      </c>
      <c r="R192">
        <v>1731</v>
      </c>
      <c r="S192">
        <v>2</v>
      </c>
      <c r="T192">
        <v>27</v>
      </c>
      <c r="U192">
        <v>0.97368421052631582</v>
      </c>
      <c r="V192">
        <v>1</v>
      </c>
      <c r="W192">
        <v>0.9550561797752809</v>
      </c>
      <c r="X192">
        <v>215</v>
      </c>
      <c r="Y192">
        <v>1920120</v>
      </c>
      <c r="Z192">
        <v>1851</v>
      </c>
      <c r="AA192">
        <v>2</v>
      </c>
      <c r="AB192">
        <v>28</v>
      </c>
    </row>
    <row r="193" spans="1:28" x14ac:dyDescent="0.25">
      <c r="A193" s="7" t="s">
        <v>44</v>
      </c>
      <c r="B193">
        <v>12</v>
      </c>
      <c r="C193">
        <v>3</v>
      </c>
      <c r="D193">
        <v>4</v>
      </c>
      <c r="E193">
        <v>0</v>
      </c>
      <c r="F193" s="7" t="s">
        <v>45</v>
      </c>
      <c r="G193">
        <v>1765</v>
      </c>
      <c r="H193">
        <v>1157238368</v>
      </c>
      <c r="I193">
        <v>10202</v>
      </c>
      <c r="J193">
        <v>0.32584270834922791</v>
      </c>
      <c r="K193">
        <v>0.78260868787765503</v>
      </c>
      <c r="L193">
        <v>0.44736841320991516</v>
      </c>
      <c r="M193">
        <v>1</v>
      </c>
      <c r="N193">
        <v>1</v>
      </c>
      <c r="O193">
        <v>0.9662921348314607</v>
      </c>
      <c r="P193">
        <v>581</v>
      </c>
      <c r="Q193">
        <v>5002515</v>
      </c>
      <c r="R193">
        <v>1731</v>
      </c>
      <c r="S193">
        <v>2</v>
      </c>
      <c r="T193">
        <v>27</v>
      </c>
      <c r="U193">
        <v>0.97368421052631582</v>
      </c>
      <c r="V193">
        <v>1</v>
      </c>
      <c r="W193">
        <v>0.9213483146067416</v>
      </c>
      <c r="X193">
        <v>78</v>
      </c>
      <c r="Y193">
        <v>814468</v>
      </c>
      <c r="Z193">
        <v>1851</v>
      </c>
      <c r="AA193">
        <v>2</v>
      </c>
      <c r="AB193">
        <v>28</v>
      </c>
    </row>
    <row r="194" spans="1:28" x14ac:dyDescent="0.25">
      <c r="A194" s="7" t="s">
        <v>44</v>
      </c>
      <c r="B194">
        <v>12</v>
      </c>
      <c r="C194">
        <v>3</v>
      </c>
      <c r="D194">
        <v>4</v>
      </c>
      <c r="E194">
        <v>0</v>
      </c>
      <c r="F194" s="7" t="s">
        <v>45</v>
      </c>
      <c r="G194">
        <v>1765</v>
      </c>
      <c r="H194">
        <v>1141562159</v>
      </c>
      <c r="I194">
        <v>10014</v>
      </c>
      <c r="J194">
        <v>0.65168541669845581</v>
      </c>
      <c r="K194">
        <v>0.78260868787765503</v>
      </c>
      <c r="L194">
        <v>0.68421053886413574</v>
      </c>
      <c r="M194">
        <v>0.92105263157894735</v>
      </c>
      <c r="N194">
        <v>1</v>
      </c>
      <c r="O194">
        <v>0.9101123595505618</v>
      </c>
      <c r="P194">
        <v>120</v>
      </c>
      <c r="Q194">
        <v>1393516</v>
      </c>
      <c r="R194">
        <v>1731</v>
      </c>
      <c r="S194">
        <v>2</v>
      </c>
      <c r="T194">
        <v>27</v>
      </c>
      <c r="U194">
        <v>0.97368421052631582</v>
      </c>
      <c r="V194">
        <v>1</v>
      </c>
      <c r="W194">
        <v>0.9550561797752809</v>
      </c>
      <c r="X194">
        <v>204</v>
      </c>
      <c r="Y194">
        <v>1762544</v>
      </c>
      <c r="Z194">
        <v>1851</v>
      </c>
      <c r="AA194">
        <v>2</v>
      </c>
      <c r="AB194">
        <v>28</v>
      </c>
    </row>
    <row r="195" spans="1:28" x14ac:dyDescent="0.25">
      <c r="A195" s="7" t="s">
        <v>44</v>
      </c>
      <c r="B195">
        <v>12</v>
      </c>
      <c r="C195">
        <v>3</v>
      </c>
      <c r="D195">
        <v>4</v>
      </c>
      <c r="E195">
        <v>0</v>
      </c>
      <c r="F195" s="7" t="s">
        <v>45</v>
      </c>
      <c r="G195">
        <v>1765</v>
      </c>
      <c r="H195">
        <v>1195608046</v>
      </c>
      <c r="I195">
        <v>10636</v>
      </c>
      <c r="J195">
        <v>0.53932583332061768</v>
      </c>
      <c r="K195">
        <v>0.86956518888473511</v>
      </c>
      <c r="L195">
        <v>0.44736841320991516</v>
      </c>
      <c r="M195">
        <v>0.97368421052631582</v>
      </c>
      <c r="N195">
        <v>1</v>
      </c>
      <c r="O195">
        <v>0.9662921348314607</v>
      </c>
      <c r="P195">
        <v>268</v>
      </c>
      <c r="Q195">
        <v>2883025</v>
      </c>
      <c r="R195">
        <v>1731</v>
      </c>
      <c r="S195">
        <v>2</v>
      </c>
      <c r="T195">
        <v>27</v>
      </c>
      <c r="U195">
        <v>0.97368421052631582</v>
      </c>
      <c r="V195">
        <v>1</v>
      </c>
      <c r="W195">
        <v>0.9550561797752809</v>
      </c>
      <c r="X195">
        <v>153</v>
      </c>
      <c r="Y195">
        <v>1575485</v>
      </c>
      <c r="Z195">
        <v>1851</v>
      </c>
      <c r="AA195">
        <v>2</v>
      </c>
      <c r="AB195">
        <v>28</v>
      </c>
    </row>
    <row r="196" spans="1:28" x14ac:dyDescent="0.25">
      <c r="A196" s="7" t="s">
        <v>44</v>
      </c>
      <c r="B196">
        <v>12</v>
      </c>
      <c r="C196">
        <v>3</v>
      </c>
      <c r="D196">
        <v>4</v>
      </c>
      <c r="E196">
        <v>0</v>
      </c>
      <c r="F196" s="7" t="s">
        <v>45</v>
      </c>
      <c r="G196">
        <v>1765</v>
      </c>
      <c r="H196">
        <v>1979947845</v>
      </c>
      <c r="I196">
        <v>17421</v>
      </c>
      <c r="J196">
        <v>0.58426964282989502</v>
      </c>
      <c r="K196">
        <v>0.86956518888473511</v>
      </c>
      <c r="L196">
        <v>0.65789473056793213</v>
      </c>
      <c r="M196">
        <v>0.97368421052631582</v>
      </c>
      <c r="N196">
        <v>1</v>
      </c>
      <c r="O196">
        <v>0.9438202247191011</v>
      </c>
      <c r="P196">
        <v>211</v>
      </c>
      <c r="Q196">
        <v>2555775</v>
      </c>
      <c r="R196">
        <v>1731</v>
      </c>
      <c r="S196">
        <v>2</v>
      </c>
      <c r="T196">
        <v>27</v>
      </c>
      <c r="U196">
        <v>0.97368421052631582</v>
      </c>
      <c r="V196">
        <v>1</v>
      </c>
      <c r="W196">
        <v>0.9662921348314607</v>
      </c>
      <c r="X196">
        <v>293</v>
      </c>
      <c r="Y196">
        <v>3321206</v>
      </c>
      <c r="Z196">
        <v>1851</v>
      </c>
      <c r="AA196">
        <v>2</v>
      </c>
      <c r="AB196">
        <v>28</v>
      </c>
    </row>
    <row r="197" spans="1:28" x14ac:dyDescent="0.25">
      <c r="A197" s="7" t="s">
        <v>44</v>
      </c>
      <c r="B197">
        <v>12</v>
      </c>
      <c r="C197">
        <v>3</v>
      </c>
      <c r="D197">
        <v>4</v>
      </c>
      <c r="E197">
        <v>0</v>
      </c>
      <c r="F197" s="7" t="s">
        <v>46</v>
      </c>
      <c r="G197">
        <v>3005</v>
      </c>
      <c r="H197">
        <v>1257651294</v>
      </c>
      <c r="I197">
        <v>10007</v>
      </c>
      <c r="J197">
        <v>0.34831461310386658</v>
      </c>
      <c r="K197">
        <v>0.73913043737411499</v>
      </c>
      <c r="L197">
        <v>0.26315790414810181</v>
      </c>
      <c r="M197">
        <v>0.97368421052631582</v>
      </c>
      <c r="N197">
        <v>1</v>
      </c>
      <c r="O197">
        <v>0.9662921348314607</v>
      </c>
      <c r="P197">
        <v>188</v>
      </c>
      <c r="Q197">
        <v>1847639</v>
      </c>
      <c r="R197">
        <v>2955</v>
      </c>
      <c r="S197">
        <v>2</v>
      </c>
      <c r="T197">
        <v>36</v>
      </c>
      <c r="U197">
        <v>0.97368421052631582</v>
      </c>
      <c r="V197">
        <v>1</v>
      </c>
      <c r="W197">
        <v>0.9662921348314607</v>
      </c>
      <c r="X197">
        <v>186</v>
      </c>
      <c r="Y197">
        <v>1604838</v>
      </c>
      <c r="Z197">
        <v>3111</v>
      </c>
      <c r="AA197">
        <v>2</v>
      </c>
      <c r="AB197">
        <v>37</v>
      </c>
    </row>
    <row r="198" spans="1:28" hidden="1" x14ac:dyDescent="0.25">
      <c r="A198" s="7" t="s">
        <v>28</v>
      </c>
      <c r="B198">
        <v>10</v>
      </c>
      <c r="C198">
        <v>5</v>
      </c>
      <c r="D198">
        <v>2</v>
      </c>
      <c r="E198">
        <v>0</v>
      </c>
      <c r="F198" s="7" t="s">
        <v>39</v>
      </c>
      <c r="G198">
        <v>36976</v>
      </c>
      <c r="H198">
        <v>103266982</v>
      </c>
      <c r="I198">
        <v>216</v>
      </c>
      <c r="J198">
        <v>0.98823529481887817</v>
      </c>
      <c r="K198">
        <v>1</v>
      </c>
      <c r="L198">
        <v>0.95104897022247314</v>
      </c>
      <c r="M198">
        <v>0.965034965034965</v>
      </c>
      <c r="N198">
        <v>1</v>
      </c>
      <c r="O198">
        <v>0.9882352941176471</v>
      </c>
      <c r="P198">
        <v>16361</v>
      </c>
      <c r="Q198">
        <v>792733812</v>
      </c>
      <c r="R198">
        <v>36705</v>
      </c>
      <c r="S198">
        <v>2</v>
      </c>
      <c r="T198">
        <v>127</v>
      </c>
      <c r="U198">
        <v>0.99300699300699302</v>
      </c>
      <c r="V198">
        <v>1</v>
      </c>
      <c r="W198">
        <v>0.97058823529411764</v>
      </c>
      <c r="X198">
        <v>14956</v>
      </c>
      <c r="Y198">
        <v>679337646</v>
      </c>
      <c r="Z198">
        <v>37250</v>
      </c>
      <c r="AA198">
        <v>2</v>
      </c>
      <c r="AB198">
        <v>128</v>
      </c>
    </row>
    <row r="199" spans="1:28" hidden="1" x14ac:dyDescent="0.25">
      <c r="A199" s="7" t="s">
        <v>28</v>
      </c>
      <c r="B199">
        <v>10</v>
      </c>
      <c r="C199">
        <v>5</v>
      </c>
      <c r="D199">
        <v>2</v>
      </c>
      <c r="E199">
        <v>0</v>
      </c>
      <c r="F199" s="7" t="s">
        <v>39</v>
      </c>
      <c r="G199">
        <v>36976</v>
      </c>
      <c r="H199">
        <v>81660720</v>
      </c>
      <c r="I199">
        <v>164</v>
      </c>
      <c r="J199">
        <v>0.97058820724487305</v>
      </c>
      <c r="K199">
        <v>1</v>
      </c>
      <c r="L199">
        <v>0.93006992340087891</v>
      </c>
      <c r="M199">
        <v>0.97202797202797198</v>
      </c>
      <c r="N199">
        <v>1</v>
      </c>
      <c r="O199">
        <v>0.95294117647058818</v>
      </c>
      <c r="P199">
        <v>5403</v>
      </c>
      <c r="Q199">
        <v>102734740</v>
      </c>
      <c r="R199">
        <v>36705</v>
      </c>
      <c r="S199">
        <v>2</v>
      </c>
      <c r="T199">
        <v>127</v>
      </c>
      <c r="U199">
        <v>0.99300699300699302</v>
      </c>
      <c r="V199">
        <v>1</v>
      </c>
      <c r="W199">
        <v>0.95882352941176474</v>
      </c>
      <c r="X199">
        <v>20117</v>
      </c>
      <c r="Y199">
        <v>1077292647</v>
      </c>
      <c r="Z199">
        <v>37250</v>
      </c>
      <c r="AA199">
        <v>2</v>
      </c>
      <c r="AB199">
        <v>128</v>
      </c>
    </row>
    <row r="200" spans="1:28" hidden="1" x14ac:dyDescent="0.25">
      <c r="A200" s="7" t="s">
        <v>28</v>
      </c>
      <c r="B200">
        <v>10</v>
      </c>
      <c r="C200">
        <v>5</v>
      </c>
      <c r="D200">
        <v>2</v>
      </c>
      <c r="E200">
        <v>0</v>
      </c>
      <c r="F200" s="7" t="s">
        <v>39</v>
      </c>
      <c r="G200">
        <v>36976</v>
      </c>
      <c r="H200">
        <v>100509704</v>
      </c>
      <c r="I200">
        <v>207</v>
      </c>
      <c r="J200">
        <v>1</v>
      </c>
      <c r="K200">
        <v>0.97674417495727539</v>
      </c>
      <c r="L200">
        <v>0.96503496170043945</v>
      </c>
      <c r="M200">
        <v>0.965034965034965</v>
      </c>
      <c r="N200">
        <v>1</v>
      </c>
      <c r="O200">
        <v>0.95588235294117652</v>
      </c>
      <c r="P200">
        <v>5128</v>
      </c>
      <c r="Q200">
        <v>93537754</v>
      </c>
      <c r="R200">
        <v>36705</v>
      </c>
      <c r="S200">
        <v>2</v>
      </c>
      <c r="T200">
        <v>127</v>
      </c>
      <c r="U200">
        <v>0.97202797202797198</v>
      </c>
      <c r="V200">
        <v>1</v>
      </c>
      <c r="W200">
        <v>0.96470588235294119</v>
      </c>
      <c r="X200">
        <v>11254</v>
      </c>
      <c r="Y200">
        <v>434829241</v>
      </c>
      <c r="Z200">
        <v>37250</v>
      </c>
      <c r="AA200">
        <v>2</v>
      </c>
      <c r="AB200">
        <v>128</v>
      </c>
    </row>
    <row r="201" spans="1:28" hidden="1" x14ac:dyDescent="0.25">
      <c r="A201" s="7" t="s">
        <v>28</v>
      </c>
      <c r="B201">
        <v>10</v>
      </c>
      <c r="C201">
        <v>5</v>
      </c>
      <c r="D201">
        <v>2</v>
      </c>
      <c r="E201">
        <v>0</v>
      </c>
      <c r="F201" s="7" t="s">
        <v>39</v>
      </c>
      <c r="G201">
        <v>36976</v>
      </c>
      <c r="H201">
        <v>221968789</v>
      </c>
      <c r="I201">
        <v>450</v>
      </c>
      <c r="J201">
        <v>0.98235291242599487</v>
      </c>
      <c r="K201">
        <v>1</v>
      </c>
      <c r="L201">
        <v>0.93006992340087891</v>
      </c>
      <c r="M201">
        <v>0.965034965034965</v>
      </c>
      <c r="N201">
        <v>1</v>
      </c>
      <c r="O201">
        <v>0.99705882352941178</v>
      </c>
      <c r="P201">
        <v>25614</v>
      </c>
      <c r="Q201">
        <v>1597470599</v>
      </c>
      <c r="R201">
        <v>36705</v>
      </c>
      <c r="S201">
        <v>2</v>
      </c>
      <c r="T201">
        <v>127</v>
      </c>
      <c r="U201">
        <v>0.97902097902097907</v>
      </c>
      <c r="V201">
        <v>1</v>
      </c>
      <c r="W201">
        <v>0.94705882352941173</v>
      </c>
      <c r="X201">
        <v>22394</v>
      </c>
      <c r="Y201">
        <v>1265879281</v>
      </c>
      <c r="Z201">
        <v>37250</v>
      </c>
      <c r="AA201">
        <v>2</v>
      </c>
      <c r="AB201">
        <v>128</v>
      </c>
    </row>
    <row r="202" spans="1:28" hidden="1" x14ac:dyDescent="0.25">
      <c r="A202" s="7" t="s">
        <v>28</v>
      </c>
      <c r="B202">
        <v>10</v>
      </c>
      <c r="C202">
        <v>5</v>
      </c>
      <c r="D202">
        <v>2</v>
      </c>
      <c r="E202">
        <v>0</v>
      </c>
      <c r="F202" s="7" t="s">
        <v>40</v>
      </c>
      <c r="G202">
        <v>39681</v>
      </c>
      <c r="H202">
        <v>149341087</v>
      </c>
      <c r="I202">
        <v>263</v>
      </c>
      <c r="J202">
        <v>1</v>
      </c>
      <c r="K202">
        <v>0.9883720874786377</v>
      </c>
      <c r="L202">
        <v>0.96503496170043945</v>
      </c>
      <c r="M202">
        <v>0.98601398601398604</v>
      </c>
      <c r="N202">
        <v>1</v>
      </c>
      <c r="O202">
        <v>0.97058823529411764</v>
      </c>
      <c r="P202">
        <v>14750</v>
      </c>
      <c r="Q202">
        <v>683050371</v>
      </c>
      <c r="R202">
        <v>39470</v>
      </c>
      <c r="S202">
        <v>2</v>
      </c>
      <c r="T202">
        <v>132</v>
      </c>
      <c r="U202">
        <v>0.97902097902097907</v>
      </c>
      <c r="V202">
        <v>1</v>
      </c>
      <c r="W202">
        <v>1</v>
      </c>
      <c r="X202">
        <v>35863</v>
      </c>
      <c r="Y202">
        <v>2454816706</v>
      </c>
      <c r="Z202">
        <v>40035</v>
      </c>
      <c r="AA202">
        <v>2</v>
      </c>
      <c r="AB202">
        <v>133</v>
      </c>
    </row>
    <row r="203" spans="1:28" hidden="1" x14ac:dyDescent="0.25">
      <c r="A203" s="7" t="s">
        <v>28</v>
      </c>
      <c r="B203">
        <v>10</v>
      </c>
      <c r="C203">
        <v>5</v>
      </c>
      <c r="D203">
        <v>2</v>
      </c>
      <c r="E203">
        <v>0</v>
      </c>
      <c r="F203" s="7" t="s">
        <v>40</v>
      </c>
      <c r="G203">
        <v>39681</v>
      </c>
      <c r="H203">
        <v>178507745</v>
      </c>
      <c r="I203">
        <v>316</v>
      </c>
      <c r="J203">
        <v>1</v>
      </c>
      <c r="K203">
        <v>0.9883720874786377</v>
      </c>
      <c r="L203">
        <v>0.9580419659614563</v>
      </c>
      <c r="M203">
        <v>0.97202797202797198</v>
      </c>
      <c r="N203">
        <v>1</v>
      </c>
      <c r="O203">
        <v>0.99411764705882355</v>
      </c>
      <c r="P203">
        <v>27529</v>
      </c>
      <c r="Q203">
        <v>1801429635</v>
      </c>
      <c r="R203">
        <v>39470</v>
      </c>
      <c r="S203">
        <v>2</v>
      </c>
      <c r="T203">
        <v>132</v>
      </c>
      <c r="U203">
        <v>0.97202797202797198</v>
      </c>
      <c r="V203">
        <v>1</v>
      </c>
      <c r="W203">
        <v>0.98529411764705888</v>
      </c>
      <c r="X203">
        <v>19331</v>
      </c>
      <c r="Y203">
        <v>1099482970</v>
      </c>
      <c r="Z203">
        <v>40035</v>
      </c>
      <c r="AA203">
        <v>2</v>
      </c>
      <c r="AB203">
        <v>133</v>
      </c>
    </row>
    <row r="204" spans="1:28" hidden="1" x14ac:dyDescent="0.25">
      <c r="A204" s="7" t="s">
        <v>28</v>
      </c>
      <c r="B204">
        <v>10</v>
      </c>
      <c r="C204">
        <v>5</v>
      </c>
      <c r="D204">
        <v>2</v>
      </c>
      <c r="E204">
        <v>0</v>
      </c>
      <c r="F204" s="7" t="s">
        <v>40</v>
      </c>
      <c r="G204">
        <v>39681</v>
      </c>
      <c r="H204">
        <v>129526071</v>
      </c>
      <c r="I204">
        <v>228</v>
      </c>
      <c r="J204">
        <v>1</v>
      </c>
      <c r="K204">
        <v>0.9883720874786377</v>
      </c>
      <c r="L204">
        <v>0.95104897022247314</v>
      </c>
      <c r="M204">
        <v>0.97902097902097907</v>
      </c>
      <c r="N204">
        <v>1</v>
      </c>
      <c r="O204">
        <v>0.96764705882352942</v>
      </c>
      <c r="P204">
        <v>6829</v>
      </c>
      <c r="Q204">
        <v>134241683</v>
      </c>
      <c r="R204">
        <v>39470</v>
      </c>
      <c r="S204">
        <v>2</v>
      </c>
      <c r="T204">
        <v>132</v>
      </c>
      <c r="U204">
        <v>0.97202797202797198</v>
      </c>
      <c r="V204">
        <v>1</v>
      </c>
      <c r="W204">
        <v>1</v>
      </c>
      <c r="X204">
        <v>18912</v>
      </c>
      <c r="Y204">
        <v>1117012570</v>
      </c>
      <c r="Z204">
        <v>40035</v>
      </c>
      <c r="AA204">
        <v>2</v>
      </c>
      <c r="AB204">
        <v>133</v>
      </c>
    </row>
    <row r="205" spans="1:28" hidden="1" x14ac:dyDescent="0.25">
      <c r="A205" s="7" t="s">
        <v>28</v>
      </c>
      <c r="B205">
        <v>10</v>
      </c>
      <c r="C205">
        <v>5</v>
      </c>
      <c r="D205">
        <v>2</v>
      </c>
      <c r="E205">
        <v>0</v>
      </c>
      <c r="F205" s="7" t="s">
        <v>40</v>
      </c>
      <c r="G205">
        <v>39681</v>
      </c>
      <c r="H205">
        <v>211091571</v>
      </c>
      <c r="I205">
        <v>371</v>
      </c>
      <c r="J205">
        <v>1</v>
      </c>
      <c r="K205">
        <v>0.9883720874786377</v>
      </c>
      <c r="L205">
        <v>0.97202795743942261</v>
      </c>
      <c r="M205">
        <v>0.965034965034965</v>
      </c>
      <c r="N205">
        <v>1</v>
      </c>
      <c r="O205">
        <v>0.98529411764705888</v>
      </c>
      <c r="P205">
        <v>32135</v>
      </c>
      <c r="Q205">
        <v>2233780173</v>
      </c>
      <c r="R205">
        <v>39470</v>
      </c>
      <c r="S205">
        <v>2</v>
      </c>
      <c r="T205">
        <v>132</v>
      </c>
      <c r="U205">
        <v>0.965034965034965</v>
      </c>
      <c r="V205">
        <v>1</v>
      </c>
      <c r="W205">
        <v>0.95</v>
      </c>
      <c r="X205">
        <v>2735</v>
      </c>
      <c r="Y205">
        <v>53405918</v>
      </c>
      <c r="Z205">
        <v>40035</v>
      </c>
      <c r="AA205">
        <v>2</v>
      </c>
      <c r="AB205">
        <v>133</v>
      </c>
    </row>
    <row r="206" spans="1:28" hidden="1" x14ac:dyDescent="0.25">
      <c r="A206" s="7" t="s">
        <v>28</v>
      </c>
      <c r="B206">
        <v>10</v>
      </c>
      <c r="C206">
        <v>5</v>
      </c>
      <c r="D206">
        <v>2</v>
      </c>
      <c r="E206">
        <v>0</v>
      </c>
      <c r="F206" s="7" t="s">
        <v>40</v>
      </c>
      <c r="G206">
        <v>39681</v>
      </c>
      <c r="H206">
        <v>186312399</v>
      </c>
      <c r="I206">
        <v>323</v>
      </c>
      <c r="J206">
        <v>1</v>
      </c>
      <c r="K206">
        <v>0.9883720874786377</v>
      </c>
      <c r="L206">
        <v>0.94405591487884521</v>
      </c>
      <c r="M206">
        <v>0.97902097902097907</v>
      </c>
      <c r="N206">
        <v>1</v>
      </c>
      <c r="O206">
        <v>0.97941176470588232</v>
      </c>
      <c r="P206">
        <v>16295</v>
      </c>
      <c r="Q206">
        <v>858136231</v>
      </c>
      <c r="R206">
        <v>39470</v>
      </c>
      <c r="S206">
        <v>2</v>
      </c>
      <c r="T206">
        <v>132</v>
      </c>
      <c r="U206">
        <v>0.97902097902097907</v>
      </c>
      <c r="V206">
        <v>0.98837209302325579</v>
      </c>
      <c r="W206">
        <v>1</v>
      </c>
      <c r="X206">
        <v>100000</v>
      </c>
      <c r="Y206">
        <v>7563855325</v>
      </c>
      <c r="Z206">
        <v>40035</v>
      </c>
      <c r="AA206">
        <v>2</v>
      </c>
      <c r="AB206">
        <v>133</v>
      </c>
    </row>
    <row r="207" spans="1:28" hidden="1" x14ac:dyDescent="0.25">
      <c r="A207" s="7" t="s">
        <v>28</v>
      </c>
      <c r="B207">
        <v>10</v>
      </c>
      <c r="C207">
        <v>5</v>
      </c>
      <c r="D207">
        <v>2</v>
      </c>
      <c r="E207">
        <v>0</v>
      </c>
      <c r="F207" s="7" t="s">
        <v>41</v>
      </c>
      <c r="G207">
        <v>42386</v>
      </c>
      <c r="H207">
        <v>169496486</v>
      </c>
      <c r="I207">
        <v>270</v>
      </c>
      <c r="J207">
        <v>0.98529410362243652</v>
      </c>
      <c r="K207">
        <v>1</v>
      </c>
      <c r="L207">
        <v>0.9580419659614563</v>
      </c>
      <c r="M207">
        <v>0.99300699300699302</v>
      </c>
      <c r="N207">
        <v>1</v>
      </c>
      <c r="O207">
        <v>0.94117647058823528</v>
      </c>
      <c r="P207">
        <v>18439</v>
      </c>
      <c r="Q207">
        <v>998243685</v>
      </c>
      <c r="R207">
        <v>42335</v>
      </c>
      <c r="S207">
        <v>2</v>
      </c>
      <c r="T207">
        <v>137</v>
      </c>
      <c r="U207">
        <v>0.965034965034965</v>
      </c>
      <c r="V207">
        <v>1</v>
      </c>
      <c r="W207">
        <v>0.9882352941176471</v>
      </c>
      <c r="X207">
        <v>15905</v>
      </c>
      <c r="Y207">
        <v>858598328</v>
      </c>
      <c r="Z207">
        <v>42920</v>
      </c>
      <c r="AA207">
        <v>2</v>
      </c>
      <c r="AB207">
        <v>138</v>
      </c>
    </row>
    <row r="208" spans="1:28" hidden="1" x14ac:dyDescent="0.25">
      <c r="A208" s="7" t="s">
        <v>57</v>
      </c>
      <c r="B208">
        <v>18</v>
      </c>
      <c r="C208">
        <v>9</v>
      </c>
      <c r="D208">
        <v>4</v>
      </c>
      <c r="E208">
        <v>0</v>
      </c>
      <c r="F208" s="7" t="s">
        <v>66</v>
      </c>
      <c r="G208">
        <v>14563</v>
      </c>
      <c r="H208">
        <v>2217878526</v>
      </c>
      <c r="I208">
        <v>12409</v>
      </c>
      <c r="J208">
        <v>0.2641509473323822</v>
      </c>
      <c r="K208">
        <v>0.66666668653488159</v>
      </c>
      <c r="L208">
        <v>0.31111112236976624</v>
      </c>
      <c r="M208">
        <v>0.93333333333333335</v>
      </c>
      <c r="N208">
        <v>0.96296296296296291</v>
      </c>
      <c r="O208">
        <v>1</v>
      </c>
      <c r="P208">
        <v>100000</v>
      </c>
      <c r="Q208">
        <v>5474400952</v>
      </c>
      <c r="R208">
        <v>14323</v>
      </c>
      <c r="S208">
        <v>2</v>
      </c>
      <c r="T208">
        <v>80</v>
      </c>
      <c r="U208">
        <v>0.9555555555555556</v>
      </c>
      <c r="V208">
        <v>0.96296296296296291</v>
      </c>
      <c r="W208">
        <v>1</v>
      </c>
      <c r="X208">
        <v>100000</v>
      </c>
      <c r="Y208">
        <v>2640944817</v>
      </c>
      <c r="Z208">
        <v>14664</v>
      </c>
      <c r="AA208">
        <v>2</v>
      </c>
      <c r="AB208">
        <v>81</v>
      </c>
    </row>
    <row r="209" spans="1:28" hidden="1" x14ac:dyDescent="0.25">
      <c r="A209" s="7" t="s">
        <v>57</v>
      </c>
      <c r="B209">
        <v>18</v>
      </c>
      <c r="C209">
        <v>9</v>
      </c>
      <c r="D209">
        <v>4</v>
      </c>
      <c r="E209">
        <v>0</v>
      </c>
      <c r="F209" s="7" t="s">
        <v>66</v>
      </c>
      <c r="G209">
        <v>14563</v>
      </c>
      <c r="H209">
        <v>1957231978</v>
      </c>
      <c r="I209">
        <v>10677</v>
      </c>
      <c r="J209">
        <v>0.39622640609741211</v>
      </c>
      <c r="K209">
        <v>0.66666668653488159</v>
      </c>
      <c r="L209">
        <v>0.42222222685813904</v>
      </c>
      <c r="M209">
        <v>0.93333333333333335</v>
      </c>
      <c r="N209">
        <v>0.96296296296296291</v>
      </c>
      <c r="O209">
        <v>1</v>
      </c>
      <c r="P209">
        <v>63947</v>
      </c>
      <c r="Q209">
        <v>3528014636</v>
      </c>
      <c r="R209">
        <v>14323</v>
      </c>
      <c r="S209">
        <v>2</v>
      </c>
      <c r="T209">
        <v>80</v>
      </c>
      <c r="U209">
        <v>0.93333333333333335</v>
      </c>
      <c r="V209">
        <v>0.96296296296296291</v>
      </c>
      <c r="W209">
        <v>1</v>
      </c>
      <c r="X209">
        <v>100000</v>
      </c>
      <c r="Y209">
        <v>5596028359</v>
      </c>
      <c r="Z209">
        <v>14664</v>
      </c>
      <c r="AA209">
        <v>2</v>
      </c>
      <c r="AB209">
        <v>81</v>
      </c>
    </row>
    <row r="210" spans="1:28" hidden="1" x14ac:dyDescent="0.25">
      <c r="A210" s="7" t="s">
        <v>57</v>
      </c>
      <c r="B210">
        <v>18</v>
      </c>
      <c r="C210">
        <v>9</v>
      </c>
      <c r="D210">
        <v>4</v>
      </c>
      <c r="E210">
        <v>0</v>
      </c>
      <c r="F210" s="7" t="s">
        <v>66</v>
      </c>
      <c r="G210">
        <v>14563</v>
      </c>
      <c r="H210">
        <v>1865053370</v>
      </c>
      <c r="I210">
        <v>10222</v>
      </c>
      <c r="J210">
        <v>0.27358490228652954</v>
      </c>
      <c r="K210">
        <v>0.66666668653488159</v>
      </c>
      <c r="L210">
        <v>0.35555556416511536</v>
      </c>
      <c r="M210">
        <v>0.93333333333333335</v>
      </c>
      <c r="N210">
        <v>0.96296296296296291</v>
      </c>
      <c r="O210">
        <v>1</v>
      </c>
      <c r="P210">
        <v>100000</v>
      </c>
      <c r="Q210">
        <v>5631657660</v>
      </c>
      <c r="R210">
        <v>14323</v>
      </c>
      <c r="S210">
        <v>2</v>
      </c>
      <c r="T210">
        <v>80</v>
      </c>
      <c r="U210">
        <v>0.93333333333333335</v>
      </c>
      <c r="V210">
        <v>0.96296296296296291</v>
      </c>
      <c r="W210">
        <v>1</v>
      </c>
      <c r="X210">
        <v>100000</v>
      </c>
      <c r="Y210">
        <v>5662562866</v>
      </c>
      <c r="Z210">
        <v>14664</v>
      </c>
      <c r="AA210">
        <v>2</v>
      </c>
      <c r="AB210">
        <v>81</v>
      </c>
    </row>
    <row r="211" spans="1:28" hidden="1" x14ac:dyDescent="0.25">
      <c r="A211" s="7" t="s">
        <v>28</v>
      </c>
      <c r="B211">
        <v>16</v>
      </c>
      <c r="C211">
        <v>9</v>
      </c>
      <c r="D211">
        <v>3</v>
      </c>
      <c r="E211">
        <v>0</v>
      </c>
      <c r="F211" s="7" t="s">
        <v>33</v>
      </c>
      <c r="G211">
        <v>29612</v>
      </c>
      <c r="H211">
        <v>27471283</v>
      </c>
      <c r="I211">
        <v>92</v>
      </c>
      <c r="J211">
        <v>1</v>
      </c>
      <c r="K211">
        <v>0.95348834991455078</v>
      </c>
      <c r="L211">
        <v>0.95104897022247314</v>
      </c>
      <c r="M211">
        <v>0.97202797202797198</v>
      </c>
      <c r="N211">
        <v>0.96511627906976749</v>
      </c>
      <c r="O211">
        <v>0.97352941176470587</v>
      </c>
      <c r="P211">
        <v>15977</v>
      </c>
      <c r="Q211">
        <v>639063284</v>
      </c>
      <c r="R211">
        <v>29495</v>
      </c>
      <c r="S211">
        <v>2</v>
      </c>
      <c r="T211">
        <v>113</v>
      </c>
      <c r="U211">
        <v>0.965034965034965</v>
      </c>
      <c r="V211">
        <v>0.95348837209302328</v>
      </c>
      <c r="W211">
        <v>0.9882352941176471</v>
      </c>
      <c r="X211">
        <v>11276</v>
      </c>
      <c r="Y211">
        <v>366558218</v>
      </c>
      <c r="Z211">
        <v>29984</v>
      </c>
      <c r="AA211">
        <v>2</v>
      </c>
      <c r="AB211">
        <v>114</v>
      </c>
    </row>
    <row r="212" spans="1:28" hidden="1" x14ac:dyDescent="0.25">
      <c r="A212" s="7" t="s">
        <v>28</v>
      </c>
      <c r="B212">
        <v>16</v>
      </c>
      <c r="C212">
        <v>9</v>
      </c>
      <c r="D212">
        <v>3</v>
      </c>
      <c r="E212">
        <v>0</v>
      </c>
      <c r="F212" s="7" t="s">
        <v>33</v>
      </c>
      <c r="G212">
        <v>29612</v>
      </c>
      <c r="H212">
        <v>27190890</v>
      </c>
      <c r="I212">
        <v>87</v>
      </c>
      <c r="J212">
        <v>1</v>
      </c>
      <c r="K212">
        <v>0.95348834991455078</v>
      </c>
      <c r="L212">
        <v>0.92307692766189575</v>
      </c>
      <c r="M212">
        <v>0.95104895104895104</v>
      </c>
      <c r="N212">
        <v>0.97674418604651159</v>
      </c>
      <c r="O212">
        <v>1</v>
      </c>
      <c r="P212">
        <v>53253</v>
      </c>
      <c r="Q212">
        <v>2814369293</v>
      </c>
      <c r="R212">
        <v>29495</v>
      </c>
      <c r="S212">
        <v>2</v>
      </c>
      <c r="T212">
        <v>113</v>
      </c>
      <c r="U212">
        <v>0.95804195804195802</v>
      </c>
      <c r="V212">
        <v>0.95348837209302328</v>
      </c>
      <c r="W212">
        <v>0.98235294117647054</v>
      </c>
      <c r="X212">
        <v>11813</v>
      </c>
      <c r="Y212">
        <v>375865734</v>
      </c>
      <c r="Z212">
        <v>29984</v>
      </c>
      <c r="AA212">
        <v>2</v>
      </c>
      <c r="AB212">
        <v>114</v>
      </c>
    </row>
    <row r="213" spans="1:28" hidden="1" x14ac:dyDescent="0.25">
      <c r="A213" s="7" t="s">
        <v>28</v>
      </c>
      <c r="B213">
        <v>16</v>
      </c>
      <c r="C213">
        <v>9</v>
      </c>
      <c r="D213">
        <v>3</v>
      </c>
      <c r="E213">
        <v>0</v>
      </c>
      <c r="F213" s="7" t="s">
        <v>34</v>
      </c>
      <c r="G213">
        <v>33137</v>
      </c>
      <c r="H213">
        <v>25881757</v>
      </c>
      <c r="I213">
        <v>75</v>
      </c>
      <c r="J213">
        <v>1</v>
      </c>
      <c r="K213">
        <v>0.95348834991455078</v>
      </c>
      <c r="L213">
        <v>0.93006992340087891</v>
      </c>
      <c r="M213">
        <v>0.965034965034965</v>
      </c>
      <c r="N213">
        <v>0.95348837209302328</v>
      </c>
      <c r="O213">
        <v>0.99411764705882355</v>
      </c>
      <c r="P213">
        <v>11309</v>
      </c>
      <c r="Q213">
        <v>366079664</v>
      </c>
      <c r="R213">
        <v>33002</v>
      </c>
      <c r="S213">
        <v>2</v>
      </c>
      <c r="T213">
        <v>120</v>
      </c>
      <c r="U213">
        <v>0.965034965034965</v>
      </c>
      <c r="V213">
        <v>0.95348837209302328</v>
      </c>
      <c r="W213">
        <v>0.99411764705882355</v>
      </c>
      <c r="X213">
        <v>11407</v>
      </c>
      <c r="Y213">
        <v>377658698</v>
      </c>
      <c r="Z213">
        <v>33519</v>
      </c>
      <c r="AA213">
        <v>2</v>
      </c>
      <c r="AB213">
        <v>121</v>
      </c>
    </row>
    <row r="214" spans="1:28" hidden="1" x14ac:dyDescent="0.25">
      <c r="A214" s="7" t="s">
        <v>28</v>
      </c>
      <c r="B214">
        <v>16</v>
      </c>
      <c r="C214">
        <v>9</v>
      </c>
      <c r="D214">
        <v>3</v>
      </c>
      <c r="E214">
        <v>0</v>
      </c>
      <c r="F214" s="7" t="s">
        <v>34</v>
      </c>
      <c r="G214">
        <v>33137</v>
      </c>
      <c r="H214">
        <v>30305560</v>
      </c>
      <c r="I214">
        <v>90</v>
      </c>
      <c r="J214">
        <v>1</v>
      </c>
      <c r="K214">
        <v>0.96511626243591309</v>
      </c>
      <c r="L214">
        <v>0.95104897022247314</v>
      </c>
      <c r="M214">
        <v>0.95804195804195802</v>
      </c>
      <c r="N214">
        <v>0.95348837209302328</v>
      </c>
      <c r="O214">
        <v>0.98529411764705888</v>
      </c>
      <c r="P214">
        <v>11794</v>
      </c>
      <c r="Q214">
        <v>384334577</v>
      </c>
      <c r="R214">
        <v>33002</v>
      </c>
      <c r="S214">
        <v>2</v>
      </c>
      <c r="T214">
        <v>120</v>
      </c>
      <c r="U214">
        <v>0.97202797202797198</v>
      </c>
      <c r="V214">
        <v>0.95348837209302328</v>
      </c>
      <c r="W214">
        <v>0.99411764705882355</v>
      </c>
      <c r="X214">
        <v>11643</v>
      </c>
      <c r="Y214">
        <v>405507952</v>
      </c>
      <c r="Z214">
        <v>33519</v>
      </c>
      <c r="AA214">
        <v>2</v>
      </c>
      <c r="AB214">
        <v>121</v>
      </c>
    </row>
    <row r="215" spans="1:28" hidden="1" x14ac:dyDescent="0.25">
      <c r="A215" s="7" t="s">
        <v>28</v>
      </c>
      <c r="B215">
        <v>16</v>
      </c>
      <c r="C215">
        <v>9</v>
      </c>
      <c r="D215">
        <v>3</v>
      </c>
      <c r="E215">
        <v>0</v>
      </c>
      <c r="F215" s="7" t="s">
        <v>34</v>
      </c>
      <c r="G215">
        <v>33137</v>
      </c>
      <c r="H215">
        <v>37445850</v>
      </c>
      <c r="I215">
        <v>112</v>
      </c>
      <c r="J215">
        <v>1</v>
      </c>
      <c r="K215">
        <v>0.96511626243591309</v>
      </c>
      <c r="L215">
        <v>0.9580419659614563</v>
      </c>
      <c r="M215">
        <v>0.95804195804195802</v>
      </c>
      <c r="N215">
        <v>0.96511627906976749</v>
      </c>
      <c r="O215">
        <v>1</v>
      </c>
      <c r="P215">
        <v>37538</v>
      </c>
      <c r="Q215">
        <v>2222672275</v>
      </c>
      <c r="R215">
        <v>33002</v>
      </c>
      <c r="S215">
        <v>2</v>
      </c>
      <c r="T215">
        <v>120</v>
      </c>
      <c r="U215">
        <v>0.965034965034965</v>
      </c>
      <c r="V215">
        <v>0.96511627906976749</v>
      </c>
      <c r="W215">
        <v>0.98529411764705888</v>
      </c>
      <c r="X215">
        <v>15583</v>
      </c>
      <c r="Y215">
        <v>634760807</v>
      </c>
      <c r="Z215">
        <v>33519</v>
      </c>
      <c r="AA215">
        <v>2</v>
      </c>
      <c r="AB215">
        <v>121</v>
      </c>
    </row>
    <row r="216" spans="1:28" hidden="1" x14ac:dyDescent="0.25">
      <c r="A216" s="7" t="s">
        <v>28</v>
      </c>
      <c r="B216">
        <v>16</v>
      </c>
      <c r="C216">
        <v>9</v>
      </c>
      <c r="D216">
        <v>3</v>
      </c>
      <c r="E216">
        <v>0</v>
      </c>
      <c r="F216" s="7" t="s">
        <v>34</v>
      </c>
      <c r="G216">
        <v>33137</v>
      </c>
      <c r="H216">
        <v>43188288</v>
      </c>
      <c r="I216">
        <v>125</v>
      </c>
      <c r="J216">
        <v>1</v>
      </c>
      <c r="K216">
        <v>0.96511626243591309</v>
      </c>
      <c r="L216">
        <v>0.97202795743942261</v>
      </c>
      <c r="M216">
        <v>0.95804195804195802</v>
      </c>
      <c r="N216">
        <v>0.96511627906976749</v>
      </c>
      <c r="O216">
        <v>1</v>
      </c>
      <c r="P216">
        <v>54017</v>
      </c>
      <c r="Q216">
        <v>3020191490</v>
      </c>
      <c r="R216">
        <v>33002</v>
      </c>
      <c r="S216">
        <v>2</v>
      </c>
      <c r="T216">
        <v>120</v>
      </c>
      <c r="U216">
        <v>0.95804195804195802</v>
      </c>
      <c r="V216">
        <v>0.98837209302325579</v>
      </c>
      <c r="W216">
        <v>1</v>
      </c>
      <c r="X216">
        <v>65780</v>
      </c>
      <c r="Y216">
        <v>4078848526</v>
      </c>
      <c r="Z216">
        <v>33519</v>
      </c>
      <c r="AA216">
        <v>2</v>
      </c>
      <c r="AB216">
        <v>121</v>
      </c>
    </row>
    <row r="217" spans="1:28" hidden="1" x14ac:dyDescent="0.25">
      <c r="A217" s="7" t="s">
        <v>28</v>
      </c>
      <c r="B217">
        <v>16</v>
      </c>
      <c r="C217">
        <v>9</v>
      </c>
      <c r="D217">
        <v>3</v>
      </c>
      <c r="E217">
        <v>0</v>
      </c>
      <c r="F217" s="7" t="s">
        <v>34</v>
      </c>
      <c r="G217">
        <v>33137</v>
      </c>
      <c r="H217">
        <v>34621005</v>
      </c>
      <c r="I217">
        <v>99</v>
      </c>
      <c r="J217">
        <v>1</v>
      </c>
      <c r="K217">
        <v>0.95348834991455078</v>
      </c>
      <c r="L217">
        <v>0.94405591487884521</v>
      </c>
      <c r="M217">
        <v>0.95804195804195802</v>
      </c>
      <c r="N217">
        <v>0.96511627906976749</v>
      </c>
      <c r="O217">
        <v>0.99411764705882355</v>
      </c>
      <c r="P217">
        <v>30007</v>
      </c>
      <c r="Q217">
        <v>1579121168</v>
      </c>
      <c r="R217">
        <v>33002</v>
      </c>
      <c r="S217">
        <v>2</v>
      </c>
      <c r="T217">
        <v>120</v>
      </c>
      <c r="U217">
        <v>0.965034965034965</v>
      </c>
      <c r="V217">
        <v>0.95348837209302328</v>
      </c>
      <c r="W217">
        <v>0.99411764705882355</v>
      </c>
      <c r="X217">
        <v>11678</v>
      </c>
      <c r="Y217">
        <v>402641035</v>
      </c>
      <c r="Z217">
        <v>33519</v>
      </c>
      <c r="AA217">
        <v>2</v>
      </c>
      <c r="AB217">
        <v>121</v>
      </c>
    </row>
    <row r="218" spans="1:28" hidden="1" x14ac:dyDescent="0.25">
      <c r="A218" s="7" t="s">
        <v>28</v>
      </c>
      <c r="B218">
        <v>16</v>
      </c>
      <c r="C218">
        <v>9</v>
      </c>
      <c r="D218">
        <v>3</v>
      </c>
      <c r="E218">
        <v>0</v>
      </c>
      <c r="F218" s="7" t="s">
        <v>35</v>
      </c>
      <c r="G218">
        <v>36662</v>
      </c>
      <c r="H218">
        <v>40592745</v>
      </c>
      <c r="I218">
        <v>109</v>
      </c>
      <c r="J218">
        <v>1</v>
      </c>
      <c r="K218">
        <v>0.95348834991455078</v>
      </c>
      <c r="L218">
        <v>0.9580419659614563</v>
      </c>
      <c r="M218">
        <v>0.965034965034965</v>
      </c>
      <c r="N218">
        <v>0.96511627906976749</v>
      </c>
      <c r="O218">
        <v>0.97941176470588232</v>
      </c>
      <c r="P218">
        <v>16505</v>
      </c>
      <c r="Q218">
        <v>750985110</v>
      </c>
      <c r="R218">
        <v>36164</v>
      </c>
      <c r="S218">
        <v>2</v>
      </c>
      <c r="T218">
        <v>126</v>
      </c>
      <c r="U218">
        <v>0.95804195804195802</v>
      </c>
      <c r="V218">
        <v>0.95348837209302328</v>
      </c>
      <c r="W218">
        <v>0.99117647058823533</v>
      </c>
      <c r="X218">
        <v>24151</v>
      </c>
      <c r="Y218">
        <v>1250799987</v>
      </c>
      <c r="Z218">
        <v>36705</v>
      </c>
      <c r="AA218">
        <v>2</v>
      </c>
      <c r="AB218">
        <v>127</v>
      </c>
    </row>
    <row r="219" spans="1:28" hidden="1" x14ac:dyDescent="0.25">
      <c r="A219" s="7" t="s">
        <v>28</v>
      </c>
      <c r="B219">
        <v>16</v>
      </c>
      <c r="C219">
        <v>9</v>
      </c>
      <c r="D219">
        <v>3</v>
      </c>
      <c r="E219">
        <v>0</v>
      </c>
      <c r="F219" s="7" t="s">
        <v>35</v>
      </c>
      <c r="G219">
        <v>36662</v>
      </c>
      <c r="H219">
        <v>43210897</v>
      </c>
      <c r="I219">
        <v>115</v>
      </c>
      <c r="J219">
        <v>1</v>
      </c>
      <c r="K219">
        <v>0.96511626243591309</v>
      </c>
      <c r="L219">
        <v>0.97902095317840576</v>
      </c>
      <c r="M219">
        <v>0.97202797202797198</v>
      </c>
      <c r="N219">
        <v>0.95348837209302328</v>
      </c>
      <c r="O219">
        <v>0.99411764705882355</v>
      </c>
      <c r="P219">
        <v>11452</v>
      </c>
      <c r="Q219">
        <v>406148965</v>
      </c>
      <c r="R219">
        <v>36164</v>
      </c>
      <c r="S219">
        <v>2</v>
      </c>
      <c r="T219">
        <v>126</v>
      </c>
      <c r="U219">
        <v>0.97202797202797198</v>
      </c>
      <c r="V219">
        <v>0.95348837209302328</v>
      </c>
      <c r="W219">
        <v>0.99117647058823533</v>
      </c>
      <c r="X219">
        <v>11342</v>
      </c>
      <c r="Y219">
        <v>354984930</v>
      </c>
      <c r="Z219">
        <v>36705</v>
      </c>
      <c r="AA219">
        <v>2</v>
      </c>
      <c r="AB219">
        <v>127</v>
      </c>
    </row>
    <row r="220" spans="1:28" hidden="1" x14ac:dyDescent="0.25">
      <c r="A220" s="7" t="s">
        <v>28</v>
      </c>
      <c r="B220">
        <v>16</v>
      </c>
      <c r="C220">
        <v>9</v>
      </c>
      <c r="D220">
        <v>3</v>
      </c>
      <c r="E220">
        <v>0</v>
      </c>
      <c r="F220" s="7" t="s">
        <v>35</v>
      </c>
      <c r="G220">
        <v>36662</v>
      </c>
      <c r="H220">
        <v>39047787</v>
      </c>
      <c r="I220">
        <v>102</v>
      </c>
      <c r="J220">
        <v>1</v>
      </c>
      <c r="K220">
        <v>0.95348834991455078</v>
      </c>
      <c r="L220">
        <v>0.97202795743942261</v>
      </c>
      <c r="M220">
        <v>0.95804195804195802</v>
      </c>
      <c r="N220">
        <v>0.95348837209302328</v>
      </c>
      <c r="O220">
        <v>0.99705882352941178</v>
      </c>
      <c r="P220">
        <v>25002</v>
      </c>
      <c r="Q220">
        <v>1378009577</v>
      </c>
      <c r="R220">
        <v>36164</v>
      </c>
      <c r="S220">
        <v>2</v>
      </c>
      <c r="T220">
        <v>126</v>
      </c>
      <c r="U220">
        <v>0.965034965034965</v>
      </c>
      <c r="V220">
        <v>0.95348837209302328</v>
      </c>
      <c r="W220">
        <v>0.99705882352941178</v>
      </c>
      <c r="X220">
        <v>11463</v>
      </c>
      <c r="Y220">
        <v>388837575</v>
      </c>
      <c r="Z220">
        <v>36705</v>
      </c>
      <c r="AA220">
        <v>2</v>
      </c>
      <c r="AB220">
        <v>127</v>
      </c>
    </row>
    <row r="221" spans="1:28" hidden="1" x14ac:dyDescent="0.25">
      <c r="A221" s="7" t="s">
        <v>28</v>
      </c>
      <c r="B221">
        <v>16</v>
      </c>
      <c r="C221">
        <v>9</v>
      </c>
      <c r="D221">
        <v>3</v>
      </c>
      <c r="E221">
        <v>0</v>
      </c>
      <c r="F221" s="7" t="s">
        <v>35</v>
      </c>
      <c r="G221">
        <v>36662</v>
      </c>
      <c r="H221">
        <v>39640020</v>
      </c>
      <c r="I221">
        <v>103</v>
      </c>
      <c r="J221">
        <v>1</v>
      </c>
      <c r="K221">
        <v>0.95348834991455078</v>
      </c>
      <c r="L221">
        <v>0.96503496170043945</v>
      </c>
      <c r="M221">
        <v>0.95804195804195802</v>
      </c>
      <c r="N221">
        <v>0.97674418604651159</v>
      </c>
      <c r="O221">
        <v>1</v>
      </c>
      <c r="P221">
        <v>44192</v>
      </c>
      <c r="Q221">
        <v>2650561503</v>
      </c>
      <c r="R221">
        <v>36164</v>
      </c>
      <c r="S221">
        <v>2</v>
      </c>
      <c r="T221">
        <v>126</v>
      </c>
      <c r="U221">
        <v>0.965034965034965</v>
      </c>
      <c r="V221">
        <v>0.95348837209302328</v>
      </c>
      <c r="W221">
        <v>0.99411764705882355</v>
      </c>
      <c r="X221">
        <v>11259</v>
      </c>
      <c r="Y221">
        <v>391936390</v>
      </c>
      <c r="Z221">
        <v>36705</v>
      </c>
      <c r="AA221">
        <v>2</v>
      </c>
      <c r="AB221">
        <v>127</v>
      </c>
    </row>
    <row r="222" spans="1:28" hidden="1" x14ac:dyDescent="0.25">
      <c r="A222" s="7" t="s">
        <v>28</v>
      </c>
      <c r="B222">
        <v>16</v>
      </c>
      <c r="C222">
        <v>9</v>
      </c>
      <c r="D222">
        <v>3</v>
      </c>
      <c r="E222">
        <v>0</v>
      </c>
      <c r="F222" s="7" t="s">
        <v>35</v>
      </c>
      <c r="G222">
        <v>36662</v>
      </c>
      <c r="H222">
        <v>41694939</v>
      </c>
      <c r="I222">
        <v>106</v>
      </c>
      <c r="J222">
        <v>1</v>
      </c>
      <c r="K222">
        <v>0.97674417495727539</v>
      </c>
      <c r="L222">
        <v>0.95104897022247314</v>
      </c>
      <c r="M222">
        <v>0.95804195804195802</v>
      </c>
      <c r="N222">
        <v>0.95348837209302328</v>
      </c>
      <c r="O222">
        <v>0.99705882352941178</v>
      </c>
      <c r="P222">
        <v>28808</v>
      </c>
      <c r="Q222">
        <v>1668788700</v>
      </c>
      <c r="R222">
        <v>36164</v>
      </c>
      <c r="S222">
        <v>2</v>
      </c>
      <c r="T222">
        <v>126</v>
      </c>
      <c r="U222">
        <v>0.97202797202797198</v>
      </c>
      <c r="V222">
        <v>0.95348837209302328</v>
      </c>
      <c r="W222">
        <v>0.99705882352941178</v>
      </c>
      <c r="X222">
        <v>13515</v>
      </c>
      <c r="Y222">
        <v>529040931</v>
      </c>
      <c r="Z222">
        <v>36705</v>
      </c>
      <c r="AA222">
        <v>2</v>
      </c>
      <c r="AB222">
        <v>127</v>
      </c>
    </row>
    <row r="223" spans="1:28" hidden="1" x14ac:dyDescent="0.25">
      <c r="A223" s="7" t="s">
        <v>28</v>
      </c>
      <c r="B223">
        <v>16</v>
      </c>
      <c r="C223">
        <v>9</v>
      </c>
      <c r="D223">
        <v>3</v>
      </c>
      <c r="E223">
        <v>0</v>
      </c>
      <c r="F223" s="7" t="s">
        <v>36</v>
      </c>
      <c r="G223">
        <v>40187</v>
      </c>
      <c r="H223">
        <v>48489794</v>
      </c>
      <c r="I223">
        <v>117</v>
      </c>
      <c r="J223">
        <v>1</v>
      </c>
      <c r="K223">
        <v>0.95348834991455078</v>
      </c>
      <c r="L223">
        <v>0.94405591487884521</v>
      </c>
      <c r="M223">
        <v>0.95804195804195802</v>
      </c>
      <c r="N223">
        <v>0.95348837209302328</v>
      </c>
      <c r="O223">
        <v>0.99411764705882355</v>
      </c>
      <c r="P223">
        <v>30710</v>
      </c>
      <c r="Q223">
        <v>1901946600</v>
      </c>
      <c r="R223">
        <v>40035</v>
      </c>
      <c r="S223">
        <v>2</v>
      </c>
      <c r="T223">
        <v>133</v>
      </c>
      <c r="U223">
        <v>0.95804195804195802</v>
      </c>
      <c r="V223">
        <v>0.95348837209302328</v>
      </c>
      <c r="W223">
        <v>0.98529411764705888</v>
      </c>
      <c r="X223">
        <v>11707</v>
      </c>
      <c r="Y223">
        <v>441625610</v>
      </c>
      <c r="Z223">
        <v>40604</v>
      </c>
      <c r="AA223">
        <v>2</v>
      </c>
      <c r="AB223">
        <v>134</v>
      </c>
    </row>
    <row r="224" spans="1:28" hidden="1" x14ac:dyDescent="0.25">
      <c r="A224" s="7" t="s">
        <v>28</v>
      </c>
      <c r="B224">
        <v>16</v>
      </c>
      <c r="C224">
        <v>9</v>
      </c>
      <c r="D224">
        <v>3</v>
      </c>
      <c r="E224">
        <v>0</v>
      </c>
      <c r="F224" s="7" t="s">
        <v>36</v>
      </c>
      <c r="G224">
        <v>40187</v>
      </c>
      <c r="H224">
        <v>41939861</v>
      </c>
      <c r="I224">
        <v>99</v>
      </c>
      <c r="J224">
        <v>1</v>
      </c>
      <c r="K224">
        <v>0.94186043739318848</v>
      </c>
      <c r="L224">
        <v>0.95104897022247314</v>
      </c>
      <c r="M224">
        <v>0.95804195804195802</v>
      </c>
      <c r="N224">
        <v>0.95348837209302328</v>
      </c>
      <c r="O224">
        <v>0.98529411764705888</v>
      </c>
      <c r="P224">
        <v>11732</v>
      </c>
      <c r="Q224">
        <v>452993315</v>
      </c>
      <c r="R224">
        <v>40035</v>
      </c>
      <c r="S224">
        <v>2</v>
      </c>
      <c r="T224">
        <v>133</v>
      </c>
      <c r="U224">
        <v>0.95804195804195802</v>
      </c>
      <c r="V224">
        <v>0.94186046511627908</v>
      </c>
      <c r="W224">
        <v>0.99411764705882355</v>
      </c>
      <c r="X224">
        <v>11312</v>
      </c>
      <c r="Y224">
        <v>422873902</v>
      </c>
      <c r="Z224">
        <v>40604</v>
      </c>
      <c r="AA224">
        <v>2</v>
      </c>
      <c r="AB224">
        <v>134</v>
      </c>
    </row>
    <row r="225" spans="1:28" hidden="1" x14ac:dyDescent="0.25">
      <c r="A225" s="7" t="s">
        <v>28</v>
      </c>
      <c r="B225">
        <v>16</v>
      </c>
      <c r="C225">
        <v>9</v>
      </c>
      <c r="D225">
        <v>3</v>
      </c>
      <c r="E225">
        <v>0</v>
      </c>
      <c r="F225" s="7" t="s">
        <v>36</v>
      </c>
      <c r="G225">
        <v>40187</v>
      </c>
      <c r="H225">
        <v>58568476</v>
      </c>
      <c r="I225">
        <v>136</v>
      </c>
      <c r="J225">
        <v>1</v>
      </c>
      <c r="K225">
        <v>0.97674417495727539</v>
      </c>
      <c r="L225">
        <v>0.93706291913986206</v>
      </c>
      <c r="M225">
        <v>0.965034965034965</v>
      </c>
      <c r="N225">
        <v>0.95348837209302328</v>
      </c>
      <c r="O225">
        <v>0.99411764705882355</v>
      </c>
      <c r="P225">
        <v>10690</v>
      </c>
      <c r="Q225">
        <v>355252632</v>
      </c>
      <c r="R225">
        <v>40035</v>
      </c>
      <c r="S225">
        <v>2</v>
      </c>
      <c r="T225">
        <v>133</v>
      </c>
      <c r="U225">
        <v>0.97202797202797198</v>
      </c>
      <c r="V225">
        <v>0.95348837209302328</v>
      </c>
      <c r="W225">
        <v>0.99705882352941178</v>
      </c>
      <c r="X225">
        <v>11348</v>
      </c>
      <c r="Y225">
        <v>405094267</v>
      </c>
      <c r="Z225">
        <v>40604</v>
      </c>
      <c r="AA225">
        <v>2</v>
      </c>
      <c r="AB225">
        <v>134</v>
      </c>
    </row>
    <row r="226" spans="1:28" hidden="1" x14ac:dyDescent="0.25">
      <c r="A226" s="7" t="s">
        <v>28</v>
      </c>
      <c r="B226">
        <v>16</v>
      </c>
      <c r="C226">
        <v>9</v>
      </c>
      <c r="D226">
        <v>3</v>
      </c>
      <c r="E226">
        <v>0</v>
      </c>
      <c r="F226" s="7" t="s">
        <v>36</v>
      </c>
      <c r="G226">
        <v>40187</v>
      </c>
      <c r="H226">
        <v>51412609</v>
      </c>
      <c r="I226">
        <v>120</v>
      </c>
      <c r="J226">
        <v>1</v>
      </c>
      <c r="K226">
        <v>0.96511626243591309</v>
      </c>
      <c r="L226">
        <v>0.97902095317840576</v>
      </c>
      <c r="M226">
        <v>0.95804195804195802</v>
      </c>
      <c r="N226">
        <v>0.95348837209302328</v>
      </c>
      <c r="O226">
        <v>0.99705882352941178</v>
      </c>
      <c r="P226">
        <v>11539</v>
      </c>
      <c r="Q226">
        <v>432828643</v>
      </c>
      <c r="R226">
        <v>40035</v>
      </c>
      <c r="S226">
        <v>2</v>
      </c>
      <c r="T226">
        <v>133</v>
      </c>
      <c r="U226">
        <v>0.97202797202797198</v>
      </c>
      <c r="V226">
        <v>0.95348837209302328</v>
      </c>
      <c r="W226">
        <v>0.99705882352941178</v>
      </c>
      <c r="X226">
        <v>11386</v>
      </c>
      <c r="Y226">
        <v>404238963</v>
      </c>
      <c r="Z226">
        <v>40604</v>
      </c>
      <c r="AA226">
        <v>2</v>
      </c>
      <c r="AB226">
        <v>134</v>
      </c>
    </row>
    <row r="227" spans="1:28" hidden="1" x14ac:dyDescent="0.25">
      <c r="A227" s="7" t="s">
        <v>28</v>
      </c>
      <c r="B227">
        <v>16</v>
      </c>
      <c r="C227">
        <v>9</v>
      </c>
      <c r="D227">
        <v>3</v>
      </c>
      <c r="E227">
        <v>0</v>
      </c>
      <c r="F227" s="7" t="s">
        <v>36</v>
      </c>
      <c r="G227">
        <v>40187</v>
      </c>
      <c r="H227">
        <v>41200225</v>
      </c>
      <c r="I227">
        <v>95</v>
      </c>
      <c r="J227">
        <v>1</v>
      </c>
      <c r="K227">
        <v>0.96511626243591309</v>
      </c>
      <c r="L227">
        <v>0.96503496170043945</v>
      </c>
      <c r="M227">
        <v>0.97202797202797198</v>
      </c>
      <c r="N227">
        <v>0.96511627906976749</v>
      </c>
      <c r="O227">
        <v>1</v>
      </c>
      <c r="P227">
        <v>33901</v>
      </c>
      <c r="Q227">
        <v>2104658524</v>
      </c>
      <c r="R227">
        <v>40035</v>
      </c>
      <c r="S227">
        <v>2</v>
      </c>
      <c r="T227">
        <v>133</v>
      </c>
      <c r="U227">
        <v>0.97202797202797198</v>
      </c>
      <c r="V227">
        <v>0.95348837209302328</v>
      </c>
      <c r="W227">
        <v>0.99117647058823533</v>
      </c>
      <c r="X227">
        <v>11581</v>
      </c>
      <c r="Y227">
        <v>425495205</v>
      </c>
      <c r="Z227">
        <v>40604</v>
      </c>
      <c r="AA227">
        <v>2</v>
      </c>
      <c r="AB227">
        <v>134</v>
      </c>
    </row>
    <row r="228" spans="1:28" hidden="1" x14ac:dyDescent="0.25">
      <c r="A228" s="7" t="s">
        <v>28</v>
      </c>
      <c r="B228">
        <v>16</v>
      </c>
      <c r="C228">
        <v>9</v>
      </c>
      <c r="D228">
        <v>3</v>
      </c>
      <c r="E228">
        <v>0</v>
      </c>
      <c r="F228" s="7" t="s">
        <v>37</v>
      </c>
      <c r="G228">
        <v>43712</v>
      </c>
      <c r="H228">
        <v>48715050</v>
      </c>
      <c r="I228">
        <v>105</v>
      </c>
      <c r="J228">
        <v>1</v>
      </c>
      <c r="K228">
        <v>0.94186043739318848</v>
      </c>
      <c r="L228">
        <v>0.96503496170043945</v>
      </c>
      <c r="M228">
        <v>0.95804195804195802</v>
      </c>
      <c r="N228">
        <v>0.95348837209302328</v>
      </c>
      <c r="O228">
        <v>0.99705882352941178</v>
      </c>
      <c r="P228">
        <v>11497</v>
      </c>
      <c r="Q228">
        <v>407249947</v>
      </c>
      <c r="R228">
        <v>43509</v>
      </c>
      <c r="S228">
        <v>2</v>
      </c>
      <c r="T228">
        <v>139</v>
      </c>
      <c r="U228">
        <v>0.965034965034965</v>
      </c>
      <c r="V228">
        <v>0.95348837209302328</v>
      </c>
      <c r="W228">
        <v>1</v>
      </c>
      <c r="X228">
        <v>25640</v>
      </c>
      <c r="Y228">
        <v>1630661052</v>
      </c>
      <c r="Z228">
        <v>44102</v>
      </c>
      <c r="AA228">
        <v>2</v>
      </c>
      <c r="AB228">
        <v>140</v>
      </c>
    </row>
    <row r="229" spans="1:28" hidden="1" x14ac:dyDescent="0.25">
      <c r="A229" s="7" t="s">
        <v>28</v>
      </c>
      <c r="B229">
        <v>16</v>
      </c>
      <c r="C229">
        <v>9</v>
      </c>
      <c r="D229">
        <v>3</v>
      </c>
      <c r="E229">
        <v>0</v>
      </c>
      <c r="F229" s="7" t="s">
        <v>37</v>
      </c>
      <c r="G229">
        <v>43712</v>
      </c>
      <c r="H229">
        <v>68427078</v>
      </c>
      <c r="I229">
        <v>147</v>
      </c>
      <c r="J229">
        <v>1</v>
      </c>
      <c r="K229">
        <v>0.97674417495727539</v>
      </c>
      <c r="L229">
        <v>0.94405591487884521</v>
      </c>
      <c r="M229">
        <v>0.97202797202797198</v>
      </c>
      <c r="N229">
        <v>0.95348837209302328</v>
      </c>
      <c r="O229">
        <v>0.99705882352941178</v>
      </c>
      <c r="P229">
        <v>10970</v>
      </c>
      <c r="Q229">
        <v>378447851</v>
      </c>
      <c r="R229">
        <v>43509</v>
      </c>
      <c r="S229">
        <v>2</v>
      </c>
      <c r="T229">
        <v>139</v>
      </c>
      <c r="U229">
        <v>0.95104895104895104</v>
      </c>
      <c r="V229">
        <v>0.95348837209302328</v>
      </c>
      <c r="W229">
        <v>1</v>
      </c>
      <c r="X229">
        <v>19419</v>
      </c>
      <c r="Y229">
        <v>1041725640</v>
      </c>
      <c r="Z229">
        <v>44102</v>
      </c>
      <c r="AA229">
        <v>2</v>
      </c>
      <c r="AB229">
        <v>140</v>
      </c>
    </row>
    <row r="230" spans="1:28" hidden="1" x14ac:dyDescent="0.25">
      <c r="A230" s="7" t="s">
        <v>28</v>
      </c>
      <c r="B230">
        <v>16</v>
      </c>
      <c r="C230">
        <v>9</v>
      </c>
      <c r="D230">
        <v>3</v>
      </c>
      <c r="E230">
        <v>0</v>
      </c>
      <c r="F230" s="7" t="s">
        <v>37</v>
      </c>
      <c r="G230">
        <v>43712</v>
      </c>
      <c r="H230">
        <v>44505252</v>
      </c>
      <c r="I230">
        <v>93</v>
      </c>
      <c r="J230">
        <v>1</v>
      </c>
      <c r="K230">
        <v>0.94186043739318848</v>
      </c>
      <c r="L230">
        <v>0.98601400852203369</v>
      </c>
      <c r="M230">
        <v>0.95804195804195802</v>
      </c>
      <c r="N230">
        <v>0.95348837209302328</v>
      </c>
      <c r="O230">
        <v>0.98529411764705888</v>
      </c>
      <c r="P230">
        <v>12485</v>
      </c>
      <c r="Q230">
        <v>516380474</v>
      </c>
      <c r="R230">
        <v>43509</v>
      </c>
      <c r="S230">
        <v>2</v>
      </c>
      <c r="T230">
        <v>139</v>
      </c>
      <c r="U230">
        <v>0.97202797202797198</v>
      </c>
      <c r="V230">
        <v>0.95348837209302328</v>
      </c>
      <c r="W230">
        <v>0.99411764705882355</v>
      </c>
      <c r="X230">
        <v>14225</v>
      </c>
      <c r="Y230">
        <v>621085495</v>
      </c>
      <c r="Z230">
        <v>44102</v>
      </c>
      <c r="AA230">
        <v>2</v>
      </c>
      <c r="AB230">
        <v>140</v>
      </c>
    </row>
    <row r="231" spans="1:28" hidden="1" x14ac:dyDescent="0.25">
      <c r="A231" s="7" t="s">
        <v>28</v>
      </c>
      <c r="B231">
        <v>16</v>
      </c>
      <c r="C231">
        <v>9</v>
      </c>
      <c r="D231">
        <v>3</v>
      </c>
      <c r="E231">
        <v>0</v>
      </c>
      <c r="F231" s="7" t="s">
        <v>37</v>
      </c>
      <c r="G231">
        <v>43712</v>
      </c>
      <c r="H231">
        <v>58623253</v>
      </c>
      <c r="I231">
        <v>122</v>
      </c>
      <c r="J231">
        <v>1</v>
      </c>
      <c r="K231">
        <v>0.95348834991455078</v>
      </c>
      <c r="L231">
        <v>0.9580419659614563</v>
      </c>
      <c r="M231">
        <v>0.965034965034965</v>
      </c>
      <c r="N231">
        <v>0.95348837209302328</v>
      </c>
      <c r="O231">
        <v>0.99411764705882355</v>
      </c>
      <c r="P231">
        <v>11366</v>
      </c>
      <c r="Q231">
        <v>407256447</v>
      </c>
      <c r="R231">
        <v>43509</v>
      </c>
      <c r="S231">
        <v>2</v>
      </c>
      <c r="T231">
        <v>139</v>
      </c>
      <c r="U231">
        <v>0.965034965034965</v>
      </c>
      <c r="V231">
        <v>0.95348837209302328</v>
      </c>
      <c r="W231">
        <v>0.99705882352941178</v>
      </c>
      <c r="X231">
        <v>11603</v>
      </c>
      <c r="Y231">
        <v>449584644</v>
      </c>
      <c r="Z231">
        <v>44102</v>
      </c>
      <c r="AA231">
        <v>2</v>
      </c>
      <c r="AB231">
        <v>140</v>
      </c>
    </row>
    <row r="232" spans="1:28" hidden="1" x14ac:dyDescent="0.25">
      <c r="A232" s="7" t="s">
        <v>28</v>
      </c>
      <c r="B232">
        <v>16</v>
      </c>
      <c r="C232">
        <v>9</v>
      </c>
      <c r="D232">
        <v>3</v>
      </c>
      <c r="E232">
        <v>0</v>
      </c>
      <c r="F232" s="7" t="s">
        <v>37</v>
      </c>
      <c r="G232">
        <v>43712</v>
      </c>
      <c r="H232">
        <v>34234045</v>
      </c>
      <c r="I232">
        <v>69</v>
      </c>
      <c r="J232">
        <v>1</v>
      </c>
      <c r="K232">
        <v>0.95348834991455078</v>
      </c>
      <c r="L232">
        <v>0.96503496170043945</v>
      </c>
      <c r="M232">
        <v>0.95804195804195802</v>
      </c>
      <c r="N232">
        <v>0.95348837209302328</v>
      </c>
      <c r="O232">
        <v>0.99117647058823533</v>
      </c>
      <c r="P232">
        <v>11385</v>
      </c>
      <c r="Q232">
        <v>428223837</v>
      </c>
      <c r="R232">
        <v>43509</v>
      </c>
      <c r="S232">
        <v>2</v>
      </c>
      <c r="T232">
        <v>139</v>
      </c>
      <c r="U232">
        <v>0.97202797202797198</v>
      </c>
      <c r="V232">
        <v>0.96511627906976749</v>
      </c>
      <c r="W232">
        <v>0.98235294117647054</v>
      </c>
      <c r="X232">
        <v>17040</v>
      </c>
      <c r="Y232">
        <v>875665128</v>
      </c>
      <c r="Z232">
        <v>44102</v>
      </c>
      <c r="AA232">
        <v>2</v>
      </c>
      <c r="AB232">
        <v>140</v>
      </c>
    </row>
    <row r="233" spans="1:28" hidden="1" x14ac:dyDescent="0.25">
      <c r="A233" s="7" t="s">
        <v>57</v>
      </c>
      <c r="B233">
        <v>8</v>
      </c>
      <c r="C233">
        <v>3</v>
      </c>
      <c r="D233">
        <v>2</v>
      </c>
      <c r="E233">
        <v>0</v>
      </c>
      <c r="F233" s="7" t="s">
        <v>76</v>
      </c>
      <c r="G233">
        <v>1884</v>
      </c>
      <c r="H233">
        <v>12807360</v>
      </c>
      <c r="I233">
        <v>179</v>
      </c>
      <c r="J233">
        <v>1</v>
      </c>
      <c r="K233">
        <v>0.96296298503875732</v>
      </c>
      <c r="L233">
        <v>0.95555555820465088</v>
      </c>
      <c r="M233">
        <v>0.9555555555555556</v>
      </c>
      <c r="N233">
        <v>0.88888888888888884</v>
      </c>
      <c r="O233">
        <v>1</v>
      </c>
      <c r="P233">
        <v>22384</v>
      </c>
      <c r="Q233">
        <v>180188593</v>
      </c>
      <c r="R233">
        <v>1849</v>
      </c>
      <c r="S233">
        <v>2</v>
      </c>
      <c r="T233">
        <v>26</v>
      </c>
      <c r="U233">
        <v>0.9555555555555556</v>
      </c>
      <c r="V233">
        <v>0.92592592592592593</v>
      </c>
      <c r="W233">
        <v>1</v>
      </c>
      <c r="X233">
        <v>19476</v>
      </c>
      <c r="Y233">
        <v>155881235</v>
      </c>
      <c r="Z233">
        <v>1974</v>
      </c>
      <c r="AA233">
        <v>2</v>
      </c>
      <c r="AB233">
        <v>27</v>
      </c>
    </row>
    <row r="234" spans="1:28" hidden="1" x14ac:dyDescent="0.25">
      <c r="A234" s="7" t="s">
        <v>57</v>
      </c>
      <c r="B234">
        <v>8</v>
      </c>
      <c r="C234">
        <v>3</v>
      </c>
      <c r="D234">
        <v>2</v>
      </c>
      <c r="E234">
        <v>0</v>
      </c>
      <c r="F234" s="7" t="s">
        <v>76</v>
      </c>
      <c r="G234">
        <v>1884</v>
      </c>
      <c r="H234">
        <v>7549808</v>
      </c>
      <c r="I234">
        <v>128</v>
      </c>
      <c r="J234">
        <v>1</v>
      </c>
      <c r="K234">
        <v>0.8888888955116272</v>
      </c>
      <c r="L234">
        <v>0.93333333730697632</v>
      </c>
      <c r="M234">
        <v>0.93333333333333335</v>
      </c>
      <c r="N234">
        <v>0.85185185185185186</v>
      </c>
      <c r="O234">
        <v>1</v>
      </c>
      <c r="P234">
        <v>30200</v>
      </c>
      <c r="Q234">
        <v>252771081</v>
      </c>
      <c r="R234">
        <v>1849</v>
      </c>
      <c r="S234">
        <v>2</v>
      </c>
      <c r="T234">
        <v>26</v>
      </c>
      <c r="U234">
        <v>0.91111111111111109</v>
      </c>
      <c r="V234">
        <v>0.81481481481481477</v>
      </c>
      <c r="W234">
        <v>1</v>
      </c>
      <c r="X234">
        <v>22505</v>
      </c>
      <c r="Y234">
        <v>187961162</v>
      </c>
      <c r="Z234">
        <v>1974</v>
      </c>
      <c r="AA234">
        <v>2</v>
      </c>
      <c r="AB234">
        <v>27</v>
      </c>
    </row>
    <row r="235" spans="1:28" hidden="1" x14ac:dyDescent="0.25">
      <c r="A235" s="7" t="s">
        <v>57</v>
      </c>
      <c r="B235">
        <v>8</v>
      </c>
      <c r="C235">
        <v>3</v>
      </c>
      <c r="D235">
        <v>2</v>
      </c>
      <c r="E235">
        <v>0</v>
      </c>
      <c r="F235" s="7" t="s">
        <v>76</v>
      </c>
      <c r="G235">
        <v>1884</v>
      </c>
      <c r="H235">
        <v>4337987</v>
      </c>
      <c r="I235">
        <v>72</v>
      </c>
      <c r="J235">
        <v>1</v>
      </c>
      <c r="K235">
        <v>0.92592591047286987</v>
      </c>
      <c r="L235">
        <v>0.97777777910232544</v>
      </c>
      <c r="M235">
        <v>0.9555555555555556</v>
      </c>
      <c r="N235">
        <v>0.88888888888888884</v>
      </c>
      <c r="O235">
        <v>1</v>
      </c>
      <c r="P235">
        <v>30343</v>
      </c>
      <c r="Q235">
        <v>260513879</v>
      </c>
      <c r="R235">
        <v>1849</v>
      </c>
      <c r="S235">
        <v>2</v>
      </c>
      <c r="T235">
        <v>26</v>
      </c>
      <c r="U235">
        <v>0.9555555555555556</v>
      </c>
      <c r="V235">
        <v>0.88888888888888884</v>
      </c>
      <c r="W235">
        <v>1</v>
      </c>
      <c r="X235">
        <v>22220</v>
      </c>
      <c r="Y235">
        <v>180717758</v>
      </c>
      <c r="Z235">
        <v>1974</v>
      </c>
      <c r="AA235">
        <v>2</v>
      </c>
      <c r="AB235">
        <v>27</v>
      </c>
    </row>
    <row r="236" spans="1:28" hidden="1" x14ac:dyDescent="0.25">
      <c r="A236" s="7" t="s">
        <v>57</v>
      </c>
      <c r="B236">
        <v>8</v>
      </c>
      <c r="C236">
        <v>3</v>
      </c>
      <c r="D236">
        <v>2</v>
      </c>
      <c r="E236">
        <v>0</v>
      </c>
      <c r="F236" s="7" t="s">
        <v>76</v>
      </c>
      <c r="G236">
        <v>1884</v>
      </c>
      <c r="H236">
        <v>17096336</v>
      </c>
      <c r="I236">
        <v>258</v>
      </c>
      <c r="J236">
        <v>1</v>
      </c>
      <c r="K236">
        <v>0.92592591047286987</v>
      </c>
      <c r="L236">
        <v>0.91111111640930176</v>
      </c>
      <c r="M236">
        <v>0.9555555555555556</v>
      </c>
      <c r="N236">
        <v>0.85185185185185186</v>
      </c>
      <c r="O236">
        <v>1</v>
      </c>
      <c r="P236">
        <v>23891</v>
      </c>
      <c r="Q236">
        <v>195101618</v>
      </c>
      <c r="R236">
        <v>1849</v>
      </c>
      <c r="S236">
        <v>2</v>
      </c>
      <c r="T236">
        <v>26</v>
      </c>
      <c r="U236">
        <v>0.9555555555555556</v>
      </c>
      <c r="V236">
        <v>0.85185185185185186</v>
      </c>
      <c r="W236">
        <v>1</v>
      </c>
      <c r="X236">
        <v>16071</v>
      </c>
      <c r="Y236">
        <v>125259985</v>
      </c>
      <c r="Z236">
        <v>1974</v>
      </c>
      <c r="AA236">
        <v>2</v>
      </c>
      <c r="AB236">
        <v>27</v>
      </c>
    </row>
    <row r="237" spans="1:28" hidden="1" x14ac:dyDescent="0.25">
      <c r="A237" s="7" t="s">
        <v>57</v>
      </c>
      <c r="B237">
        <v>8</v>
      </c>
      <c r="C237">
        <v>3</v>
      </c>
      <c r="D237">
        <v>2</v>
      </c>
      <c r="E237">
        <v>0</v>
      </c>
      <c r="F237" s="7" t="s">
        <v>61</v>
      </c>
      <c r="G237">
        <v>2929</v>
      </c>
      <c r="H237">
        <v>7409204</v>
      </c>
      <c r="I237">
        <v>96</v>
      </c>
      <c r="J237">
        <v>1</v>
      </c>
      <c r="K237">
        <v>0.92592591047286987</v>
      </c>
      <c r="L237">
        <v>0.97777777910232544</v>
      </c>
      <c r="M237">
        <v>0.9555555555555556</v>
      </c>
      <c r="N237">
        <v>0.88888888888888884</v>
      </c>
      <c r="O237">
        <v>1</v>
      </c>
      <c r="P237">
        <v>20640</v>
      </c>
      <c r="Q237">
        <v>172079730</v>
      </c>
      <c r="R237">
        <v>2808</v>
      </c>
      <c r="S237">
        <v>2</v>
      </c>
      <c r="T237">
        <v>33</v>
      </c>
      <c r="U237">
        <v>0.91111111111111109</v>
      </c>
      <c r="V237">
        <v>0.81481481481481477</v>
      </c>
      <c r="W237">
        <v>1</v>
      </c>
      <c r="X237">
        <v>21221</v>
      </c>
      <c r="Y237">
        <v>176657717</v>
      </c>
      <c r="Z237">
        <v>2961</v>
      </c>
      <c r="AA237">
        <v>2</v>
      </c>
      <c r="AB237">
        <v>34</v>
      </c>
    </row>
    <row r="238" spans="1:28" hidden="1" x14ac:dyDescent="0.25">
      <c r="A238" s="7" t="s">
        <v>57</v>
      </c>
      <c r="B238">
        <v>8</v>
      </c>
      <c r="C238">
        <v>3</v>
      </c>
      <c r="D238">
        <v>2</v>
      </c>
      <c r="E238">
        <v>0</v>
      </c>
      <c r="F238" s="7" t="s">
        <v>61</v>
      </c>
      <c r="G238">
        <v>2929</v>
      </c>
      <c r="H238">
        <v>10859358</v>
      </c>
      <c r="I238">
        <v>146</v>
      </c>
      <c r="J238">
        <v>1</v>
      </c>
      <c r="K238">
        <v>0.92592591047286987</v>
      </c>
      <c r="L238">
        <v>0.91111111640930176</v>
      </c>
      <c r="M238">
        <v>0.9555555555555556</v>
      </c>
      <c r="N238">
        <v>0.85185185185185186</v>
      </c>
      <c r="O238">
        <v>1</v>
      </c>
      <c r="P238">
        <v>19900</v>
      </c>
      <c r="Q238">
        <v>162264302</v>
      </c>
      <c r="R238">
        <v>2808</v>
      </c>
      <c r="S238">
        <v>2</v>
      </c>
      <c r="T238">
        <v>33</v>
      </c>
      <c r="U238">
        <v>0.9555555555555556</v>
      </c>
      <c r="V238">
        <v>0.96296296296296291</v>
      </c>
      <c r="W238">
        <v>1</v>
      </c>
      <c r="X238">
        <v>19907</v>
      </c>
      <c r="Y238">
        <v>162934298</v>
      </c>
      <c r="Z238">
        <v>2961</v>
      </c>
      <c r="AA238">
        <v>2</v>
      </c>
      <c r="AB238">
        <v>34</v>
      </c>
    </row>
    <row r="239" spans="1:28" hidden="1" x14ac:dyDescent="0.25">
      <c r="A239" s="7" t="s">
        <v>57</v>
      </c>
      <c r="B239">
        <v>8</v>
      </c>
      <c r="C239">
        <v>3</v>
      </c>
      <c r="D239">
        <v>2</v>
      </c>
      <c r="E239">
        <v>0</v>
      </c>
      <c r="F239" s="7" t="s">
        <v>61</v>
      </c>
      <c r="G239">
        <v>2929</v>
      </c>
      <c r="H239">
        <v>21664229</v>
      </c>
      <c r="I239">
        <v>288</v>
      </c>
      <c r="J239">
        <v>1</v>
      </c>
      <c r="K239">
        <v>0.96296298503875732</v>
      </c>
      <c r="L239">
        <v>1</v>
      </c>
      <c r="M239">
        <v>0.9555555555555556</v>
      </c>
      <c r="N239">
        <v>0.88888888888888884</v>
      </c>
      <c r="O239">
        <v>1</v>
      </c>
      <c r="P239">
        <v>20479</v>
      </c>
      <c r="Q239">
        <v>171527083</v>
      </c>
      <c r="R239">
        <v>2808</v>
      </c>
      <c r="S239">
        <v>2</v>
      </c>
      <c r="T239">
        <v>33</v>
      </c>
      <c r="U239">
        <v>0.93333333333333335</v>
      </c>
      <c r="V239">
        <v>0.88888888888888884</v>
      </c>
      <c r="W239">
        <v>1</v>
      </c>
      <c r="X239">
        <v>24603</v>
      </c>
      <c r="Y239">
        <v>210740416</v>
      </c>
      <c r="Z239">
        <v>2961</v>
      </c>
      <c r="AA239">
        <v>2</v>
      </c>
      <c r="AB239">
        <v>34</v>
      </c>
    </row>
    <row r="240" spans="1:28" hidden="1" x14ac:dyDescent="0.25">
      <c r="A240" s="7" t="s">
        <v>57</v>
      </c>
      <c r="B240">
        <v>8</v>
      </c>
      <c r="C240">
        <v>3</v>
      </c>
      <c r="D240">
        <v>2</v>
      </c>
      <c r="E240">
        <v>0</v>
      </c>
      <c r="F240" s="7" t="s">
        <v>61</v>
      </c>
      <c r="G240">
        <v>2929</v>
      </c>
      <c r="H240">
        <v>9102921</v>
      </c>
      <c r="I240">
        <v>117</v>
      </c>
      <c r="J240">
        <v>1</v>
      </c>
      <c r="K240">
        <v>0.92592591047286987</v>
      </c>
      <c r="L240">
        <v>0.95555555820465088</v>
      </c>
      <c r="M240">
        <v>0.9555555555555556</v>
      </c>
      <c r="N240">
        <v>0.81481481481481477</v>
      </c>
      <c r="O240">
        <v>1</v>
      </c>
      <c r="P240">
        <v>20362</v>
      </c>
      <c r="Q240">
        <v>168811817</v>
      </c>
      <c r="R240">
        <v>2808</v>
      </c>
      <c r="S240">
        <v>2</v>
      </c>
      <c r="T240">
        <v>33</v>
      </c>
      <c r="U240">
        <v>0.9555555555555556</v>
      </c>
      <c r="V240">
        <v>0.85185185185185186</v>
      </c>
      <c r="W240">
        <v>1</v>
      </c>
      <c r="X240">
        <v>19217</v>
      </c>
      <c r="Y240">
        <v>161205927</v>
      </c>
      <c r="Z240">
        <v>2961</v>
      </c>
      <c r="AA240">
        <v>2</v>
      </c>
      <c r="AB240">
        <v>34</v>
      </c>
    </row>
    <row r="241" spans="1:28" hidden="1" x14ac:dyDescent="0.25">
      <c r="A241" s="7" t="s">
        <v>57</v>
      </c>
      <c r="B241">
        <v>8</v>
      </c>
      <c r="C241">
        <v>3</v>
      </c>
      <c r="D241">
        <v>2</v>
      </c>
      <c r="E241">
        <v>0</v>
      </c>
      <c r="F241" s="7" t="s">
        <v>61</v>
      </c>
      <c r="G241">
        <v>2929</v>
      </c>
      <c r="H241">
        <v>10884809</v>
      </c>
      <c r="I241">
        <v>139</v>
      </c>
      <c r="J241">
        <v>1</v>
      </c>
      <c r="K241">
        <v>0.92592591047286987</v>
      </c>
      <c r="L241">
        <v>0.95555555820465088</v>
      </c>
      <c r="M241">
        <v>0.9555555555555556</v>
      </c>
      <c r="N241">
        <v>0.88888888888888884</v>
      </c>
      <c r="O241">
        <v>1</v>
      </c>
      <c r="P241">
        <v>20041</v>
      </c>
      <c r="Q241">
        <v>167903421</v>
      </c>
      <c r="R241">
        <v>2808</v>
      </c>
      <c r="S241">
        <v>2</v>
      </c>
      <c r="T241">
        <v>33</v>
      </c>
      <c r="U241">
        <v>0.9555555555555556</v>
      </c>
      <c r="V241">
        <v>0.92592592592592593</v>
      </c>
      <c r="W241">
        <v>1</v>
      </c>
      <c r="X241">
        <v>20282</v>
      </c>
      <c r="Y241">
        <v>166080824</v>
      </c>
      <c r="Z241">
        <v>2961</v>
      </c>
      <c r="AA241">
        <v>2</v>
      </c>
      <c r="AB241">
        <v>34</v>
      </c>
    </row>
    <row r="242" spans="1:28" hidden="1" x14ac:dyDescent="0.25">
      <c r="A242" s="7" t="s">
        <v>57</v>
      </c>
      <c r="B242">
        <v>8</v>
      </c>
      <c r="C242">
        <v>3</v>
      </c>
      <c r="D242">
        <v>2</v>
      </c>
      <c r="E242">
        <v>0</v>
      </c>
      <c r="F242" s="7" t="s">
        <v>71</v>
      </c>
      <c r="G242">
        <v>3974</v>
      </c>
      <c r="H242">
        <v>11334528</v>
      </c>
      <c r="I242">
        <v>139</v>
      </c>
      <c r="J242">
        <v>1</v>
      </c>
      <c r="K242">
        <v>0.96296298503875732</v>
      </c>
      <c r="L242">
        <v>0.97777777910232544</v>
      </c>
      <c r="M242">
        <v>0.9555555555555556</v>
      </c>
      <c r="N242">
        <v>0.92592592592592593</v>
      </c>
      <c r="O242">
        <v>1</v>
      </c>
      <c r="P242">
        <v>19869</v>
      </c>
      <c r="Q242">
        <v>167382334</v>
      </c>
      <c r="R242">
        <v>3963</v>
      </c>
      <c r="S242">
        <v>2</v>
      </c>
      <c r="T242">
        <v>40</v>
      </c>
      <c r="U242">
        <v>0.93333333333333335</v>
      </c>
      <c r="V242">
        <v>0.92592592592592593</v>
      </c>
      <c r="W242">
        <v>1</v>
      </c>
      <c r="X242">
        <v>20135</v>
      </c>
      <c r="Y242">
        <v>171215327</v>
      </c>
      <c r="Z242">
        <v>4144</v>
      </c>
      <c r="AA242">
        <v>2</v>
      </c>
      <c r="AB242">
        <v>41</v>
      </c>
    </row>
    <row r="243" spans="1:28" hidden="1" x14ac:dyDescent="0.25">
      <c r="A243" s="7" t="s">
        <v>57</v>
      </c>
      <c r="B243">
        <v>8</v>
      </c>
      <c r="C243">
        <v>3</v>
      </c>
      <c r="D243">
        <v>2</v>
      </c>
      <c r="E243">
        <v>0</v>
      </c>
      <c r="F243" s="7" t="s">
        <v>71</v>
      </c>
      <c r="G243">
        <v>3974</v>
      </c>
      <c r="H243">
        <v>17630443</v>
      </c>
      <c r="I243">
        <v>214</v>
      </c>
      <c r="J243">
        <v>1</v>
      </c>
      <c r="K243">
        <v>0.96296298503875732</v>
      </c>
      <c r="L243">
        <v>0.95555555820465088</v>
      </c>
      <c r="M243">
        <v>0.93333333333333335</v>
      </c>
      <c r="N243">
        <v>0.92592592592592593</v>
      </c>
      <c r="O243">
        <v>1</v>
      </c>
      <c r="P243">
        <v>20308</v>
      </c>
      <c r="Q243">
        <v>171454939</v>
      </c>
      <c r="R243">
        <v>3963</v>
      </c>
      <c r="S243">
        <v>2</v>
      </c>
      <c r="T243">
        <v>40</v>
      </c>
      <c r="U243">
        <v>0.93333333333333335</v>
      </c>
      <c r="V243">
        <v>0.92592592592592593</v>
      </c>
      <c r="W243">
        <v>1</v>
      </c>
      <c r="X243">
        <v>24454</v>
      </c>
      <c r="Y243">
        <v>216299608</v>
      </c>
      <c r="Z243">
        <v>4144</v>
      </c>
      <c r="AA243">
        <v>2</v>
      </c>
      <c r="AB243">
        <v>41</v>
      </c>
    </row>
    <row r="244" spans="1:28" hidden="1" x14ac:dyDescent="0.25">
      <c r="A244" s="7" t="s">
        <v>57</v>
      </c>
      <c r="B244">
        <v>8</v>
      </c>
      <c r="C244">
        <v>3</v>
      </c>
      <c r="D244">
        <v>2</v>
      </c>
      <c r="E244">
        <v>0</v>
      </c>
      <c r="F244" s="7" t="s">
        <v>71</v>
      </c>
      <c r="G244">
        <v>3974</v>
      </c>
      <c r="H244">
        <v>20433462</v>
      </c>
      <c r="I244">
        <v>238</v>
      </c>
      <c r="J244">
        <v>1</v>
      </c>
      <c r="K244">
        <v>0.92592591047286987</v>
      </c>
      <c r="L244">
        <v>0.93333333730697632</v>
      </c>
      <c r="M244">
        <v>0.97777777777777775</v>
      </c>
      <c r="N244">
        <v>0.85185185185185186</v>
      </c>
      <c r="O244">
        <v>1</v>
      </c>
      <c r="P244">
        <v>19469</v>
      </c>
      <c r="Q244">
        <v>167394578</v>
      </c>
      <c r="R244">
        <v>3963</v>
      </c>
      <c r="S244">
        <v>2</v>
      </c>
      <c r="T244">
        <v>40</v>
      </c>
      <c r="U244">
        <v>0.9555555555555556</v>
      </c>
      <c r="V244">
        <v>0.88888888888888884</v>
      </c>
      <c r="W244">
        <v>1</v>
      </c>
      <c r="X244">
        <v>20293</v>
      </c>
      <c r="Y244">
        <v>172919830</v>
      </c>
      <c r="Z244">
        <v>4144</v>
      </c>
      <c r="AA244">
        <v>2</v>
      </c>
      <c r="AB244">
        <v>41</v>
      </c>
    </row>
    <row r="245" spans="1:28" hidden="1" x14ac:dyDescent="0.25">
      <c r="A245" s="7" t="s">
        <v>57</v>
      </c>
      <c r="B245">
        <v>8</v>
      </c>
      <c r="C245">
        <v>3</v>
      </c>
      <c r="D245">
        <v>2</v>
      </c>
      <c r="E245">
        <v>0</v>
      </c>
      <c r="F245" s="7" t="s">
        <v>71</v>
      </c>
      <c r="G245">
        <v>3974</v>
      </c>
      <c r="H245">
        <v>16253722</v>
      </c>
      <c r="I245">
        <v>185</v>
      </c>
      <c r="J245">
        <v>1</v>
      </c>
      <c r="K245">
        <v>0.96296298503875732</v>
      </c>
      <c r="L245">
        <v>0.8888888955116272</v>
      </c>
      <c r="M245">
        <v>0.9555555555555556</v>
      </c>
      <c r="N245">
        <v>0.92592592592592593</v>
      </c>
      <c r="O245">
        <v>1</v>
      </c>
      <c r="P245">
        <v>21217</v>
      </c>
      <c r="Q245">
        <v>178823131</v>
      </c>
      <c r="R245">
        <v>3963</v>
      </c>
      <c r="S245">
        <v>2</v>
      </c>
      <c r="T245">
        <v>40</v>
      </c>
      <c r="U245">
        <v>0.9555555555555556</v>
      </c>
      <c r="V245">
        <v>0.92592592592592593</v>
      </c>
      <c r="W245">
        <v>1</v>
      </c>
      <c r="X245">
        <v>19621</v>
      </c>
      <c r="Y245">
        <v>163352049</v>
      </c>
      <c r="Z245">
        <v>4144</v>
      </c>
      <c r="AA245">
        <v>2</v>
      </c>
      <c r="AB245">
        <v>41</v>
      </c>
    </row>
    <row r="246" spans="1:28" hidden="1" x14ac:dyDescent="0.25">
      <c r="A246" s="7" t="s">
        <v>57</v>
      </c>
      <c r="B246">
        <v>8</v>
      </c>
      <c r="C246">
        <v>3</v>
      </c>
      <c r="D246">
        <v>2</v>
      </c>
      <c r="E246">
        <v>0</v>
      </c>
      <c r="F246" s="7" t="s">
        <v>71</v>
      </c>
      <c r="G246">
        <v>3974</v>
      </c>
      <c r="H246">
        <v>15336524</v>
      </c>
      <c r="I246">
        <v>176</v>
      </c>
      <c r="J246">
        <v>1</v>
      </c>
      <c r="K246">
        <v>0.96296298503875732</v>
      </c>
      <c r="L246">
        <v>0.93333333730697632</v>
      </c>
      <c r="M246">
        <v>0.9555555555555556</v>
      </c>
      <c r="N246">
        <v>0.92592592592592593</v>
      </c>
      <c r="O246">
        <v>1</v>
      </c>
      <c r="P246">
        <v>21729</v>
      </c>
      <c r="Q246">
        <v>191206342</v>
      </c>
      <c r="R246">
        <v>3963</v>
      </c>
      <c r="S246">
        <v>2</v>
      </c>
      <c r="T246">
        <v>40</v>
      </c>
      <c r="U246">
        <v>0.93333333333333335</v>
      </c>
      <c r="V246">
        <v>0.92592592592592593</v>
      </c>
      <c r="W246">
        <v>1</v>
      </c>
      <c r="X246">
        <v>19492</v>
      </c>
      <c r="Y246">
        <v>158510464</v>
      </c>
      <c r="Z246">
        <v>4144</v>
      </c>
      <c r="AA246">
        <v>2</v>
      </c>
      <c r="AB246">
        <v>41</v>
      </c>
    </row>
    <row r="247" spans="1:28" hidden="1" x14ac:dyDescent="0.25">
      <c r="A247" s="7" t="s">
        <v>57</v>
      </c>
      <c r="B247">
        <v>8</v>
      </c>
      <c r="C247">
        <v>3</v>
      </c>
      <c r="D247">
        <v>2</v>
      </c>
      <c r="E247">
        <v>0</v>
      </c>
      <c r="F247" s="7" t="s">
        <v>75</v>
      </c>
      <c r="G247">
        <v>5019</v>
      </c>
      <c r="H247">
        <v>19016352</v>
      </c>
      <c r="I247">
        <v>204</v>
      </c>
      <c r="J247">
        <v>1</v>
      </c>
      <c r="K247">
        <v>0.96296298503875732</v>
      </c>
      <c r="L247">
        <v>0.91111111640930176</v>
      </c>
      <c r="M247">
        <v>0.93333333333333335</v>
      </c>
      <c r="N247">
        <v>0.96296296296296291</v>
      </c>
      <c r="O247">
        <v>1</v>
      </c>
      <c r="P247">
        <v>19496</v>
      </c>
      <c r="Q247">
        <v>172488566</v>
      </c>
      <c r="R247">
        <v>4908</v>
      </c>
      <c r="S247">
        <v>2</v>
      </c>
      <c r="T247">
        <v>45</v>
      </c>
      <c r="U247">
        <v>0.91111111111111109</v>
      </c>
      <c r="V247">
        <v>0.85185185185185186</v>
      </c>
      <c r="W247">
        <v>1</v>
      </c>
      <c r="X247">
        <v>19408</v>
      </c>
      <c r="Y247">
        <v>172542539</v>
      </c>
      <c r="Z247">
        <v>5109</v>
      </c>
      <c r="AA247">
        <v>2</v>
      </c>
      <c r="AB247">
        <v>46</v>
      </c>
    </row>
    <row r="248" spans="1:28" hidden="1" x14ac:dyDescent="0.25">
      <c r="A248" s="7" t="s">
        <v>57</v>
      </c>
      <c r="B248">
        <v>8</v>
      </c>
      <c r="C248">
        <v>3</v>
      </c>
      <c r="D248">
        <v>2</v>
      </c>
      <c r="E248">
        <v>0</v>
      </c>
      <c r="F248" s="7" t="s">
        <v>75</v>
      </c>
      <c r="G248">
        <v>5019</v>
      </c>
      <c r="H248">
        <v>30369786</v>
      </c>
      <c r="I248">
        <v>329</v>
      </c>
      <c r="J248">
        <v>1</v>
      </c>
      <c r="K248">
        <v>0.96296298503875732</v>
      </c>
      <c r="L248">
        <v>0.93333333730697632</v>
      </c>
      <c r="M248">
        <v>0.97777777777777775</v>
      </c>
      <c r="N248">
        <v>0.88888888888888884</v>
      </c>
      <c r="O248">
        <v>1</v>
      </c>
      <c r="P248">
        <v>19362</v>
      </c>
      <c r="Q248">
        <v>179080817</v>
      </c>
      <c r="R248">
        <v>4908</v>
      </c>
      <c r="S248">
        <v>2</v>
      </c>
      <c r="T248">
        <v>45</v>
      </c>
      <c r="U248">
        <v>0.93333333333333335</v>
      </c>
      <c r="V248">
        <v>0.85185185185185186</v>
      </c>
      <c r="W248">
        <v>1</v>
      </c>
      <c r="X248">
        <v>10851</v>
      </c>
      <c r="Y248">
        <v>82639587</v>
      </c>
      <c r="Z248">
        <v>5109</v>
      </c>
      <c r="AA248">
        <v>2</v>
      </c>
      <c r="AB248">
        <v>46</v>
      </c>
    </row>
    <row r="249" spans="1:28" hidden="1" x14ac:dyDescent="0.25">
      <c r="A249" s="7" t="s">
        <v>57</v>
      </c>
      <c r="B249">
        <v>8</v>
      </c>
      <c r="C249">
        <v>3</v>
      </c>
      <c r="D249">
        <v>2</v>
      </c>
      <c r="E249">
        <v>0</v>
      </c>
      <c r="F249" s="7" t="s">
        <v>75</v>
      </c>
      <c r="G249">
        <v>5019</v>
      </c>
      <c r="H249">
        <v>23937754</v>
      </c>
      <c r="I249">
        <v>256</v>
      </c>
      <c r="J249">
        <v>1</v>
      </c>
      <c r="K249">
        <v>0.96296298503875732</v>
      </c>
      <c r="L249">
        <v>0.91111111640930176</v>
      </c>
      <c r="M249">
        <v>0.93333333333333335</v>
      </c>
      <c r="N249">
        <v>0.92592592592592593</v>
      </c>
      <c r="O249">
        <v>1</v>
      </c>
      <c r="P249">
        <v>19316</v>
      </c>
      <c r="Q249">
        <v>172353018</v>
      </c>
      <c r="R249">
        <v>4908</v>
      </c>
      <c r="S249">
        <v>2</v>
      </c>
      <c r="T249">
        <v>45</v>
      </c>
      <c r="U249">
        <v>0.9555555555555556</v>
      </c>
      <c r="V249">
        <v>0.85185185185185186</v>
      </c>
      <c r="W249">
        <v>1</v>
      </c>
      <c r="X249">
        <v>19467</v>
      </c>
      <c r="Y249">
        <v>171272540</v>
      </c>
      <c r="Z249">
        <v>5109</v>
      </c>
      <c r="AA249">
        <v>2</v>
      </c>
      <c r="AB249">
        <v>46</v>
      </c>
    </row>
    <row r="250" spans="1:28" hidden="1" x14ac:dyDescent="0.25">
      <c r="A250" s="7" t="s">
        <v>57</v>
      </c>
      <c r="B250">
        <v>8</v>
      </c>
      <c r="C250">
        <v>3</v>
      </c>
      <c r="D250">
        <v>2</v>
      </c>
      <c r="E250">
        <v>0</v>
      </c>
      <c r="F250" s="7" t="s">
        <v>75</v>
      </c>
      <c r="G250">
        <v>5019</v>
      </c>
      <c r="H250">
        <v>15362816</v>
      </c>
      <c r="I250">
        <v>162</v>
      </c>
      <c r="J250">
        <v>1</v>
      </c>
      <c r="K250">
        <v>0.96296298503875732</v>
      </c>
      <c r="L250">
        <v>0.95555555820465088</v>
      </c>
      <c r="M250">
        <v>0.93333333333333335</v>
      </c>
      <c r="N250">
        <v>0.92592592592592593</v>
      </c>
      <c r="O250">
        <v>1</v>
      </c>
      <c r="P250">
        <v>24643</v>
      </c>
      <c r="Q250">
        <v>236132955</v>
      </c>
      <c r="R250">
        <v>4908</v>
      </c>
      <c r="S250">
        <v>2</v>
      </c>
      <c r="T250">
        <v>45</v>
      </c>
      <c r="U250">
        <v>0.97777777777777775</v>
      </c>
      <c r="V250">
        <v>0.92592592592592593</v>
      </c>
      <c r="W250">
        <v>1</v>
      </c>
      <c r="X250">
        <v>18913</v>
      </c>
      <c r="Y250">
        <v>164043938</v>
      </c>
      <c r="Z250">
        <v>5109</v>
      </c>
      <c r="AA250">
        <v>2</v>
      </c>
      <c r="AB250">
        <v>46</v>
      </c>
    </row>
    <row r="251" spans="1:28" hidden="1" x14ac:dyDescent="0.25">
      <c r="A251" s="7" t="s">
        <v>57</v>
      </c>
      <c r="B251">
        <v>8</v>
      </c>
      <c r="C251">
        <v>3</v>
      </c>
      <c r="D251">
        <v>2</v>
      </c>
      <c r="E251">
        <v>0</v>
      </c>
      <c r="F251" s="7" t="s">
        <v>75</v>
      </c>
      <c r="G251">
        <v>5019</v>
      </c>
      <c r="H251">
        <v>24628750</v>
      </c>
      <c r="I251">
        <v>265</v>
      </c>
      <c r="J251">
        <v>1</v>
      </c>
      <c r="K251">
        <v>0.96296298503875732</v>
      </c>
      <c r="L251">
        <v>0.95555555820465088</v>
      </c>
      <c r="M251">
        <v>0.93333333333333335</v>
      </c>
      <c r="N251">
        <v>0.81481481481481477</v>
      </c>
      <c r="O251">
        <v>1</v>
      </c>
      <c r="P251">
        <v>18898</v>
      </c>
      <c r="Q251">
        <v>176589105</v>
      </c>
      <c r="R251">
        <v>4908</v>
      </c>
      <c r="S251">
        <v>2</v>
      </c>
      <c r="T251">
        <v>45</v>
      </c>
      <c r="U251">
        <v>0.9555555555555556</v>
      </c>
      <c r="V251">
        <v>0.88888888888888884</v>
      </c>
      <c r="W251">
        <v>1</v>
      </c>
      <c r="X251">
        <v>23720</v>
      </c>
      <c r="Y251">
        <v>214607480</v>
      </c>
      <c r="Z251">
        <v>5109</v>
      </c>
      <c r="AA251">
        <v>2</v>
      </c>
      <c r="AB251">
        <v>46</v>
      </c>
    </row>
    <row r="252" spans="1:28" hidden="1" x14ac:dyDescent="0.25">
      <c r="A252" s="7" t="s">
        <v>57</v>
      </c>
      <c r="B252">
        <v>8</v>
      </c>
      <c r="C252">
        <v>3</v>
      </c>
      <c r="D252">
        <v>2</v>
      </c>
      <c r="E252">
        <v>0</v>
      </c>
      <c r="F252" s="7" t="s">
        <v>58</v>
      </c>
      <c r="G252">
        <v>4930</v>
      </c>
      <c r="H252">
        <v>32613465</v>
      </c>
      <c r="I252">
        <v>263</v>
      </c>
      <c r="J252">
        <v>1</v>
      </c>
      <c r="K252">
        <v>0.96296298503875732</v>
      </c>
      <c r="L252">
        <v>0.95555555820465088</v>
      </c>
      <c r="M252">
        <v>0.93333333333333335</v>
      </c>
      <c r="N252">
        <v>0.85185185185185186</v>
      </c>
      <c r="O252">
        <v>1</v>
      </c>
      <c r="P252">
        <v>12856</v>
      </c>
      <c r="Q252">
        <v>110965061</v>
      </c>
      <c r="R252">
        <v>4908</v>
      </c>
      <c r="S252">
        <v>2</v>
      </c>
      <c r="T252">
        <v>45</v>
      </c>
      <c r="U252">
        <v>0.97777777777777775</v>
      </c>
      <c r="V252">
        <v>0.92592592592592593</v>
      </c>
      <c r="W252">
        <v>1</v>
      </c>
      <c r="X252">
        <v>19021</v>
      </c>
      <c r="Y252">
        <v>164941494</v>
      </c>
      <c r="Z252">
        <v>5109</v>
      </c>
      <c r="AA252">
        <v>2</v>
      </c>
      <c r="AB252">
        <v>46</v>
      </c>
    </row>
    <row r="253" spans="1:28" hidden="1" x14ac:dyDescent="0.25">
      <c r="A253" s="7" t="s">
        <v>57</v>
      </c>
      <c r="B253">
        <v>8</v>
      </c>
      <c r="C253">
        <v>3</v>
      </c>
      <c r="D253">
        <v>2</v>
      </c>
      <c r="E253">
        <v>0</v>
      </c>
      <c r="F253" s="7" t="s">
        <v>58</v>
      </c>
      <c r="G253">
        <v>4930</v>
      </c>
      <c r="H253">
        <v>32488237</v>
      </c>
      <c r="I253">
        <v>260</v>
      </c>
      <c r="J253">
        <v>1</v>
      </c>
      <c r="K253">
        <v>0.92592591047286987</v>
      </c>
      <c r="L253">
        <v>0.91111111640930176</v>
      </c>
      <c r="M253">
        <v>0.9555555555555556</v>
      </c>
      <c r="N253">
        <v>0.92592592592592593</v>
      </c>
      <c r="O253">
        <v>1</v>
      </c>
      <c r="P253">
        <v>22438</v>
      </c>
      <c r="Q253">
        <v>209323285</v>
      </c>
      <c r="R253">
        <v>4908</v>
      </c>
      <c r="S253">
        <v>2</v>
      </c>
      <c r="T253">
        <v>45</v>
      </c>
      <c r="U253">
        <v>0.9555555555555556</v>
      </c>
      <c r="V253">
        <v>0.92592592592592593</v>
      </c>
      <c r="W253">
        <v>1</v>
      </c>
      <c r="X253">
        <v>19508</v>
      </c>
      <c r="Y253">
        <v>169269736</v>
      </c>
      <c r="Z253">
        <v>5109</v>
      </c>
      <c r="AA253">
        <v>2</v>
      </c>
      <c r="AB253">
        <v>46</v>
      </c>
    </row>
    <row r="254" spans="1:28" hidden="1" x14ac:dyDescent="0.25">
      <c r="A254" s="7" t="s">
        <v>57</v>
      </c>
      <c r="B254">
        <v>8</v>
      </c>
      <c r="C254">
        <v>3</v>
      </c>
      <c r="D254">
        <v>2</v>
      </c>
      <c r="E254">
        <v>0</v>
      </c>
      <c r="F254" s="7" t="s">
        <v>58</v>
      </c>
      <c r="G254">
        <v>4930</v>
      </c>
      <c r="H254">
        <v>19894636</v>
      </c>
      <c r="I254">
        <v>156</v>
      </c>
      <c r="J254">
        <v>1</v>
      </c>
      <c r="K254">
        <v>0.92592591047286987</v>
      </c>
      <c r="L254">
        <v>0.91111111640930176</v>
      </c>
      <c r="M254">
        <v>0.9555555555555556</v>
      </c>
      <c r="N254">
        <v>0.92592592592592593</v>
      </c>
      <c r="O254">
        <v>1</v>
      </c>
      <c r="P254">
        <v>21871</v>
      </c>
      <c r="Q254">
        <v>197773744</v>
      </c>
      <c r="R254">
        <v>4908</v>
      </c>
      <c r="S254">
        <v>2</v>
      </c>
      <c r="T254">
        <v>45</v>
      </c>
      <c r="U254">
        <v>0.91111111111111109</v>
      </c>
      <c r="V254">
        <v>0.85185185185185186</v>
      </c>
      <c r="W254">
        <v>1</v>
      </c>
      <c r="X254">
        <v>20830</v>
      </c>
      <c r="Y254">
        <v>185881302</v>
      </c>
      <c r="Z254">
        <v>5109</v>
      </c>
      <c r="AA254">
        <v>2</v>
      </c>
      <c r="AB254">
        <v>46</v>
      </c>
    </row>
    <row r="255" spans="1:28" hidden="1" x14ac:dyDescent="0.25">
      <c r="A255" s="7" t="s">
        <v>57</v>
      </c>
      <c r="B255">
        <v>8</v>
      </c>
      <c r="C255">
        <v>3</v>
      </c>
      <c r="D255">
        <v>2</v>
      </c>
      <c r="E255">
        <v>0</v>
      </c>
      <c r="F255" s="7" t="s">
        <v>58</v>
      </c>
      <c r="G255">
        <v>4930</v>
      </c>
      <c r="H255">
        <v>27017563</v>
      </c>
      <c r="I255">
        <v>217</v>
      </c>
      <c r="J255">
        <v>1</v>
      </c>
      <c r="K255">
        <v>0.96296298503875732</v>
      </c>
      <c r="L255">
        <v>0.97777777910232544</v>
      </c>
      <c r="M255">
        <v>0.9555555555555556</v>
      </c>
      <c r="N255">
        <v>0.96296296296296291</v>
      </c>
      <c r="O255">
        <v>1</v>
      </c>
      <c r="P255">
        <v>21036</v>
      </c>
      <c r="Q255">
        <v>200983855</v>
      </c>
      <c r="R255">
        <v>4908</v>
      </c>
      <c r="S255">
        <v>2</v>
      </c>
      <c r="T255">
        <v>45</v>
      </c>
      <c r="U255">
        <v>0.9555555555555556</v>
      </c>
      <c r="V255">
        <v>0.88888888888888884</v>
      </c>
      <c r="W255">
        <v>1</v>
      </c>
      <c r="X255">
        <v>20542</v>
      </c>
      <c r="Y255">
        <v>181563018</v>
      </c>
      <c r="Z255">
        <v>5109</v>
      </c>
      <c r="AA255">
        <v>2</v>
      </c>
      <c r="AB255">
        <v>46</v>
      </c>
    </row>
    <row r="256" spans="1:28" hidden="1" x14ac:dyDescent="0.25">
      <c r="A256" s="7" t="s">
        <v>57</v>
      </c>
      <c r="B256">
        <v>8</v>
      </c>
      <c r="C256">
        <v>3</v>
      </c>
      <c r="D256">
        <v>2</v>
      </c>
      <c r="E256">
        <v>0</v>
      </c>
      <c r="F256" s="7" t="s">
        <v>58</v>
      </c>
      <c r="G256">
        <v>4930</v>
      </c>
      <c r="H256">
        <v>24280669</v>
      </c>
      <c r="I256">
        <v>192</v>
      </c>
      <c r="J256">
        <v>1</v>
      </c>
      <c r="K256">
        <v>0.92592591047286987</v>
      </c>
      <c r="L256">
        <v>1</v>
      </c>
      <c r="M256">
        <v>0.93333333333333335</v>
      </c>
      <c r="N256">
        <v>0.88888888888888884</v>
      </c>
      <c r="O256">
        <v>1</v>
      </c>
      <c r="P256">
        <v>18841</v>
      </c>
      <c r="Q256">
        <v>172075348</v>
      </c>
      <c r="R256">
        <v>4908</v>
      </c>
      <c r="S256">
        <v>2</v>
      </c>
      <c r="T256">
        <v>45</v>
      </c>
      <c r="U256">
        <v>0.93333333333333335</v>
      </c>
      <c r="V256">
        <v>0.81481481481481477</v>
      </c>
      <c r="W256">
        <v>1</v>
      </c>
      <c r="X256">
        <v>16940</v>
      </c>
      <c r="Y256">
        <v>141489819</v>
      </c>
      <c r="Z256">
        <v>5109</v>
      </c>
      <c r="AA256">
        <v>2</v>
      </c>
      <c r="AB256">
        <v>46</v>
      </c>
    </row>
    <row r="257" spans="1:28" hidden="1" x14ac:dyDescent="0.25">
      <c r="A257" s="7" t="s">
        <v>57</v>
      </c>
      <c r="B257">
        <v>8</v>
      </c>
      <c r="C257">
        <v>3</v>
      </c>
      <c r="D257">
        <v>2</v>
      </c>
      <c r="E257">
        <v>0</v>
      </c>
      <c r="F257" s="7" t="s">
        <v>59</v>
      </c>
      <c r="G257">
        <v>5975</v>
      </c>
      <c r="H257">
        <v>18452355</v>
      </c>
      <c r="I257">
        <v>138</v>
      </c>
      <c r="J257">
        <v>1</v>
      </c>
      <c r="K257">
        <v>0.92592591047286987</v>
      </c>
      <c r="L257">
        <v>0.97777777910232544</v>
      </c>
      <c r="M257">
        <v>0.9555555555555556</v>
      </c>
      <c r="N257">
        <v>0.88888888888888884</v>
      </c>
      <c r="O257">
        <v>1</v>
      </c>
      <c r="P257">
        <v>26050</v>
      </c>
      <c r="Q257">
        <v>258715331</v>
      </c>
      <c r="R257">
        <v>5953</v>
      </c>
      <c r="S257">
        <v>2</v>
      </c>
      <c r="T257">
        <v>50</v>
      </c>
      <c r="U257">
        <v>0.9555555555555556</v>
      </c>
      <c r="V257">
        <v>0.96296296296296291</v>
      </c>
      <c r="W257">
        <v>1</v>
      </c>
      <c r="X257">
        <v>20096</v>
      </c>
      <c r="Y257">
        <v>181889137</v>
      </c>
      <c r="Z257">
        <v>6174</v>
      </c>
      <c r="AA257">
        <v>2</v>
      </c>
      <c r="AB257">
        <v>51</v>
      </c>
    </row>
    <row r="258" spans="1:28" hidden="1" x14ac:dyDescent="0.25">
      <c r="A258" s="7" t="s">
        <v>57</v>
      </c>
      <c r="B258">
        <v>8</v>
      </c>
      <c r="C258">
        <v>3</v>
      </c>
      <c r="D258">
        <v>2</v>
      </c>
      <c r="E258">
        <v>0</v>
      </c>
      <c r="F258" s="7" t="s">
        <v>59</v>
      </c>
      <c r="G258">
        <v>5975</v>
      </c>
      <c r="H258">
        <v>25325166</v>
      </c>
      <c r="I258">
        <v>188</v>
      </c>
      <c r="J258">
        <v>1</v>
      </c>
      <c r="K258">
        <v>0.96296298503875732</v>
      </c>
      <c r="L258">
        <v>0.97777777910232544</v>
      </c>
      <c r="M258">
        <v>0.9555555555555556</v>
      </c>
      <c r="N258">
        <v>0.92592592592592593</v>
      </c>
      <c r="O258">
        <v>1</v>
      </c>
      <c r="P258">
        <v>19059</v>
      </c>
      <c r="Q258">
        <v>195103964</v>
      </c>
      <c r="R258">
        <v>5953</v>
      </c>
      <c r="S258">
        <v>2</v>
      </c>
      <c r="T258">
        <v>50</v>
      </c>
      <c r="U258">
        <v>0.9555555555555556</v>
      </c>
      <c r="V258">
        <v>0.88888888888888884</v>
      </c>
      <c r="W258">
        <v>1</v>
      </c>
      <c r="X258">
        <v>18808</v>
      </c>
      <c r="Y258">
        <v>182717114</v>
      </c>
      <c r="Z258">
        <v>6174</v>
      </c>
      <c r="AA258">
        <v>2</v>
      </c>
      <c r="AB258">
        <v>51</v>
      </c>
    </row>
    <row r="259" spans="1:28" hidden="1" x14ac:dyDescent="0.25">
      <c r="A259" s="7" t="s">
        <v>57</v>
      </c>
      <c r="B259">
        <v>8</v>
      </c>
      <c r="C259">
        <v>3</v>
      </c>
      <c r="D259">
        <v>2</v>
      </c>
      <c r="E259">
        <v>0</v>
      </c>
      <c r="F259" s="7" t="s">
        <v>59</v>
      </c>
      <c r="G259">
        <v>5975</v>
      </c>
      <c r="H259">
        <v>29948749</v>
      </c>
      <c r="I259">
        <v>203</v>
      </c>
      <c r="J259">
        <v>1</v>
      </c>
      <c r="K259">
        <v>0.96296298503875732</v>
      </c>
      <c r="L259">
        <v>0.97777777910232544</v>
      </c>
      <c r="M259">
        <v>0.93333333333333335</v>
      </c>
      <c r="N259">
        <v>0.81481481481481477</v>
      </c>
      <c r="O259">
        <v>1</v>
      </c>
      <c r="P259">
        <v>16916</v>
      </c>
      <c r="Q259">
        <v>171611617</v>
      </c>
      <c r="R259">
        <v>5953</v>
      </c>
      <c r="S259">
        <v>2</v>
      </c>
      <c r="T259">
        <v>50</v>
      </c>
      <c r="U259">
        <v>0.93333333333333335</v>
      </c>
      <c r="V259">
        <v>0.92592592592592593</v>
      </c>
      <c r="W259">
        <v>1</v>
      </c>
      <c r="X259">
        <v>19172</v>
      </c>
      <c r="Y259">
        <v>168885291</v>
      </c>
      <c r="Z259">
        <v>6174</v>
      </c>
      <c r="AA259">
        <v>2</v>
      </c>
      <c r="AB259">
        <v>51</v>
      </c>
    </row>
    <row r="260" spans="1:28" hidden="1" x14ac:dyDescent="0.25">
      <c r="A260" s="7" t="s">
        <v>57</v>
      </c>
      <c r="B260">
        <v>8</v>
      </c>
      <c r="C260">
        <v>3</v>
      </c>
      <c r="D260">
        <v>2</v>
      </c>
      <c r="E260">
        <v>0</v>
      </c>
      <c r="F260" s="7" t="s">
        <v>59</v>
      </c>
      <c r="G260">
        <v>5975</v>
      </c>
      <c r="H260">
        <v>19181565</v>
      </c>
      <c r="I260">
        <v>141</v>
      </c>
      <c r="J260">
        <v>1</v>
      </c>
      <c r="K260">
        <v>0.96296298503875732</v>
      </c>
      <c r="L260">
        <v>1</v>
      </c>
      <c r="M260">
        <v>0.9555555555555556</v>
      </c>
      <c r="N260">
        <v>0.96296296296296291</v>
      </c>
      <c r="O260">
        <v>1</v>
      </c>
      <c r="P260">
        <v>21656</v>
      </c>
      <c r="Q260">
        <v>202365852</v>
      </c>
      <c r="R260">
        <v>5953</v>
      </c>
      <c r="S260">
        <v>2</v>
      </c>
      <c r="T260">
        <v>50</v>
      </c>
      <c r="U260">
        <v>0.9555555555555556</v>
      </c>
      <c r="V260">
        <v>0.88888888888888884</v>
      </c>
      <c r="W260">
        <v>1</v>
      </c>
      <c r="X260">
        <v>18977</v>
      </c>
      <c r="Y260">
        <v>167809497</v>
      </c>
      <c r="Z260">
        <v>6174</v>
      </c>
      <c r="AA260">
        <v>2</v>
      </c>
      <c r="AB260">
        <v>51</v>
      </c>
    </row>
    <row r="261" spans="1:28" hidden="1" x14ac:dyDescent="0.25">
      <c r="A261" s="7" t="s">
        <v>57</v>
      </c>
      <c r="B261">
        <v>8</v>
      </c>
      <c r="C261">
        <v>3</v>
      </c>
      <c r="D261">
        <v>2</v>
      </c>
      <c r="E261">
        <v>0</v>
      </c>
      <c r="F261" s="7" t="s">
        <v>59</v>
      </c>
      <c r="G261">
        <v>5975</v>
      </c>
      <c r="H261">
        <v>27185406</v>
      </c>
      <c r="I261">
        <v>207</v>
      </c>
      <c r="J261">
        <v>1</v>
      </c>
      <c r="K261">
        <v>0.96296298503875732</v>
      </c>
      <c r="L261">
        <v>1</v>
      </c>
      <c r="M261">
        <v>0.97777777777777775</v>
      </c>
      <c r="N261">
        <v>0.96296296296296291</v>
      </c>
      <c r="O261">
        <v>1</v>
      </c>
      <c r="P261">
        <v>18444</v>
      </c>
      <c r="Q261">
        <v>169711948</v>
      </c>
      <c r="R261">
        <v>5953</v>
      </c>
      <c r="S261">
        <v>2</v>
      </c>
      <c r="T261">
        <v>50</v>
      </c>
      <c r="U261">
        <v>0.9555555555555556</v>
      </c>
      <c r="V261">
        <v>0.85185185185185186</v>
      </c>
      <c r="W261">
        <v>1</v>
      </c>
      <c r="X261">
        <v>22042</v>
      </c>
      <c r="Y261">
        <v>202268788</v>
      </c>
      <c r="Z261">
        <v>6174</v>
      </c>
      <c r="AA261">
        <v>2</v>
      </c>
      <c r="AB261">
        <v>51</v>
      </c>
    </row>
    <row r="262" spans="1:28" hidden="1" x14ac:dyDescent="0.25">
      <c r="A262" s="7" t="s">
        <v>57</v>
      </c>
      <c r="B262">
        <v>8</v>
      </c>
      <c r="C262">
        <v>3</v>
      </c>
      <c r="D262">
        <v>2</v>
      </c>
      <c r="E262">
        <v>0</v>
      </c>
      <c r="F262" s="7" t="s">
        <v>60</v>
      </c>
      <c r="G262">
        <v>7020</v>
      </c>
      <c r="H262">
        <v>34249034</v>
      </c>
      <c r="I262">
        <v>242</v>
      </c>
      <c r="J262">
        <v>1</v>
      </c>
      <c r="K262">
        <v>0.92592591047286987</v>
      </c>
      <c r="L262">
        <v>0.93333333730697632</v>
      </c>
      <c r="M262">
        <v>0.9555555555555556</v>
      </c>
      <c r="N262">
        <v>0.92592592592592593</v>
      </c>
      <c r="O262">
        <v>1</v>
      </c>
      <c r="P262">
        <v>20108</v>
      </c>
      <c r="Q262">
        <v>198698196</v>
      </c>
      <c r="R262">
        <v>6861</v>
      </c>
      <c r="S262">
        <v>2</v>
      </c>
      <c r="T262">
        <v>54</v>
      </c>
      <c r="U262">
        <v>0.9555555555555556</v>
      </c>
      <c r="V262">
        <v>0.92592592592592593</v>
      </c>
      <c r="W262">
        <v>1</v>
      </c>
      <c r="X262">
        <v>19758</v>
      </c>
      <c r="Y262">
        <v>178778771</v>
      </c>
      <c r="Z262">
        <v>7098</v>
      </c>
      <c r="AA262">
        <v>2</v>
      </c>
      <c r="AB262">
        <v>55</v>
      </c>
    </row>
    <row r="263" spans="1:28" hidden="1" x14ac:dyDescent="0.25">
      <c r="A263" s="7" t="s">
        <v>57</v>
      </c>
      <c r="B263">
        <v>8</v>
      </c>
      <c r="C263">
        <v>3</v>
      </c>
      <c r="D263">
        <v>2</v>
      </c>
      <c r="E263">
        <v>0</v>
      </c>
      <c r="F263" s="7" t="s">
        <v>60</v>
      </c>
      <c r="G263">
        <v>7020</v>
      </c>
      <c r="H263">
        <v>17370769</v>
      </c>
      <c r="I263">
        <v>120</v>
      </c>
      <c r="J263">
        <v>1</v>
      </c>
      <c r="K263">
        <v>0.96296298503875732</v>
      </c>
      <c r="L263">
        <v>0.95555555820465088</v>
      </c>
      <c r="M263">
        <v>0.9555555555555556</v>
      </c>
      <c r="N263">
        <v>0.92592592592592593</v>
      </c>
      <c r="O263">
        <v>1</v>
      </c>
      <c r="P263">
        <v>19873</v>
      </c>
      <c r="Q263">
        <v>189687294</v>
      </c>
      <c r="R263">
        <v>6861</v>
      </c>
      <c r="S263">
        <v>2</v>
      </c>
      <c r="T263">
        <v>54</v>
      </c>
      <c r="U263">
        <v>0.9555555555555556</v>
      </c>
      <c r="V263">
        <v>0.92592592592592593</v>
      </c>
      <c r="W263">
        <v>1</v>
      </c>
      <c r="X263">
        <v>20295</v>
      </c>
      <c r="Y263">
        <v>188588279</v>
      </c>
      <c r="Z263">
        <v>7098</v>
      </c>
      <c r="AA263">
        <v>2</v>
      </c>
      <c r="AB263">
        <v>55</v>
      </c>
    </row>
    <row r="264" spans="1:28" hidden="1" x14ac:dyDescent="0.25">
      <c r="A264" s="7" t="s">
        <v>57</v>
      </c>
      <c r="B264">
        <v>8</v>
      </c>
      <c r="C264">
        <v>3</v>
      </c>
      <c r="D264">
        <v>2</v>
      </c>
      <c r="E264">
        <v>0</v>
      </c>
      <c r="F264" s="7" t="s">
        <v>60</v>
      </c>
      <c r="G264">
        <v>7020</v>
      </c>
      <c r="H264">
        <v>35721363</v>
      </c>
      <c r="I264">
        <v>248</v>
      </c>
      <c r="J264">
        <v>1</v>
      </c>
      <c r="K264">
        <v>0.96296298503875732</v>
      </c>
      <c r="L264">
        <v>0.8888888955116272</v>
      </c>
      <c r="M264">
        <v>0.93333333333333335</v>
      </c>
      <c r="N264">
        <v>0.85185185185185186</v>
      </c>
      <c r="O264">
        <v>1</v>
      </c>
      <c r="P264">
        <v>18644</v>
      </c>
      <c r="Q264">
        <v>181386222</v>
      </c>
      <c r="R264">
        <v>6861</v>
      </c>
      <c r="S264">
        <v>2</v>
      </c>
      <c r="T264">
        <v>54</v>
      </c>
      <c r="U264">
        <v>0.9555555555555556</v>
      </c>
      <c r="V264">
        <v>0.92592592592592593</v>
      </c>
      <c r="W264">
        <v>1</v>
      </c>
      <c r="X264">
        <v>20712</v>
      </c>
      <c r="Y264">
        <v>189818827</v>
      </c>
      <c r="Z264">
        <v>7098</v>
      </c>
      <c r="AA264">
        <v>2</v>
      </c>
      <c r="AB264">
        <v>55</v>
      </c>
    </row>
    <row r="265" spans="1:28" hidden="1" x14ac:dyDescent="0.25">
      <c r="A265" s="7" t="s">
        <v>57</v>
      </c>
      <c r="B265">
        <v>8</v>
      </c>
      <c r="C265">
        <v>3</v>
      </c>
      <c r="D265">
        <v>2</v>
      </c>
      <c r="E265">
        <v>0</v>
      </c>
      <c r="F265" s="7" t="s">
        <v>60</v>
      </c>
      <c r="G265">
        <v>7020</v>
      </c>
      <c r="H265">
        <v>29741077</v>
      </c>
      <c r="I265">
        <v>211</v>
      </c>
      <c r="J265">
        <v>1</v>
      </c>
      <c r="K265">
        <v>0.92592591047286987</v>
      </c>
      <c r="L265">
        <v>0.95555555820465088</v>
      </c>
      <c r="M265">
        <v>0.9555555555555556</v>
      </c>
      <c r="N265">
        <v>0.92592592592592593</v>
      </c>
      <c r="O265">
        <v>1</v>
      </c>
      <c r="P265">
        <v>21676</v>
      </c>
      <c r="Q265">
        <v>219519198</v>
      </c>
      <c r="R265">
        <v>6861</v>
      </c>
      <c r="S265">
        <v>2</v>
      </c>
      <c r="T265">
        <v>54</v>
      </c>
      <c r="U265">
        <v>0.9555555555555556</v>
      </c>
      <c r="V265">
        <v>0.96296296296296291</v>
      </c>
      <c r="W265">
        <v>1</v>
      </c>
      <c r="X265">
        <v>19049</v>
      </c>
      <c r="Y265">
        <v>192101180</v>
      </c>
      <c r="Z265">
        <v>7098</v>
      </c>
      <c r="AA265">
        <v>2</v>
      </c>
      <c r="AB265">
        <v>55</v>
      </c>
    </row>
    <row r="266" spans="1:28" hidden="1" x14ac:dyDescent="0.25">
      <c r="A266" s="7" t="s">
        <v>57</v>
      </c>
      <c r="B266">
        <v>8</v>
      </c>
      <c r="C266">
        <v>3</v>
      </c>
      <c r="D266">
        <v>2</v>
      </c>
      <c r="E266">
        <v>0</v>
      </c>
      <c r="F266" s="7" t="s">
        <v>60</v>
      </c>
      <c r="G266">
        <v>7020</v>
      </c>
      <c r="H266">
        <v>31803568</v>
      </c>
      <c r="I266">
        <v>224</v>
      </c>
      <c r="J266">
        <v>1</v>
      </c>
      <c r="K266">
        <v>0.96296298503875732</v>
      </c>
      <c r="L266">
        <v>0.97777777910232544</v>
      </c>
      <c r="M266">
        <v>0.91111111111111109</v>
      </c>
      <c r="N266">
        <v>0.85185185185185186</v>
      </c>
      <c r="O266">
        <v>1</v>
      </c>
      <c r="P266">
        <v>18870</v>
      </c>
      <c r="Q266">
        <v>186112664</v>
      </c>
      <c r="R266">
        <v>6861</v>
      </c>
      <c r="S266">
        <v>2</v>
      </c>
      <c r="T266">
        <v>54</v>
      </c>
      <c r="U266">
        <v>0.9555555555555556</v>
      </c>
      <c r="V266">
        <v>0.92592592592592593</v>
      </c>
      <c r="W266">
        <v>1</v>
      </c>
      <c r="X266">
        <v>19481</v>
      </c>
      <c r="Y266">
        <v>176392131</v>
      </c>
      <c r="Z266">
        <v>7098</v>
      </c>
      <c r="AA266">
        <v>2</v>
      </c>
      <c r="AB266">
        <v>55</v>
      </c>
    </row>
    <row r="267" spans="1:28" hidden="1" x14ac:dyDescent="0.25">
      <c r="A267" s="7" t="s">
        <v>57</v>
      </c>
      <c r="B267">
        <v>8</v>
      </c>
      <c r="C267">
        <v>3</v>
      </c>
      <c r="D267">
        <v>2</v>
      </c>
      <c r="E267">
        <v>0</v>
      </c>
      <c r="F267" s="7" t="s">
        <v>62</v>
      </c>
      <c r="G267">
        <v>5608</v>
      </c>
      <c r="H267">
        <v>17972842</v>
      </c>
      <c r="I267">
        <v>137</v>
      </c>
      <c r="J267">
        <v>1</v>
      </c>
      <c r="K267">
        <v>0.92592591047286987</v>
      </c>
      <c r="L267">
        <v>0.93333333730697632</v>
      </c>
      <c r="M267">
        <v>0.9555555555555556</v>
      </c>
      <c r="N267">
        <v>0.92592592592592593</v>
      </c>
      <c r="O267">
        <v>1</v>
      </c>
      <c r="P267">
        <v>18977</v>
      </c>
      <c r="Q267">
        <v>174401449</v>
      </c>
      <c r="R267">
        <v>5523</v>
      </c>
      <c r="S267">
        <v>2</v>
      </c>
      <c r="T267">
        <v>48</v>
      </c>
      <c r="U267">
        <v>0.9555555555555556</v>
      </c>
      <c r="V267">
        <v>0.92592592592592593</v>
      </c>
      <c r="W267">
        <v>1</v>
      </c>
      <c r="X267">
        <v>19210</v>
      </c>
      <c r="Y267">
        <v>165585664</v>
      </c>
      <c r="Z267">
        <v>5736</v>
      </c>
      <c r="AA267">
        <v>2</v>
      </c>
      <c r="AB267">
        <v>49</v>
      </c>
    </row>
    <row r="268" spans="1:28" hidden="1" x14ac:dyDescent="0.25">
      <c r="A268" s="7" t="s">
        <v>57</v>
      </c>
      <c r="B268">
        <v>8</v>
      </c>
      <c r="C268">
        <v>3</v>
      </c>
      <c r="D268">
        <v>2</v>
      </c>
      <c r="E268">
        <v>0</v>
      </c>
      <c r="F268" s="7" t="s">
        <v>62</v>
      </c>
      <c r="G268">
        <v>5608</v>
      </c>
      <c r="H268">
        <v>20698030</v>
      </c>
      <c r="I268">
        <v>157</v>
      </c>
      <c r="J268">
        <v>1</v>
      </c>
      <c r="K268">
        <v>0.96296298503875732</v>
      </c>
      <c r="L268">
        <v>0.93333333730697632</v>
      </c>
      <c r="M268">
        <v>0.9555555555555556</v>
      </c>
      <c r="N268">
        <v>0.88888888888888884</v>
      </c>
      <c r="O268">
        <v>1</v>
      </c>
      <c r="P268">
        <v>18686</v>
      </c>
      <c r="Q268">
        <v>177085538</v>
      </c>
      <c r="R268">
        <v>5523</v>
      </c>
      <c r="S268">
        <v>2</v>
      </c>
      <c r="T268">
        <v>48</v>
      </c>
      <c r="U268">
        <v>0.93333333333333335</v>
      </c>
      <c r="V268">
        <v>0.92592592592592593</v>
      </c>
      <c r="W268">
        <v>1</v>
      </c>
      <c r="X268">
        <v>20823</v>
      </c>
      <c r="Y268">
        <v>188634813</v>
      </c>
      <c r="Z268">
        <v>5736</v>
      </c>
      <c r="AA268">
        <v>2</v>
      </c>
      <c r="AB268">
        <v>49</v>
      </c>
    </row>
    <row r="269" spans="1:28" hidden="1" x14ac:dyDescent="0.25">
      <c r="A269" s="7" t="s">
        <v>57</v>
      </c>
      <c r="B269">
        <v>8</v>
      </c>
      <c r="C269">
        <v>3</v>
      </c>
      <c r="D269">
        <v>2</v>
      </c>
      <c r="E269">
        <v>0</v>
      </c>
      <c r="F269" s="7" t="s">
        <v>62</v>
      </c>
      <c r="G269">
        <v>5608</v>
      </c>
      <c r="H269">
        <v>15802739</v>
      </c>
      <c r="I269">
        <v>118</v>
      </c>
      <c r="J269">
        <v>1</v>
      </c>
      <c r="K269">
        <v>0.8888888955116272</v>
      </c>
      <c r="L269">
        <v>0.8888888955116272</v>
      </c>
      <c r="M269">
        <v>0.93333333333333335</v>
      </c>
      <c r="N269">
        <v>0.88888888888888884</v>
      </c>
      <c r="O269">
        <v>1</v>
      </c>
      <c r="P269">
        <v>19434</v>
      </c>
      <c r="Q269">
        <v>178928594</v>
      </c>
      <c r="R269">
        <v>5523</v>
      </c>
      <c r="S269">
        <v>2</v>
      </c>
      <c r="T269">
        <v>48</v>
      </c>
      <c r="U269">
        <v>0.9555555555555556</v>
      </c>
      <c r="V269">
        <v>0.92592592592592593</v>
      </c>
      <c r="W269">
        <v>1</v>
      </c>
      <c r="X269">
        <v>18753</v>
      </c>
      <c r="Y269">
        <v>161518075</v>
      </c>
      <c r="Z269">
        <v>5736</v>
      </c>
      <c r="AA269">
        <v>2</v>
      </c>
      <c r="AB269">
        <v>49</v>
      </c>
    </row>
    <row r="270" spans="1:28" hidden="1" x14ac:dyDescent="0.25">
      <c r="A270" s="7" t="s">
        <v>57</v>
      </c>
      <c r="B270">
        <v>8</v>
      </c>
      <c r="C270">
        <v>3</v>
      </c>
      <c r="D270">
        <v>2</v>
      </c>
      <c r="E270">
        <v>0</v>
      </c>
      <c r="F270" s="7" t="s">
        <v>62</v>
      </c>
      <c r="G270">
        <v>5608</v>
      </c>
      <c r="H270">
        <v>39979699</v>
      </c>
      <c r="I270">
        <v>303</v>
      </c>
      <c r="J270">
        <v>1</v>
      </c>
      <c r="K270">
        <v>0.96296298503875732</v>
      </c>
      <c r="L270">
        <v>0.95555555820465088</v>
      </c>
      <c r="M270">
        <v>0.9555555555555556</v>
      </c>
      <c r="N270">
        <v>0.88888888888888884</v>
      </c>
      <c r="O270">
        <v>1</v>
      </c>
      <c r="P270">
        <v>18806</v>
      </c>
      <c r="Q270">
        <v>191005671</v>
      </c>
      <c r="R270">
        <v>5523</v>
      </c>
      <c r="S270">
        <v>2</v>
      </c>
      <c r="T270">
        <v>48</v>
      </c>
      <c r="U270">
        <v>0.91111111111111109</v>
      </c>
      <c r="V270">
        <v>0.81481481481481477</v>
      </c>
      <c r="W270">
        <v>1</v>
      </c>
      <c r="X270">
        <v>19702</v>
      </c>
      <c r="Y270">
        <v>169234780</v>
      </c>
      <c r="Z270">
        <v>5736</v>
      </c>
      <c r="AA270">
        <v>2</v>
      </c>
      <c r="AB270">
        <v>49</v>
      </c>
    </row>
    <row r="271" spans="1:28" hidden="1" x14ac:dyDescent="0.25">
      <c r="A271" s="7" t="s">
        <v>57</v>
      </c>
      <c r="B271">
        <v>8</v>
      </c>
      <c r="C271">
        <v>3</v>
      </c>
      <c r="D271">
        <v>2</v>
      </c>
      <c r="E271">
        <v>0</v>
      </c>
      <c r="F271" s="7" t="s">
        <v>62</v>
      </c>
      <c r="G271">
        <v>5608</v>
      </c>
      <c r="H271">
        <v>27052665</v>
      </c>
      <c r="I271">
        <v>207</v>
      </c>
      <c r="J271">
        <v>1</v>
      </c>
      <c r="K271">
        <v>0.96296298503875732</v>
      </c>
      <c r="L271">
        <v>1</v>
      </c>
      <c r="M271">
        <v>0.93333333333333335</v>
      </c>
      <c r="N271">
        <v>0.92592592592592593</v>
      </c>
      <c r="O271">
        <v>1</v>
      </c>
      <c r="P271">
        <v>23616</v>
      </c>
      <c r="Q271">
        <v>232791308</v>
      </c>
      <c r="R271">
        <v>5523</v>
      </c>
      <c r="S271">
        <v>2</v>
      </c>
      <c r="T271">
        <v>48</v>
      </c>
      <c r="U271">
        <v>0.93333333333333335</v>
      </c>
      <c r="V271">
        <v>0.92592592592592593</v>
      </c>
      <c r="W271">
        <v>1</v>
      </c>
      <c r="X271">
        <v>19389</v>
      </c>
      <c r="Y271">
        <v>170787693</v>
      </c>
      <c r="Z271">
        <v>5736</v>
      </c>
      <c r="AA271">
        <v>2</v>
      </c>
      <c r="AB271">
        <v>49</v>
      </c>
    </row>
    <row r="272" spans="1:28" hidden="1" x14ac:dyDescent="0.25">
      <c r="A272" s="7" t="s">
        <v>57</v>
      </c>
      <c r="B272">
        <v>8</v>
      </c>
      <c r="C272">
        <v>3</v>
      </c>
      <c r="D272">
        <v>2</v>
      </c>
      <c r="E272">
        <v>0</v>
      </c>
      <c r="F272" s="7" t="s">
        <v>63</v>
      </c>
      <c r="G272">
        <v>6783</v>
      </c>
      <c r="H272">
        <v>34636901</v>
      </c>
      <c r="I272">
        <v>243</v>
      </c>
      <c r="J272">
        <v>1</v>
      </c>
      <c r="K272">
        <v>0.92592591047286987</v>
      </c>
      <c r="L272">
        <v>0.95555555820465088</v>
      </c>
      <c r="M272">
        <v>0.9555555555555556</v>
      </c>
      <c r="N272">
        <v>0.88888888888888884</v>
      </c>
      <c r="O272">
        <v>1</v>
      </c>
      <c r="P272">
        <v>18399</v>
      </c>
      <c r="Q272">
        <v>190959043</v>
      </c>
      <c r="R272">
        <v>6628</v>
      </c>
      <c r="S272">
        <v>2</v>
      </c>
      <c r="T272">
        <v>53</v>
      </c>
      <c r="U272">
        <v>0.93333333333333335</v>
      </c>
      <c r="V272">
        <v>0.92592592592592593</v>
      </c>
      <c r="W272">
        <v>1</v>
      </c>
      <c r="X272">
        <v>19106</v>
      </c>
      <c r="Y272">
        <v>169395120</v>
      </c>
      <c r="Z272">
        <v>6861</v>
      </c>
      <c r="AA272">
        <v>2</v>
      </c>
      <c r="AB272">
        <v>54</v>
      </c>
    </row>
    <row r="273" spans="1:28" hidden="1" x14ac:dyDescent="0.25">
      <c r="A273" s="7" t="s">
        <v>57</v>
      </c>
      <c r="B273">
        <v>8</v>
      </c>
      <c r="C273">
        <v>3</v>
      </c>
      <c r="D273">
        <v>2</v>
      </c>
      <c r="E273">
        <v>0</v>
      </c>
      <c r="F273" s="7" t="s">
        <v>63</v>
      </c>
      <c r="G273">
        <v>6783</v>
      </c>
      <c r="H273">
        <v>38701065</v>
      </c>
      <c r="I273">
        <v>272</v>
      </c>
      <c r="J273">
        <v>1</v>
      </c>
      <c r="K273">
        <v>0.96296298503875732</v>
      </c>
      <c r="L273">
        <v>1</v>
      </c>
      <c r="M273">
        <v>0.93333333333333335</v>
      </c>
      <c r="N273">
        <v>0.92592592592592593</v>
      </c>
      <c r="O273">
        <v>1</v>
      </c>
      <c r="P273">
        <v>20056</v>
      </c>
      <c r="Q273">
        <v>215402723</v>
      </c>
      <c r="R273">
        <v>6628</v>
      </c>
      <c r="S273">
        <v>2</v>
      </c>
      <c r="T273">
        <v>53</v>
      </c>
      <c r="U273">
        <v>0.9555555555555556</v>
      </c>
      <c r="V273">
        <v>0.96296296296296291</v>
      </c>
      <c r="W273">
        <v>1</v>
      </c>
      <c r="X273">
        <v>18447</v>
      </c>
      <c r="Y273">
        <v>163373917</v>
      </c>
      <c r="Z273">
        <v>6861</v>
      </c>
      <c r="AA273">
        <v>2</v>
      </c>
      <c r="AB273">
        <v>54</v>
      </c>
    </row>
    <row r="274" spans="1:28" hidden="1" x14ac:dyDescent="0.25">
      <c r="A274" s="7" t="s">
        <v>57</v>
      </c>
      <c r="B274">
        <v>8</v>
      </c>
      <c r="C274">
        <v>3</v>
      </c>
      <c r="D274">
        <v>2</v>
      </c>
      <c r="E274">
        <v>0</v>
      </c>
      <c r="F274" s="7" t="s">
        <v>63</v>
      </c>
      <c r="G274">
        <v>6783</v>
      </c>
      <c r="H274">
        <v>46575177</v>
      </c>
      <c r="I274">
        <v>331</v>
      </c>
      <c r="J274">
        <v>1</v>
      </c>
      <c r="K274">
        <v>0.92592591047286987</v>
      </c>
      <c r="L274">
        <v>0.95555555820465088</v>
      </c>
      <c r="M274">
        <v>0.9555555555555556</v>
      </c>
      <c r="N274">
        <v>0.92592592592592593</v>
      </c>
      <c r="O274">
        <v>1</v>
      </c>
      <c r="P274">
        <v>18880</v>
      </c>
      <c r="Q274">
        <v>208163099</v>
      </c>
      <c r="R274">
        <v>6628</v>
      </c>
      <c r="S274">
        <v>2</v>
      </c>
      <c r="T274">
        <v>53</v>
      </c>
      <c r="U274">
        <v>0.93333333333333335</v>
      </c>
      <c r="V274">
        <v>0.88888888888888884</v>
      </c>
      <c r="W274">
        <v>1</v>
      </c>
      <c r="X274">
        <v>18741</v>
      </c>
      <c r="Y274">
        <v>170522909</v>
      </c>
      <c r="Z274">
        <v>6861</v>
      </c>
      <c r="AA274">
        <v>2</v>
      </c>
      <c r="AB274">
        <v>54</v>
      </c>
    </row>
    <row r="275" spans="1:28" hidden="1" x14ac:dyDescent="0.25">
      <c r="A275" s="7" t="s">
        <v>57</v>
      </c>
      <c r="B275">
        <v>8</v>
      </c>
      <c r="C275">
        <v>3</v>
      </c>
      <c r="D275">
        <v>2</v>
      </c>
      <c r="E275">
        <v>0</v>
      </c>
      <c r="F275" s="7" t="s">
        <v>63</v>
      </c>
      <c r="G275">
        <v>6783</v>
      </c>
      <c r="H275">
        <v>45818702</v>
      </c>
      <c r="I275">
        <v>327</v>
      </c>
      <c r="J275">
        <v>1</v>
      </c>
      <c r="K275">
        <v>0.96296298503875732</v>
      </c>
      <c r="L275">
        <v>1</v>
      </c>
      <c r="M275">
        <v>0.91111111111111109</v>
      </c>
      <c r="N275">
        <v>0.85185185185185186</v>
      </c>
      <c r="O275">
        <v>1</v>
      </c>
      <c r="P275">
        <v>19479</v>
      </c>
      <c r="Q275">
        <v>216793283</v>
      </c>
      <c r="R275">
        <v>6628</v>
      </c>
      <c r="S275">
        <v>2</v>
      </c>
      <c r="T275">
        <v>53</v>
      </c>
      <c r="U275">
        <v>0.9555555555555556</v>
      </c>
      <c r="V275">
        <v>0.92592592592592593</v>
      </c>
      <c r="W275">
        <v>1</v>
      </c>
      <c r="X275">
        <v>18333</v>
      </c>
      <c r="Y275">
        <v>162422953</v>
      </c>
      <c r="Z275">
        <v>6861</v>
      </c>
      <c r="AA275">
        <v>2</v>
      </c>
      <c r="AB275">
        <v>54</v>
      </c>
    </row>
    <row r="276" spans="1:28" hidden="1" x14ac:dyDescent="0.25">
      <c r="A276" s="7" t="s">
        <v>57</v>
      </c>
      <c r="B276">
        <v>8</v>
      </c>
      <c r="C276">
        <v>3</v>
      </c>
      <c r="D276">
        <v>2</v>
      </c>
      <c r="E276">
        <v>0</v>
      </c>
      <c r="F276" s="7" t="s">
        <v>63</v>
      </c>
      <c r="G276">
        <v>6783</v>
      </c>
      <c r="H276">
        <v>31648312</v>
      </c>
      <c r="I276">
        <v>219</v>
      </c>
      <c r="J276">
        <v>1</v>
      </c>
      <c r="K276">
        <v>0.96296298503875732</v>
      </c>
      <c r="L276">
        <v>1</v>
      </c>
      <c r="M276">
        <v>0.93333333333333335</v>
      </c>
      <c r="N276">
        <v>0.88888888888888884</v>
      </c>
      <c r="O276">
        <v>1</v>
      </c>
      <c r="P276">
        <v>18730</v>
      </c>
      <c r="Q276">
        <v>195548512</v>
      </c>
      <c r="R276">
        <v>6628</v>
      </c>
      <c r="S276">
        <v>2</v>
      </c>
      <c r="T276">
        <v>53</v>
      </c>
      <c r="U276">
        <v>0.93333333333333335</v>
      </c>
      <c r="V276">
        <v>0.88888888888888884</v>
      </c>
      <c r="W276">
        <v>1</v>
      </c>
      <c r="X276">
        <v>19497</v>
      </c>
      <c r="Y276">
        <v>176075464</v>
      </c>
      <c r="Z276">
        <v>6861</v>
      </c>
      <c r="AA276">
        <v>2</v>
      </c>
      <c r="AB276">
        <v>54</v>
      </c>
    </row>
    <row r="277" spans="1:28" hidden="1" x14ac:dyDescent="0.25">
      <c r="A277" s="7" t="s">
        <v>57</v>
      </c>
      <c r="B277">
        <v>8</v>
      </c>
      <c r="C277">
        <v>3</v>
      </c>
      <c r="D277">
        <v>2</v>
      </c>
      <c r="E277">
        <v>0</v>
      </c>
      <c r="F277" s="7" t="s">
        <v>64</v>
      </c>
      <c r="G277">
        <v>7958</v>
      </c>
      <c r="H277">
        <v>21804890</v>
      </c>
      <c r="I277">
        <v>140</v>
      </c>
      <c r="J277">
        <v>1</v>
      </c>
      <c r="K277">
        <v>0.96296298503875732</v>
      </c>
      <c r="L277">
        <v>0.95555555820465088</v>
      </c>
      <c r="M277">
        <v>0.91111111111111109</v>
      </c>
      <c r="N277">
        <v>0.81481481481481477</v>
      </c>
      <c r="O277">
        <v>1</v>
      </c>
      <c r="P277">
        <v>12541</v>
      </c>
      <c r="Q277">
        <v>118034698</v>
      </c>
      <c r="R277">
        <v>7833</v>
      </c>
      <c r="S277">
        <v>2</v>
      </c>
      <c r="T277">
        <v>58</v>
      </c>
      <c r="U277">
        <v>0.9555555555555556</v>
      </c>
      <c r="V277">
        <v>0.92592592592592593</v>
      </c>
      <c r="W277">
        <v>1</v>
      </c>
      <c r="X277">
        <v>18604</v>
      </c>
      <c r="Y277">
        <v>168900977</v>
      </c>
      <c r="Z277">
        <v>8086</v>
      </c>
      <c r="AA277">
        <v>2</v>
      </c>
      <c r="AB277">
        <v>59</v>
      </c>
    </row>
    <row r="278" spans="1:28" hidden="1" x14ac:dyDescent="0.25">
      <c r="A278" s="7" t="s">
        <v>57</v>
      </c>
      <c r="B278">
        <v>8</v>
      </c>
      <c r="C278">
        <v>3</v>
      </c>
      <c r="D278">
        <v>2</v>
      </c>
      <c r="E278">
        <v>0</v>
      </c>
      <c r="F278" s="7" t="s">
        <v>64</v>
      </c>
      <c r="G278">
        <v>7958</v>
      </c>
      <c r="H278">
        <v>47501733</v>
      </c>
      <c r="I278">
        <v>310</v>
      </c>
      <c r="J278">
        <v>1</v>
      </c>
      <c r="K278">
        <v>0.96296298503875732</v>
      </c>
      <c r="L278">
        <v>0.93333333730697632</v>
      </c>
      <c r="M278">
        <v>0.9555555555555556</v>
      </c>
      <c r="N278">
        <v>0.92592592592592593</v>
      </c>
      <c r="O278">
        <v>1</v>
      </c>
      <c r="P278">
        <v>18518</v>
      </c>
      <c r="Q278">
        <v>204687162</v>
      </c>
      <c r="R278">
        <v>7833</v>
      </c>
      <c r="S278">
        <v>2</v>
      </c>
      <c r="T278">
        <v>58</v>
      </c>
      <c r="U278">
        <v>0.9555555555555556</v>
      </c>
      <c r="V278">
        <v>0.92592592592592593</v>
      </c>
      <c r="W278">
        <v>1</v>
      </c>
      <c r="X278">
        <v>18880</v>
      </c>
      <c r="Y278">
        <v>184095249</v>
      </c>
      <c r="Z278">
        <v>8086</v>
      </c>
      <c r="AA278">
        <v>2</v>
      </c>
      <c r="AB278">
        <v>59</v>
      </c>
    </row>
    <row r="279" spans="1:28" hidden="1" x14ac:dyDescent="0.25">
      <c r="A279" s="7" t="s">
        <v>57</v>
      </c>
      <c r="B279">
        <v>8</v>
      </c>
      <c r="C279">
        <v>3</v>
      </c>
      <c r="D279">
        <v>2</v>
      </c>
      <c r="E279">
        <v>0</v>
      </c>
      <c r="F279" s="7" t="s">
        <v>64</v>
      </c>
      <c r="G279">
        <v>7958</v>
      </c>
      <c r="H279">
        <v>29018614</v>
      </c>
      <c r="I279">
        <v>194</v>
      </c>
      <c r="J279">
        <v>1</v>
      </c>
      <c r="K279">
        <v>0.96296298503875732</v>
      </c>
      <c r="L279">
        <v>0.95555555820465088</v>
      </c>
      <c r="M279">
        <v>0.9555555555555556</v>
      </c>
      <c r="N279">
        <v>0.92592592592592593</v>
      </c>
      <c r="O279">
        <v>1</v>
      </c>
      <c r="P279">
        <v>19411</v>
      </c>
      <c r="Q279">
        <v>208795083</v>
      </c>
      <c r="R279">
        <v>7833</v>
      </c>
      <c r="S279">
        <v>2</v>
      </c>
      <c r="T279">
        <v>58</v>
      </c>
      <c r="U279">
        <v>0.9555555555555556</v>
      </c>
      <c r="V279">
        <v>0.92592592592592593</v>
      </c>
      <c r="W279">
        <v>1</v>
      </c>
      <c r="X279">
        <v>19626</v>
      </c>
      <c r="Y279">
        <v>182942639</v>
      </c>
      <c r="Z279">
        <v>8086</v>
      </c>
      <c r="AA279">
        <v>2</v>
      </c>
      <c r="AB279">
        <v>59</v>
      </c>
    </row>
    <row r="280" spans="1:28" hidden="1" x14ac:dyDescent="0.25">
      <c r="A280" s="7" t="s">
        <v>57</v>
      </c>
      <c r="B280">
        <v>8</v>
      </c>
      <c r="C280">
        <v>3</v>
      </c>
      <c r="D280">
        <v>2</v>
      </c>
      <c r="E280">
        <v>0</v>
      </c>
      <c r="F280" s="7" t="s">
        <v>64</v>
      </c>
      <c r="G280">
        <v>7958</v>
      </c>
      <c r="H280">
        <v>37109162</v>
      </c>
      <c r="I280">
        <v>247</v>
      </c>
      <c r="J280">
        <v>1</v>
      </c>
      <c r="K280">
        <v>0.92592591047286987</v>
      </c>
      <c r="L280">
        <v>0.97777777910232544</v>
      </c>
      <c r="M280">
        <v>0.93333333333333335</v>
      </c>
      <c r="N280">
        <v>0.92592592592592593</v>
      </c>
      <c r="O280">
        <v>1</v>
      </c>
      <c r="P280">
        <v>19914</v>
      </c>
      <c r="Q280">
        <v>224503480</v>
      </c>
      <c r="R280">
        <v>7833</v>
      </c>
      <c r="S280">
        <v>2</v>
      </c>
      <c r="T280">
        <v>58</v>
      </c>
      <c r="U280">
        <v>0.91111111111111109</v>
      </c>
      <c r="V280">
        <v>0.88888888888888884</v>
      </c>
      <c r="W280">
        <v>1</v>
      </c>
      <c r="X280">
        <v>18622</v>
      </c>
      <c r="Y280">
        <v>171361663</v>
      </c>
      <c r="Z280">
        <v>8086</v>
      </c>
      <c r="AA280">
        <v>2</v>
      </c>
      <c r="AB280">
        <v>59</v>
      </c>
    </row>
    <row r="281" spans="1:28" hidden="1" x14ac:dyDescent="0.25">
      <c r="A281" s="7" t="s">
        <v>57</v>
      </c>
      <c r="B281">
        <v>8</v>
      </c>
      <c r="C281">
        <v>3</v>
      </c>
      <c r="D281">
        <v>2</v>
      </c>
      <c r="E281">
        <v>0</v>
      </c>
      <c r="F281" s="7" t="s">
        <v>64</v>
      </c>
      <c r="G281">
        <v>7958</v>
      </c>
      <c r="H281">
        <v>13680644</v>
      </c>
      <c r="I281">
        <v>82</v>
      </c>
      <c r="J281">
        <v>1</v>
      </c>
      <c r="K281">
        <v>0.92592591047286987</v>
      </c>
      <c r="L281">
        <v>1</v>
      </c>
      <c r="M281">
        <v>0.93333333333333335</v>
      </c>
      <c r="N281">
        <v>0.88888888888888884</v>
      </c>
      <c r="O281">
        <v>1</v>
      </c>
      <c r="P281">
        <v>18570</v>
      </c>
      <c r="Q281">
        <v>177887187</v>
      </c>
      <c r="R281">
        <v>7833</v>
      </c>
      <c r="S281">
        <v>2</v>
      </c>
      <c r="T281">
        <v>58</v>
      </c>
      <c r="U281">
        <v>0.9555555555555556</v>
      </c>
      <c r="V281">
        <v>0.92592592592592593</v>
      </c>
      <c r="W281">
        <v>1</v>
      </c>
      <c r="X281">
        <v>21190</v>
      </c>
      <c r="Y281">
        <v>203834072</v>
      </c>
      <c r="Z281">
        <v>8086</v>
      </c>
      <c r="AA281">
        <v>2</v>
      </c>
      <c r="AB281">
        <v>59</v>
      </c>
    </row>
    <row r="282" spans="1:28" hidden="1" x14ac:dyDescent="0.25">
      <c r="A282" s="7" t="s">
        <v>57</v>
      </c>
      <c r="B282">
        <v>8</v>
      </c>
      <c r="C282">
        <v>3</v>
      </c>
      <c r="D282">
        <v>2</v>
      </c>
      <c r="E282">
        <v>0</v>
      </c>
      <c r="F282" s="7" t="s">
        <v>65</v>
      </c>
      <c r="G282">
        <v>6286</v>
      </c>
      <c r="H282">
        <v>45970647</v>
      </c>
      <c r="I282">
        <v>330</v>
      </c>
      <c r="J282">
        <v>1</v>
      </c>
      <c r="K282">
        <v>0.92592591047286987</v>
      </c>
      <c r="L282">
        <v>0.97777777910232544</v>
      </c>
      <c r="M282">
        <v>0.97777777777777775</v>
      </c>
      <c r="N282">
        <v>0.96296296296296291</v>
      </c>
      <c r="O282">
        <v>1</v>
      </c>
      <c r="P282">
        <v>21352</v>
      </c>
      <c r="Q282">
        <v>243606910</v>
      </c>
      <c r="R282">
        <v>6174</v>
      </c>
      <c r="S282">
        <v>2</v>
      </c>
      <c r="T282">
        <v>51</v>
      </c>
      <c r="U282">
        <v>0.93333333333333335</v>
      </c>
      <c r="V282">
        <v>0.92592592592592593</v>
      </c>
      <c r="W282">
        <v>1</v>
      </c>
      <c r="X282">
        <v>19390</v>
      </c>
      <c r="Y282">
        <v>175689369</v>
      </c>
      <c r="Z282">
        <v>6399</v>
      </c>
      <c r="AA282">
        <v>2</v>
      </c>
      <c r="AB282">
        <v>52</v>
      </c>
    </row>
    <row r="283" spans="1:28" hidden="1" x14ac:dyDescent="0.25">
      <c r="A283" s="7" t="s">
        <v>57</v>
      </c>
      <c r="B283">
        <v>8</v>
      </c>
      <c r="C283">
        <v>3</v>
      </c>
      <c r="D283">
        <v>2</v>
      </c>
      <c r="E283">
        <v>0</v>
      </c>
      <c r="F283" s="7" t="s">
        <v>65</v>
      </c>
      <c r="G283">
        <v>6286</v>
      </c>
      <c r="H283">
        <v>42292259</v>
      </c>
      <c r="I283">
        <v>305</v>
      </c>
      <c r="J283">
        <v>1</v>
      </c>
      <c r="K283">
        <v>0.96296298503875732</v>
      </c>
      <c r="L283">
        <v>0.95555555820465088</v>
      </c>
      <c r="M283">
        <v>0.9555555555555556</v>
      </c>
      <c r="N283">
        <v>0.92592592592592593</v>
      </c>
      <c r="O283">
        <v>1</v>
      </c>
      <c r="P283">
        <v>19138</v>
      </c>
      <c r="Q283">
        <v>208901563</v>
      </c>
      <c r="R283">
        <v>6174</v>
      </c>
      <c r="S283">
        <v>2</v>
      </c>
      <c r="T283">
        <v>51</v>
      </c>
      <c r="U283">
        <v>0.9555555555555556</v>
      </c>
      <c r="V283">
        <v>0.92592592592592593</v>
      </c>
      <c r="W283">
        <v>1</v>
      </c>
      <c r="X283">
        <v>19156</v>
      </c>
      <c r="Y283">
        <v>178131106</v>
      </c>
      <c r="Z283">
        <v>6399</v>
      </c>
      <c r="AA283">
        <v>2</v>
      </c>
      <c r="AB283">
        <v>52</v>
      </c>
    </row>
    <row r="284" spans="1:28" hidden="1" x14ac:dyDescent="0.25">
      <c r="A284" s="7" t="s">
        <v>57</v>
      </c>
      <c r="B284">
        <v>8</v>
      </c>
      <c r="C284">
        <v>3</v>
      </c>
      <c r="D284">
        <v>2</v>
      </c>
      <c r="E284">
        <v>0</v>
      </c>
      <c r="F284" s="7" t="s">
        <v>65</v>
      </c>
      <c r="G284">
        <v>6286</v>
      </c>
      <c r="H284">
        <v>56583743</v>
      </c>
      <c r="I284">
        <v>423</v>
      </c>
      <c r="J284">
        <v>1</v>
      </c>
      <c r="K284">
        <v>0.96296298503875732</v>
      </c>
      <c r="L284">
        <v>0.97777777910232544</v>
      </c>
      <c r="M284">
        <v>0.91111111111111109</v>
      </c>
      <c r="N284">
        <v>0.92592592592592593</v>
      </c>
      <c r="O284">
        <v>1</v>
      </c>
      <c r="P284">
        <v>18292</v>
      </c>
      <c r="Q284">
        <v>195196247</v>
      </c>
      <c r="R284">
        <v>6174</v>
      </c>
      <c r="S284">
        <v>2</v>
      </c>
      <c r="T284">
        <v>51</v>
      </c>
      <c r="U284">
        <v>0.93333333333333335</v>
      </c>
      <c r="V284">
        <v>0.92592592592592593</v>
      </c>
      <c r="W284">
        <v>1</v>
      </c>
      <c r="X284">
        <v>18686</v>
      </c>
      <c r="Y284">
        <v>195365444</v>
      </c>
      <c r="Z284">
        <v>6399</v>
      </c>
      <c r="AA284">
        <v>2</v>
      </c>
      <c r="AB284">
        <v>52</v>
      </c>
    </row>
    <row r="285" spans="1:28" hidden="1" x14ac:dyDescent="0.25">
      <c r="A285" s="7" t="s">
        <v>57</v>
      </c>
      <c r="B285">
        <v>8</v>
      </c>
      <c r="C285">
        <v>3</v>
      </c>
      <c r="D285">
        <v>2</v>
      </c>
      <c r="E285">
        <v>0</v>
      </c>
      <c r="F285" s="7" t="s">
        <v>65</v>
      </c>
      <c r="G285">
        <v>6286</v>
      </c>
      <c r="H285">
        <v>31205007</v>
      </c>
      <c r="I285">
        <v>233</v>
      </c>
      <c r="J285">
        <v>1</v>
      </c>
      <c r="K285">
        <v>0.92592591047286987</v>
      </c>
      <c r="L285">
        <v>0.95555555820465088</v>
      </c>
      <c r="M285">
        <v>0.9555555555555556</v>
      </c>
      <c r="N285">
        <v>0.96296296296296291</v>
      </c>
      <c r="O285">
        <v>1</v>
      </c>
      <c r="P285">
        <v>19018</v>
      </c>
      <c r="Q285">
        <v>207134182</v>
      </c>
      <c r="R285">
        <v>6174</v>
      </c>
      <c r="S285">
        <v>2</v>
      </c>
      <c r="T285">
        <v>51</v>
      </c>
      <c r="U285">
        <v>0.93333333333333335</v>
      </c>
      <c r="V285">
        <v>0.88888888888888884</v>
      </c>
      <c r="W285">
        <v>1</v>
      </c>
      <c r="X285">
        <v>17921</v>
      </c>
      <c r="Y285">
        <v>152758859</v>
      </c>
      <c r="Z285">
        <v>6399</v>
      </c>
      <c r="AA285">
        <v>2</v>
      </c>
      <c r="AB285">
        <v>52</v>
      </c>
    </row>
    <row r="286" spans="1:28" hidden="1" x14ac:dyDescent="0.25">
      <c r="A286" s="7" t="s">
        <v>57</v>
      </c>
      <c r="B286">
        <v>8</v>
      </c>
      <c r="C286">
        <v>3</v>
      </c>
      <c r="D286">
        <v>2</v>
      </c>
      <c r="E286">
        <v>0</v>
      </c>
      <c r="F286" s="7" t="s">
        <v>65</v>
      </c>
      <c r="G286">
        <v>6286</v>
      </c>
      <c r="H286">
        <v>30732284</v>
      </c>
      <c r="I286">
        <v>225</v>
      </c>
      <c r="J286">
        <v>1</v>
      </c>
      <c r="K286">
        <v>0.92592591047286987</v>
      </c>
      <c r="L286">
        <v>0.93333333730697632</v>
      </c>
      <c r="M286">
        <v>0.9555555555555556</v>
      </c>
      <c r="N286">
        <v>0.92592592592592593</v>
      </c>
      <c r="O286">
        <v>1</v>
      </c>
      <c r="P286">
        <v>18160</v>
      </c>
      <c r="Q286">
        <v>196155876</v>
      </c>
      <c r="R286">
        <v>6174</v>
      </c>
      <c r="S286">
        <v>2</v>
      </c>
      <c r="T286">
        <v>51</v>
      </c>
      <c r="U286">
        <v>0.93333333333333335</v>
      </c>
      <c r="V286">
        <v>0.88888888888888884</v>
      </c>
      <c r="W286">
        <v>1</v>
      </c>
      <c r="X286">
        <v>18853</v>
      </c>
      <c r="Y286">
        <v>167849365</v>
      </c>
      <c r="Z286">
        <v>6399</v>
      </c>
      <c r="AA286">
        <v>2</v>
      </c>
      <c r="AB286">
        <v>52</v>
      </c>
    </row>
    <row r="287" spans="1:28" hidden="1" x14ac:dyDescent="0.25">
      <c r="A287" s="7" t="s">
        <v>57</v>
      </c>
      <c r="B287">
        <v>8</v>
      </c>
      <c r="C287">
        <v>3</v>
      </c>
      <c r="D287">
        <v>2</v>
      </c>
      <c r="E287">
        <v>0</v>
      </c>
      <c r="F287" s="7" t="s">
        <v>66</v>
      </c>
      <c r="G287">
        <v>7591</v>
      </c>
      <c r="H287">
        <v>22267867</v>
      </c>
      <c r="I287">
        <v>147</v>
      </c>
      <c r="J287">
        <v>0.91509431600570679</v>
      </c>
      <c r="K287">
        <v>1</v>
      </c>
      <c r="L287">
        <v>0.84444445371627808</v>
      </c>
      <c r="M287">
        <v>0.9555555555555556</v>
      </c>
      <c r="N287">
        <v>0.96296296296296291</v>
      </c>
      <c r="O287">
        <v>1</v>
      </c>
      <c r="P287">
        <v>19493</v>
      </c>
      <c r="Q287">
        <v>204140542</v>
      </c>
      <c r="R287">
        <v>7584</v>
      </c>
      <c r="S287">
        <v>2</v>
      </c>
      <c r="T287">
        <v>57</v>
      </c>
      <c r="U287">
        <v>0.91111111111111109</v>
      </c>
      <c r="V287">
        <v>0.88888888888888884</v>
      </c>
      <c r="W287">
        <v>1</v>
      </c>
      <c r="X287">
        <v>18695</v>
      </c>
      <c r="Y287">
        <v>168075684</v>
      </c>
      <c r="Z287">
        <v>7833</v>
      </c>
      <c r="AA287">
        <v>2</v>
      </c>
      <c r="AB287">
        <v>58</v>
      </c>
    </row>
    <row r="288" spans="1:28" hidden="1" x14ac:dyDescent="0.25">
      <c r="A288" s="7" t="s">
        <v>57</v>
      </c>
      <c r="B288">
        <v>8</v>
      </c>
      <c r="C288">
        <v>3</v>
      </c>
      <c r="D288">
        <v>2</v>
      </c>
      <c r="E288">
        <v>0</v>
      </c>
      <c r="F288" s="7" t="s">
        <v>66</v>
      </c>
      <c r="G288">
        <v>7591</v>
      </c>
      <c r="H288">
        <v>39489708</v>
      </c>
      <c r="I288">
        <v>267</v>
      </c>
      <c r="J288">
        <v>1</v>
      </c>
      <c r="K288">
        <v>0.96296298503875732</v>
      </c>
      <c r="L288">
        <v>0.97777777910232544</v>
      </c>
      <c r="M288">
        <v>0.9555555555555556</v>
      </c>
      <c r="N288">
        <v>0.96296296296296291</v>
      </c>
      <c r="O288">
        <v>1</v>
      </c>
      <c r="P288">
        <v>18706</v>
      </c>
      <c r="Q288">
        <v>205986963</v>
      </c>
      <c r="R288">
        <v>7584</v>
      </c>
      <c r="S288">
        <v>2</v>
      </c>
      <c r="T288">
        <v>57</v>
      </c>
      <c r="U288">
        <v>0.93333333333333335</v>
      </c>
      <c r="V288">
        <v>0.88888888888888884</v>
      </c>
      <c r="W288">
        <v>1</v>
      </c>
      <c r="X288">
        <v>18788</v>
      </c>
      <c r="Y288">
        <v>185568205</v>
      </c>
      <c r="Z288">
        <v>7833</v>
      </c>
      <c r="AA288">
        <v>2</v>
      </c>
      <c r="AB288">
        <v>58</v>
      </c>
    </row>
    <row r="289" spans="1:28" hidden="1" x14ac:dyDescent="0.25">
      <c r="A289" s="7" t="s">
        <v>57</v>
      </c>
      <c r="B289">
        <v>8</v>
      </c>
      <c r="C289">
        <v>3</v>
      </c>
      <c r="D289">
        <v>2</v>
      </c>
      <c r="E289">
        <v>0</v>
      </c>
      <c r="F289" s="7" t="s">
        <v>66</v>
      </c>
      <c r="G289">
        <v>7591</v>
      </c>
      <c r="H289">
        <v>24194164</v>
      </c>
      <c r="I289">
        <v>158</v>
      </c>
      <c r="J289">
        <v>1</v>
      </c>
      <c r="K289">
        <v>0.96296298503875732</v>
      </c>
      <c r="L289">
        <v>1</v>
      </c>
      <c r="M289">
        <v>0.91111111111111109</v>
      </c>
      <c r="N289">
        <v>0.88888888888888884</v>
      </c>
      <c r="O289">
        <v>1</v>
      </c>
      <c r="P289">
        <v>19143</v>
      </c>
      <c r="Q289">
        <v>203150406</v>
      </c>
      <c r="R289">
        <v>7584</v>
      </c>
      <c r="S289">
        <v>2</v>
      </c>
      <c r="T289">
        <v>57</v>
      </c>
      <c r="U289">
        <v>0.9555555555555556</v>
      </c>
      <c r="V289">
        <v>0.92592592592592593</v>
      </c>
      <c r="W289">
        <v>1</v>
      </c>
      <c r="X289">
        <v>18629</v>
      </c>
      <c r="Y289">
        <v>170621975</v>
      </c>
      <c r="Z289">
        <v>7833</v>
      </c>
      <c r="AA289">
        <v>2</v>
      </c>
      <c r="AB289">
        <v>58</v>
      </c>
    </row>
    <row r="290" spans="1:28" hidden="1" x14ac:dyDescent="0.25">
      <c r="A290" s="7" t="s">
        <v>57</v>
      </c>
      <c r="B290">
        <v>8</v>
      </c>
      <c r="C290">
        <v>3</v>
      </c>
      <c r="D290">
        <v>2</v>
      </c>
      <c r="E290">
        <v>0</v>
      </c>
      <c r="F290" s="7" t="s">
        <v>66</v>
      </c>
      <c r="G290">
        <v>7591</v>
      </c>
      <c r="H290">
        <v>53530783</v>
      </c>
      <c r="I290">
        <v>370</v>
      </c>
      <c r="J290">
        <v>1</v>
      </c>
      <c r="K290">
        <v>0.96296298503875732</v>
      </c>
      <c r="L290">
        <v>0.91111111640930176</v>
      </c>
      <c r="M290">
        <v>0.9555555555555556</v>
      </c>
      <c r="N290">
        <v>0.85185185185185186</v>
      </c>
      <c r="O290">
        <v>1</v>
      </c>
      <c r="P290">
        <v>21287</v>
      </c>
      <c r="Q290">
        <v>246091769</v>
      </c>
      <c r="R290">
        <v>7584</v>
      </c>
      <c r="S290">
        <v>2</v>
      </c>
      <c r="T290">
        <v>57</v>
      </c>
      <c r="U290">
        <v>0.9555555555555556</v>
      </c>
      <c r="V290">
        <v>0.92592592592592593</v>
      </c>
      <c r="W290">
        <v>1</v>
      </c>
      <c r="X290">
        <v>19050</v>
      </c>
      <c r="Y290">
        <v>205110891</v>
      </c>
      <c r="Z290">
        <v>7833</v>
      </c>
      <c r="AA290">
        <v>2</v>
      </c>
      <c r="AB290">
        <v>58</v>
      </c>
    </row>
    <row r="291" spans="1:28" hidden="1" x14ac:dyDescent="0.25">
      <c r="A291" s="7" t="s">
        <v>57</v>
      </c>
      <c r="B291">
        <v>8</v>
      </c>
      <c r="C291">
        <v>3</v>
      </c>
      <c r="D291">
        <v>2</v>
      </c>
      <c r="E291">
        <v>0</v>
      </c>
      <c r="F291" s="7" t="s">
        <v>66</v>
      </c>
      <c r="G291">
        <v>7591</v>
      </c>
      <c r="H291">
        <v>29403400</v>
      </c>
      <c r="I291">
        <v>188</v>
      </c>
      <c r="J291">
        <v>0.93396228551864624</v>
      </c>
      <c r="K291">
        <v>1</v>
      </c>
      <c r="L291">
        <v>0.95555555820465088</v>
      </c>
      <c r="M291">
        <v>0.93333333333333335</v>
      </c>
      <c r="N291">
        <v>0.92592592592592593</v>
      </c>
      <c r="O291">
        <v>1</v>
      </c>
      <c r="P291">
        <v>19645</v>
      </c>
      <c r="Q291">
        <v>218390976</v>
      </c>
      <c r="R291">
        <v>7584</v>
      </c>
      <c r="S291">
        <v>2</v>
      </c>
      <c r="T291">
        <v>57</v>
      </c>
      <c r="U291">
        <v>0.9555555555555556</v>
      </c>
      <c r="V291">
        <v>0.92592592592592593</v>
      </c>
      <c r="W291">
        <v>1</v>
      </c>
      <c r="X291">
        <v>19921</v>
      </c>
      <c r="Y291">
        <v>183396249</v>
      </c>
      <c r="Z291">
        <v>7833</v>
      </c>
      <c r="AA291">
        <v>2</v>
      </c>
      <c r="AB291">
        <v>58</v>
      </c>
    </row>
    <row r="292" spans="1:28" hidden="1" x14ac:dyDescent="0.25">
      <c r="A292" s="7" t="s">
        <v>57</v>
      </c>
      <c r="B292">
        <v>8</v>
      </c>
      <c r="C292">
        <v>3</v>
      </c>
      <c r="D292">
        <v>2</v>
      </c>
      <c r="E292">
        <v>0</v>
      </c>
      <c r="F292" s="7" t="s">
        <v>67</v>
      </c>
      <c r="G292">
        <v>8896</v>
      </c>
      <c r="H292">
        <v>36066963</v>
      </c>
      <c r="I292">
        <v>229</v>
      </c>
      <c r="J292">
        <v>1</v>
      </c>
      <c r="K292">
        <v>0.96296298503875732</v>
      </c>
      <c r="L292">
        <v>1</v>
      </c>
      <c r="M292">
        <v>0.93333333333333335</v>
      </c>
      <c r="N292">
        <v>0.96296296296296291</v>
      </c>
      <c r="O292">
        <v>1</v>
      </c>
      <c r="P292">
        <v>18696</v>
      </c>
      <c r="Q292">
        <v>213573408</v>
      </c>
      <c r="R292">
        <v>8869</v>
      </c>
      <c r="S292">
        <v>2</v>
      </c>
      <c r="T292">
        <v>62</v>
      </c>
      <c r="U292">
        <v>0.9555555555555556</v>
      </c>
      <c r="V292">
        <v>0.88888888888888884</v>
      </c>
      <c r="W292">
        <v>1</v>
      </c>
      <c r="X292">
        <v>18701</v>
      </c>
      <c r="Y292">
        <v>182283456</v>
      </c>
      <c r="Z292">
        <v>9138</v>
      </c>
      <c r="AA292">
        <v>2</v>
      </c>
      <c r="AB292">
        <v>63</v>
      </c>
    </row>
    <row r="293" spans="1:28" hidden="1" x14ac:dyDescent="0.25">
      <c r="A293" s="7" t="s">
        <v>57</v>
      </c>
      <c r="B293">
        <v>8</v>
      </c>
      <c r="C293">
        <v>3</v>
      </c>
      <c r="D293">
        <v>2</v>
      </c>
      <c r="E293">
        <v>0</v>
      </c>
      <c r="F293" s="7" t="s">
        <v>67</v>
      </c>
      <c r="G293">
        <v>8896</v>
      </c>
      <c r="H293">
        <v>23885682</v>
      </c>
      <c r="I293">
        <v>147</v>
      </c>
      <c r="J293">
        <v>1</v>
      </c>
      <c r="K293">
        <v>0.96296298503875732</v>
      </c>
      <c r="L293">
        <v>0.95555555820465088</v>
      </c>
      <c r="M293">
        <v>0.91111111111111109</v>
      </c>
      <c r="N293">
        <v>0.81481481481481477</v>
      </c>
      <c r="O293">
        <v>1</v>
      </c>
      <c r="P293">
        <v>12802</v>
      </c>
      <c r="Q293">
        <v>124664773</v>
      </c>
      <c r="R293">
        <v>8869</v>
      </c>
      <c r="S293">
        <v>2</v>
      </c>
      <c r="T293">
        <v>62</v>
      </c>
      <c r="U293">
        <v>0.9555555555555556</v>
      </c>
      <c r="V293">
        <v>0.92592592592592593</v>
      </c>
      <c r="W293">
        <v>1</v>
      </c>
      <c r="X293">
        <v>18477</v>
      </c>
      <c r="Y293">
        <v>181657351</v>
      </c>
      <c r="Z293">
        <v>9138</v>
      </c>
      <c r="AA293">
        <v>2</v>
      </c>
      <c r="AB293">
        <v>63</v>
      </c>
    </row>
    <row r="294" spans="1:28" hidden="1" x14ac:dyDescent="0.25">
      <c r="A294" s="7" t="s">
        <v>57</v>
      </c>
      <c r="B294">
        <v>8</v>
      </c>
      <c r="C294">
        <v>3</v>
      </c>
      <c r="D294">
        <v>2</v>
      </c>
      <c r="E294">
        <v>0</v>
      </c>
      <c r="F294" s="7" t="s">
        <v>67</v>
      </c>
      <c r="G294">
        <v>8896</v>
      </c>
      <c r="H294">
        <v>23748018</v>
      </c>
      <c r="I294">
        <v>146</v>
      </c>
      <c r="J294">
        <v>1</v>
      </c>
      <c r="K294">
        <v>0.96296298503875732</v>
      </c>
      <c r="L294">
        <v>0.93333333730697632</v>
      </c>
      <c r="M294">
        <v>0.9555555555555556</v>
      </c>
      <c r="N294">
        <v>0.92592592592592593</v>
      </c>
      <c r="O294">
        <v>1</v>
      </c>
      <c r="P294">
        <v>20570</v>
      </c>
      <c r="Q294">
        <v>232981688</v>
      </c>
      <c r="R294">
        <v>8869</v>
      </c>
      <c r="S294">
        <v>2</v>
      </c>
      <c r="T294">
        <v>62</v>
      </c>
      <c r="U294">
        <v>0.9555555555555556</v>
      </c>
      <c r="V294">
        <v>0.92592592592592593</v>
      </c>
      <c r="W294">
        <v>1</v>
      </c>
      <c r="X294">
        <v>18382</v>
      </c>
      <c r="Y294">
        <v>172929837</v>
      </c>
      <c r="Z294">
        <v>9138</v>
      </c>
      <c r="AA294">
        <v>2</v>
      </c>
      <c r="AB294">
        <v>63</v>
      </c>
    </row>
    <row r="295" spans="1:28" hidden="1" x14ac:dyDescent="0.25">
      <c r="A295" s="7" t="s">
        <v>57</v>
      </c>
      <c r="B295">
        <v>8</v>
      </c>
      <c r="C295">
        <v>3</v>
      </c>
      <c r="D295">
        <v>2</v>
      </c>
      <c r="E295">
        <v>0</v>
      </c>
      <c r="F295" s="7" t="s">
        <v>67</v>
      </c>
      <c r="G295">
        <v>8896</v>
      </c>
      <c r="H295">
        <v>29662603</v>
      </c>
      <c r="I295">
        <v>184</v>
      </c>
      <c r="J295">
        <v>1</v>
      </c>
      <c r="K295">
        <v>0.92592591047286987</v>
      </c>
      <c r="L295">
        <v>0.95555555820465088</v>
      </c>
      <c r="M295">
        <v>0.9555555555555556</v>
      </c>
      <c r="N295">
        <v>0.92592592592592593</v>
      </c>
      <c r="O295">
        <v>1</v>
      </c>
      <c r="P295">
        <v>18563</v>
      </c>
      <c r="Q295">
        <v>212048696</v>
      </c>
      <c r="R295">
        <v>8869</v>
      </c>
      <c r="S295">
        <v>2</v>
      </c>
      <c r="T295">
        <v>62</v>
      </c>
      <c r="U295">
        <v>0.9555555555555556</v>
      </c>
      <c r="V295">
        <v>0.96296296296296291</v>
      </c>
      <c r="W295">
        <v>1</v>
      </c>
      <c r="X295">
        <v>19113</v>
      </c>
      <c r="Y295">
        <v>184427545</v>
      </c>
      <c r="Z295">
        <v>9138</v>
      </c>
      <c r="AA295">
        <v>2</v>
      </c>
      <c r="AB295">
        <v>63</v>
      </c>
    </row>
    <row r="296" spans="1:28" hidden="1" x14ac:dyDescent="0.25">
      <c r="A296" s="7" t="s">
        <v>57</v>
      </c>
      <c r="B296">
        <v>8</v>
      </c>
      <c r="C296">
        <v>3</v>
      </c>
      <c r="D296">
        <v>2</v>
      </c>
      <c r="E296">
        <v>0</v>
      </c>
      <c r="F296" s="7" t="s">
        <v>67</v>
      </c>
      <c r="G296">
        <v>8896</v>
      </c>
      <c r="H296">
        <v>32946210</v>
      </c>
      <c r="I296">
        <v>207</v>
      </c>
      <c r="J296">
        <v>1</v>
      </c>
      <c r="K296">
        <v>0.96296298503875732</v>
      </c>
      <c r="L296">
        <v>0.91111111640930176</v>
      </c>
      <c r="M296">
        <v>0.9555555555555556</v>
      </c>
      <c r="N296">
        <v>0.92592592592592593</v>
      </c>
      <c r="O296">
        <v>1</v>
      </c>
      <c r="P296">
        <v>19119</v>
      </c>
      <c r="Q296">
        <v>222671499</v>
      </c>
      <c r="R296">
        <v>8869</v>
      </c>
      <c r="S296">
        <v>2</v>
      </c>
      <c r="T296">
        <v>62</v>
      </c>
      <c r="U296">
        <v>0.91111111111111109</v>
      </c>
      <c r="V296">
        <v>0.81481481481481477</v>
      </c>
      <c r="W296">
        <v>1</v>
      </c>
      <c r="X296">
        <v>18584</v>
      </c>
      <c r="Y296">
        <v>176800729</v>
      </c>
      <c r="Z296">
        <v>9138</v>
      </c>
      <c r="AA296">
        <v>2</v>
      </c>
      <c r="AB296">
        <v>63</v>
      </c>
    </row>
    <row r="297" spans="1:28" hidden="1" x14ac:dyDescent="0.25">
      <c r="A297" s="7" t="s">
        <v>57</v>
      </c>
      <c r="B297">
        <v>8</v>
      </c>
      <c r="C297">
        <v>3</v>
      </c>
      <c r="D297">
        <v>2</v>
      </c>
      <c r="E297">
        <v>0</v>
      </c>
      <c r="F297" s="7" t="s">
        <v>68</v>
      </c>
      <c r="G297">
        <v>6964</v>
      </c>
      <c r="H297">
        <v>32885955</v>
      </c>
      <c r="I297">
        <v>225</v>
      </c>
      <c r="J297">
        <v>1</v>
      </c>
      <c r="K297">
        <v>0.92592591047286987</v>
      </c>
      <c r="L297">
        <v>0.97777777910232544</v>
      </c>
      <c r="M297">
        <v>0.9555555555555556</v>
      </c>
      <c r="N297">
        <v>0.96296296296296291</v>
      </c>
      <c r="O297">
        <v>1</v>
      </c>
      <c r="P297">
        <v>18858</v>
      </c>
      <c r="Q297">
        <v>204537061</v>
      </c>
      <c r="R297">
        <v>6861</v>
      </c>
      <c r="S297">
        <v>2</v>
      </c>
      <c r="T297">
        <v>54</v>
      </c>
      <c r="U297">
        <v>0.93333333333333335</v>
      </c>
      <c r="V297">
        <v>0.88888888888888884</v>
      </c>
      <c r="W297">
        <v>1</v>
      </c>
      <c r="X297">
        <v>23325</v>
      </c>
      <c r="Y297">
        <v>242180617</v>
      </c>
      <c r="Z297">
        <v>7098</v>
      </c>
      <c r="AA297">
        <v>2</v>
      </c>
      <c r="AB297">
        <v>55</v>
      </c>
    </row>
    <row r="298" spans="1:28" hidden="1" x14ac:dyDescent="0.25">
      <c r="A298" s="7" t="s">
        <v>57</v>
      </c>
      <c r="B298">
        <v>8</v>
      </c>
      <c r="C298">
        <v>3</v>
      </c>
      <c r="D298">
        <v>2</v>
      </c>
      <c r="E298">
        <v>0</v>
      </c>
      <c r="F298" s="7" t="s">
        <v>68</v>
      </c>
      <c r="G298">
        <v>6964</v>
      </c>
      <c r="H298">
        <v>48815325</v>
      </c>
      <c r="I298">
        <v>338</v>
      </c>
      <c r="J298">
        <v>1</v>
      </c>
      <c r="K298">
        <v>0.96296298503875732</v>
      </c>
      <c r="L298">
        <v>0.93333333730697632</v>
      </c>
      <c r="M298">
        <v>0.9555555555555556</v>
      </c>
      <c r="N298">
        <v>0.88888888888888884</v>
      </c>
      <c r="O298">
        <v>1</v>
      </c>
      <c r="P298">
        <v>18658</v>
      </c>
      <c r="Q298">
        <v>203287041</v>
      </c>
      <c r="R298">
        <v>6861</v>
      </c>
      <c r="S298">
        <v>2</v>
      </c>
      <c r="T298">
        <v>54</v>
      </c>
      <c r="U298">
        <v>0.9555555555555556</v>
      </c>
      <c r="V298">
        <v>0.85185185185185186</v>
      </c>
      <c r="W298">
        <v>1</v>
      </c>
      <c r="X298">
        <v>20619</v>
      </c>
      <c r="Y298">
        <v>225892334</v>
      </c>
      <c r="Z298">
        <v>7098</v>
      </c>
      <c r="AA298">
        <v>2</v>
      </c>
      <c r="AB298">
        <v>55</v>
      </c>
    </row>
    <row r="299" spans="1:28" hidden="1" x14ac:dyDescent="0.25">
      <c r="A299" s="7" t="s">
        <v>57</v>
      </c>
      <c r="B299">
        <v>8</v>
      </c>
      <c r="C299">
        <v>3</v>
      </c>
      <c r="D299">
        <v>2</v>
      </c>
      <c r="E299">
        <v>0</v>
      </c>
      <c r="F299" s="7" t="s">
        <v>68</v>
      </c>
      <c r="G299">
        <v>6964</v>
      </c>
      <c r="H299">
        <v>48892484</v>
      </c>
      <c r="I299">
        <v>348</v>
      </c>
      <c r="J299">
        <v>1</v>
      </c>
      <c r="K299">
        <v>0.96296298503875732</v>
      </c>
      <c r="L299">
        <v>0.97777777910232544</v>
      </c>
      <c r="M299">
        <v>0.9555555555555556</v>
      </c>
      <c r="N299">
        <v>0.92592592592592593</v>
      </c>
      <c r="O299">
        <v>1</v>
      </c>
      <c r="P299">
        <v>19588</v>
      </c>
      <c r="Q299">
        <v>224086067</v>
      </c>
      <c r="R299">
        <v>6861</v>
      </c>
      <c r="S299">
        <v>2</v>
      </c>
      <c r="T299">
        <v>54</v>
      </c>
      <c r="U299">
        <v>0.9555555555555556</v>
      </c>
      <c r="V299">
        <v>0.92592592592592593</v>
      </c>
      <c r="W299">
        <v>1</v>
      </c>
      <c r="X299">
        <v>20295</v>
      </c>
      <c r="Y299">
        <v>224853032</v>
      </c>
      <c r="Z299">
        <v>7098</v>
      </c>
      <c r="AA299">
        <v>2</v>
      </c>
      <c r="AB299">
        <v>55</v>
      </c>
    </row>
    <row r="300" spans="1:28" hidden="1" x14ac:dyDescent="0.25">
      <c r="A300" s="7" t="s">
        <v>57</v>
      </c>
      <c r="B300">
        <v>8</v>
      </c>
      <c r="C300">
        <v>3</v>
      </c>
      <c r="D300">
        <v>2</v>
      </c>
      <c r="E300">
        <v>0</v>
      </c>
      <c r="F300" s="7" t="s">
        <v>68</v>
      </c>
      <c r="G300">
        <v>6964</v>
      </c>
      <c r="H300">
        <v>48099585</v>
      </c>
      <c r="I300">
        <v>332</v>
      </c>
      <c r="J300">
        <v>1</v>
      </c>
      <c r="K300">
        <v>0.92592591047286987</v>
      </c>
      <c r="L300">
        <v>1</v>
      </c>
      <c r="M300">
        <v>0.93333333333333335</v>
      </c>
      <c r="N300">
        <v>0.88888888888888884</v>
      </c>
      <c r="O300">
        <v>1</v>
      </c>
      <c r="P300">
        <v>18492</v>
      </c>
      <c r="Q300">
        <v>203621919</v>
      </c>
      <c r="R300">
        <v>6861</v>
      </c>
      <c r="S300">
        <v>2</v>
      </c>
      <c r="T300">
        <v>54</v>
      </c>
      <c r="U300">
        <v>0.93333333333333335</v>
      </c>
      <c r="V300">
        <v>0.85185185185185186</v>
      </c>
      <c r="W300">
        <v>1</v>
      </c>
      <c r="X300">
        <v>18221</v>
      </c>
      <c r="Y300">
        <v>201529039</v>
      </c>
      <c r="Z300">
        <v>7098</v>
      </c>
      <c r="AA300">
        <v>2</v>
      </c>
      <c r="AB300">
        <v>55</v>
      </c>
    </row>
    <row r="301" spans="1:28" hidden="1" x14ac:dyDescent="0.25">
      <c r="A301" s="7" t="s">
        <v>57</v>
      </c>
      <c r="B301">
        <v>8</v>
      </c>
      <c r="C301">
        <v>3</v>
      </c>
      <c r="D301">
        <v>2</v>
      </c>
      <c r="E301">
        <v>0</v>
      </c>
      <c r="F301" s="7" t="s">
        <v>68</v>
      </c>
      <c r="G301">
        <v>6964</v>
      </c>
      <c r="H301">
        <v>26782804</v>
      </c>
      <c r="I301">
        <v>179</v>
      </c>
      <c r="J301">
        <v>0.94339621067047119</v>
      </c>
      <c r="K301">
        <v>1</v>
      </c>
      <c r="L301">
        <v>0.86666667461395264</v>
      </c>
      <c r="M301">
        <v>0.91111111111111109</v>
      </c>
      <c r="N301">
        <v>0.92592592592592593</v>
      </c>
      <c r="O301">
        <v>1</v>
      </c>
      <c r="P301">
        <v>19173</v>
      </c>
      <c r="Q301">
        <v>216282964</v>
      </c>
      <c r="R301">
        <v>6861</v>
      </c>
      <c r="S301">
        <v>2</v>
      </c>
      <c r="T301">
        <v>54</v>
      </c>
      <c r="U301">
        <v>0.9555555555555556</v>
      </c>
      <c r="V301">
        <v>0.88888888888888884</v>
      </c>
      <c r="W301">
        <v>1</v>
      </c>
      <c r="X301">
        <v>20022</v>
      </c>
      <c r="Y301">
        <v>186548815</v>
      </c>
      <c r="Z301">
        <v>7098</v>
      </c>
      <c r="AA301">
        <v>2</v>
      </c>
      <c r="AB301">
        <v>55</v>
      </c>
    </row>
    <row r="302" spans="1:28" hidden="1" x14ac:dyDescent="0.25">
      <c r="A302" s="7" t="s">
        <v>57</v>
      </c>
      <c r="B302">
        <v>8</v>
      </c>
      <c r="C302">
        <v>3</v>
      </c>
      <c r="D302">
        <v>2</v>
      </c>
      <c r="E302">
        <v>0</v>
      </c>
      <c r="F302" s="7" t="s">
        <v>69</v>
      </c>
      <c r="G302">
        <v>8399</v>
      </c>
      <c r="H302">
        <v>26239376</v>
      </c>
      <c r="I302">
        <v>168</v>
      </c>
      <c r="J302">
        <v>1</v>
      </c>
      <c r="K302">
        <v>0.96296298503875732</v>
      </c>
      <c r="L302">
        <v>0.95555555820465088</v>
      </c>
      <c r="M302">
        <v>0.9555555555555556</v>
      </c>
      <c r="N302">
        <v>0.96296296296296291</v>
      </c>
      <c r="O302">
        <v>1</v>
      </c>
      <c r="P302">
        <v>18022</v>
      </c>
      <c r="Q302">
        <v>204159953</v>
      </c>
      <c r="R302">
        <v>8343</v>
      </c>
      <c r="S302">
        <v>2</v>
      </c>
      <c r="T302">
        <v>60</v>
      </c>
      <c r="U302">
        <v>0.9555555555555556</v>
      </c>
      <c r="V302">
        <v>0.92592592592592593</v>
      </c>
      <c r="W302">
        <v>1</v>
      </c>
      <c r="X302">
        <v>20612</v>
      </c>
      <c r="Y302">
        <v>200821338</v>
      </c>
      <c r="Z302">
        <v>8604</v>
      </c>
      <c r="AA302">
        <v>2</v>
      </c>
      <c r="AB302">
        <v>61</v>
      </c>
    </row>
    <row r="303" spans="1:28" hidden="1" x14ac:dyDescent="0.25">
      <c r="A303" s="7" t="s">
        <v>57</v>
      </c>
      <c r="B303">
        <v>8</v>
      </c>
      <c r="C303">
        <v>3</v>
      </c>
      <c r="D303">
        <v>2</v>
      </c>
      <c r="E303">
        <v>0</v>
      </c>
      <c r="F303" s="7" t="s">
        <v>69</v>
      </c>
      <c r="G303">
        <v>8399</v>
      </c>
      <c r="H303">
        <v>39626357</v>
      </c>
      <c r="I303">
        <v>254</v>
      </c>
      <c r="J303">
        <v>1</v>
      </c>
      <c r="K303">
        <v>0.96296298503875732</v>
      </c>
      <c r="L303">
        <v>0.97777777910232544</v>
      </c>
      <c r="M303">
        <v>0.93333333333333335</v>
      </c>
      <c r="N303">
        <v>0.92592592592592593</v>
      </c>
      <c r="O303">
        <v>1</v>
      </c>
      <c r="P303">
        <v>18231</v>
      </c>
      <c r="Q303">
        <v>201231348</v>
      </c>
      <c r="R303">
        <v>8343</v>
      </c>
      <c r="S303">
        <v>2</v>
      </c>
      <c r="T303">
        <v>60</v>
      </c>
      <c r="U303">
        <v>0.9555555555555556</v>
      </c>
      <c r="V303">
        <v>0.88888888888888884</v>
      </c>
      <c r="W303">
        <v>1</v>
      </c>
      <c r="X303">
        <v>18587</v>
      </c>
      <c r="Y303">
        <v>201758428</v>
      </c>
      <c r="Z303">
        <v>8604</v>
      </c>
      <c r="AA303">
        <v>2</v>
      </c>
      <c r="AB303">
        <v>61</v>
      </c>
    </row>
    <row r="304" spans="1:28" hidden="1" x14ac:dyDescent="0.25">
      <c r="A304" s="7" t="s">
        <v>57</v>
      </c>
      <c r="B304">
        <v>8</v>
      </c>
      <c r="C304">
        <v>3</v>
      </c>
      <c r="D304">
        <v>2</v>
      </c>
      <c r="E304">
        <v>0</v>
      </c>
      <c r="F304" s="7" t="s">
        <v>69</v>
      </c>
      <c r="G304">
        <v>8399</v>
      </c>
      <c r="H304">
        <v>44732827</v>
      </c>
      <c r="I304">
        <v>293</v>
      </c>
      <c r="J304">
        <v>1</v>
      </c>
      <c r="K304">
        <v>0.96296298503875732</v>
      </c>
      <c r="L304">
        <v>0.93333333730697632</v>
      </c>
      <c r="M304">
        <v>0.93333333333333335</v>
      </c>
      <c r="N304">
        <v>0.88888888888888884</v>
      </c>
      <c r="O304">
        <v>1</v>
      </c>
      <c r="P304">
        <v>18404</v>
      </c>
      <c r="Q304">
        <v>205756509</v>
      </c>
      <c r="R304">
        <v>8343</v>
      </c>
      <c r="S304">
        <v>2</v>
      </c>
      <c r="T304">
        <v>60</v>
      </c>
      <c r="U304">
        <v>0.91111111111111109</v>
      </c>
      <c r="V304">
        <v>0.88888888888888884</v>
      </c>
      <c r="W304">
        <v>1</v>
      </c>
      <c r="X304">
        <v>19187</v>
      </c>
      <c r="Y304">
        <v>217499621</v>
      </c>
      <c r="Z304">
        <v>8604</v>
      </c>
      <c r="AA304">
        <v>2</v>
      </c>
      <c r="AB304">
        <v>61</v>
      </c>
    </row>
    <row r="305" spans="1:28" hidden="1" x14ac:dyDescent="0.25">
      <c r="A305" s="7" t="s">
        <v>57</v>
      </c>
      <c r="B305">
        <v>8</v>
      </c>
      <c r="C305">
        <v>3</v>
      </c>
      <c r="D305">
        <v>2</v>
      </c>
      <c r="E305">
        <v>0</v>
      </c>
      <c r="F305" s="7" t="s">
        <v>69</v>
      </c>
      <c r="G305">
        <v>8399</v>
      </c>
      <c r="H305">
        <v>19206739</v>
      </c>
      <c r="I305">
        <v>117</v>
      </c>
      <c r="J305">
        <v>1</v>
      </c>
      <c r="K305">
        <v>0.96296298503875732</v>
      </c>
      <c r="L305">
        <v>0.95555555820465088</v>
      </c>
      <c r="M305">
        <v>0.9555555555555556</v>
      </c>
      <c r="N305">
        <v>0.96296296296296291</v>
      </c>
      <c r="O305">
        <v>1</v>
      </c>
      <c r="P305">
        <v>19832</v>
      </c>
      <c r="Q305">
        <v>213387509</v>
      </c>
      <c r="R305">
        <v>8343</v>
      </c>
      <c r="S305">
        <v>2</v>
      </c>
      <c r="T305">
        <v>60</v>
      </c>
      <c r="U305">
        <v>0.9555555555555556</v>
      </c>
      <c r="V305">
        <v>0.92592592592592593</v>
      </c>
      <c r="W305">
        <v>1</v>
      </c>
      <c r="X305">
        <v>18304</v>
      </c>
      <c r="Y305">
        <v>165772337</v>
      </c>
      <c r="Z305">
        <v>8604</v>
      </c>
      <c r="AA305">
        <v>2</v>
      </c>
      <c r="AB305">
        <v>61</v>
      </c>
    </row>
    <row r="306" spans="1:28" hidden="1" x14ac:dyDescent="0.25">
      <c r="A306" s="7" t="s">
        <v>57</v>
      </c>
      <c r="B306">
        <v>8</v>
      </c>
      <c r="C306">
        <v>3</v>
      </c>
      <c r="D306">
        <v>2</v>
      </c>
      <c r="E306">
        <v>0</v>
      </c>
      <c r="F306" s="7" t="s">
        <v>69</v>
      </c>
      <c r="G306">
        <v>8399</v>
      </c>
      <c r="H306">
        <v>49520269</v>
      </c>
      <c r="I306">
        <v>317</v>
      </c>
      <c r="J306">
        <v>1</v>
      </c>
      <c r="K306">
        <v>0.92592591047286987</v>
      </c>
      <c r="L306">
        <v>1</v>
      </c>
      <c r="M306">
        <v>0.9555555555555556</v>
      </c>
      <c r="N306">
        <v>0.88888888888888884</v>
      </c>
      <c r="O306">
        <v>1</v>
      </c>
      <c r="P306">
        <v>20183</v>
      </c>
      <c r="Q306">
        <v>230890838</v>
      </c>
      <c r="R306">
        <v>8343</v>
      </c>
      <c r="S306">
        <v>2</v>
      </c>
      <c r="T306">
        <v>60</v>
      </c>
      <c r="U306">
        <v>0.93333333333333335</v>
      </c>
      <c r="V306">
        <v>0.92592592592592593</v>
      </c>
      <c r="W306">
        <v>1</v>
      </c>
      <c r="X306">
        <v>18147</v>
      </c>
      <c r="Y306">
        <v>198422513</v>
      </c>
      <c r="Z306">
        <v>8604</v>
      </c>
      <c r="AA306">
        <v>2</v>
      </c>
      <c r="AB306">
        <v>61</v>
      </c>
    </row>
    <row r="307" spans="1:28" hidden="1" x14ac:dyDescent="0.25">
      <c r="A307" s="7" t="s">
        <v>57</v>
      </c>
      <c r="B307">
        <v>8</v>
      </c>
      <c r="C307">
        <v>3</v>
      </c>
      <c r="D307">
        <v>2</v>
      </c>
      <c r="E307">
        <v>0</v>
      </c>
      <c r="F307" s="7" t="s">
        <v>70</v>
      </c>
      <c r="G307">
        <v>9834</v>
      </c>
      <c r="H307">
        <v>42530558</v>
      </c>
      <c r="I307">
        <v>252</v>
      </c>
      <c r="J307">
        <v>1</v>
      </c>
      <c r="K307">
        <v>0.92592591047286987</v>
      </c>
      <c r="L307">
        <v>0.91111111640930176</v>
      </c>
      <c r="M307">
        <v>0.9555555555555556</v>
      </c>
      <c r="N307">
        <v>0.88888888888888884</v>
      </c>
      <c r="O307">
        <v>1</v>
      </c>
      <c r="P307">
        <v>19083</v>
      </c>
      <c r="Q307">
        <v>218480427</v>
      </c>
      <c r="R307">
        <v>9688</v>
      </c>
      <c r="S307">
        <v>2</v>
      </c>
      <c r="T307">
        <v>65</v>
      </c>
      <c r="U307">
        <v>0.9555555555555556</v>
      </c>
      <c r="V307">
        <v>0.96296296296296291</v>
      </c>
      <c r="W307">
        <v>1</v>
      </c>
      <c r="X307">
        <v>18446</v>
      </c>
      <c r="Y307">
        <v>210780344</v>
      </c>
      <c r="Z307">
        <v>9969</v>
      </c>
      <c r="AA307">
        <v>2</v>
      </c>
      <c r="AB307">
        <v>66</v>
      </c>
    </row>
    <row r="308" spans="1:28" hidden="1" x14ac:dyDescent="0.25">
      <c r="A308" s="7" t="s">
        <v>57</v>
      </c>
      <c r="B308">
        <v>8</v>
      </c>
      <c r="C308">
        <v>3</v>
      </c>
      <c r="D308">
        <v>2</v>
      </c>
      <c r="E308">
        <v>0</v>
      </c>
      <c r="F308" s="7" t="s">
        <v>70</v>
      </c>
      <c r="G308">
        <v>9834</v>
      </c>
      <c r="H308">
        <v>34721137</v>
      </c>
      <c r="I308">
        <v>208</v>
      </c>
      <c r="J308">
        <v>1</v>
      </c>
      <c r="K308">
        <v>0.96296298503875732</v>
      </c>
      <c r="L308">
        <v>0.91111111640930176</v>
      </c>
      <c r="M308">
        <v>0.93333333333333335</v>
      </c>
      <c r="N308">
        <v>0.88888888888888884</v>
      </c>
      <c r="O308">
        <v>1</v>
      </c>
      <c r="P308">
        <v>18795</v>
      </c>
      <c r="Q308">
        <v>217431460</v>
      </c>
      <c r="R308">
        <v>9688</v>
      </c>
      <c r="S308">
        <v>2</v>
      </c>
      <c r="T308">
        <v>65</v>
      </c>
      <c r="U308">
        <v>0.9555555555555556</v>
      </c>
      <c r="V308">
        <v>0.88888888888888884</v>
      </c>
      <c r="W308">
        <v>1</v>
      </c>
      <c r="X308">
        <v>18829</v>
      </c>
      <c r="Y308">
        <v>196828288</v>
      </c>
      <c r="Z308">
        <v>9969</v>
      </c>
      <c r="AA308">
        <v>2</v>
      </c>
      <c r="AB308">
        <v>66</v>
      </c>
    </row>
    <row r="309" spans="1:28" hidden="1" x14ac:dyDescent="0.25">
      <c r="A309" s="7" t="s">
        <v>57</v>
      </c>
      <c r="B309">
        <v>8</v>
      </c>
      <c r="C309">
        <v>3</v>
      </c>
      <c r="D309">
        <v>2</v>
      </c>
      <c r="E309">
        <v>0</v>
      </c>
      <c r="F309" s="7" t="s">
        <v>70</v>
      </c>
      <c r="G309">
        <v>9834</v>
      </c>
      <c r="H309">
        <v>25795156</v>
      </c>
      <c r="I309">
        <v>152</v>
      </c>
      <c r="J309">
        <v>1</v>
      </c>
      <c r="K309">
        <v>0.96296298503875732</v>
      </c>
      <c r="L309">
        <v>0.97777777910232544</v>
      </c>
      <c r="M309">
        <v>0.91111111111111109</v>
      </c>
      <c r="N309">
        <v>0.88888888888888884</v>
      </c>
      <c r="O309">
        <v>1</v>
      </c>
      <c r="P309">
        <v>19828</v>
      </c>
      <c r="Q309">
        <v>242668319</v>
      </c>
      <c r="R309">
        <v>9688</v>
      </c>
      <c r="S309">
        <v>2</v>
      </c>
      <c r="T309">
        <v>65</v>
      </c>
      <c r="U309">
        <v>0.93333333333333335</v>
      </c>
      <c r="V309">
        <v>0.92592592592592593</v>
      </c>
      <c r="W309">
        <v>1</v>
      </c>
      <c r="X309">
        <v>20348</v>
      </c>
      <c r="Y309">
        <v>201230790</v>
      </c>
      <c r="Z309">
        <v>9969</v>
      </c>
      <c r="AA309">
        <v>2</v>
      </c>
      <c r="AB309">
        <v>66</v>
      </c>
    </row>
    <row r="310" spans="1:28" hidden="1" x14ac:dyDescent="0.25">
      <c r="A310" s="7" t="s">
        <v>57</v>
      </c>
      <c r="B310">
        <v>8</v>
      </c>
      <c r="C310">
        <v>3</v>
      </c>
      <c r="D310">
        <v>2</v>
      </c>
      <c r="E310">
        <v>0</v>
      </c>
      <c r="F310" s="7" t="s">
        <v>70</v>
      </c>
      <c r="G310">
        <v>9834</v>
      </c>
      <c r="H310">
        <v>37994421</v>
      </c>
      <c r="I310">
        <v>226</v>
      </c>
      <c r="J310">
        <v>1</v>
      </c>
      <c r="K310">
        <v>0.92592591047286987</v>
      </c>
      <c r="L310">
        <v>0.93333333730697632</v>
      </c>
      <c r="M310">
        <v>0.9555555555555556</v>
      </c>
      <c r="N310">
        <v>0.88888888888888884</v>
      </c>
      <c r="O310">
        <v>1</v>
      </c>
      <c r="P310">
        <v>19157</v>
      </c>
      <c r="Q310">
        <v>229481268</v>
      </c>
      <c r="R310">
        <v>9688</v>
      </c>
      <c r="S310">
        <v>2</v>
      </c>
      <c r="T310">
        <v>65</v>
      </c>
      <c r="U310">
        <v>0.93333333333333335</v>
      </c>
      <c r="V310">
        <v>0.92592592592592593</v>
      </c>
      <c r="W310">
        <v>1</v>
      </c>
      <c r="X310">
        <v>18231</v>
      </c>
      <c r="Y310">
        <v>193733208</v>
      </c>
      <c r="Z310">
        <v>9969</v>
      </c>
      <c r="AA310">
        <v>2</v>
      </c>
      <c r="AB310">
        <v>66</v>
      </c>
    </row>
    <row r="311" spans="1:28" hidden="1" x14ac:dyDescent="0.25">
      <c r="A311" s="7" t="s">
        <v>57</v>
      </c>
      <c r="B311">
        <v>8</v>
      </c>
      <c r="C311">
        <v>3</v>
      </c>
      <c r="D311">
        <v>2</v>
      </c>
      <c r="E311">
        <v>0</v>
      </c>
      <c r="F311" s="7" t="s">
        <v>70</v>
      </c>
      <c r="G311">
        <v>9834</v>
      </c>
      <c r="H311">
        <v>14082616</v>
      </c>
      <c r="I311">
        <v>78</v>
      </c>
      <c r="J311">
        <v>0.96226418018341064</v>
      </c>
      <c r="K311">
        <v>1</v>
      </c>
      <c r="L311">
        <v>0.95555555820465088</v>
      </c>
      <c r="M311">
        <v>0.93333333333333335</v>
      </c>
      <c r="N311">
        <v>0.92592592592592593</v>
      </c>
      <c r="O311">
        <v>1</v>
      </c>
      <c r="P311">
        <v>18547</v>
      </c>
      <c r="Q311">
        <v>200346145</v>
      </c>
      <c r="R311">
        <v>9688</v>
      </c>
      <c r="S311">
        <v>2</v>
      </c>
      <c r="T311">
        <v>65</v>
      </c>
      <c r="U311">
        <v>0.97777777777777775</v>
      </c>
      <c r="V311">
        <v>0.88888888888888884</v>
      </c>
      <c r="W311">
        <v>1</v>
      </c>
      <c r="X311">
        <v>19369</v>
      </c>
      <c r="Y311">
        <v>186836437</v>
      </c>
      <c r="Z311">
        <v>9969</v>
      </c>
      <c r="AA311">
        <v>2</v>
      </c>
      <c r="AB311">
        <v>66</v>
      </c>
    </row>
    <row r="312" spans="1:28" hidden="1" x14ac:dyDescent="0.25">
      <c r="A312" s="7" t="s">
        <v>57</v>
      </c>
      <c r="B312">
        <v>8</v>
      </c>
      <c r="C312">
        <v>3</v>
      </c>
      <c r="D312">
        <v>2</v>
      </c>
      <c r="E312">
        <v>0</v>
      </c>
      <c r="F312" s="7" t="s">
        <v>72</v>
      </c>
      <c r="G312">
        <v>7642</v>
      </c>
      <c r="H312">
        <v>30741339</v>
      </c>
      <c r="I312">
        <v>198</v>
      </c>
      <c r="J312">
        <v>0.96226418018341064</v>
      </c>
      <c r="K312">
        <v>1</v>
      </c>
      <c r="L312">
        <v>0.97777777910232544</v>
      </c>
      <c r="M312">
        <v>0.9555555555555556</v>
      </c>
      <c r="N312">
        <v>0.88888888888888884</v>
      </c>
      <c r="O312">
        <v>1</v>
      </c>
      <c r="P312">
        <v>18761</v>
      </c>
      <c r="Q312">
        <v>210382780</v>
      </c>
      <c r="R312">
        <v>7584</v>
      </c>
      <c r="S312">
        <v>2</v>
      </c>
      <c r="T312">
        <v>57</v>
      </c>
      <c r="U312">
        <v>0.93333333333333335</v>
      </c>
      <c r="V312">
        <v>0.88888888888888884</v>
      </c>
      <c r="W312">
        <v>1</v>
      </c>
      <c r="X312">
        <v>21989</v>
      </c>
      <c r="Y312">
        <v>235166997</v>
      </c>
      <c r="Z312">
        <v>7833</v>
      </c>
      <c r="AA312">
        <v>2</v>
      </c>
      <c r="AB312">
        <v>58</v>
      </c>
    </row>
    <row r="313" spans="1:28" hidden="1" x14ac:dyDescent="0.25">
      <c r="A313" s="7" t="s">
        <v>57</v>
      </c>
      <c r="B313">
        <v>8</v>
      </c>
      <c r="C313">
        <v>3</v>
      </c>
      <c r="D313">
        <v>2</v>
      </c>
      <c r="E313">
        <v>0</v>
      </c>
      <c r="F313" s="7" t="s">
        <v>72</v>
      </c>
      <c r="G313">
        <v>7642</v>
      </c>
      <c r="H313">
        <v>39093450</v>
      </c>
      <c r="I313">
        <v>261</v>
      </c>
      <c r="J313">
        <v>1</v>
      </c>
      <c r="K313">
        <v>0.92592591047286987</v>
      </c>
      <c r="L313">
        <v>1</v>
      </c>
      <c r="M313">
        <v>0.9555555555555556</v>
      </c>
      <c r="N313">
        <v>0.92592592592592593</v>
      </c>
      <c r="O313">
        <v>1</v>
      </c>
      <c r="P313">
        <v>21899</v>
      </c>
      <c r="Q313">
        <v>267876866</v>
      </c>
      <c r="R313">
        <v>7584</v>
      </c>
      <c r="S313">
        <v>2</v>
      </c>
      <c r="T313">
        <v>57</v>
      </c>
      <c r="U313">
        <v>0.93333333333333335</v>
      </c>
      <c r="V313">
        <v>0.88888888888888884</v>
      </c>
      <c r="W313">
        <v>1</v>
      </c>
      <c r="X313">
        <v>19635</v>
      </c>
      <c r="Y313">
        <v>213083828</v>
      </c>
      <c r="Z313">
        <v>7833</v>
      </c>
      <c r="AA313">
        <v>2</v>
      </c>
      <c r="AB313">
        <v>58</v>
      </c>
    </row>
    <row r="314" spans="1:28" hidden="1" x14ac:dyDescent="0.25">
      <c r="A314" s="7" t="s">
        <v>57</v>
      </c>
      <c r="B314">
        <v>8</v>
      </c>
      <c r="C314">
        <v>3</v>
      </c>
      <c r="D314">
        <v>2</v>
      </c>
      <c r="E314">
        <v>0</v>
      </c>
      <c r="F314" s="7" t="s">
        <v>72</v>
      </c>
      <c r="G314">
        <v>7642</v>
      </c>
      <c r="H314">
        <v>37065874</v>
      </c>
      <c r="I314">
        <v>243</v>
      </c>
      <c r="J314">
        <v>1</v>
      </c>
      <c r="K314">
        <v>0.96296298503875732</v>
      </c>
      <c r="L314">
        <v>0.97777777910232544</v>
      </c>
      <c r="M314">
        <v>0.93333333333333335</v>
      </c>
      <c r="N314">
        <v>0.92592592592592593</v>
      </c>
      <c r="O314">
        <v>1</v>
      </c>
      <c r="P314">
        <v>19161</v>
      </c>
      <c r="Q314">
        <v>221625095</v>
      </c>
      <c r="R314">
        <v>7584</v>
      </c>
      <c r="S314">
        <v>2</v>
      </c>
      <c r="T314">
        <v>57</v>
      </c>
      <c r="U314">
        <v>0.93333333333333335</v>
      </c>
      <c r="V314">
        <v>0.92592592592592593</v>
      </c>
      <c r="W314">
        <v>1</v>
      </c>
      <c r="X314">
        <v>19673</v>
      </c>
      <c r="Y314">
        <v>214316976</v>
      </c>
      <c r="Z314">
        <v>7833</v>
      </c>
      <c r="AA314">
        <v>2</v>
      </c>
      <c r="AB314">
        <v>58</v>
      </c>
    </row>
    <row r="315" spans="1:28" hidden="1" x14ac:dyDescent="0.25">
      <c r="A315" s="7" t="s">
        <v>57</v>
      </c>
      <c r="B315">
        <v>8</v>
      </c>
      <c r="C315">
        <v>3</v>
      </c>
      <c r="D315">
        <v>2</v>
      </c>
      <c r="E315">
        <v>0</v>
      </c>
      <c r="F315" s="7" t="s">
        <v>72</v>
      </c>
      <c r="G315">
        <v>7642</v>
      </c>
      <c r="H315">
        <v>31490392</v>
      </c>
      <c r="I315">
        <v>207</v>
      </c>
      <c r="J315">
        <v>1</v>
      </c>
      <c r="K315">
        <v>0.92592591047286987</v>
      </c>
      <c r="L315">
        <v>0.91111111640930176</v>
      </c>
      <c r="M315">
        <v>0.9555555555555556</v>
      </c>
      <c r="N315">
        <v>0.92592592592592593</v>
      </c>
      <c r="O315">
        <v>1</v>
      </c>
      <c r="P315">
        <v>23403</v>
      </c>
      <c r="Q315">
        <v>289652712</v>
      </c>
      <c r="R315">
        <v>7584</v>
      </c>
      <c r="S315">
        <v>2</v>
      </c>
      <c r="T315">
        <v>57</v>
      </c>
      <c r="U315">
        <v>0.93333333333333335</v>
      </c>
      <c r="V315">
        <v>0.92592592592592593</v>
      </c>
      <c r="W315">
        <v>1</v>
      </c>
      <c r="X315">
        <v>18534</v>
      </c>
      <c r="Y315">
        <v>179404065</v>
      </c>
      <c r="Z315">
        <v>7833</v>
      </c>
      <c r="AA315">
        <v>2</v>
      </c>
      <c r="AB315">
        <v>58</v>
      </c>
    </row>
    <row r="316" spans="1:28" hidden="1" x14ac:dyDescent="0.25">
      <c r="A316" s="7" t="s">
        <v>57</v>
      </c>
      <c r="B316">
        <v>8</v>
      </c>
      <c r="C316">
        <v>3</v>
      </c>
      <c r="D316">
        <v>2</v>
      </c>
      <c r="E316">
        <v>0</v>
      </c>
      <c r="F316" s="7" t="s">
        <v>72</v>
      </c>
      <c r="G316">
        <v>7642</v>
      </c>
      <c r="H316">
        <v>57000079</v>
      </c>
      <c r="I316">
        <v>380</v>
      </c>
      <c r="J316">
        <v>1</v>
      </c>
      <c r="K316">
        <v>0.8888888955116272</v>
      </c>
      <c r="L316">
        <v>0.97777777910232544</v>
      </c>
      <c r="M316">
        <v>0.9555555555555556</v>
      </c>
      <c r="N316">
        <v>0.92592592592592593</v>
      </c>
      <c r="O316">
        <v>1</v>
      </c>
      <c r="P316">
        <v>18510</v>
      </c>
      <c r="Q316">
        <v>209196018</v>
      </c>
      <c r="R316">
        <v>7584</v>
      </c>
      <c r="S316">
        <v>2</v>
      </c>
      <c r="T316">
        <v>57</v>
      </c>
      <c r="U316">
        <v>0.93333333333333335</v>
      </c>
      <c r="V316">
        <v>0.92592592592592593</v>
      </c>
      <c r="W316">
        <v>1</v>
      </c>
      <c r="X316">
        <v>18818</v>
      </c>
      <c r="Y316">
        <v>217272197</v>
      </c>
      <c r="Z316">
        <v>7833</v>
      </c>
      <c r="AA316">
        <v>2</v>
      </c>
      <c r="AB316">
        <v>58</v>
      </c>
    </row>
    <row r="317" spans="1:28" hidden="1" x14ac:dyDescent="0.25">
      <c r="A317" s="7" t="s">
        <v>57</v>
      </c>
      <c r="B317">
        <v>8</v>
      </c>
      <c r="C317">
        <v>3</v>
      </c>
      <c r="D317">
        <v>2</v>
      </c>
      <c r="E317">
        <v>0</v>
      </c>
      <c r="F317" s="7" t="s">
        <v>73</v>
      </c>
      <c r="G317">
        <v>9207</v>
      </c>
      <c r="H317">
        <v>34187624</v>
      </c>
      <c r="I317">
        <v>210</v>
      </c>
      <c r="J317">
        <v>1</v>
      </c>
      <c r="K317">
        <v>0.92592591047286987</v>
      </c>
      <c r="L317">
        <v>0.97777777910232544</v>
      </c>
      <c r="M317">
        <v>0.93333333333333335</v>
      </c>
      <c r="N317">
        <v>0.88888888888888884</v>
      </c>
      <c r="O317">
        <v>1</v>
      </c>
      <c r="P317">
        <v>19230</v>
      </c>
      <c r="Q317">
        <v>228198411</v>
      </c>
      <c r="R317">
        <v>9138</v>
      </c>
      <c r="S317">
        <v>2</v>
      </c>
      <c r="T317">
        <v>63</v>
      </c>
      <c r="U317">
        <v>0.9555555555555556</v>
      </c>
      <c r="V317">
        <v>0.81481481481481477</v>
      </c>
      <c r="W317">
        <v>1</v>
      </c>
      <c r="X317">
        <v>23079</v>
      </c>
      <c r="Y317">
        <v>293962734</v>
      </c>
      <c r="Z317">
        <v>9411</v>
      </c>
      <c r="AA317">
        <v>2</v>
      </c>
      <c r="AB317">
        <v>64</v>
      </c>
    </row>
    <row r="318" spans="1:28" hidden="1" x14ac:dyDescent="0.25">
      <c r="A318" s="7" t="s">
        <v>57</v>
      </c>
      <c r="B318">
        <v>8</v>
      </c>
      <c r="C318">
        <v>3</v>
      </c>
      <c r="D318">
        <v>2</v>
      </c>
      <c r="E318">
        <v>0</v>
      </c>
      <c r="F318" s="7" t="s">
        <v>73</v>
      </c>
      <c r="G318">
        <v>9207</v>
      </c>
      <c r="H318">
        <v>18268990</v>
      </c>
      <c r="I318">
        <v>105</v>
      </c>
      <c r="J318">
        <v>1</v>
      </c>
      <c r="K318">
        <v>0.92592591047286987</v>
      </c>
      <c r="L318">
        <v>0.97777777910232544</v>
      </c>
      <c r="M318">
        <v>0.9555555555555556</v>
      </c>
      <c r="N318">
        <v>0.92592592592592593</v>
      </c>
      <c r="O318">
        <v>1</v>
      </c>
      <c r="P318">
        <v>18895</v>
      </c>
      <c r="Q318">
        <v>223687026</v>
      </c>
      <c r="R318">
        <v>9138</v>
      </c>
      <c r="S318">
        <v>2</v>
      </c>
      <c r="T318">
        <v>63</v>
      </c>
      <c r="U318">
        <v>0.9555555555555556</v>
      </c>
      <c r="V318">
        <v>0.92592592592592593</v>
      </c>
      <c r="W318">
        <v>1</v>
      </c>
      <c r="X318">
        <v>19747</v>
      </c>
      <c r="Y318">
        <v>192230381</v>
      </c>
      <c r="Z318">
        <v>9411</v>
      </c>
      <c r="AA318">
        <v>2</v>
      </c>
      <c r="AB318">
        <v>64</v>
      </c>
    </row>
    <row r="319" spans="1:28" hidden="1" x14ac:dyDescent="0.25">
      <c r="A319" s="7" t="s">
        <v>57</v>
      </c>
      <c r="B319">
        <v>8</v>
      </c>
      <c r="C319">
        <v>3</v>
      </c>
      <c r="D319">
        <v>2</v>
      </c>
      <c r="E319">
        <v>0</v>
      </c>
      <c r="F319" s="7" t="s">
        <v>73</v>
      </c>
      <c r="G319">
        <v>9207</v>
      </c>
      <c r="H319">
        <v>37888775</v>
      </c>
      <c r="I319">
        <v>228</v>
      </c>
      <c r="J319">
        <v>1</v>
      </c>
      <c r="K319">
        <v>0.96296298503875732</v>
      </c>
      <c r="L319">
        <v>0.95555555820465088</v>
      </c>
      <c r="M319">
        <v>0.9555555555555556</v>
      </c>
      <c r="N319">
        <v>0.88888888888888884</v>
      </c>
      <c r="O319">
        <v>1</v>
      </c>
      <c r="P319">
        <v>26018</v>
      </c>
      <c r="Q319">
        <v>343811499</v>
      </c>
      <c r="R319">
        <v>9138</v>
      </c>
      <c r="S319">
        <v>2</v>
      </c>
      <c r="T319">
        <v>63</v>
      </c>
      <c r="U319">
        <v>0.9555555555555556</v>
      </c>
      <c r="V319">
        <v>0.92592592592592593</v>
      </c>
      <c r="W319">
        <v>1</v>
      </c>
      <c r="X319">
        <v>20111</v>
      </c>
      <c r="Y319">
        <v>202665795</v>
      </c>
      <c r="Z319">
        <v>9411</v>
      </c>
      <c r="AA319">
        <v>2</v>
      </c>
      <c r="AB319">
        <v>64</v>
      </c>
    </row>
    <row r="320" spans="1:28" hidden="1" x14ac:dyDescent="0.25">
      <c r="A320" s="7" t="s">
        <v>57</v>
      </c>
      <c r="B320">
        <v>8</v>
      </c>
      <c r="C320">
        <v>3</v>
      </c>
      <c r="D320">
        <v>2</v>
      </c>
      <c r="E320">
        <v>0</v>
      </c>
      <c r="F320" s="7" t="s">
        <v>73</v>
      </c>
      <c r="G320">
        <v>9207</v>
      </c>
      <c r="H320">
        <v>34580155</v>
      </c>
      <c r="I320">
        <v>208</v>
      </c>
      <c r="J320">
        <v>1</v>
      </c>
      <c r="K320">
        <v>0.96296298503875732</v>
      </c>
      <c r="L320">
        <v>0.97777777910232544</v>
      </c>
      <c r="M320">
        <v>0.93333333333333335</v>
      </c>
      <c r="N320">
        <v>0.88888888888888884</v>
      </c>
      <c r="O320">
        <v>1</v>
      </c>
      <c r="P320">
        <v>19904</v>
      </c>
      <c r="Q320">
        <v>243228444</v>
      </c>
      <c r="R320">
        <v>9138</v>
      </c>
      <c r="S320">
        <v>2</v>
      </c>
      <c r="T320">
        <v>63</v>
      </c>
      <c r="U320">
        <v>0.9555555555555556</v>
      </c>
      <c r="V320">
        <v>0.92592592592592593</v>
      </c>
      <c r="W320">
        <v>1</v>
      </c>
      <c r="X320">
        <v>18399</v>
      </c>
      <c r="Y320">
        <v>197233448</v>
      </c>
      <c r="Z320">
        <v>9411</v>
      </c>
      <c r="AA320">
        <v>2</v>
      </c>
      <c r="AB320">
        <v>64</v>
      </c>
    </row>
    <row r="321" spans="1:28" hidden="1" x14ac:dyDescent="0.25">
      <c r="A321" s="7" t="s">
        <v>57</v>
      </c>
      <c r="B321">
        <v>8</v>
      </c>
      <c r="C321">
        <v>3</v>
      </c>
      <c r="D321">
        <v>2</v>
      </c>
      <c r="E321">
        <v>0</v>
      </c>
      <c r="F321" s="7" t="s">
        <v>73</v>
      </c>
      <c r="G321">
        <v>9207</v>
      </c>
      <c r="H321">
        <v>29791201</v>
      </c>
      <c r="I321">
        <v>174</v>
      </c>
      <c r="J321">
        <v>1</v>
      </c>
      <c r="K321">
        <v>0.92592591047286987</v>
      </c>
      <c r="L321">
        <v>0.97777777910232544</v>
      </c>
      <c r="M321">
        <v>0.93333333333333335</v>
      </c>
      <c r="N321">
        <v>0.92592592592592593</v>
      </c>
      <c r="O321">
        <v>1</v>
      </c>
      <c r="P321">
        <v>19174</v>
      </c>
      <c r="Q321">
        <v>227967045</v>
      </c>
      <c r="R321">
        <v>9138</v>
      </c>
      <c r="S321">
        <v>2</v>
      </c>
      <c r="T321">
        <v>63</v>
      </c>
      <c r="U321">
        <v>0.93333333333333335</v>
      </c>
      <c r="V321">
        <v>0.96296296296296291</v>
      </c>
      <c r="W321">
        <v>1</v>
      </c>
      <c r="X321">
        <v>18521</v>
      </c>
      <c r="Y321">
        <v>188919743</v>
      </c>
      <c r="Z321">
        <v>9411</v>
      </c>
      <c r="AA321">
        <v>2</v>
      </c>
      <c r="AB321">
        <v>64</v>
      </c>
    </row>
    <row r="322" spans="1:28" hidden="1" x14ac:dyDescent="0.25">
      <c r="A322" s="7" t="s">
        <v>57</v>
      </c>
      <c r="B322">
        <v>8</v>
      </c>
      <c r="C322">
        <v>3</v>
      </c>
      <c r="D322">
        <v>2</v>
      </c>
      <c r="E322">
        <v>0</v>
      </c>
      <c r="F322" s="7" t="s">
        <v>74</v>
      </c>
      <c r="G322">
        <v>10772</v>
      </c>
      <c r="H322">
        <v>37954046</v>
      </c>
      <c r="I322">
        <v>213</v>
      </c>
      <c r="J322">
        <v>1</v>
      </c>
      <c r="K322">
        <v>0.96296298503875732</v>
      </c>
      <c r="L322">
        <v>0.91111111640930176</v>
      </c>
      <c r="M322">
        <v>0.9555555555555556</v>
      </c>
      <c r="N322">
        <v>0.96296296296296291</v>
      </c>
      <c r="O322">
        <v>1</v>
      </c>
      <c r="P322">
        <v>19106</v>
      </c>
      <c r="Q322">
        <v>232741813</v>
      </c>
      <c r="R322">
        <v>10543</v>
      </c>
      <c r="S322">
        <v>2</v>
      </c>
      <c r="T322">
        <v>68</v>
      </c>
      <c r="U322">
        <v>0.9555555555555556</v>
      </c>
      <c r="V322">
        <v>0.92592592592592593</v>
      </c>
      <c r="W322">
        <v>1</v>
      </c>
      <c r="X322">
        <v>18746</v>
      </c>
      <c r="Y322">
        <v>211299514</v>
      </c>
      <c r="Z322">
        <v>10836</v>
      </c>
      <c r="AA322">
        <v>2</v>
      </c>
      <c r="AB322">
        <v>69</v>
      </c>
    </row>
    <row r="323" spans="1:28" hidden="1" x14ac:dyDescent="0.25">
      <c r="A323" s="7" t="s">
        <v>57</v>
      </c>
      <c r="B323">
        <v>8</v>
      </c>
      <c r="C323">
        <v>3</v>
      </c>
      <c r="D323">
        <v>2</v>
      </c>
      <c r="E323">
        <v>0</v>
      </c>
      <c r="F323" s="7" t="s">
        <v>74</v>
      </c>
      <c r="G323">
        <v>10772</v>
      </c>
      <c r="H323">
        <v>53010153</v>
      </c>
      <c r="I323">
        <v>301</v>
      </c>
      <c r="J323">
        <v>1</v>
      </c>
      <c r="K323">
        <v>0.92592591047286987</v>
      </c>
      <c r="L323">
        <v>0.95555555820465088</v>
      </c>
      <c r="M323">
        <v>0.9555555555555556</v>
      </c>
      <c r="N323">
        <v>0.88888888888888884</v>
      </c>
      <c r="O323">
        <v>1</v>
      </c>
      <c r="P323">
        <v>19557</v>
      </c>
      <c r="Q323">
        <v>237494417</v>
      </c>
      <c r="R323">
        <v>10543</v>
      </c>
      <c r="S323">
        <v>2</v>
      </c>
      <c r="T323">
        <v>68</v>
      </c>
      <c r="U323">
        <v>0.93333333333333335</v>
      </c>
      <c r="V323">
        <v>0.88888888888888884</v>
      </c>
      <c r="W323">
        <v>1</v>
      </c>
      <c r="X323">
        <v>18919</v>
      </c>
      <c r="Y323">
        <v>234639044</v>
      </c>
      <c r="Z323">
        <v>10836</v>
      </c>
      <c r="AA323">
        <v>2</v>
      </c>
      <c r="AB323">
        <v>69</v>
      </c>
    </row>
    <row r="324" spans="1:28" hidden="1" x14ac:dyDescent="0.25">
      <c r="A324" s="7" t="s">
        <v>57</v>
      </c>
      <c r="B324">
        <v>8</v>
      </c>
      <c r="C324">
        <v>3</v>
      </c>
      <c r="D324">
        <v>2</v>
      </c>
      <c r="E324">
        <v>0</v>
      </c>
      <c r="F324" s="7" t="s">
        <v>74</v>
      </c>
      <c r="G324">
        <v>10772</v>
      </c>
      <c r="H324">
        <v>63881723</v>
      </c>
      <c r="I324">
        <v>371</v>
      </c>
      <c r="J324">
        <v>1</v>
      </c>
      <c r="K324">
        <v>0.96296298503875732</v>
      </c>
      <c r="L324">
        <v>0.93333333730697632</v>
      </c>
      <c r="M324">
        <v>0.93333333333333335</v>
      </c>
      <c r="N324">
        <v>0.92592592592592593</v>
      </c>
      <c r="O324">
        <v>1</v>
      </c>
      <c r="P324">
        <v>19669</v>
      </c>
      <c r="Q324">
        <v>241945130</v>
      </c>
      <c r="R324">
        <v>10543</v>
      </c>
      <c r="S324">
        <v>2</v>
      </c>
      <c r="T324">
        <v>68</v>
      </c>
      <c r="U324">
        <v>0.93333333333333335</v>
      </c>
      <c r="V324">
        <v>0.92592592592592593</v>
      </c>
      <c r="W324">
        <v>1</v>
      </c>
      <c r="X324">
        <v>18351</v>
      </c>
      <c r="Y324">
        <v>222931748</v>
      </c>
      <c r="Z324">
        <v>10836</v>
      </c>
      <c r="AA324">
        <v>2</v>
      </c>
      <c r="AB324">
        <v>69</v>
      </c>
    </row>
    <row r="325" spans="1:28" hidden="1" x14ac:dyDescent="0.25">
      <c r="A325" s="7" t="s">
        <v>57</v>
      </c>
      <c r="B325">
        <v>8</v>
      </c>
      <c r="C325">
        <v>3</v>
      </c>
      <c r="D325">
        <v>2</v>
      </c>
      <c r="E325">
        <v>0</v>
      </c>
      <c r="F325" s="7" t="s">
        <v>74</v>
      </c>
      <c r="G325">
        <v>10772</v>
      </c>
      <c r="H325">
        <v>44248341</v>
      </c>
      <c r="I325">
        <v>250</v>
      </c>
      <c r="J325">
        <v>1</v>
      </c>
      <c r="K325">
        <v>0.96296298503875732</v>
      </c>
      <c r="L325">
        <v>0.97777777910232544</v>
      </c>
      <c r="M325">
        <v>0.9555555555555556</v>
      </c>
      <c r="N325">
        <v>0.92592592592592593</v>
      </c>
      <c r="O325">
        <v>1</v>
      </c>
      <c r="P325">
        <v>19196</v>
      </c>
      <c r="Q325">
        <v>233257512</v>
      </c>
      <c r="R325">
        <v>10543</v>
      </c>
      <c r="S325">
        <v>2</v>
      </c>
      <c r="T325">
        <v>68</v>
      </c>
      <c r="U325">
        <v>0.9555555555555556</v>
      </c>
      <c r="V325">
        <v>0.92592592592592593</v>
      </c>
      <c r="W325">
        <v>1</v>
      </c>
      <c r="X325">
        <v>18240</v>
      </c>
      <c r="Y325">
        <v>215193399</v>
      </c>
      <c r="Z325">
        <v>10836</v>
      </c>
      <c r="AA325">
        <v>2</v>
      </c>
      <c r="AB325">
        <v>69</v>
      </c>
    </row>
    <row r="326" spans="1:28" hidden="1" x14ac:dyDescent="0.25">
      <c r="A326" s="7" t="s">
        <v>57</v>
      </c>
      <c r="B326">
        <v>8</v>
      </c>
      <c r="C326">
        <v>3</v>
      </c>
      <c r="D326">
        <v>2</v>
      </c>
      <c r="E326">
        <v>0</v>
      </c>
      <c r="F326" s="7" t="s">
        <v>74</v>
      </c>
      <c r="G326">
        <v>10772</v>
      </c>
      <c r="H326">
        <v>56043774</v>
      </c>
      <c r="I326">
        <v>316</v>
      </c>
      <c r="J326">
        <v>1</v>
      </c>
      <c r="K326">
        <v>0.92592591047286987</v>
      </c>
      <c r="L326">
        <v>0.97777777910232544</v>
      </c>
      <c r="M326">
        <v>0.9555555555555556</v>
      </c>
      <c r="N326">
        <v>0.96296296296296291</v>
      </c>
      <c r="O326">
        <v>1</v>
      </c>
      <c r="P326">
        <v>18575</v>
      </c>
      <c r="Q326">
        <v>219735448</v>
      </c>
      <c r="R326">
        <v>10543</v>
      </c>
      <c r="S326">
        <v>2</v>
      </c>
      <c r="T326">
        <v>68</v>
      </c>
      <c r="U326">
        <v>0.9555555555555556</v>
      </c>
      <c r="V326">
        <v>0.92592592592592593</v>
      </c>
      <c r="W326">
        <v>1</v>
      </c>
      <c r="X326">
        <v>18442</v>
      </c>
      <c r="Y326">
        <v>219743523</v>
      </c>
      <c r="Z326">
        <v>10836</v>
      </c>
      <c r="AA326">
        <v>2</v>
      </c>
      <c r="AB326">
        <v>69</v>
      </c>
    </row>
    <row r="327" spans="1:28" hidden="1" x14ac:dyDescent="0.25">
      <c r="A327" s="7" t="s">
        <v>57</v>
      </c>
      <c r="B327">
        <v>10</v>
      </c>
      <c r="C327">
        <v>3</v>
      </c>
      <c r="D327">
        <v>3</v>
      </c>
      <c r="E327">
        <v>0</v>
      </c>
      <c r="F327" s="7" t="s">
        <v>76</v>
      </c>
      <c r="G327">
        <v>2316</v>
      </c>
      <c r="H327">
        <v>15731046</v>
      </c>
      <c r="I327">
        <v>178</v>
      </c>
      <c r="J327">
        <v>1</v>
      </c>
      <c r="K327">
        <v>0.96296298503875732</v>
      </c>
      <c r="L327">
        <v>0.95555555820465088</v>
      </c>
      <c r="M327">
        <v>0.9555555555555556</v>
      </c>
      <c r="N327">
        <v>0.92592592592592593</v>
      </c>
      <c r="O327">
        <v>1</v>
      </c>
      <c r="P327">
        <v>20814</v>
      </c>
      <c r="Q327">
        <v>210369707</v>
      </c>
      <c r="R327">
        <v>2236</v>
      </c>
      <c r="S327">
        <v>2</v>
      </c>
      <c r="T327">
        <v>29</v>
      </c>
      <c r="U327">
        <v>0.9555555555555556</v>
      </c>
      <c r="V327">
        <v>0.88888888888888884</v>
      </c>
      <c r="W327">
        <v>1</v>
      </c>
      <c r="X327">
        <v>19763</v>
      </c>
      <c r="Y327">
        <v>198357244</v>
      </c>
      <c r="Z327">
        <v>2373</v>
      </c>
      <c r="AA327">
        <v>2</v>
      </c>
      <c r="AB327">
        <v>30</v>
      </c>
    </row>
    <row r="328" spans="1:28" hidden="1" x14ac:dyDescent="0.25">
      <c r="A328" s="7" t="s">
        <v>57</v>
      </c>
      <c r="B328">
        <v>10</v>
      </c>
      <c r="C328">
        <v>3</v>
      </c>
      <c r="D328">
        <v>3</v>
      </c>
      <c r="E328">
        <v>0</v>
      </c>
      <c r="F328" s="7" t="s">
        <v>76</v>
      </c>
      <c r="G328">
        <v>2316</v>
      </c>
      <c r="H328">
        <v>13442652</v>
      </c>
      <c r="I328">
        <v>145</v>
      </c>
      <c r="J328">
        <v>1</v>
      </c>
      <c r="K328">
        <v>0.96296298503875732</v>
      </c>
      <c r="L328">
        <v>0.97777777910232544</v>
      </c>
      <c r="M328">
        <v>0.91111111111111109</v>
      </c>
      <c r="N328">
        <v>0.81481481481481477</v>
      </c>
      <c r="O328">
        <v>1</v>
      </c>
      <c r="P328">
        <v>16278</v>
      </c>
      <c r="Q328">
        <v>158400355</v>
      </c>
      <c r="R328">
        <v>2236</v>
      </c>
      <c r="S328">
        <v>2</v>
      </c>
      <c r="T328">
        <v>29</v>
      </c>
      <c r="U328">
        <v>0.97777777777777775</v>
      </c>
      <c r="V328">
        <v>0.96296296296296291</v>
      </c>
      <c r="W328">
        <v>1</v>
      </c>
      <c r="X328">
        <v>22788</v>
      </c>
      <c r="Y328">
        <v>232326230</v>
      </c>
      <c r="Z328">
        <v>2373</v>
      </c>
      <c r="AA328">
        <v>2</v>
      </c>
      <c r="AB328">
        <v>30</v>
      </c>
    </row>
    <row r="329" spans="1:28" hidden="1" x14ac:dyDescent="0.25">
      <c r="A329" s="7" t="s">
        <v>57</v>
      </c>
      <c r="B329">
        <v>10</v>
      </c>
      <c r="C329">
        <v>3</v>
      </c>
      <c r="D329">
        <v>3</v>
      </c>
      <c r="E329">
        <v>0</v>
      </c>
      <c r="F329" s="7" t="s">
        <v>76</v>
      </c>
      <c r="G329">
        <v>2316</v>
      </c>
      <c r="H329">
        <v>12259536</v>
      </c>
      <c r="I329">
        <v>137</v>
      </c>
      <c r="J329">
        <v>1</v>
      </c>
      <c r="K329">
        <v>0.96296298503875732</v>
      </c>
      <c r="L329">
        <v>0.93333333730697632</v>
      </c>
      <c r="M329">
        <v>0.93333333333333335</v>
      </c>
      <c r="N329">
        <v>0.88888888888888884</v>
      </c>
      <c r="O329">
        <v>1</v>
      </c>
      <c r="P329">
        <v>25049</v>
      </c>
      <c r="Q329">
        <v>259459922</v>
      </c>
      <c r="R329">
        <v>2236</v>
      </c>
      <c r="S329">
        <v>2</v>
      </c>
      <c r="T329">
        <v>29</v>
      </c>
      <c r="U329">
        <v>0.91111111111111109</v>
      </c>
      <c r="V329">
        <v>0.81481481481481477</v>
      </c>
      <c r="W329">
        <v>1</v>
      </c>
      <c r="X329">
        <v>22157</v>
      </c>
      <c r="Y329">
        <v>229639577</v>
      </c>
      <c r="Z329">
        <v>2373</v>
      </c>
      <c r="AA329">
        <v>2</v>
      </c>
      <c r="AB329">
        <v>30</v>
      </c>
    </row>
    <row r="330" spans="1:28" hidden="1" x14ac:dyDescent="0.25">
      <c r="A330" s="7" t="s">
        <v>57</v>
      </c>
      <c r="B330">
        <v>10</v>
      </c>
      <c r="C330">
        <v>3</v>
      </c>
      <c r="D330">
        <v>3</v>
      </c>
      <c r="E330">
        <v>0</v>
      </c>
      <c r="F330" s="7" t="s">
        <v>76</v>
      </c>
      <c r="G330">
        <v>2316</v>
      </c>
      <c r="H330">
        <v>20147910</v>
      </c>
      <c r="I330">
        <v>198</v>
      </c>
      <c r="J330">
        <v>1</v>
      </c>
      <c r="K330">
        <v>0.96296298503875732</v>
      </c>
      <c r="L330">
        <v>0.97777777910232544</v>
      </c>
      <c r="M330">
        <v>0.9555555555555556</v>
      </c>
      <c r="N330">
        <v>0.88888888888888884</v>
      </c>
      <c r="O330">
        <v>1</v>
      </c>
      <c r="P330">
        <v>21960</v>
      </c>
      <c r="Q330">
        <v>227401509</v>
      </c>
      <c r="R330">
        <v>2236</v>
      </c>
      <c r="S330">
        <v>2</v>
      </c>
      <c r="T330">
        <v>29</v>
      </c>
      <c r="U330">
        <v>0.9555555555555556</v>
      </c>
      <c r="V330">
        <v>0.92592592592592593</v>
      </c>
      <c r="W330">
        <v>1</v>
      </c>
      <c r="X330">
        <v>24352</v>
      </c>
      <c r="Y330">
        <v>236361130</v>
      </c>
      <c r="Z330">
        <v>2373</v>
      </c>
      <c r="AA330">
        <v>2</v>
      </c>
      <c r="AB330">
        <v>30</v>
      </c>
    </row>
    <row r="331" spans="1:28" hidden="1" x14ac:dyDescent="0.25">
      <c r="A331" s="7" t="s">
        <v>57</v>
      </c>
      <c r="B331">
        <v>10</v>
      </c>
      <c r="C331">
        <v>3</v>
      </c>
      <c r="D331">
        <v>3</v>
      </c>
      <c r="E331">
        <v>0</v>
      </c>
      <c r="F331" s="7" t="s">
        <v>76</v>
      </c>
      <c r="G331">
        <v>2316</v>
      </c>
      <c r="H331">
        <v>14374360</v>
      </c>
      <c r="I331">
        <v>160</v>
      </c>
      <c r="J331">
        <v>1</v>
      </c>
      <c r="K331">
        <v>0.96296298503875732</v>
      </c>
      <c r="L331">
        <v>0.95555555820465088</v>
      </c>
      <c r="M331">
        <v>0.9555555555555556</v>
      </c>
      <c r="N331">
        <v>0.88888888888888884</v>
      </c>
      <c r="O331">
        <v>1</v>
      </c>
      <c r="P331">
        <v>19513</v>
      </c>
      <c r="Q331">
        <v>195237397</v>
      </c>
      <c r="R331">
        <v>2236</v>
      </c>
      <c r="S331">
        <v>2</v>
      </c>
      <c r="T331">
        <v>29</v>
      </c>
      <c r="U331">
        <v>0.97777777777777775</v>
      </c>
      <c r="V331">
        <v>0.81481481481481477</v>
      </c>
      <c r="W331">
        <v>1</v>
      </c>
      <c r="X331">
        <v>15947</v>
      </c>
      <c r="Y331">
        <v>142341910</v>
      </c>
      <c r="Z331">
        <v>2373</v>
      </c>
      <c r="AA331">
        <v>2</v>
      </c>
      <c r="AB331">
        <v>30</v>
      </c>
    </row>
    <row r="332" spans="1:28" hidden="1" x14ac:dyDescent="0.25">
      <c r="A332" s="7" t="s">
        <v>57</v>
      </c>
      <c r="B332">
        <v>10</v>
      </c>
      <c r="C332">
        <v>3</v>
      </c>
      <c r="D332">
        <v>3</v>
      </c>
      <c r="E332">
        <v>0</v>
      </c>
      <c r="F332" s="7" t="s">
        <v>61</v>
      </c>
      <c r="G332">
        <v>3601</v>
      </c>
      <c r="H332">
        <v>8458447</v>
      </c>
      <c r="I332">
        <v>89</v>
      </c>
      <c r="J332">
        <v>1</v>
      </c>
      <c r="K332">
        <v>0.92592591047286987</v>
      </c>
      <c r="L332">
        <v>0.95555555820465088</v>
      </c>
      <c r="M332">
        <v>0.91111111111111109</v>
      </c>
      <c r="N332">
        <v>0.92592592592592593</v>
      </c>
      <c r="O332">
        <v>1</v>
      </c>
      <c r="P332">
        <v>21747</v>
      </c>
      <c r="Q332">
        <v>214851432</v>
      </c>
      <c r="R332">
        <v>3444</v>
      </c>
      <c r="S332">
        <v>2</v>
      </c>
      <c r="T332">
        <v>37</v>
      </c>
      <c r="U332">
        <v>0.9555555555555556</v>
      </c>
      <c r="V332">
        <v>0.88888888888888884</v>
      </c>
      <c r="W332">
        <v>1</v>
      </c>
      <c r="X332">
        <v>25562</v>
      </c>
      <c r="Y332">
        <v>228792972</v>
      </c>
      <c r="Z332">
        <v>3613</v>
      </c>
      <c r="AA332">
        <v>2</v>
      </c>
      <c r="AB332">
        <v>38</v>
      </c>
    </row>
    <row r="333" spans="1:28" hidden="1" x14ac:dyDescent="0.25">
      <c r="A333" s="7" t="s">
        <v>28</v>
      </c>
      <c r="B333">
        <v>8</v>
      </c>
      <c r="C333">
        <v>3</v>
      </c>
      <c r="D333">
        <v>2</v>
      </c>
      <c r="E333">
        <v>0</v>
      </c>
      <c r="F333" s="7" t="s">
        <v>29</v>
      </c>
      <c r="G333">
        <v>9176</v>
      </c>
      <c r="H333">
        <v>173741136</v>
      </c>
      <c r="I333">
        <v>986</v>
      </c>
      <c r="J333">
        <v>1</v>
      </c>
      <c r="K333">
        <v>0.95348834991455078</v>
      </c>
      <c r="L333">
        <v>0.93706291913986206</v>
      </c>
      <c r="M333">
        <v>0.95804195804195802</v>
      </c>
      <c r="N333">
        <v>0.93023255813953487</v>
      </c>
      <c r="O333">
        <v>0.99411764705882355</v>
      </c>
      <c r="P333">
        <v>15099</v>
      </c>
      <c r="Q333">
        <v>426688123</v>
      </c>
      <c r="R333">
        <v>9029</v>
      </c>
      <c r="S333">
        <v>2</v>
      </c>
      <c r="T333">
        <v>59</v>
      </c>
      <c r="U333">
        <v>0.93706293706293708</v>
      </c>
      <c r="V333">
        <v>0.89534883720930236</v>
      </c>
      <c r="W333">
        <v>0.99411764705882355</v>
      </c>
      <c r="X333">
        <v>30264</v>
      </c>
      <c r="Y333">
        <v>898275724</v>
      </c>
      <c r="Z333">
        <v>9302</v>
      </c>
      <c r="AA333">
        <v>2</v>
      </c>
      <c r="AB333">
        <v>60</v>
      </c>
    </row>
    <row r="334" spans="1:28" hidden="1" x14ac:dyDescent="0.25">
      <c r="A334" s="7" t="s">
        <v>28</v>
      </c>
      <c r="B334">
        <v>8</v>
      </c>
      <c r="C334">
        <v>3</v>
      </c>
      <c r="D334">
        <v>2</v>
      </c>
      <c r="E334">
        <v>0</v>
      </c>
      <c r="F334" s="7" t="s">
        <v>29</v>
      </c>
      <c r="G334">
        <v>9176</v>
      </c>
      <c r="H334">
        <v>401952003</v>
      </c>
      <c r="I334">
        <v>1785</v>
      </c>
      <c r="J334">
        <v>1</v>
      </c>
      <c r="K334">
        <v>0.93023258447647095</v>
      </c>
      <c r="L334">
        <v>0.93706291913986206</v>
      </c>
      <c r="M334">
        <v>0.95104895104895104</v>
      </c>
      <c r="N334">
        <v>0.94186046511627908</v>
      </c>
      <c r="O334">
        <v>1</v>
      </c>
      <c r="P334">
        <v>100000</v>
      </c>
      <c r="Q334">
        <v>3539097677</v>
      </c>
      <c r="R334">
        <v>9029</v>
      </c>
      <c r="S334">
        <v>2</v>
      </c>
      <c r="T334">
        <v>59</v>
      </c>
      <c r="U334">
        <v>0.95804195804195802</v>
      </c>
      <c r="V334">
        <v>0.93023255813953487</v>
      </c>
      <c r="W334">
        <v>1</v>
      </c>
      <c r="X334">
        <v>62974</v>
      </c>
      <c r="Y334">
        <v>2017199651</v>
      </c>
      <c r="Z334">
        <v>9302</v>
      </c>
      <c r="AA334">
        <v>2</v>
      </c>
      <c r="AB334">
        <v>60</v>
      </c>
    </row>
    <row r="335" spans="1:28" hidden="1" x14ac:dyDescent="0.25">
      <c r="A335" s="7" t="s">
        <v>28</v>
      </c>
      <c r="B335">
        <v>8</v>
      </c>
      <c r="C335">
        <v>3</v>
      </c>
      <c r="D335">
        <v>2</v>
      </c>
      <c r="E335">
        <v>0</v>
      </c>
      <c r="F335" s="7" t="s">
        <v>30</v>
      </c>
      <c r="G335">
        <v>11261</v>
      </c>
      <c r="H335">
        <v>226316494</v>
      </c>
      <c r="I335">
        <v>960</v>
      </c>
      <c r="J335">
        <v>1</v>
      </c>
      <c r="K335">
        <v>0.94186043739318848</v>
      </c>
      <c r="L335">
        <v>0.96503496170043945</v>
      </c>
      <c r="M335">
        <v>0.95804195804195802</v>
      </c>
      <c r="N335">
        <v>0.93023255813953487</v>
      </c>
      <c r="O335">
        <v>0.99411764705882355</v>
      </c>
      <c r="P335">
        <v>14660</v>
      </c>
      <c r="Q335">
        <v>531474442</v>
      </c>
      <c r="R335">
        <v>11024</v>
      </c>
      <c r="S335">
        <v>2</v>
      </c>
      <c r="T335">
        <v>66</v>
      </c>
      <c r="U335">
        <v>0.97202797202797198</v>
      </c>
      <c r="V335">
        <v>0.94186046511627908</v>
      </c>
      <c r="W335">
        <v>1</v>
      </c>
      <c r="X335">
        <v>75275</v>
      </c>
      <c r="Y335">
        <v>2757603194</v>
      </c>
      <c r="Z335">
        <v>11325</v>
      </c>
      <c r="AA335">
        <v>2</v>
      </c>
      <c r="AB335">
        <v>67</v>
      </c>
    </row>
    <row r="336" spans="1:28" hidden="1" x14ac:dyDescent="0.25">
      <c r="A336" s="7" t="s">
        <v>28</v>
      </c>
      <c r="B336">
        <v>8</v>
      </c>
      <c r="C336">
        <v>3</v>
      </c>
      <c r="D336">
        <v>2</v>
      </c>
      <c r="E336">
        <v>0</v>
      </c>
      <c r="F336" s="7" t="s">
        <v>30</v>
      </c>
      <c r="G336">
        <v>11261</v>
      </c>
      <c r="H336">
        <v>337790871</v>
      </c>
      <c r="I336">
        <v>1364</v>
      </c>
      <c r="J336">
        <v>1</v>
      </c>
      <c r="K336">
        <v>0.91860467195510864</v>
      </c>
      <c r="L336">
        <v>0.96503496170043945</v>
      </c>
      <c r="M336">
        <v>0.94405594405594406</v>
      </c>
      <c r="N336">
        <v>0.94186046511627908</v>
      </c>
      <c r="O336">
        <v>1</v>
      </c>
      <c r="P336">
        <v>71862</v>
      </c>
      <c r="Q336">
        <v>2935136691</v>
      </c>
      <c r="R336">
        <v>11024</v>
      </c>
      <c r="S336">
        <v>2</v>
      </c>
      <c r="T336">
        <v>66</v>
      </c>
      <c r="U336">
        <v>0.95804195804195802</v>
      </c>
      <c r="V336">
        <v>0.91860465116279066</v>
      </c>
      <c r="W336">
        <v>0.99411764705882355</v>
      </c>
      <c r="X336">
        <v>19087</v>
      </c>
      <c r="Y336">
        <v>605477416</v>
      </c>
      <c r="Z336">
        <v>11325</v>
      </c>
      <c r="AA336">
        <v>2</v>
      </c>
      <c r="AB336">
        <v>67</v>
      </c>
    </row>
    <row r="337" spans="1:28" hidden="1" x14ac:dyDescent="0.25">
      <c r="A337" s="7" t="s">
        <v>28</v>
      </c>
      <c r="B337">
        <v>8</v>
      </c>
      <c r="C337">
        <v>3</v>
      </c>
      <c r="D337">
        <v>2</v>
      </c>
      <c r="E337">
        <v>0</v>
      </c>
      <c r="F337" s="7" t="s">
        <v>30</v>
      </c>
      <c r="G337">
        <v>11261</v>
      </c>
      <c r="H337">
        <v>188316747</v>
      </c>
      <c r="I337">
        <v>747</v>
      </c>
      <c r="J337">
        <v>1</v>
      </c>
      <c r="K337">
        <v>0.93023258447647095</v>
      </c>
      <c r="L337">
        <v>0.97202795743942261</v>
      </c>
      <c r="M337">
        <v>0.95804195804195802</v>
      </c>
      <c r="N337">
        <v>0.94186046511627908</v>
      </c>
      <c r="O337">
        <v>1</v>
      </c>
      <c r="P337">
        <v>100000</v>
      </c>
      <c r="Q337">
        <v>3606701699</v>
      </c>
      <c r="R337">
        <v>11024</v>
      </c>
      <c r="S337">
        <v>2</v>
      </c>
      <c r="T337">
        <v>66</v>
      </c>
      <c r="U337">
        <v>0.95104895104895104</v>
      </c>
      <c r="V337">
        <v>0.91860465116279066</v>
      </c>
      <c r="W337">
        <v>0.99411764705882355</v>
      </c>
      <c r="X337">
        <v>18255</v>
      </c>
      <c r="Y337">
        <v>481704435</v>
      </c>
      <c r="Z337">
        <v>11325</v>
      </c>
      <c r="AA337">
        <v>2</v>
      </c>
      <c r="AB337">
        <v>67</v>
      </c>
    </row>
    <row r="338" spans="1:28" hidden="1" x14ac:dyDescent="0.25">
      <c r="A338" s="7" t="s">
        <v>28</v>
      </c>
      <c r="B338">
        <v>8</v>
      </c>
      <c r="C338">
        <v>3</v>
      </c>
      <c r="D338">
        <v>2</v>
      </c>
      <c r="E338">
        <v>0</v>
      </c>
      <c r="F338" s="7" t="s">
        <v>30</v>
      </c>
      <c r="G338">
        <v>11261</v>
      </c>
      <c r="H338">
        <v>205992115</v>
      </c>
      <c r="I338">
        <v>933</v>
      </c>
      <c r="J338">
        <v>1</v>
      </c>
      <c r="K338">
        <v>0.93023258447647095</v>
      </c>
      <c r="L338">
        <v>0.94405591487884521</v>
      </c>
      <c r="M338">
        <v>0.94405594405594406</v>
      </c>
      <c r="N338">
        <v>0.93023255813953487</v>
      </c>
      <c r="O338">
        <v>1</v>
      </c>
      <c r="P338">
        <v>61470</v>
      </c>
      <c r="Q338">
        <v>2439150890</v>
      </c>
      <c r="R338">
        <v>11024</v>
      </c>
      <c r="S338">
        <v>2</v>
      </c>
      <c r="T338">
        <v>66</v>
      </c>
      <c r="U338">
        <v>0.93706293706293708</v>
      </c>
      <c r="V338">
        <v>0.90697674418604646</v>
      </c>
      <c r="W338">
        <v>0.98529411764705888</v>
      </c>
      <c r="X338">
        <v>16603</v>
      </c>
      <c r="Y338">
        <v>447121150</v>
      </c>
      <c r="Z338">
        <v>11325</v>
      </c>
      <c r="AA338">
        <v>2</v>
      </c>
      <c r="AB338">
        <v>67</v>
      </c>
    </row>
    <row r="339" spans="1:28" hidden="1" x14ac:dyDescent="0.25">
      <c r="A339" s="7" t="s">
        <v>28</v>
      </c>
      <c r="B339">
        <v>8</v>
      </c>
      <c r="C339">
        <v>3</v>
      </c>
      <c r="D339">
        <v>2</v>
      </c>
      <c r="E339">
        <v>0</v>
      </c>
      <c r="F339" s="7" t="s">
        <v>30</v>
      </c>
      <c r="G339">
        <v>11261</v>
      </c>
      <c r="H339">
        <v>232044217</v>
      </c>
      <c r="I339">
        <v>927</v>
      </c>
      <c r="J339">
        <v>1</v>
      </c>
      <c r="K339">
        <v>0.94186043739318848</v>
      </c>
      <c r="L339">
        <v>0.93706291913986206</v>
      </c>
      <c r="M339">
        <v>0.94405594405594406</v>
      </c>
      <c r="N339">
        <v>0.90697674418604646</v>
      </c>
      <c r="O339">
        <v>0.99705882352941178</v>
      </c>
      <c r="P339">
        <v>17338</v>
      </c>
      <c r="Q339">
        <v>944458867</v>
      </c>
      <c r="R339">
        <v>11024</v>
      </c>
      <c r="S339">
        <v>2</v>
      </c>
      <c r="T339">
        <v>66</v>
      </c>
      <c r="U339">
        <v>0.95104895104895104</v>
      </c>
      <c r="V339">
        <v>0.94186046511627908</v>
      </c>
      <c r="W339">
        <v>1</v>
      </c>
      <c r="X339">
        <v>100000</v>
      </c>
      <c r="Y339">
        <v>3828513402</v>
      </c>
      <c r="Z339">
        <v>11325</v>
      </c>
      <c r="AA339">
        <v>2</v>
      </c>
      <c r="AB339">
        <v>67</v>
      </c>
    </row>
    <row r="340" spans="1:28" hidden="1" x14ac:dyDescent="0.25">
      <c r="A340" s="7" t="s">
        <v>28</v>
      </c>
      <c r="B340">
        <v>8</v>
      </c>
      <c r="C340">
        <v>3</v>
      </c>
      <c r="D340">
        <v>2</v>
      </c>
      <c r="E340">
        <v>0</v>
      </c>
      <c r="F340" s="7" t="s">
        <v>31</v>
      </c>
      <c r="G340">
        <v>13346</v>
      </c>
      <c r="H340">
        <v>482095374</v>
      </c>
      <c r="I340">
        <v>1608</v>
      </c>
      <c r="J340">
        <v>1</v>
      </c>
      <c r="K340">
        <v>0.91860467195510864</v>
      </c>
      <c r="L340">
        <v>0.97902095317840576</v>
      </c>
      <c r="M340">
        <v>0.94405594405594406</v>
      </c>
      <c r="N340">
        <v>0.91860465116279066</v>
      </c>
      <c r="O340">
        <v>0.99117647058823533</v>
      </c>
      <c r="P340">
        <v>21655</v>
      </c>
      <c r="Q340">
        <v>1531731099</v>
      </c>
      <c r="R340">
        <v>13215</v>
      </c>
      <c r="S340">
        <v>2</v>
      </c>
      <c r="T340">
        <v>73</v>
      </c>
      <c r="U340">
        <v>0.95104895104895104</v>
      </c>
      <c r="V340">
        <v>0.91860465116279066</v>
      </c>
      <c r="W340">
        <v>0.99411764705882355</v>
      </c>
      <c r="X340">
        <v>24796</v>
      </c>
      <c r="Y340">
        <v>893962424</v>
      </c>
      <c r="Z340">
        <v>13544</v>
      </c>
      <c r="AA340">
        <v>2</v>
      </c>
      <c r="AB340">
        <v>74</v>
      </c>
    </row>
    <row r="341" spans="1:28" hidden="1" x14ac:dyDescent="0.25">
      <c r="A341" s="7" t="s">
        <v>28</v>
      </c>
      <c r="B341">
        <v>8</v>
      </c>
      <c r="C341">
        <v>3</v>
      </c>
      <c r="D341">
        <v>2</v>
      </c>
      <c r="E341">
        <v>0</v>
      </c>
      <c r="F341" s="7" t="s">
        <v>31</v>
      </c>
      <c r="G341">
        <v>13346</v>
      </c>
      <c r="H341">
        <v>832315228</v>
      </c>
      <c r="I341">
        <v>3002</v>
      </c>
      <c r="J341">
        <v>1</v>
      </c>
      <c r="K341">
        <v>0.93023258447647095</v>
      </c>
      <c r="L341">
        <v>0.97202795743942261</v>
      </c>
      <c r="M341">
        <v>0.95104895104895104</v>
      </c>
      <c r="N341">
        <v>0.95348837209302328</v>
      </c>
      <c r="O341">
        <v>1</v>
      </c>
      <c r="P341">
        <v>52878</v>
      </c>
      <c r="Q341">
        <v>4310421907</v>
      </c>
      <c r="R341">
        <v>13215</v>
      </c>
      <c r="S341">
        <v>2</v>
      </c>
      <c r="T341">
        <v>73</v>
      </c>
      <c r="U341">
        <v>0.95104895104895104</v>
      </c>
      <c r="V341">
        <v>0.94186046511627908</v>
      </c>
      <c r="W341">
        <v>1</v>
      </c>
      <c r="X341">
        <v>56751</v>
      </c>
      <c r="Y341">
        <v>2192564111</v>
      </c>
      <c r="Z341">
        <v>13544</v>
      </c>
      <c r="AA341">
        <v>2</v>
      </c>
      <c r="AB341">
        <v>74</v>
      </c>
    </row>
    <row r="342" spans="1:28" hidden="1" x14ac:dyDescent="0.25">
      <c r="A342" s="7" t="s">
        <v>57</v>
      </c>
      <c r="B342">
        <v>10</v>
      </c>
      <c r="C342">
        <v>3</v>
      </c>
      <c r="D342">
        <v>3</v>
      </c>
      <c r="E342">
        <v>0</v>
      </c>
      <c r="F342" s="7" t="s">
        <v>61</v>
      </c>
      <c r="G342">
        <v>3601</v>
      </c>
      <c r="H342">
        <v>12098708</v>
      </c>
      <c r="I342">
        <v>181</v>
      </c>
      <c r="J342">
        <v>1</v>
      </c>
      <c r="K342">
        <v>0.96296298503875732</v>
      </c>
      <c r="L342">
        <v>0.95555555820465088</v>
      </c>
      <c r="M342">
        <v>0.93333333333333335</v>
      </c>
      <c r="N342">
        <v>1</v>
      </c>
      <c r="O342">
        <v>1</v>
      </c>
      <c r="P342">
        <v>10487</v>
      </c>
      <c r="Q342">
        <v>70495821</v>
      </c>
      <c r="R342">
        <v>3444</v>
      </c>
      <c r="S342">
        <v>2</v>
      </c>
      <c r="T342">
        <v>37</v>
      </c>
      <c r="U342">
        <v>0.9555555555555556</v>
      </c>
      <c r="V342">
        <v>1</v>
      </c>
      <c r="W342">
        <v>0.99056603773584906</v>
      </c>
      <c r="X342">
        <v>10132</v>
      </c>
      <c r="Y342">
        <v>66284350</v>
      </c>
      <c r="Z342">
        <v>3613</v>
      </c>
      <c r="AA342">
        <v>2</v>
      </c>
      <c r="AB342">
        <v>38</v>
      </c>
    </row>
    <row r="343" spans="1:28" hidden="1" x14ac:dyDescent="0.25">
      <c r="A343" s="7" t="s">
        <v>57</v>
      </c>
      <c r="B343">
        <v>10</v>
      </c>
      <c r="C343">
        <v>3</v>
      </c>
      <c r="D343">
        <v>3</v>
      </c>
      <c r="E343">
        <v>0</v>
      </c>
      <c r="F343" s="7" t="s">
        <v>61</v>
      </c>
      <c r="G343">
        <v>3601</v>
      </c>
      <c r="H343">
        <v>7149451</v>
      </c>
      <c r="I343">
        <v>147</v>
      </c>
      <c r="J343">
        <v>0.8396226167678833</v>
      </c>
      <c r="K343">
        <v>1</v>
      </c>
      <c r="L343">
        <v>0.84444445371627808</v>
      </c>
      <c r="M343">
        <v>0.93333333333333335</v>
      </c>
      <c r="N343">
        <v>0.96296296296296291</v>
      </c>
      <c r="O343">
        <v>1</v>
      </c>
      <c r="P343">
        <v>100000</v>
      </c>
      <c r="Q343">
        <v>625355434</v>
      </c>
      <c r="R343">
        <v>3444</v>
      </c>
      <c r="S343">
        <v>2</v>
      </c>
      <c r="T343">
        <v>37</v>
      </c>
      <c r="U343">
        <v>0.93333333333333335</v>
      </c>
      <c r="V343">
        <v>0.96296296296296291</v>
      </c>
      <c r="W343">
        <v>1</v>
      </c>
      <c r="X343">
        <v>22962</v>
      </c>
      <c r="Y343">
        <v>140157536</v>
      </c>
      <c r="Z343">
        <v>3613</v>
      </c>
      <c r="AA343">
        <v>2</v>
      </c>
      <c r="AB343">
        <v>38</v>
      </c>
    </row>
    <row r="344" spans="1:28" hidden="1" x14ac:dyDescent="0.25">
      <c r="A344" s="7" t="s">
        <v>57</v>
      </c>
      <c r="B344">
        <v>10</v>
      </c>
      <c r="C344">
        <v>3</v>
      </c>
      <c r="D344">
        <v>3</v>
      </c>
      <c r="E344">
        <v>0</v>
      </c>
      <c r="F344" s="7" t="s">
        <v>61</v>
      </c>
      <c r="G344">
        <v>3601</v>
      </c>
      <c r="H344">
        <v>9260306</v>
      </c>
      <c r="I344">
        <v>186</v>
      </c>
      <c r="J344">
        <v>1</v>
      </c>
      <c r="K344">
        <v>0.96296298503875732</v>
      </c>
      <c r="L344">
        <v>0.97777777910232544</v>
      </c>
      <c r="M344">
        <v>0.93333333333333335</v>
      </c>
      <c r="N344">
        <v>0.96296296296296291</v>
      </c>
      <c r="O344">
        <v>1</v>
      </c>
      <c r="P344">
        <v>100000</v>
      </c>
      <c r="Q344">
        <v>615407319</v>
      </c>
      <c r="R344">
        <v>3444</v>
      </c>
      <c r="S344">
        <v>2</v>
      </c>
      <c r="T344">
        <v>37</v>
      </c>
      <c r="U344">
        <v>0.93333333333333335</v>
      </c>
      <c r="V344">
        <v>0.96296296296296291</v>
      </c>
      <c r="W344">
        <v>1</v>
      </c>
      <c r="X344">
        <v>100000</v>
      </c>
      <c r="Y344">
        <v>622873536</v>
      </c>
      <c r="Z344">
        <v>3613</v>
      </c>
      <c r="AA344">
        <v>2</v>
      </c>
      <c r="AB344">
        <v>38</v>
      </c>
    </row>
    <row r="345" spans="1:28" hidden="1" x14ac:dyDescent="0.25">
      <c r="A345" s="7" t="s">
        <v>57</v>
      </c>
      <c r="B345">
        <v>10</v>
      </c>
      <c r="C345">
        <v>3</v>
      </c>
      <c r="D345">
        <v>3</v>
      </c>
      <c r="E345">
        <v>0</v>
      </c>
      <c r="F345" s="7" t="s">
        <v>61</v>
      </c>
      <c r="G345">
        <v>3601</v>
      </c>
      <c r="H345">
        <v>6037310208</v>
      </c>
      <c r="I345">
        <v>100000</v>
      </c>
      <c r="J345">
        <v>1</v>
      </c>
      <c r="K345">
        <v>0.96296298503875732</v>
      </c>
      <c r="L345">
        <v>0.95555555820465088</v>
      </c>
      <c r="M345">
        <v>0.93333333333333335</v>
      </c>
      <c r="N345">
        <v>0.96296296296296291</v>
      </c>
      <c r="O345">
        <v>1</v>
      </c>
      <c r="P345">
        <v>19697</v>
      </c>
      <c r="Q345">
        <v>162290651</v>
      </c>
      <c r="R345">
        <v>3444</v>
      </c>
      <c r="S345">
        <v>2</v>
      </c>
      <c r="T345">
        <v>37</v>
      </c>
      <c r="U345">
        <v>0.93333333333333335</v>
      </c>
      <c r="V345">
        <v>0.96296296296296291</v>
      </c>
      <c r="W345">
        <v>1</v>
      </c>
      <c r="X345">
        <v>100000</v>
      </c>
      <c r="Y345">
        <v>833148581</v>
      </c>
      <c r="Z345">
        <v>3613</v>
      </c>
      <c r="AA345">
        <v>2</v>
      </c>
      <c r="AB345">
        <v>38</v>
      </c>
    </row>
    <row r="346" spans="1:28" hidden="1" x14ac:dyDescent="0.25">
      <c r="A346" s="7" t="s">
        <v>57</v>
      </c>
      <c r="B346">
        <v>10</v>
      </c>
      <c r="C346">
        <v>3</v>
      </c>
      <c r="D346">
        <v>3</v>
      </c>
      <c r="E346">
        <v>0</v>
      </c>
      <c r="F346" s="7" t="s">
        <v>71</v>
      </c>
      <c r="G346">
        <v>4886</v>
      </c>
      <c r="H346">
        <v>26085499</v>
      </c>
      <c r="I346">
        <v>377</v>
      </c>
      <c r="J346">
        <v>1</v>
      </c>
      <c r="K346">
        <v>0.96296298503875732</v>
      </c>
      <c r="L346">
        <v>0.97777777910232544</v>
      </c>
      <c r="M346">
        <v>0.93333333333333335</v>
      </c>
      <c r="N346">
        <v>0.96296296296296291</v>
      </c>
      <c r="O346">
        <v>1</v>
      </c>
      <c r="P346">
        <v>38200</v>
      </c>
      <c r="Q346">
        <v>308923374</v>
      </c>
      <c r="R346">
        <v>4711</v>
      </c>
      <c r="S346">
        <v>2</v>
      </c>
      <c r="T346">
        <v>44</v>
      </c>
      <c r="U346">
        <v>0.93333333333333335</v>
      </c>
      <c r="V346">
        <v>0.96296296296296291</v>
      </c>
      <c r="W346">
        <v>1</v>
      </c>
      <c r="X346">
        <v>42652</v>
      </c>
      <c r="Y346">
        <v>350411502</v>
      </c>
      <c r="Z346">
        <v>4908</v>
      </c>
      <c r="AA346">
        <v>2</v>
      </c>
      <c r="AB346">
        <v>45</v>
      </c>
    </row>
    <row r="347" spans="1:28" hidden="1" x14ac:dyDescent="0.25">
      <c r="A347" s="7" t="s">
        <v>57</v>
      </c>
      <c r="B347">
        <v>10</v>
      </c>
      <c r="C347">
        <v>3</v>
      </c>
      <c r="D347">
        <v>3</v>
      </c>
      <c r="E347">
        <v>0</v>
      </c>
      <c r="F347" s="7" t="s">
        <v>71</v>
      </c>
      <c r="G347">
        <v>4886</v>
      </c>
      <c r="H347">
        <v>19207489</v>
      </c>
      <c r="I347">
        <v>277</v>
      </c>
      <c r="J347">
        <v>1</v>
      </c>
      <c r="K347">
        <v>0.96296298503875732</v>
      </c>
      <c r="L347">
        <v>0.93333333730697632</v>
      </c>
      <c r="M347">
        <v>0.93333333333333335</v>
      </c>
      <c r="N347">
        <v>0.96296296296296291</v>
      </c>
      <c r="O347">
        <v>1</v>
      </c>
      <c r="P347">
        <v>100000</v>
      </c>
      <c r="Q347">
        <v>807822556</v>
      </c>
      <c r="R347">
        <v>4711</v>
      </c>
      <c r="S347">
        <v>2</v>
      </c>
      <c r="T347">
        <v>44</v>
      </c>
      <c r="U347">
        <v>0.93333333333333335</v>
      </c>
      <c r="V347">
        <v>0.96296296296296291</v>
      </c>
      <c r="W347">
        <v>1</v>
      </c>
      <c r="X347">
        <v>100000</v>
      </c>
      <c r="Y347">
        <v>836501259</v>
      </c>
      <c r="Z347">
        <v>4908</v>
      </c>
      <c r="AA347">
        <v>2</v>
      </c>
      <c r="AB347">
        <v>45</v>
      </c>
    </row>
    <row r="348" spans="1:28" hidden="1" x14ac:dyDescent="0.25">
      <c r="A348" s="7" t="s">
        <v>57</v>
      </c>
      <c r="B348">
        <v>10</v>
      </c>
      <c r="C348">
        <v>3</v>
      </c>
      <c r="D348">
        <v>3</v>
      </c>
      <c r="E348">
        <v>0</v>
      </c>
      <c r="F348" s="7" t="s">
        <v>71</v>
      </c>
      <c r="G348">
        <v>4886</v>
      </c>
      <c r="H348">
        <v>26636208</v>
      </c>
      <c r="I348">
        <v>383</v>
      </c>
      <c r="J348">
        <v>1</v>
      </c>
      <c r="K348">
        <v>0.96296298503875732</v>
      </c>
      <c r="L348">
        <v>0.95555555820465088</v>
      </c>
      <c r="M348">
        <v>0.93333333333333335</v>
      </c>
      <c r="N348">
        <v>0.96296296296296291</v>
      </c>
      <c r="O348">
        <v>1</v>
      </c>
      <c r="P348">
        <v>22767</v>
      </c>
      <c r="Q348">
        <v>188421415</v>
      </c>
      <c r="R348">
        <v>4711</v>
      </c>
      <c r="S348">
        <v>2</v>
      </c>
      <c r="T348">
        <v>44</v>
      </c>
      <c r="U348">
        <v>0.93333333333333335</v>
      </c>
      <c r="V348">
        <v>0.96296296296296291</v>
      </c>
      <c r="W348">
        <v>1</v>
      </c>
      <c r="X348">
        <v>100000</v>
      </c>
      <c r="Y348">
        <v>838681508</v>
      </c>
      <c r="Z348">
        <v>4908</v>
      </c>
      <c r="AA348">
        <v>2</v>
      </c>
      <c r="AB348">
        <v>45</v>
      </c>
    </row>
    <row r="349" spans="1:28" hidden="1" x14ac:dyDescent="0.25">
      <c r="A349" s="7" t="s">
        <v>57</v>
      </c>
      <c r="B349">
        <v>10</v>
      </c>
      <c r="C349">
        <v>3</v>
      </c>
      <c r="D349">
        <v>3</v>
      </c>
      <c r="E349">
        <v>0</v>
      </c>
      <c r="F349" s="7" t="s">
        <v>71</v>
      </c>
      <c r="G349">
        <v>4886</v>
      </c>
      <c r="H349">
        <v>27660115</v>
      </c>
      <c r="I349">
        <v>412</v>
      </c>
      <c r="J349">
        <v>1</v>
      </c>
      <c r="K349">
        <v>0.96296298503875732</v>
      </c>
      <c r="L349">
        <v>0.95555555820465088</v>
      </c>
      <c r="M349">
        <v>0.93333333333333335</v>
      </c>
      <c r="N349">
        <v>0.96296296296296291</v>
      </c>
      <c r="O349">
        <v>1</v>
      </c>
      <c r="P349">
        <v>100000</v>
      </c>
      <c r="Q349">
        <v>834052879</v>
      </c>
      <c r="R349">
        <v>4711</v>
      </c>
      <c r="S349">
        <v>2</v>
      </c>
      <c r="T349">
        <v>44</v>
      </c>
      <c r="U349">
        <v>0.93333333333333335</v>
      </c>
      <c r="V349">
        <v>0.96296296296296291</v>
      </c>
      <c r="W349">
        <v>1</v>
      </c>
      <c r="X349">
        <v>33614</v>
      </c>
      <c r="Y349">
        <v>284961869</v>
      </c>
      <c r="Z349">
        <v>4908</v>
      </c>
      <c r="AA349">
        <v>2</v>
      </c>
      <c r="AB349">
        <v>45</v>
      </c>
    </row>
    <row r="350" spans="1:28" hidden="1" x14ac:dyDescent="0.25">
      <c r="A350" s="7" t="s">
        <v>57</v>
      </c>
      <c r="B350">
        <v>10</v>
      </c>
      <c r="C350">
        <v>3</v>
      </c>
      <c r="D350">
        <v>3</v>
      </c>
      <c r="E350">
        <v>0</v>
      </c>
      <c r="F350" s="7" t="s">
        <v>71</v>
      </c>
      <c r="G350">
        <v>4886</v>
      </c>
      <c r="H350">
        <v>8968448</v>
      </c>
      <c r="I350">
        <v>120</v>
      </c>
      <c r="J350">
        <v>1</v>
      </c>
      <c r="K350">
        <v>0.96296298503875732</v>
      </c>
      <c r="L350">
        <v>0.95555555820465088</v>
      </c>
      <c r="M350">
        <v>0.93333333333333335</v>
      </c>
      <c r="N350">
        <v>0.96296296296296291</v>
      </c>
      <c r="O350">
        <v>1</v>
      </c>
      <c r="P350">
        <v>53846</v>
      </c>
      <c r="Q350">
        <v>464506834</v>
      </c>
      <c r="R350">
        <v>4711</v>
      </c>
      <c r="S350">
        <v>2</v>
      </c>
      <c r="T350">
        <v>44</v>
      </c>
      <c r="U350">
        <v>0.93333333333333335</v>
      </c>
      <c r="V350">
        <v>1</v>
      </c>
      <c r="W350">
        <v>1</v>
      </c>
      <c r="X350">
        <v>12017</v>
      </c>
      <c r="Y350">
        <v>103321521</v>
      </c>
      <c r="Z350">
        <v>4908</v>
      </c>
      <c r="AA350">
        <v>2</v>
      </c>
      <c r="AB350">
        <v>45</v>
      </c>
    </row>
    <row r="351" spans="1:28" hidden="1" x14ac:dyDescent="0.25">
      <c r="A351" s="7" t="s">
        <v>57</v>
      </c>
      <c r="B351">
        <v>10</v>
      </c>
      <c r="C351">
        <v>3</v>
      </c>
      <c r="D351">
        <v>3</v>
      </c>
      <c r="E351">
        <v>0</v>
      </c>
      <c r="F351" s="7" t="s">
        <v>75</v>
      </c>
      <c r="G351">
        <v>6171</v>
      </c>
      <c r="H351">
        <v>10620329</v>
      </c>
      <c r="I351">
        <v>133</v>
      </c>
      <c r="J351">
        <v>1</v>
      </c>
      <c r="K351">
        <v>0.96296298503875732</v>
      </c>
      <c r="L351">
        <v>0.95555555820465088</v>
      </c>
      <c r="M351">
        <v>0.93333333333333335</v>
      </c>
      <c r="N351">
        <v>0.96296296296296291</v>
      </c>
      <c r="O351">
        <v>1</v>
      </c>
      <c r="P351">
        <v>19858</v>
      </c>
      <c r="Q351">
        <v>179206198</v>
      </c>
      <c r="R351">
        <v>5953</v>
      </c>
      <c r="S351">
        <v>2</v>
      </c>
      <c r="T351">
        <v>50</v>
      </c>
      <c r="U351">
        <v>0.93333333333333335</v>
      </c>
      <c r="V351">
        <v>0.96296296296296291</v>
      </c>
      <c r="W351">
        <v>1</v>
      </c>
      <c r="X351">
        <v>30347</v>
      </c>
      <c r="Y351">
        <v>267117538</v>
      </c>
      <c r="Z351">
        <v>6174</v>
      </c>
      <c r="AA351">
        <v>2</v>
      </c>
      <c r="AB351">
        <v>51</v>
      </c>
    </row>
    <row r="352" spans="1:28" hidden="1" x14ac:dyDescent="0.25">
      <c r="A352" s="7" t="s">
        <v>57</v>
      </c>
      <c r="B352">
        <v>10</v>
      </c>
      <c r="C352">
        <v>3</v>
      </c>
      <c r="D352">
        <v>3</v>
      </c>
      <c r="E352">
        <v>0</v>
      </c>
      <c r="F352" s="7" t="s">
        <v>75</v>
      </c>
      <c r="G352">
        <v>6171</v>
      </c>
      <c r="H352">
        <v>37008009</v>
      </c>
      <c r="I352">
        <v>475</v>
      </c>
      <c r="J352">
        <v>1</v>
      </c>
      <c r="K352">
        <v>0.96296298503875732</v>
      </c>
      <c r="L352">
        <v>0.95555555820465088</v>
      </c>
      <c r="M352">
        <v>0.93333333333333335</v>
      </c>
      <c r="N352">
        <v>0.96296296296296291</v>
      </c>
      <c r="O352">
        <v>1</v>
      </c>
      <c r="P352">
        <v>100000</v>
      </c>
      <c r="Q352">
        <v>849625064</v>
      </c>
      <c r="R352">
        <v>5953</v>
      </c>
      <c r="S352">
        <v>2</v>
      </c>
      <c r="T352">
        <v>50</v>
      </c>
      <c r="U352">
        <v>0.93333333333333335</v>
      </c>
      <c r="V352">
        <v>0.96296296296296291</v>
      </c>
      <c r="W352">
        <v>1</v>
      </c>
      <c r="X352">
        <v>18512</v>
      </c>
      <c r="Y352">
        <v>163701867</v>
      </c>
      <c r="Z352">
        <v>6174</v>
      </c>
      <c r="AA352">
        <v>2</v>
      </c>
      <c r="AB352">
        <v>51</v>
      </c>
    </row>
    <row r="353" spans="1:28" hidden="1" x14ac:dyDescent="0.25">
      <c r="A353" s="7" t="s">
        <v>57</v>
      </c>
      <c r="B353">
        <v>10</v>
      </c>
      <c r="C353">
        <v>3</v>
      </c>
      <c r="D353">
        <v>3</v>
      </c>
      <c r="E353">
        <v>0</v>
      </c>
      <c r="F353" s="7" t="s">
        <v>75</v>
      </c>
      <c r="G353">
        <v>6171</v>
      </c>
      <c r="H353">
        <v>14571428</v>
      </c>
      <c r="I353">
        <v>189</v>
      </c>
      <c r="J353">
        <v>1</v>
      </c>
      <c r="K353">
        <v>1</v>
      </c>
      <c r="L353">
        <v>0.95555555820465088</v>
      </c>
      <c r="M353">
        <v>0.93333333333333335</v>
      </c>
      <c r="N353">
        <v>0.96296296296296291</v>
      </c>
      <c r="O353">
        <v>1</v>
      </c>
      <c r="P353">
        <v>100000</v>
      </c>
      <c r="Q353">
        <v>846644452</v>
      </c>
      <c r="R353">
        <v>5953</v>
      </c>
      <c r="S353">
        <v>2</v>
      </c>
      <c r="T353">
        <v>50</v>
      </c>
      <c r="U353">
        <v>0.93333333333333335</v>
      </c>
      <c r="V353">
        <v>0.96296296296296291</v>
      </c>
      <c r="W353">
        <v>1</v>
      </c>
      <c r="X353">
        <v>34062</v>
      </c>
      <c r="Y353">
        <v>290623139</v>
      </c>
      <c r="Z353">
        <v>6174</v>
      </c>
      <c r="AA353">
        <v>2</v>
      </c>
      <c r="AB353">
        <v>51</v>
      </c>
    </row>
    <row r="354" spans="1:28" hidden="1" x14ac:dyDescent="0.25">
      <c r="A354" s="7" t="s">
        <v>57</v>
      </c>
      <c r="B354">
        <v>10</v>
      </c>
      <c r="C354">
        <v>3</v>
      </c>
      <c r="D354">
        <v>3</v>
      </c>
      <c r="E354">
        <v>0</v>
      </c>
      <c r="F354" s="7" t="s">
        <v>75</v>
      </c>
      <c r="G354">
        <v>6171</v>
      </c>
      <c r="H354">
        <v>17481585</v>
      </c>
      <c r="I354">
        <v>225</v>
      </c>
      <c r="J354">
        <v>1</v>
      </c>
      <c r="K354">
        <v>0.92592591047286987</v>
      </c>
      <c r="L354">
        <v>0.93333333730697632</v>
      </c>
      <c r="M354">
        <v>0.93333333333333335</v>
      </c>
      <c r="N354">
        <v>0.96296296296296291</v>
      </c>
      <c r="O354">
        <v>1</v>
      </c>
      <c r="P354">
        <v>19723</v>
      </c>
      <c r="Q354">
        <v>167367064</v>
      </c>
      <c r="R354">
        <v>5953</v>
      </c>
      <c r="S354">
        <v>2</v>
      </c>
      <c r="T354">
        <v>50</v>
      </c>
      <c r="U354">
        <v>0.93333333333333335</v>
      </c>
      <c r="V354">
        <v>0.96296296296296291</v>
      </c>
      <c r="W354">
        <v>1</v>
      </c>
      <c r="X354">
        <v>19409</v>
      </c>
      <c r="Y354">
        <v>162199602</v>
      </c>
      <c r="Z354">
        <v>6174</v>
      </c>
      <c r="AA354">
        <v>2</v>
      </c>
      <c r="AB354">
        <v>51</v>
      </c>
    </row>
    <row r="355" spans="1:28" hidden="1" x14ac:dyDescent="0.25">
      <c r="A355" s="7" t="s">
        <v>57</v>
      </c>
      <c r="B355">
        <v>10</v>
      </c>
      <c r="C355">
        <v>3</v>
      </c>
      <c r="D355">
        <v>3</v>
      </c>
      <c r="E355">
        <v>0</v>
      </c>
      <c r="F355" s="7" t="s">
        <v>75</v>
      </c>
      <c r="G355">
        <v>6171</v>
      </c>
      <c r="H355">
        <v>9176391</v>
      </c>
      <c r="I355">
        <v>113</v>
      </c>
      <c r="J355">
        <v>0.95283019542694092</v>
      </c>
      <c r="K355">
        <v>1</v>
      </c>
      <c r="L355">
        <v>0.97777777910232544</v>
      </c>
      <c r="M355">
        <v>0.93333333333333335</v>
      </c>
      <c r="N355">
        <v>0.96296296296296291</v>
      </c>
      <c r="O355">
        <v>1</v>
      </c>
      <c r="P355">
        <v>89571</v>
      </c>
      <c r="Q355">
        <v>762182256</v>
      </c>
      <c r="R355">
        <v>5953</v>
      </c>
      <c r="S355">
        <v>2</v>
      </c>
      <c r="T355">
        <v>50</v>
      </c>
      <c r="U355">
        <v>0.93333333333333335</v>
      </c>
      <c r="V355">
        <v>0.96296296296296291</v>
      </c>
      <c r="W355">
        <v>1</v>
      </c>
      <c r="X355">
        <v>100000</v>
      </c>
      <c r="Y355">
        <v>869615139</v>
      </c>
      <c r="Z355">
        <v>6174</v>
      </c>
      <c r="AA355">
        <v>2</v>
      </c>
      <c r="AB355">
        <v>51</v>
      </c>
    </row>
    <row r="356" spans="1:28" hidden="1" x14ac:dyDescent="0.25">
      <c r="A356" s="7" t="s">
        <v>57</v>
      </c>
      <c r="B356">
        <v>10</v>
      </c>
      <c r="C356">
        <v>3</v>
      </c>
      <c r="D356">
        <v>3</v>
      </c>
      <c r="E356">
        <v>0</v>
      </c>
      <c r="F356" s="7" t="s">
        <v>58</v>
      </c>
      <c r="G356">
        <v>6061</v>
      </c>
      <c r="H356">
        <v>10089131420</v>
      </c>
      <c r="I356">
        <v>100000</v>
      </c>
      <c r="J356">
        <v>1</v>
      </c>
      <c r="K356">
        <v>0.96296298503875732</v>
      </c>
      <c r="L356">
        <v>0.97777777910232544</v>
      </c>
      <c r="M356">
        <v>0.93333333333333335</v>
      </c>
      <c r="N356">
        <v>0.96296296296296291</v>
      </c>
      <c r="O356">
        <v>1</v>
      </c>
      <c r="P356">
        <v>19411</v>
      </c>
      <c r="Q356">
        <v>176524491</v>
      </c>
      <c r="R356">
        <v>5953</v>
      </c>
      <c r="S356">
        <v>2</v>
      </c>
      <c r="T356">
        <v>50</v>
      </c>
      <c r="U356">
        <v>0.93333333333333335</v>
      </c>
      <c r="V356">
        <v>1</v>
      </c>
      <c r="W356">
        <v>1</v>
      </c>
      <c r="X356">
        <v>53629</v>
      </c>
      <c r="Y356">
        <v>493398804</v>
      </c>
      <c r="Z356">
        <v>6174</v>
      </c>
      <c r="AA356">
        <v>2</v>
      </c>
      <c r="AB356">
        <v>51</v>
      </c>
    </row>
    <row r="357" spans="1:28" hidden="1" x14ac:dyDescent="0.25">
      <c r="A357" s="7" t="s">
        <v>57</v>
      </c>
      <c r="B357">
        <v>10</v>
      </c>
      <c r="C357">
        <v>3</v>
      </c>
      <c r="D357">
        <v>3</v>
      </c>
      <c r="E357">
        <v>0</v>
      </c>
      <c r="F357" s="7" t="s">
        <v>58</v>
      </c>
      <c r="G357">
        <v>6061</v>
      </c>
      <c r="H357">
        <v>1028657195</v>
      </c>
      <c r="I357">
        <v>10229</v>
      </c>
      <c r="J357">
        <v>0.71698111295700073</v>
      </c>
      <c r="K357">
        <v>0.92592591047286987</v>
      </c>
      <c r="L357">
        <v>0.73333334922790527</v>
      </c>
      <c r="M357">
        <v>0.93333333333333335</v>
      </c>
      <c r="N357">
        <v>0.96296296296296291</v>
      </c>
      <c r="O357">
        <v>1</v>
      </c>
      <c r="P357">
        <v>100000</v>
      </c>
      <c r="Q357">
        <v>900415004</v>
      </c>
      <c r="R357">
        <v>5953</v>
      </c>
      <c r="S357">
        <v>2</v>
      </c>
      <c r="T357">
        <v>50</v>
      </c>
      <c r="U357">
        <v>0.93333333333333335</v>
      </c>
      <c r="V357">
        <v>0.96296296296296291</v>
      </c>
      <c r="W357">
        <v>1</v>
      </c>
      <c r="X357">
        <v>19323</v>
      </c>
      <c r="Y357">
        <v>194467265</v>
      </c>
      <c r="Z357">
        <v>6174</v>
      </c>
      <c r="AA357">
        <v>2</v>
      </c>
      <c r="AB357">
        <v>51</v>
      </c>
    </row>
    <row r="358" spans="1:28" hidden="1" x14ac:dyDescent="0.25">
      <c r="A358" s="7" t="s">
        <v>57</v>
      </c>
      <c r="B358">
        <v>10</v>
      </c>
      <c r="C358">
        <v>3</v>
      </c>
      <c r="D358">
        <v>3</v>
      </c>
      <c r="E358">
        <v>0</v>
      </c>
      <c r="F358" s="7" t="s">
        <v>58</v>
      </c>
      <c r="G358">
        <v>6061</v>
      </c>
      <c r="H358">
        <v>81564140</v>
      </c>
      <c r="I358">
        <v>751</v>
      </c>
      <c r="J358">
        <v>1</v>
      </c>
      <c r="K358">
        <v>0.96296298503875732</v>
      </c>
      <c r="L358">
        <v>0.95555555820465088</v>
      </c>
      <c r="M358">
        <v>0.93333333333333335</v>
      </c>
      <c r="N358">
        <v>1</v>
      </c>
      <c r="O358">
        <v>1</v>
      </c>
      <c r="P358">
        <v>10383</v>
      </c>
      <c r="Q358">
        <v>102130688</v>
      </c>
      <c r="R358">
        <v>5953</v>
      </c>
      <c r="S358">
        <v>2</v>
      </c>
      <c r="T358">
        <v>50</v>
      </c>
      <c r="U358">
        <v>0.93333333333333335</v>
      </c>
      <c r="V358">
        <v>0.96296296296296291</v>
      </c>
      <c r="W358">
        <v>1</v>
      </c>
      <c r="X358">
        <v>100000</v>
      </c>
      <c r="Y358">
        <v>1022802199</v>
      </c>
      <c r="Z358">
        <v>6174</v>
      </c>
      <c r="AA358">
        <v>2</v>
      </c>
      <c r="AB358">
        <v>51</v>
      </c>
    </row>
    <row r="359" spans="1:28" hidden="1" x14ac:dyDescent="0.25">
      <c r="A359" s="7" t="s">
        <v>57</v>
      </c>
      <c r="B359">
        <v>10</v>
      </c>
      <c r="C359">
        <v>3</v>
      </c>
      <c r="D359">
        <v>3</v>
      </c>
      <c r="E359">
        <v>0</v>
      </c>
      <c r="F359" s="7" t="s">
        <v>58</v>
      </c>
      <c r="G359">
        <v>6061</v>
      </c>
      <c r="H359">
        <v>74740149</v>
      </c>
      <c r="I359">
        <v>674</v>
      </c>
      <c r="J359">
        <v>1</v>
      </c>
      <c r="K359">
        <v>0.96296298503875732</v>
      </c>
      <c r="L359">
        <v>0.93333333730697632</v>
      </c>
      <c r="M359">
        <v>0.93333333333333335</v>
      </c>
      <c r="N359">
        <v>0.96296296296296291</v>
      </c>
      <c r="O359">
        <v>1</v>
      </c>
      <c r="P359">
        <v>100000</v>
      </c>
      <c r="Q359">
        <v>986970733</v>
      </c>
      <c r="R359">
        <v>5953</v>
      </c>
      <c r="S359">
        <v>2</v>
      </c>
      <c r="T359">
        <v>50</v>
      </c>
      <c r="U359">
        <v>0.93333333333333335</v>
      </c>
      <c r="V359">
        <v>0.96296296296296291</v>
      </c>
      <c r="W359">
        <v>1</v>
      </c>
      <c r="X359">
        <v>100000</v>
      </c>
      <c r="Y359">
        <v>972448648</v>
      </c>
      <c r="Z359">
        <v>6174</v>
      </c>
      <c r="AA359">
        <v>2</v>
      </c>
      <c r="AB359">
        <v>51</v>
      </c>
    </row>
    <row r="360" spans="1:28" hidden="1" x14ac:dyDescent="0.25">
      <c r="A360" s="7" t="s">
        <v>57</v>
      </c>
      <c r="B360">
        <v>10</v>
      </c>
      <c r="C360">
        <v>3</v>
      </c>
      <c r="D360">
        <v>3</v>
      </c>
      <c r="E360">
        <v>0</v>
      </c>
      <c r="F360" s="7" t="s">
        <v>58</v>
      </c>
      <c r="G360">
        <v>6061</v>
      </c>
      <c r="H360">
        <v>37122522</v>
      </c>
      <c r="I360">
        <v>327</v>
      </c>
      <c r="J360">
        <v>1</v>
      </c>
      <c r="K360">
        <v>0.96296298503875732</v>
      </c>
      <c r="L360">
        <v>0.95555555820465088</v>
      </c>
      <c r="M360">
        <v>0.9555555555555556</v>
      </c>
      <c r="N360">
        <v>1</v>
      </c>
      <c r="O360">
        <v>1</v>
      </c>
      <c r="P360">
        <v>22020</v>
      </c>
      <c r="Q360">
        <v>210101943</v>
      </c>
      <c r="R360">
        <v>5953</v>
      </c>
      <c r="S360">
        <v>2</v>
      </c>
      <c r="T360">
        <v>50</v>
      </c>
      <c r="U360">
        <v>0.93333333333333335</v>
      </c>
      <c r="V360">
        <v>0.96296296296296291</v>
      </c>
      <c r="W360">
        <v>1</v>
      </c>
      <c r="X360">
        <v>100000</v>
      </c>
      <c r="Y360">
        <v>1022007766</v>
      </c>
      <c r="Z360">
        <v>6174</v>
      </c>
      <c r="AA360">
        <v>2</v>
      </c>
      <c r="AB360">
        <v>51</v>
      </c>
    </row>
    <row r="361" spans="1:28" hidden="1" x14ac:dyDescent="0.25">
      <c r="A361" s="7" t="s">
        <v>57</v>
      </c>
      <c r="B361">
        <v>10</v>
      </c>
      <c r="C361">
        <v>3</v>
      </c>
      <c r="D361">
        <v>3</v>
      </c>
      <c r="E361">
        <v>0</v>
      </c>
      <c r="F361" s="7" t="s">
        <v>59</v>
      </c>
      <c r="G361">
        <v>7346</v>
      </c>
      <c r="H361">
        <v>1283296126</v>
      </c>
      <c r="I361">
        <v>11118</v>
      </c>
      <c r="J361">
        <v>0.62264150381088257</v>
      </c>
      <c r="K361">
        <v>0.96296298503875732</v>
      </c>
      <c r="L361">
        <v>0.62222224473953247</v>
      </c>
      <c r="M361">
        <v>0.93333333333333335</v>
      </c>
      <c r="N361">
        <v>0.96296296296296291</v>
      </c>
      <c r="O361">
        <v>1</v>
      </c>
      <c r="P361">
        <v>18857</v>
      </c>
      <c r="Q361">
        <v>201486079</v>
      </c>
      <c r="R361">
        <v>7339</v>
      </c>
      <c r="S361">
        <v>2</v>
      </c>
      <c r="T361">
        <v>56</v>
      </c>
      <c r="U361">
        <v>0.93333333333333335</v>
      </c>
      <c r="V361">
        <v>0.96296296296296291</v>
      </c>
      <c r="W361">
        <v>1</v>
      </c>
      <c r="X361">
        <v>29266</v>
      </c>
      <c r="Y361">
        <v>288281601</v>
      </c>
      <c r="Z361">
        <v>7584</v>
      </c>
      <c r="AA361">
        <v>2</v>
      </c>
      <c r="AB361">
        <v>57</v>
      </c>
    </row>
    <row r="362" spans="1:28" hidden="1" x14ac:dyDescent="0.25">
      <c r="A362" s="7" t="s">
        <v>57</v>
      </c>
      <c r="B362">
        <v>10</v>
      </c>
      <c r="C362">
        <v>3</v>
      </c>
      <c r="D362">
        <v>3</v>
      </c>
      <c r="E362">
        <v>0</v>
      </c>
      <c r="F362" s="7" t="s">
        <v>59</v>
      </c>
      <c r="G362">
        <v>7346</v>
      </c>
      <c r="H362">
        <v>28388039</v>
      </c>
      <c r="I362">
        <v>235</v>
      </c>
      <c r="J362">
        <v>0.94339621067047119</v>
      </c>
      <c r="K362">
        <v>1</v>
      </c>
      <c r="L362">
        <v>0.95555555820465088</v>
      </c>
      <c r="M362">
        <v>0.93333333333333335</v>
      </c>
      <c r="N362">
        <v>0.96296296296296291</v>
      </c>
      <c r="O362">
        <v>1</v>
      </c>
      <c r="P362">
        <v>19316</v>
      </c>
      <c r="Q362">
        <v>189684016</v>
      </c>
      <c r="R362">
        <v>7339</v>
      </c>
      <c r="S362">
        <v>2</v>
      </c>
      <c r="T362">
        <v>56</v>
      </c>
      <c r="U362">
        <v>0.93333333333333335</v>
      </c>
      <c r="V362">
        <v>0.96296296296296291</v>
      </c>
      <c r="W362">
        <v>1</v>
      </c>
      <c r="X362">
        <v>32289</v>
      </c>
      <c r="Y362">
        <v>343565587</v>
      </c>
      <c r="Z362">
        <v>7584</v>
      </c>
      <c r="AA362">
        <v>2</v>
      </c>
      <c r="AB362">
        <v>57</v>
      </c>
    </row>
    <row r="363" spans="1:28" hidden="1" x14ac:dyDescent="0.25">
      <c r="A363" s="7" t="s">
        <v>57</v>
      </c>
      <c r="B363">
        <v>10</v>
      </c>
      <c r="C363">
        <v>3</v>
      </c>
      <c r="D363">
        <v>3</v>
      </c>
      <c r="E363">
        <v>0</v>
      </c>
      <c r="F363" s="7" t="s">
        <v>59</v>
      </c>
      <c r="G363">
        <v>7346</v>
      </c>
      <c r="H363">
        <v>61676060</v>
      </c>
      <c r="I363">
        <v>527</v>
      </c>
      <c r="J363">
        <v>1</v>
      </c>
      <c r="K363">
        <v>0.96296298503875732</v>
      </c>
      <c r="L363">
        <v>0.97777777910232544</v>
      </c>
      <c r="M363">
        <v>0.93333333333333335</v>
      </c>
      <c r="N363">
        <v>0.96296296296296291</v>
      </c>
      <c r="O363">
        <v>1</v>
      </c>
      <c r="P363">
        <v>100000</v>
      </c>
      <c r="Q363">
        <v>892500739</v>
      </c>
      <c r="R363">
        <v>7339</v>
      </c>
      <c r="S363">
        <v>2</v>
      </c>
      <c r="T363">
        <v>56</v>
      </c>
      <c r="U363">
        <v>0.93333333333333335</v>
      </c>
      <c r="V363">
        <v>0.96296296296296291</v>
      </c>
      <c r="W363">
        <v>1</v>
      </c>
      <c r="X363">
        <v>92819</v>
      </c>
      <c r="Y363">
        <v>817393586</v>
      </c>
      <c r="Z363">
        <v>7584</v>
      </c>
      <c r="AA363">
        <v>2</v>
      </c>
      <c r="AB363">
        <v>57</v>
      </c>
    </row>
    <row r="364" spans="1:28" hidden="1" x14ac:dyDescent="0.25">
      <c r="A364" s="7" t="s">
        <v>57</v>
      </c>
      <c r="B364">
        <v>10</v>
      </c>
      <c r="C364">
        <v>3</v>
      </c>
      <c r="D364">
        <v>3</v>
      </c>
      <c r="E364">
        <v>0</v>
      </c>
      <c r="F364" s="7" t="s">
        <v>59</v>
      </c>
      <c r="G364">
        <v>7346</v>
      </c>
      <c r="H364">
        <v>409655935</v>
      </c>
      <c r="I364">
        <v>3915</v>
      </c>
      <c r="J364">
        <v>0.92452830076217651</v>
      </c>
      <c r="K364">
        <v>1</v>
      </c>
      <c r="L364">
        <v>0.8888888955116272</v>
      </c>
      <c r="M364">
        <v>0.93333333333333335</v>
      </c>
      <c r="N364">
        <v>0.96296296296296291</v>
      </c>
      <c r="O364">
        <v>1</v>
      </c>
      <c r="P364">
        <v>19011</v>
      </c>
      <c r="Q364">
        <v>166880329</v>
      </c>
      <c r="R364">
        <v>7339</v>
      </c>
      <c r="S364">
        <v>2</v>
      </c>
      <c r="T364">
        <v>56</v>
      </c>
      <c r="U364">
        <v>0.93333333333333335</v>
      </c>
      <c r="V364">
        <v>0.96296296296296291</v>
      </c>
      <c r="W364">
        <v>1</v>
      </c>
      <c r="X364">
        <v>18632</v>
      </c>
      <c r="Y364">
        <v>159563532</v>
      </c>
      <c r="Z364">
        <v>7584</v>
      </c>
      <c r="AA364">
        <v>2</v>
      </c>
      <c r="AB364">
        <v>57</v>
      </c>
    </row>
    <row r="365" spans="1:28" hidden="1" x14ac:dyDescent="0.25">
      <c r="A365" s="7" t="s">
        <v>57</v>
      </c>
      <c r="B365">
        <v>10</v>
      </c>
      <c r="C365">
        <v>3</v>
      </c>
      <c r="D365">
        <v>3</v>
      </c>
      <c r="E365">
        <v>0</v>
      </c>
      <c r="F365" s="7" t="s">
        <v>59</v>
      </c>
      <c r="G365">
        <v>7346</v>
      </c>
      <c r="H365">
        <v>21914439</v>
      </c>
      <c r="I365">
        <v>198</v>
      </c>
      <c r="J365">
        <v>1</v>
      </c>
      <c r="K365">
        <v>0.96296298503875732</v>
      </c>
      <c r="L365">
        <v>0.97777777910232544</v>
      </c>
      <c r="M365">
        <v>0.93333333333333335</v>
      </c>
      <c r="N365">
        <v>0.96296296296296291</v>
      </c>
      <c r="O365">
        <v>1</v>
      </c>
      <c r="P365">
        <v>100000</v>
      </c>
      <c r="Q365">
        <v>854196164</v>
      </c>
      <c r="R365">
        <v>7339</v>
      </c>
      <c r="S365">
        <v>2</v>
      </c>
      <c r="T365">
        <v>56</v>
      </c>
      <c r="U365">
        <v>0.93333333333333335</v>
      </c>
      <c r="V365">
        <v>0.96296296296296291</v>
      </c>
      <c r="W365">
        <v>1</v>
      </c>
      <c r="X365">
        <v>100000</v>
      </c>
      <c r="Y365">
        <v>847940569</v>
      </c>
      <c r="Z365">
        <v>7584</v>
      </c>
      <c r="AA365">
        <v>2</v>
      </c>
      <c r="AB365">
        <v>57</v>
      </c>
    </row>
    <row r="366" spans="1:28" hidden="1" x14ac:dyDescent="0.25">
      <c r="A366" s="7" t="s">
        <v>57</v>
      </c>
      <c r="B366">
        <v>18</v>
      </c>
      <c r="C366">
        <v>9</v>
      </c>
      <c r="D366">
        <v>4</v>
      </c>
      <c r="E366">
        <v>0</v>
      </c>
      <c r="F366" s="7" t="s">
        <v>67</v>
      </c>
      <c r="G366">
        <v>17068</v>
      </c>
      <c r="H366">
        <v>2237070562</v>
      </c>
      <c r="I366">
        <v>10081</v>
      </c>
      <c r="J366">
        <v>0.42452830076217651</v>
      </c>
      <c r="K366">
        <v>0.70370370149612427</v>
      </c>
      <c r="L366">
        <v>0.4444444477558136</v>
      </c>
      <c r="M366">
        <v>0.93333333333333335</v>
      </c>
      <c r="N366">
        <v>1</v>
      </c>
      <c r="O366">
        <v>0.93396226415094341</v>
      </c>
      <c r="P366">
        <v>64</v>
      </c>
      <c r="Q366">
        <v>15023911</v>
      </c>
      <c r="R366">
        <v>16794</v>
      </c>
      <c r="S366">
        <v>2</v>
      </c>
      <c r="T366">
        <v>87</v>
      </c>
      <c r="U366">
        <v>0.93333333333333335</v>
      </c>
      <c r="V366">
        <v>1</v>
      </c>
      <c r="W366">
        <v>0.91509433962264153</v>
      </c>
      <c r="X366">
        <v>58</v>
      </c>
      <c r="Y366">
        <v>15174870</v>
      </c>
      <c r="Z366">
        <v>17163</v>
      </c>
      <c r="AA366">
        <v>2</v>
      </c>
      <c r="AB366">
        <v>88</v>
      </c>
    </row>
    <row r="367" spans="1:28" hidden="1" x14ac:dyDescent="0.25">
      <c r="A367" s="7" t="s">
        <v>57</v>
      </c>
      <c r="B367">
        <v>18</v>
      </c>
      <c r="C367">
        <v>9</v>
      </c>
      <c r="D367">
        <v>4</v>
      </c>
      <c r="E367">
        <v>0</v>
      </c>
      <c r="F367" s="7" t="s">
        <v>67</v>
      </c>
      <c r="G367">
        <v>17068</v>
      </c>
      <c r="H367">
        <v>2322760549</v>
      </c>
      <c r="I367">
        <v>10009</v>
      </c>
      <c r="J367">
        <v>0.29245284199714661</v>
      </c>
      <c r="K367">
        <v>0.66666668653488159</v>
      </c>
      <c r="L367">
        <v>0.28888890147209167</v>
      </c>
      <c r="M367">
        <v>0.93333333333333335</v>
      </c>
      <c r="N367">
        <v>1</v>
      </c>
      <c r="O367">
        <v>0.92452830188679247</v>
      </c>
      <c r="P367">
        <v>50</v>
      </c>
      <c r="Q367">
        <v>11734585</v>
      </c>
      <c r="R367">
        <v>16794</v>
      </c>
      <c r="S367">
        <v>2</v>
      </c>
      <c r="T367">
        <v>87</v>
      </c>
      <c r="U367">
        <v>0.93333333333333335</v>
      </c>
      <c r="V367">
        <v>1</v>
      </c>
      <c r="W367">
        <v>0.90566037735849059</v>
      </c>
      <c r="X367">
        <v>50</v>
      </c>
      <c r="Y367">
        <v>11003971</v>
      </c>
      <c r="Z367">
        <v>17163</v>
      </c>
      <c r="AA367">
        <v>2</v>
      </c>
      <c r="AB367">
        <v>88</v>
      </c>
    </row>
    <row r="368" spans="1:28" hidden="1" x14ac:dyDescent="0.25">
      <c r="A368" s="7" t="s">
        <v>57</v>
      </c>
      <c r="B368">
        <v>18</v>
      </c>
      <c r="C368">
        <v>9</v>
      </c>
      <c r="D368">
        <v>4</v>
      </c>
      <c r="E368">
        <v>0</v>
      </c>
      <c r="F368" s="7" t="s">
        <v>67</v>
      </c>
      <c r="G368">
        <v>17068</v>
      </c>
      <c r="H368">
        <v>2368176318</v>
      </c>
      <c r="I368">
        <v>10134</v>
      </c>
      <c r="J368">
        <v>0.29245284199714661</v>
      </c>
      <c r="K368">
        <v>0.62962961196899414</v>
      </c>
      <c r="L368">
        <v>0.20000000298023224</v>
      </c>
      <c r="M368">
        <v>0.9555555555555556</v>
      </c>
      <c r="N368">
        <v>1</v>
      </c>
      <c r="O368">
        <v>0.91509433962264153</v>
      </c>
      <c r="P368">
        <v>48</v>
      </c>
      <c r="Q368">
        <v>6524774</v>
      </c>
      <c r="R368">
        <v>16794</v>
      </c>
      <c r="S368">
        <v>2</v>
      </c>
      <c r="T368">
        <v>87</v>
      </c>
      <c r="U368">
        <v>0.93333333333333335</v>
      </c>
      <c r="V368">
        <v>1</v>
      </c>
      <c r="W368">
        <v>0.8867924528301887</v>
      </c>
      <c r="X368">
        <v>51</v>
      </c>
      <c r="Y368">
        <v>15109426</v>
      </c>
      <c r="Z368">
        <v>17163</v>
      </c>
      <c r="AA368">
        <v>2</v>
      </c>
      <c r="AB368">
        <v>88</v>
      </c>
    </row>
    <row r="369" spans="1:28" hidden="1" x14ac:dyDescent="0.25">
      <c r="A369" s="7" t="s">
        <v>57</v>
      </c>
      <c r="B369">
        <v>18</v>
      </c>
      <c r="C369">
        <v>9</v>
      </c>
      <c r="D369">
        <v>4</v>
      </c>
      <c r="E369">
        <v>0</v>
      </c>
      <c r="F369" s="7" t="s">
        <v>67</v>
      </c>
      <c r="G369">
        <v>17068</v>
      </c>
      <c r="H369">
        <v>2361215453</v>
      </c>
      <c r="I369">
        <v>10073</v>
      </c>
      <c r="J369">
        <v>0.16981132328510284</v>
      </c>
      <c r="K369">
        <v>0.70370370149612427</v>
      </c>
      <c r="L369">
        <v>0.2222222238779068</v>
      </c>
      <c r="M369">
        <v>0.93333333333333335</v>
      </c>
      <c r="N369">
        <v>1</v>
      </c>
      <c r="O369">
        <v>0.90566037735849059</v>
      </c>
      <c r="P369">
        <v>51</v>
      </c>
      <c r="Q369">
        <v>21409115</v>
      </c>
      <c r="R369">
        <v>16794</v>
      </c>
      <c r="S369">
        <v>2</v>
      </c>
      <c r="T369">
        <v>87</v>
      </c>
      <c r="U369">
        <v>0.9555555555555556</v>
      </c>
      <c r="V369">
        <v>1</v>
      </c>
      <c r="W369">
        <v>0.8867924528301887</v>
      </c>
      <c r="X369">
        <v>48</v>
      </c>
      <c r="Y369">
        <v>15193998</v>
      </c>
      <c r="Z369">
        <v>17163</v>
      </c>
      <c r="AA369">
        <v>2</v>
      </c>
      <c r="AB369">
        <v>88</v>
      </c>
    </row>
    <row r="370" spans="1:28" hidden="1" x14ac:dyDescent="0.25">
      <c r="A370" s="7" t="s">
        <v>57</v>
      </c>
      <c r="B370">
        <v>18</v>
      </c>
      <c r="C370">
        <v>9</v>
      </c>
      <c r="D370">
        <v>4</v>
      </c>
      <c r="E370">
        <v>0</v>
      </c>
      <c r="F370" s="7" t="s">
        <v>67</v>
      </c>
      <c r="G370">
        <v>17068</v>
      </c>
      <c r="H370">
        <v>2373503596</v>
      </c>
      <c r="I370">
        <v>10167</v>
      </c>
      <c r="J370">
        <v>0.37735849618911743</v>
      </c>
      <c r="K370">
        <v>0.66666668653488159</v>
      </c>
      <c r="L370">
        <v>0.40000000596046448</v>
      </c>
      <c r="M370">
        <v>0.93333333333333335</v>
      </c>
      <c r="N370">
        <v>1</v>
      </c>
      <c r="O370">
        <v>0.90566037735849059</v>
      </c>
      <c r="P370">
        <v>51</v>
      </c>
      <c r="Q370">
        <v>14644748</v>
      </c>
      <c r="R370">
        <v>16794</v>
      </c>
      <c r="S370">
        <v>2</v>
      </c>
      <c r="T370">
        <v>87</v>
      </c>
      <c r="U370">
        <v>0.9555555555555556</v>
      </c>
      <c r="V370">
        <v>1</v>
      </c>
      <c r="W370">
        <v>0.90566037735849059</v>
      </c>
      <c r="X370">
        <v>45</v>
      </c>
      <c r="Y370">
        <v>7205900</v>
      </c>
      <c r="Z370">
        <v>17163</v>
      </c>
      <c r="AA370">
        <v>2</v>
      </c>
      <c r="AB370">
        <v>88</v>
      </c>
    </row>
    <row r="371" spans="1:28" hidden="1" x14ac:dyDescent="0.25">
      <c r="A371" s="7" t="s">
        <v>57</v>
      </c>
      <c r="B371">
        <v>18</v>
      </c>
      <c r="C371">
        <v>9</v>
      </c>
      <c r="D371">
        <v>4</v>
      </c>
      <c r="E371">
        <v>0</v>
      </c>
      <c r="F371" s="7" t="s">
        <v>68</v>
      </c>
      <c r="G371">
        <v>13360</v>
      </c>
      <c r="H371">
        <v>2266899244</v>
      </c>
      <c r="I371">
        <v>10643</v>
      </c>
      <c r="J371">
        <v>0.29245284199714661</v>
      </c>
      <c r="K371">
        <v>0.66666668653488159</v>
      </c>
      <c r="L371">
        <v>0.35555556416511536</v>
      </c>
      <c r="M371">
        <v>0.9555555555555556</v>
      </c>
      <c r="N371">
        <v>1</v>
      </c>
      <c r="O371">
        <v>0.91509433962264153</v>
      </c>
      <c r="P371">
        <v>55</v>
      </c>
      <c r="Q371">
        <v>9993644</v>
      </c>
      <c r="R371">
        <v>13324</v>
      </c>
      <c r="S371">
        <v>2</v>
      </c>
      <c r="T371">
        <v>77</v>
      </c>
      <c r="U371">
        <v>0.9555555555555556</v>
      </c>
      <c r="V371">
        <v>1</v>
      </c>
      <c r="W371">
        <v>0.8867924528301887</v>
      </c>
      <c r="X371">
        <v>52</v>
      </c>
      <c r="Y371">
        <v>14923376</v>
      </c>
      <c r="Z371">
        <v>13653</v>
      </c>
      <c r="AA371">
        <v>2</v>
      </c>
      <c r="AB371">
        <v>78</v>
      </c>
    </row>
    <row r="372" spans="1:28" hidden="1" x14ac:dyDescent="0.25">
      <c r="A372" s="7" t="s">
        <v>57</v>
      </c>
      <c r="B372">
        <v>18</v>
      </c>
      <c r="C372">
        <v>9</v>
      </c>
      <c r="D372">
        <v>4</v>
      </c>
      <c r="E372">
        <v>0</v>
      </c>
      <c r="F372" s="7" t="s">
        <v>68</v>
      </c>
      <c r="G372">
        <v>13360</v>
      </c>
      <c r="H372">
        <v>2496943721</v>
      </c>
      <c r="I372">
        <v>11450</v>
      </c>
      <c r="J372">
        <v>0.2641509473323822</v>
      </c>
      <c r="K372">
        <v>0.66666668653488159</v>
      </c>
      <c r="L372">
        <v>0.28888890147209167</v>
      </c>
      <c r="M372">
        <v>0.9555555555555556</v>
      </c>
      <c r="N372">
        <v>1</v>
      </c>
      <c r="O372">
        <v>0.90566037735849059</v>
      </c>
      <c r="P372">
        <v>52</v>
      </c>
      <c r="Q372">
        <v>13620772</v>
      </c>
      <c r="R372">
        <v>13324</v>
      </c>
      <c r="S372">
        <v>2</v>
      </c>
      <c r="T372">
        <v>77</v>
      </c>
      <c r="U372">
        <v>0.93333333333333335</v>
      </c>
      <c r="V372">
        <v>1</v>
      </c>
      <c r="W372">
        <v>0.91509433962264153</v>
      </c>
      <c r="X372">
        <v>56</v>
      </c>
      <c r="Y372">
        <v>11120183</v>
      </c>
      <c r="Z372">
        <v>13653</v>
      </c>
      <c r="AA372">
        <v>2</v>
      </c>
      <c r="AB372">
        <v>78</v>
      </c>
    </row>
    <row r="373" spans="1:28" hidden="1" x14ac:dyDescent="0.25">
      <c r="A373" s="7" t="s">
        <v>57</v>
      </c>
      <c r="B373">
        <v>18</v>
      </c>
      <c r="C373">
        <v>9</v>
      </c>
      <c r="D373">
        <v>4</v>
      </c>
      <c r="E373">
        <v>0</v>
      </c>
      <c r="F373" s="7" t="s">
        <v>68</v>
      </c>
      <c r="G373">
        <v>13360</v>
      </c>
      <c r="H373">
        <v>2228698129</v>
      </c>
      <c r="I373">
        <v>10185</v>
      </c>
      <c r="J373">
        <v>0.27358490228652954</v>
      </c>
      <c r="K373">
        <v>0.81481480598449707</v>
      </c>
      <c r="L373">
        <v>0.20000000298023224</v>
      </c>
      <c r="M373">
        <v>0.93333333333333335</v>
      </c>
      <c r="N373">
        <v>1</v>
      </c>
      <c r="O373">
        <v>0.93396226415094341</v>
      </c>
      <c r="P373">
        <v>61</v>
      </c>
      <c r="Q373">
        <v>12766074</v>
      </c>
      <c r="R373">
        <v>13324</v>
      </c>
      <c r="S373">
        <v>2</v>
      </c>
      <c r="T373">
        <v>77</v>
      </c>
      <c r="U373">
        <v>0.9555555555555556</v>
      </c>
      <c r="V373">
        <v>1</v>
      </c>
      <c r="W373">
        <v>0.90566037735849059</v>
      </c>
      <c r="X373">
        <v>52</v>
      </c>
      <c r="Y373">
        <v>15324754</v>
      </c>
      <c r="Z373">
        <v>13653</v>
      </c>
      <c r="AA373">
        <v>2</v>
      </c>
      <c r="AB373">
        <v>78</v>
      </c>
    </row>
    <row r="374" spans="1:28" hidden="1" x14ac:dyDescent="0.25">
      <c r="A374" s="7" t="s">
        <v>57</v>
      </c>
      <c r="B374">
        <v>18</v>
      </c>
      <c r="C374">
        <v>9</v>
      </c>
      <c r="D374">
        <v>4</v>
      </c>
      <c r="E374">
        <v>0</v>
      </c>
      <c r="F374" s="7" t="s">
        <v>68</v>
      </c>
      <c r="G374">
        <v>13360</v>
      </c>
      <c r="H374">
        <v>2335752400</v>
      </c>
      <c r="I374">
        <v>10472</v>
      </c>
      <c r="J374">
        <v>0.2641509473323822</v>
      </c>
      <c r="K374">
        <v>0.70370370149612427</v>
      </c>
      <c r="L374">
        <v>0.20000000298023224</v>
      </c>
      <c r="M374">
        <v>0.93333333333333335</v>
      </c>
      <c r="N374">
        <v>1</v>
      </c>
      <c r="O374">
        <v>0.93396226415094341</v>
      </c>
      <c r="P374">
        <v>68</v>
      </c>
      <c r="Q374">
        <v>18856100</v>
      </c>
      <c r="R374">
        <v>13324</v>
      </c>
      <c r="S374">
        <v>2</v>
      </c>
      <c r="T374">
        <v>77</v>
      </c>
      <c r="U374">
        <v>0.93333333333333335</v>
      </c>
      <c r="V374">
        <v>1</v>
      </c>
      <c r="W374">
        <v>0.92452830188679247</v>
      </c>
      <c r="X374">
        <v>57</v>
      </c>
      <c r="Y374">
        <v>13332444</v>
      </c>
      <c r="Z374">
        <v>13653</v>
      </c>
      <c r="AA374">
        <v>2</v>
      </c>
      <c r="AB374">
        <v>78</v>
      </c>
    </row>
    <row r="375" spans="1:28" hidden="1" x14ac:dyDescent="0.25">
      <c r="A375" s="7" t="s">
        <v>57</v>
      </c>
      <c r="B375">
        <v>18</v>
      </c>
      <c r="C375">
        <v>9</v>
      </c>
      <c r="D375">
        <v>4</v>
      </c>
      <c r="E375">
        <v>0</v>
      </c>
      <c r="F375" s="7" t="s">
        <v>68</v>
      </c>
      <c r="G375">
        <v>13360</v>
      </c>
      <c r="H375">
        <v>2229607390</v>
      </c>
      <c r="I375">
        <v>10006</v>
      </c>
      <c r="J375">
        <v>0.19811320304870605</v>
      </c>
      <c r="K375">
        <v>0.77777779102325439</v>
      </c>
      <c r="L375">
        <v>0.28888890147209167</v>
      </c>
      <c r="M375">
        <v>0.91111111111111109</v>
      </c>
      <c r="N375">
        <v>1</v>
      </c>
      <c r="O375">
        <v>0.93396226415094341</v>
      </c>
      <c r="P375">
        <v>58</v>
      </c>
      <c r="Q375">
        <v>13086733</v>
      </c>
      <c r="R375">
        <v>13324</v>
      </c>
      <c r="S375">
        <v>2</v>
      </c>
      <c r="T375">
        <v>77</v>
      </c>
      <c r="U375">
        <v>0.9555555555555556</v>
      </c>
      <c r="V375">
        <v>1</v>
      </c>
      <c r="W375">
        <v>0.89622641509433965</v>
      </c>
      <c r="X375">
        <v>46</v>
      </c>
      <c r="Y375">
        <v>11597738</v>
      </c>
      <c r="Z375">
        <v>13653</v>
      </c>
      <c r="AA375">
        <v>2</v>
      </c>
      <c r="AB375">
        <v>78</v>
      </c>
    </row>
    <row r="376" spans="1:28" hidden="1" x14ac:dyDescent="0.25">
      <c r="A376" s="7" t="s">
        <v>57</v>
      </c>
      <c r="B376">
        <v>18</v>
      </c>
      <c r="C376">
        <v>9</v>
      </c>
      <c r="D376">
        <v>4</v>
      </c>
      <c r="E376">
        <v>0</v>
      </c>
      <c r="F376" s="7" t="s">
        <v>69</v>
      </c>
      <c r="G376">
        <v>16115</v>
      </c>
      <c r="H376">
        <v>2433568786</v>
      </c>
      <c r="I376">
        <v>10139</v>
      </c>
      <c r="J376">
        <v>0.33962264657020569</v>
      </c>
      <c r="K376">
        <v>0.74074071645736694</v>
      </c>
      <c r="L376">
        <v>0.4444444477558136</v>
      </c>
      <c r="M376">
        <v>0.93333333333333335</v>
      </c>
      <c r="N376">
        <v>1</v>
      </c>
      <c r="O376">
        <v>0.8867924528301887</v>
      </c>
      <c r="P376">
        <v>51</v>
      </c>
      <c r="Q376">
        <v>14465994</v>
      </c>
      <c r="R376">
        <v>16068</v>
      </c>
      <c r="S376">
        <v>2</v>
      </c>
      <c r="T376">
        <v>85</v>
      </c>
      <c r="U376">
        <v>0.93333333333333335</v>
      </c>
      <c r="V376">
        <v>1</v>
      </c>
      <c r="W376">
        <v>0.93396226415094341</v>
      </c>
      <c r="X376">
        <v>63</v>
      </c>
      <c r="Y376">
        <v>19383430</v>
      </c>
      <c r="Z376">
        <v>16429</v>
      </c>
      <c r="AA376">
        <v>2</v>
      </c>
      <c r="AB376">
        <v>86</v>
      </c>
    </row>
    <row r="377" spans="1:28" hidden="1" x14ac:dyDescent="0.25">
      <c r="A377" s="7" t="s">
        <v>57</v>
      </c>
      <c r="B377">
        <v>18</v>
      </c>
      <c r="C377">
        <v>9</v>
      </c>
      <c r="D377">
        <v>4</v>
      </c>
      <c r="E377">
        <v>0</v>
      </c>
      <c r="F377" s="7" t="s">
        <v>69</v>
      </c>
      <c r="G377">
        <v>16115</v>
      </c>
      <c r="H377">
        <v>4418373625</v>
      </c>
      <c r="I377">
        <v>18233</v>
      </c>
      <c r="J377">
        <v>0.32075470685958862</v>
      </c>
      <c r="K377">
        <v>0.66666668653488159</v>
      </c>
      <c r="L377">
        <v>0.26666668057441711</v>
      </c>
      <c r="M377">
        <v>0.9555555555555556</v>
      </c>
      <c r="N377">
        <v>1</v>
      </c>
      <c r="O377">
        <v>0.90566037735849059</v>
      </c>
      <c r="P377">
        <v>53</v>
      </c>
      <c r="Q377">
        <v>11511062</v>
      </c>
      <c r="R377">
        <v>16068</v>
      </c>
      <c r="S377">
        <v>2</v>
      </c>
      <c r="T377">
        <v>85</v>
      </c>
      <c r="U377">
        <v>0.93333333333333335</v>
      </c>
      <c r="V377">
        <v>1</v>
      </c>
      <c r="W377">
        <v>0.89622641509433965</v>
      </c>
      <c r="X377">
        <v>43</v>
      </c>
      <c r="Y377">
        <v>10399180</v>
      </c>
      <c r="Z377">
        <v>16429</v>
      </c>
      <c r="AA377">
        <v>2</v>
      </c>
      <c r="AB377">
        <v>86</v>
      </c>
    </row>
    <row r="378" spans="1:28" hidden="1" x14ac:dyDescent="0.25">
      <c r="A378" s="7" t="s">
        <v>57</v>
      </c>
      <c r="B378">
        <v>18</v>
      </c>
      <c r="C378">
        <v>9</v>
      </c>
      <c r="D378">
        <v>4</v>
      </c>
      <c r="E378">
        <v>0</v>
      </c>
      <c r="F378" s="7" t="s">
        <v>69</v>
      </c>
      <c r="G378">
        <v>16115</v>
      </c>
      <c r="H378">
        <v>2419548054</v>
      </c>
      <c r="I378">
        <v>10205</v>
      </c>
      <c r="J378">
        <v>0.40566039085388184</v>
      </c>
      <c r="K378">
        <v>0.77777779102325439</v>
      </c>
      <c r="L378">
        <v>0.37777778506278992</v>
      </c>
      <c r="M378">
        <v>0.93333333333333335</v>
      </c>
      <c r="N378">
        <v>1</v>
      </c>
      <c r="O378">
        <v>0.91509433962264153</v>
      </c>
      <c r="P378">
        <v>49</v>
      </c>
      <c r="Q378">
        <v>11298118</v>
      </c>
      <c r="R378">
        <v>16068</v>
      </c>
      <c r="S378">
        <v>2</v>
      </c>
      <c r="T378">
        <v>85</v>
      </c>
      <c r="U378">
        <v>0.93333333333333335</v>
      </c>
      <c r="V378">
        <v>1</v>
      </c>
      <c r="W378">
        <v>0.91509433962264153</v>
      </c>
      <c r="X378">
        <v>51</v>
      </c>
      <c r="Y378">
        <v>9929005</v>
      </c>
      <c r="Z378">
        <v>16429</v>
      </c>
      <c r="AA378">
        <v>2</v>
      </c>
      <c r="AB378">
        <v>86</v>
      </c>
    </row>
    <row r="379" spans="1:28" hidden="1" x14ac:dyDescent="0.25">
      <c r="A379" s="7" t="s">
        <v>57</v>
      </c>
      <c r="B379">
        <v>18</v>
      </c>
      <c r="C379">
        <v>9</v>
      </c>
      <c r="D379">
        <v>4</v>
      </c>
      <c r="E379">
        <v>0</v>
      </c>
      <c r="F379" s="7" t="s">
        <v>69</v>
      </c>
      <c r="G379">
        <v>16115</v>
      </c>
      <c r="H379">
        <v>2371953469</v>
      </c>
      <c r="I379">
        <v>10026</v>
      </c>
      <c r="J379">
        <v>0.28301885724067688</v>
      </c>
      <c r="K379">
        <v>0.66666668653488159</v>
      </c>
      <c r="L379">
        <v>0.35555556416511536</v>
      </c>
      <c r="M379">
        <v>0.93333333333333335</v>
      </c>
      <c r="N379">
        <v>1</v>
      </c>
      <c r="O379">
        <v>0.91509433962264153</v>
      </c>
      <c r="P379">
        <v>61</v>
      </c>
      <c r="Q379">
        <v>17977484</v>
      </c>
      <c r="R379">
        <v>16068</v>
      </c>
      <c r="S379">
        <v>2</v>
      </c>
      <c r="T379">
        <v>85</v>
      </c>
      <c r="U379">
        <v>0.93333333333333335</v>
      </c>
      <c r="V379">
        <v>1</v>
      </c>
      <c r="W379">
        <v>0.91509433962264153</v>
      </c>
      <c r="X379">
        <v>51</v>
      </c>
      <c r="Y379">
        <v>10925431</v>
      </c>
      <c r="Z379">
        <v>16429</v>
      </c>
      <c r="AA379">
        <v>2</v>
      </c>
      <c r="AB379">
        <v>86</v>
      </c>
    </row>
    <row r="380" spans="1:28" hidden="1" x14ac:dyDescent="0.25">
      <c r="A380" s="7" t="s">
        <v>57</v>
      </c>
      <c r="B380">
        <v>18</v>
      </c>
      <c r="C380">
        <v>9</v>
      </c>
      <c r="D380">
        <v>4</v>
      </c>
      <c r="E380">
        <v>0</v>
      </c>
      <c r="F380" s="7" t="s">
        <v>69</v>
      </c>
      <c r="G380">
        <v>16115</v>
      </c>
      <c r="H380">
        <v>3572076262</v>
      </c>
      <c r="I380">
        <v>15099</v>
      </c>
      <c r="J380">
        <v>0.40566039085388184</v>
      </c>
      <c r="K380">
        <v>0.70370370149612427</v>
      </c>
      <c r="L380">
        <v>0.3333333432674408</v>
      </c>
      <c r="M380">
        <v>0.93333333333333335</v>
      </c>
      <c r="N380">
        <v>1</v>
      </c>
      <c r="O380">
        <v>0.91509433962264153</v>
      </c>
      <c r="P380">
        <v>60</v>
      </c>
      <c r="Q380">
        <v>17851124</v>
      </c>
      <c r="R380">
        <v>16068</v>
      </c>
      <c r="S380">
        <v>2</v>
      </c>
      <c r="T380">
        <v>85</v>
      </c>
      <c r="U380">
        <v>0.93333333333333335</v>
      </c>
      <c r="V380">
        <v>1</v>
      </c>
      <c r="W380">
        <v>0.92452830188679247</v>
      </c>
      <c r="X380">
        <v>58</v>
      </c>
      <c r="Y380">
        <v>17241609</v>
      </c>
      <c r="Z380">
        <v>16429</v>
      </c>
      <c r="AA380">
        <v>2</v>
      </c>
      <c r="AB380">
        <v>86</v>
      </c>
    </row>
    <row r="381" spans="1:28" hidden="1" x14ac:dyDescent="0.25">
      <c r="A381" s="7" t="s">
        <v>57</v>
      </c>
      <c r="B381">
        <v>18</v>
      </c>
      <c r="C381">
        <v>9</v>
      </c>
      <c r="D381">
        <v>4</v>
      </c>
      <c r="E381">
        <v>0</v>
      </c>
      <c r="F381" s="7" t="s">
        <v>70</v>
      </c>
      <c r="G381">
        <v>18870</v>
      </c>
      <c r="H381">
        <v>2559697420</v>
      </c>
      <c r="I381">
        <v>10018</v>
      </c>
      <c r="J381">
        <v>0.35849055647850037</v>
      </c>
      <c r="K381">
        <v>0.55555558204650879</v>
      </c>
      <c r="L381">
        <v>0.42222222685813904</v>
      </c>
      <c r="M381">
        <v>0.93333333333333335</v>
      </c>
      <c r="N381">
        <v>1</v>
      </c>
      <c r="O381">
        <v>0.92452830188679247</v>
      </c>
      <c r="P381">
        <v>57</v>
      </c>
      <c r="Q381">
        <v>18126006</v>
      </c>
      <c r="R381">
        <v>18679</v>
      </c>
      <c r="S381">
        <v>2</v>
      </c>
      <c r="T381">
        <v>92</v>
      </c>
      <c r="U381">
        <v>0.93333333333333335</v>
      </c>
      <c r="V381">
        <v>1</v>
      </c>
      <c r="W381">
        <v>0.89622641509433965</v>
      </c>
      <c r="X381">
        <v>45</v>
      </c>
      <c r="Y381">
        <v>18364804</v>
      </c>
      <c r="Z381">
        <v>19068</v>
      </c>
      <c r="AA381">
        <v>2</v>
      </c>
      <c r="AB381">
        <v>93</v>
      </c>
    </row>
    <row r="382" spans="1:28" x14ac:dyDescent="0.25">
      <c r="A382" s="7" t="s">
        <v>44</v>
      </c>
      <c r="B382">
        <v>12</v>
      </c>
      <c r="C382">
        <v>3</v>
      </c>
      <c r="D382">
        <v>4</v>
      </c>
      <c r="E382">
        <v>0</v>
      </c>
      <c r="F382" s="7" t="s">
        <v>46</v>
      </c>
      <c r="G382">
        <v>3005</v>
      </c>
      <c r="H382">
        <v>1355785307</v>
      </c>
      <c r="I382">
        <v>12007</v>
      </c>
      <c r="J382">
        <v>0.32584270834922791</v>
      </c>
      <c r="K382">
        <v>0.86956518888473511</v>
      </c>
      <c r="L382">
        <v>0.39473685622215271</v>
      </c>
      <c r="M382">
        <v>0.97368421052631582</v>
      </c>
      <c r="N382">
        <v>0.86956521739130432</v>
      </c>
      <c r="O382">
        <v>1</v>
      </c>
      <c r="P382">
        <v>100000</v>
      </c>
      <c r="Q382">
        <v>4844430335</v>
      </c>
      <c r="R382">
        <v>2955</v>
      </c>
      <c r="S382">
        <v>2</v>
      </c>
      <c r="T382">
        <v>36</v>
      </c>
      <c r="U382">
        <v>0.97368421052631582</v>
      </c>
      <c r="V382">
        <v>0.91304347826086951</v>
      </c>
      <c r="W382">
        <v>1</v>
      </c>
      <c r="X382">
        <v>10049</v>
      </c>
      <c r="Y382">
        <v>472254579</v>
      </c>
      <c r="Z382">
        <v>3111</v>
      </c>
      <c r="AA382">
        <v>2</v>
      </c>
      <c r="AB382">
        <v>37</v>
      </c>
    </row>
    <row r="383" spans="1:28" x14ac:dyDescent="0.25">
      <c r="A383" s="7" t="s">
        <v>44</v>
      </c>
      <c r="B383">
        <v>12</v>
      </c>
      <c r="C383">
        <v>3</v>
      </c>
      <c r="D383">
        <v>4</v>
      </c>
      <c r="E383">
        <v>0</v>
      </c>
      <c r="F383" s="7" t="s">
        <v>46</v>
      </c>
      <c r="G383">
        <v>3005</v>
      </c>
      <c r="H383">
        <v>1154242806</v>
      </c>
      <c r="I383">
        <v>10011</v>
      </c>
      <c r="J383">
        <v>0.43820226192474365</v>
      </c>
      <c r="K383">
        <v>0.56521737575531006</v>
      </c>
      <c r="L383">
        <v>0.52631580829620361</v>
      </c>
      <c r="M383">
        <v>0.97368421052631582</v>
      </c>
      <c r="N383">
        <v>0.91304347826086951</v>
      </c>
      <c r="O383">
        <v>1</v>
      </c>
      <c r="P383">
        <v>10040</v>
      </c>
      <c r="Q383">
        <v>453687237</v>
      </c>
      <c r="R383">
        <v>2955</v>
      </c>
      <c r="S383">
        <v>2</v>
      </c>
      <c r="T383">
        <v>36</v>
      </c>
      <c r="U383">
        <v>0.97368421052631582</v>
      </c>
      <c r="V383">
        <v>0.86956521739130432</v>
      </c>
      <c r="W383">
        <v>1</v>
      </c>
      <c r="X383">
        <v>100000</v>
      </c>
      <c r="Y383">
        <v>4999959247</v>
      </c>
      <c r="Z383">
        <v>3111</v>
      </c>
      <c r="AA383">
        <v>2</v>
      </c>
      <c r="AB383">
        <v>37</v>
      </c>
    </row>
    <row r="384" spans="1:28" x14ac:dyDescent="0.25">
      <c r="A384" s="7" t="s">
        <v>44</v>
      </c>
      <c r="B384">
        <v>12</v>
      </c>
      <c r="C384">
        <v>3</v>
      </c>
      <c r="D384">
        <v>4</v>
      </c>
      <c r="E384">
        <v>0</v>
      </c>
      <c r="F384" s="7" t="s">
        <v>46</v>
      </c>
      <c r="G384">
        <v>3005</v>
      </c>
      <c r="H384">
        <v>12046127</v>
      </c>
      <c r="I384">
        <v>103</v>
      </c>
      <c r="J384">
        <v>0.86516851186752319</v>
      </c>
      <c r="K384">
        <v>1</v>
      </c>
      <c r="L384">
        <v>0.86842107772827148</v>
      </c>
      <c r="M384">
        <v>0.97368421052631582</v>
      </c>
      <c r="N384">
        <v>0.86956521739130432</v>
      </c>
      <c r="O384">
        <v>1</v>
      </c>
      <c r="P384">
        <v>100000</v>
      </c>
      <c r="Q384">
        <v>4807642645</v>
      </c>
      <c r="R384">
        <v>2955</v>
      </c>
      <c r="S384">
        <v>2</v>
      </c>
      <c r="T384">
        <v>36</v>
      </c>
      <c r="U384">
        <v>0.97368421052631582</v>
      </c>
      <c r="V384">
        <v>0.86956521739130432</v>
      </c>
      <c r="W384">
        <v>1</v>
      </c>
      <c r="X384">
        <v>100000</v>
      </c>
      <c r="Y384">
        <v>5005378966</v>
      </c>
      <c r="Z384">
        <v>3111</v>
      </c>
      <c r="AA384">
        <v>2</v>
      </c>
      <c r="AB384">
        <v>37</v>
      </c>
    </row>
    <row r="385" spans="1:28" x14ac:dyDescent="0.25">
      <c r="A385" s="7" t="s">
        <v>44</v>
      </c>
      <c r="B385">
        <v>12</v>
      </c>
      <c r="C385">
        <v>3</v>
      </c>
      <c r="D385">
        <v>4</v>
      </c>
      <c r="E385">
        <v>0</v>
      </c>
      <c r="F385" s="7" t="s">
        <v>46</v>
      </c>
      <c r="G385">
        <v>3005</v>
      </c>
      <c r="H385">
        <v>1215396974</v>
      </c>
      <c r="I385">
        <v>10297</v>
      </c>
      <c r="J385">
        <v>0.41573032736778259</v>
      </c>
      <c r="K385">
        <v>0.82608693838119507</v>
      </c>
      <c r="L385">
        <v>0.42105263471603394</v>
      </c>
      <c r="M385">
        <v>0.97368421052631582</v>
      </c>
      <c r="N385">
        <v>0.86956521739130432</v>
      </c>
      <c r="O385">
        <v>1</v>
      </c>
      <c r="P385">
        <v>100000</v>
      </c>
      <c r="Q385">
        <v>5071497609</v>
      </c>
      <c r="R385">
        <v>2955</v>
      </c>
      <c r="S385">
        <v>2</v>
      </c>
      <c r="T385">
        <v>36</v>
      </c>
      <c r="U385">
        <v>0.97368421052631582</v>
      </c>
      <c r="V385">
        <v>0.86956521739130432</v>
      </c>
      <c r="W385">
        <v>1</v>
      </c>
      <c r="X385">
        <v>100000</v>
      </c>
      <c r="Y385">
        <v>5174854324</v>
      </c>
      <c r="Z385">
        <v>3111</v>
      </c>
      <c r="AA385">
        <v>2</v>
      </c>
      <c r="AB385">
        <v>37</v>
      </c>
    </row>
    <row r="386" spans="1:28" hidden="1" x14ac:dyDescent="0.25">
      <c r="A386" s="7" t="s">
        <v>57</v>
      </c>
      <c r="B386">
        <v>10</v>
      </c>
      <c r="C386">
        <v>3</v>
      </c>
      <c r="D386">
        <v>3</v>
      </c>
      <c r="E386">
        <v>0</v>
      </c>
      <c r="F386" s="7" t="s">
        <v>60</v>
      </c>
      <c r="G386">
        <v>8631</v>
      </c>
      <c r="H386">
        <v>90431602</v>
      </c>
      <c r="I386">
        <v>697</v>
      </c>
      <c r="J386">
        <v>1</v>
      </c>
      <c r="K386">
        <v>0.96296298503875732</v>
      </c>
      <c r="L386">
        <v>0.95555555820465088</v>
      </c>
      <c r="M386">
        <v>0.97777777777777775</v>
      </c>
      <c r="N386">
        <v>1</v>
      </c>
      <c r="O386">
        <v>0.99056603773584906</v>
      </c>
      <c r="P386">
        <v>2655</v>
      </c>
      <c r="Q386">
        <v>26415136</v>
      </c>
      <c r="R386">
        <v>8604</v>
      </c>
      <c r="S386">
        <v>2</v>
      </c>
      <c r="T386">
        <v>61</v>
      </c>
      <c r="U386">
        <v>0.97777777777777775</v>
      </c>
      <c r="V386">
        <v>1</v>
      </c>
      <c r="W386">
        <v>0.99056603773584906</v>
      </c>
      <c r="X386">
        <v>2761</v>
      </c>
      <c r="Y386">
        <v>26349762</v>
      </c>
      <c r="Z386">
        <v>8869</v>
      </c>
      <c r="AA386">
        <v>2</v>
      </c>
      <c r="AB386">
        <v>62</v>
      </c>
    </row>
    <row r="387" spans="1:28" hidden="1" x14ac:dyDescent="0.25">
      <c r="A387" s="7" t="s">
        <v>57</v>
      </c>
      <c r="B387">
        <v>10</v>
      </c>
      <c r="C387">
        <v>3</v>
      </c>
      <c r="D387">
        <v>3</v>
      </c>
      <c r="E387">
        <v>0</v>
      </c>
      <c r="F387" s="7" t="s">
        <v>60</v>
      </c>
      <c r="G387">
        <v>8631</v>
      </c>
      <c r="H387">
        <v>57945599</v>
      </c>
      <c r="I387">
        <v>430</v>
      </c>
      <c r="J387">
        <v>0.93396228551864624</v>
      </c>
      <c r="K387">
        <v>1</v>
      </c>
      <c r="L387">
        <v>0.8888888955116272</v>
      </c>
      <c r="M387">
        <v>1</v>
      </c>
      <c r="N387">
        <v>1</v>
      </c>
      <c r="O387">
        <v>0.99056603773584906</v>
      </c>
      <c r="P387">
        <v>2642</v>
      </c>
      <c r="Q387">
        <v>25437402</v>
      </c>
      <c r="R387">
        <v>8604</v>
      </c>
      <c r="S387">
        <v>2</v>
      </c>
      <c r="T387">
        <v>61</v>
      </c>
      <c r="U387">
        <v>0.97777777777777775</v>
      </c>
      <c r="V387">
        <v>1</v>
      </c>
      <c r="W387">
        <v>0.99056603773584906</v>
      </c>
      <c r="X387">
        <v>2587</v>
      </c>
      <c r="Y387">
        <v>25295202</v>
      </c>
      <c r="Z387">
        <v>8869</v>
      </c>
      <c r="AA387">
        <v>2</v>
      </c>
      <c r="AB387">
        <v>62</v>
      </c>
    </row>
    <row r="388" spans="1:28" hidden="1" x14ac:dyDescent="0.25">
      <c r="A388" s="7" t="s">
        <v>57</v>
      </c>
      <c r="B388">
        <v>10</v>
      </c>
      <c r="C388">
        <v>3</v>
      </c>
      <c r="D388">
        <v>3</v>
      </c>
      <c r="E388">
        <v>0</v>
      </c>
      <c r="F388" s="7" t="s">
        <v>60</v>
      </c>
      <c r="G388">
        <v>8631</v>
      </c>
      <c r="H388">
        <v>50098096</v>
      </c>
      <c r="I388">
        <v>345</v>
      </c>
      <c r="J388">
        <v>0.98113209009170532</v>
      </c>
      <c r="K388">
        <v>1</v>
      </c>
      <c r="L388">
        <v>0.95555555820465088</v>
      </c>
      <c r="M388">
        <v>0.97777777777777775</v>
      </c>
      <c r="N388">
        <v>1</v>
      </c>
      <c r="O388">
        <v>0.99056603773584906</v>
      </c>
      <c r="P388">
        <v>2978</v>
      </c>
      <c r="Q388">
        <v>29757472</v>
      </c>
      <c r="R388">
        <v>8604</v>
      </c>
      <c r="S388">
        <v>2</v>
      </c>
      <c r="T388">
        <v>61</v>
      </c>
      <c r="U388">
        <v>0.9555555555555556</v>
      </c>
      <c r="V388">
        <v>1</v>
      </c>
      <c r="W388">
        <v>0.99056603773584906</v>
      </c>
      <c r="X388">
        <v>2956</v>
      </c>
      <c r="Y388">
        <v>29645486</v>
      </c>
      <c r="Z388">
        <v>8869</v>
      </c>
      <c r="AA388">
        <v>2</v>
      </c>
      <c r="AB388">
        <v>62</v>
      </c>
    </row>
    <row r="389" spans="1:28" hidden="1" x14ac:dyDescent="0.25">
      <c r="A389" s="7" t="s">
        <v>57</v>
      </c>
      <c r="B389">
        <v>10</v>
      </c>
      <c r="C389">
        <v>3</v>
      </c>
      <c r="D389">
        <v>3</v>
      </c>
      <c r="E389">
        <v>0</v>
      </c>
      <c r="F389" s="7" t="s">
        <v>60</v>
      </c>
      <c r="G389">
        <v>8631</v>
      </c>
      <c r="H389">
        <v>77255550</v>
      </c>
      <c r="I389">
        <v>486</v>
      </c>
      <c r="J389">
        <v>0.96226418018341064</v>
      </c>
      <c r="K389">
        <v>1</v>
      </c>
      <c r="L389">
        <v>0.97777777910232544</v>
      </c>
      <c r="M389">
        <v>0.9555555555555556</v>
      </c>
      <c r="N389">
        <v>1</v>
      </c>
      <c r="O389">
        <v>0.99056603773584906</v>
      </c>
      <c r="P389">
        <v>2857</v>
      </c>
      <c r="Q389">
        <v>31171135</v>
      </c>
      <c r="R389">
        <v>8604</v>
      </c>
      <c r="S389">
        <v>2</v>
      </c>
      <c r="T389">
        <v>61</v>
      </c>
      <c r="U389">
        <v>0.97777777777777775</v>
      </c>
      <c r="V389">
        <v>1</v>
      </c>
      <c r="W389">
        <v>0.99056603773584906</v>
      </c>
      <c r="X389">
        <v>2642</v>
      </c>
      <c r="Y389">
        <v>26640650</v>
      </c>
      <c r="Z389">
        <v>8869</v>
      </c>
      <c r="AA389">
        <v>2</v>
      </c>
      <c r="AB389">
        <v>62</v>
      </c>
    </row>
    <row r="390" spans="1:28" hidden="1" x14ac:dyDescent="0.25">
      <c r="A390" s="7" t="s">
        <v>57</v>
      </c>
      <c r="B390">
        <v>10</v>
      </c>
      <c r="C390">
        <v>3</v>
      </c>
      <c r="D390">
        <v>3</v>
      </c>
      <c r="E390">
        <v>0</v>
      </c>
      <c r="F390" s="7" t="s">
        <v>60</v>
      </c>
      <c r="G390">
        <v>8631</v>
      </c>
      <c r="H390">
        <v>67523420</v>
      </c>
      <c r="I390">
        <v>447</v>
      </c>
      <c r="J390">
        <v>0.93396228551864624</v>
      </c>
      <c r="K390">
        <v>1</v>
      </c>
      <c r="L390">
        <v>0.97777777910232544</v>
      </c>
      <c r="M390">
        <v>0.97777777777777775</v>
      </c>
      <c r="N390">
        <v>1</v>
      </c>
      <c r="O390">
        <v>0.99056603773584906</v>
      </c>
      <c r="P390">
        <v>2495</v>
      </c>
      <c r="Q390">
        <v>28516027</v>
      </c>
      <c r="R390">
        <v>8604</v>
      </c>
      <c r="S390">
        <v>2</v>
      </c>
      <c r="T390">
        <v>61</v>
      </c>
      <c r="U390">
        <v>1</v>
      </c>
      <c r="V390">
        <v>1</v>
      </c>
      <c r="W390">
        <v>0.99056603773584906</v>
      </c>
      <c r="X390">
        <v>2794</v>
      </c>
      <c r="Y390">
        <v>29637725</v>
      </c>
      <c r="Z390">
        <v>8869</v>
      </c>
      <c r="AA390">
        <v>2</v>
      </c>
      <c r="AB390">
        <v>62</v>
      </c>
    </row>
    <row r="391" spans="1:28" hidden="1" x14ac:dyDescent="0.25">
      <c r="A391" s="7" t="s">
        <v>57</v>
      </c>
      <c r="B391">
        <v>10</v>
      </c>
      <c r="C391">
        <v>3</v>
      </c>
      <c r="D391">
        <v>3</v>
      </c>
      <c r="E391">
        <v>0</v>
      </c>
      <c r="F391" s="7" t="s">
        <v>62</v>
      </c>
      <c r="G391">
        <v>6895</v>
      </c>
      <c r="H391">
        <v>34070407</v>
      </c>
      <c r="I391">
        <v>250</v>
      </c>
      <c r="J391">
        <v>0.9716981053352356</v>
      </c>
      <c r="K391">
        <v>1</v>
      </c>
      <c r="L391">
        <v>0.93333333730697632</v>
      </c>
      <c r="M391">
        <v>0.97777777777777775</v>
      </c>
      <c r="N391">
        <v>1</v>
      </c>
      <c r="O391">
        <v>0.99056603773584906</v>
      </c>
      <c r="P391">
        <v>2790</v>
      </c>
      <c r="Q391">
        <v>31412581</v>
      </c>
      <c r="R391">
        <v>6861</v>
      </c>
      <c r="S391">
        <v>2</v>
      </c>
      <c r="T391">
        <v>54</v>
      </c>
      <c r="U391">
        <v>1</v>
      </c>
      <c r="V391">
        <v>1</v>
      </c>
      <c r="W391">
        <v>0.99056603773584906</v>
      </c>
      <c r="X391">
        <v>2741</v>
      </c>
      <c r="Y391">
        <v>27297204</v>
      </c>
      <c r="Z391">
        <v>7098</v>
      </c>
      <c r="AA391">
        <v>2</v>
      </c>
      <c r="AB391">
        <v>55</v>
      </c>
    </row>
    <row r="392" spans="1:28" hidden="1" x14ac:dyDescent="0.25">
      <c r="A392" s="7" t="s">
        <v>57</v>
      </c>
      <c r="B392">
        <v>10</v>
      </c>
      <c r="C392">
        <v>3</v>
      </c>
      <c r="D392">
        <v>3</v>
      </c>
      <c r="E392">
        <v>0</v>
      </c>
      <c r="F392" s="7" t="s">
        <v>62</v>
      </c>
      <c r="G392">
        <v>6895</v>
      </c>
      <c r="H392">
        <v>41021841</v>
      </c>
      <c r="I392">
        <v>293</v>
      </c>
      <c r="J392">
        <v>1</v>
      </c>
      <c r="K392">
        <v>0.96296298503875732</v>
      </c>
      <c r="L392">
        <v>0.8888888955116272</v>
      </c>
      <c r="M392">
        <v>0.9555555555555556</v>
      </c>
      <c r="N392">
        <v>1</v>
      </c>
      <c r="O392">
        <v>0.99056603773584906</v>
      </c>
      <c r="P392">
        <v>2689</v>
      </c>
      <c r="Q392">
        <v>29474002</v>
      </c>
      <c r="R392">
        <v>6861</v>
      </c>
      <c r="S392">
        <v>2</v>
      </c>
      <c r="T392">
        <v>54</v>
      </c>
      <c r="U392">
        <v>1</v>
      </c>
      <c r="V392">
        <v>1</v>
      </c>
      <c r="W392">
        <v>0.99056603773584906</v>
      </c>
      <c r="X392">
        <v>2838</v>
      </c>
      <c r="Y392">
        <v>28715253</v>
      </c>
      <c r="Z392">
        <v>7098</v>
      </c>
      <c r="AA392">
        <v>2</v>
      </c>
      <c r="AB392">
        <v>55</v>
      </c>
    </row>
    <row r="393" spans="1:28" hidden="1" x14ac:dyDescent="0.25">
      <c r="A393" s="7" t="s">
        <v>57</v>
      </c>
      <c r="B393">
        <v>10</v>
      </c>
      <c r="C393">
        <v>3</v>
      </c>
      <c r="D393">
        <v>3</v>
      </c>
      <c r="E393">
        <v>0</v>
      </c>
      <c r="F393" s="7" t="s">
        <v>62</v>
      </c>
      <c r="G393">
        <v>6895</v>
      </c>
      <c r="H393">
        <v>100358940</v>
      </c>
      <c r="I393">
        <v>725</v>
      </c>
      <c r="J393">
        <v>0.88679248094558716</v>
      </c>
      <c r="K393">
        <v>1</v>
      </c>
      <c r="L393">
        <v>0.91111111640930176</v>
      </c>
      <c r="M393">
        <v>1</v>
      </c>
      <c r="N393">
        <v>1</v>
      </c>
      <c r="O393">
        <v>0.99056603773584906</v>
      </c>
      <c r="P393">
        <v>2803</v>
      </c>
      <c r="Q393">
        <v>31795370</v>
      </c>
      <c r="R393">
        <v>6861</v>
      </c>
      <c r="S393">
        <v>2</v>
      </c>
      <c r="T393">
        <v>54</v>
      </c>
      <c r="U393">
        <v>1</v>
      </c>
      <c r="V393">
        <v>1</v>
      </c>
      <c r="W393">
        <v>0.99056603773584906</v>
      </c>
      <c r="X393">
        <v>3108</v>
      </c>
      <c r="Y393">
        <v>36098748</v>
      </c>
      <c r="Z393">
        <v>7098</v>
      </c>
      <c r="AA393">
        <v>2</v>
      </c>
      <c r="AB393">
        <v>55</v>
      </c>
    </row>
    <row r="394" spans="1:28" hidden="1" x14ac:dyDescent="0.25">
      <c r="A394" s="7" t="s">
        <v>57</v>
      </c>
      <c r="B394">
        <v>10</v>
      </c>
      <c r="C394">
        <v>3</v>
      </c>
      <c r="D394">
        <v>3</v>
      </c>
      <c r="E394">
        <v>0</v>
      </c>
      <c r="F394" s="7" t="s">
        <v>62</v>
      </c>
      <c r="G394">
        <v>6895</v>
      </c>
      <c r="H394">
        <v>22364372</v>
      </c>
      <c r="I394">
        <v>158</v>
      </c>
      <c r="J394">
        <v>0.88679248094558716</v>
      </c>
      <c r="K394">
        <v>1</v>
      </c>
      <c r="L394">
        <v>0.91111111640930176</v>
      </c>
      <c r="M394">
        <v>0.9555555555555556</v>
      </c>
      <c r="N394">
        <v>1</v>
      </c>
      <c r="O394">
        <v>0.99056603773584906</v>
      </c>
      <c r="P394">
        <v>2914</v>
      </c>
      <c r="Q394">
        <v>33037689</v>
      </c>
      <c r="R394">
        <v>6861</v>
      </c>
      <c r="S394">
        <v>2</v>
      </c>
      <c r="T394">
        <v>54</v>
      </c>
      <c r="U394">
        <v>0.97777777777777775</v>
      </c>
      <c r="V394">
        <v>1</v>
      </c>
      <c r="W394">
        <v>0.99056603773584906</v>
      </c>
      <c r="X394">
        <v>3173</v>
      </c>
      <c r="Y394">
        <v>35662278</v>
      </c>
      <c r="Z394">
        <v>7098</v>
      </c>
      <c r="AA394">
        <v>2</v>
      </c>
      <c r="AB394">
        <v>55</v>
      </c>
    </row>
    <row r="395" spans="1:28" hidden="1" x14ac:dyDescent="0.25">
      <c r="A395" s="7" t="s">
        <v>57</v>
      </c>
      <c r="B395">
        <v>10</v>
      </c>
      <c r="C395">
        <v>3</v>
      </c>
      <c r="D395">
        <v>3</v>
      </c>
      <c r="E395">
        <v>0</v>
      </c>
      <c r="F395" s="7" t="s">
        <v>62</v>
      </c>
      <c r="G395">
        <v>6895</v>
      </c>
      <c r="H395">
        <v>82711264</v>
      </c>
      <c r="I395">
        <v>591</v>
      </c>
      <c r="J395">
        <v>1</v>
      </c>
      <c r="K395">
        <v>0.96296298503875732</v>
      </c>
      <c r="L395">
        <v>0.86666667461395264</v>
      </c>
      <c r="M395">
        <v>0.97777777777777775</v>
      </c>
      <c r="N395">
        <v>1</v>
      </c>
      <c r="O395">
        <v>0.99056603773584906</v>
      </c>
      <c r="P395">
        <v>3110</v>
      </c>
      <c r="Q395">
        <v>34772927</v>
      </c>
      <c r="R395">
        <v>6861</v>
      </c>
      <c r="S395">
        <v>2</v>
      </c>
      <c r="T395">
        <v>54</v>
      </c>
      <c r="U395">
        <v>0.97777777777777775</v>
      </c>
      <c r="V395">
        <v>1</v>
      </c>
      <c r="W395">
        <v>0.99056603773584906</v>
      </c>
      <c r="X395">
        <v>2846</v>
      </c>
      <c r="Y395">
        <v>32076159</v>
      </c>
      <c r="Z395">
        <v>7098</v>
      </c>
      <c r="AA395">
        <v>2</v>
      </c>
      <c r="AB395">
        <v>55</v>
      </c>
    </row>
    <row r="396" spans="1:28" hidden="1" x14ac:dyDescent="0.25">
      <c r="A396" s="7" t="s">
        <v>57</v>
      </c>
      <c r="B396">
        <v>10</v>
      </c>
      <c r="C396">
        <v>3</v>
      </c>
      <c r="D396">
        <v>3</v>
      </c>
      <c r="E396">
        <v>0</v>
      </c>
      <c r="F396" s="7" t="s">
        <v>63</v>
      </c>
      <c r="G396">
        <v>8340</v>
      </c>
      <c r="H396">
        <v>92740189</v>
      </c>
      <c r="I396">
        <v>603</v>
      </c>
      <c r="J396">
        <v>0.9716981053352356</v>
      </c>
      <c r="K396">
        <v>1</v>
      </c>
      <c r="L396">
        <v>0.97777777910232544</v>
      </c>
      <c r="M396">
        <v>1</v>
      </c>
      <c r="N396">
        <v>1</v>
      </c>
      <c r="O396">
        <v>0.99056603773584906</v>
      </c>
      <c r="P396">
        <v>2795</v>
      </c>
      <c r="Q396">
        <v>32725261</v>
      </c>
      <c r="R396">
        <v>8086</v>
      </c>
      <c r="S396">
        <v>2</v>
      </c>
      <c r="T396">
        <v>59</v>
      </c>
      <c r="U396">
        <v>0.9555555555555556</v>
      </c>
      <c r="V396">
        <v>1</v>
      </c>
      <c r="W396">
        <v>0.99056603773584906</v>
      </c>
      <c r="X396">
        <v>2950</v>
      </c>
      <c r="Y396">
        <v>34672300</v>
      </c>
      <c r="Z396">
        <v>8343</v>
      </c>
      <c r="AA396">
        <v>2</v>
      </c>
      <c r="AB396">
        <v>60</v>
      </c>
    </row>
    <row r="397" spans="1:28" hidden="1" x14ac:dyDescent="0.25">
      <c r="A397" s="7" t="s">
        <v>57</v>
      </c>
      <c r="B397">
        <v>10</v>
      </c>
      <c r="C397">
        <v>3</v>
      </c>
      <c r="D397">
        <v>3</v>
      </c>
      <c r="E397">
        <v>0</v>
      </c>
      <c r="F397" s="7" t="s">
        <v>63</v>
      </c>
      <c r="G397">
        <v>8340</v>
      </c>
      <c r="H397">
        <v>20805874</v>
      </c>
      <c r="I397">
        <v>138</v>
      </c>
      <c r="J397">
        <v>0.93396228551864624</v>
      </c>
      <c r="K397">
        <v>1</v>
      </c>
      <c r="L397">
        <v>0.91111111640930176</v>
      </c>
      <c r="M397">
        <v>0.97777777777777775</v>
      </c>
      <c r="N397">
        <v>1</v>
      </c>
      <c r="O397">
        <v>0.99056603773584906</v>
      </c>
      <c r="P397">
        <v>2703</v>
      </c>
      <c r="Q397">
        <v>31751879</v>
      </c>
      <c r="R397">
        <v>8086</v>
      </c>
      <c r="S397">
        <v>2</v>
      </c>
      <c r="T397">
        <v>59</v>
      </c>
      <c r="U397">
        <v>0.97777777777777775</v>
      </c>
      <c r="V397">
        <v>1</v>
      </c>
      <c r="W397">
        <v>0.99056603773584906</v>
      </c>
      <c r="X397">
        <v>2678</v>
      </c>
      <c r="Y397">
        <v>30720684</v>
      </c>
      <c r="Z397">
        <v>8343</v>
      </c>
      <c r="AA397">
        <v>2</v>
      </c>
      <c r="AB397">
        <v>60</v>
      </c>
    </row>
    <row r="398" spans="1:28" hidden="1" x14ac:dyDescent="0.25">
      <c r="A398" s="7" t="s">
        <v>57</v>
      </c>
      <c r="B398">
        <v>10</v>
      </c>
      <c r="C398">
        <v>3</v>
      </c>
      <c r="D398">
        <v>3</v>
      </c>
      <c r="E398">
        <v>0</v>
      </c>
      <c r="F398" s="7" t="s">
        <v>63</v>
      </c>
      <c r="G398">
        <v>8340</v>
      </c>
      <c r="H398">
        <v>89058423</v>
      </c>
      <c r="I398">
        <v>608</v>
      </c>
      <c r="J398">
        <v>1</v>
      </c>
      <c r="K398">
        <v>0.96296298503875732</v>
      </c>
      <c r="L398">
        <v>0.95555555820465088</v>
      </c>
      <c r="M398">
        <v>0.97777777777777775</v>
      </c>
      <c r="N398">
        <v>1</v>
      </c>
      <c r="O398">
        <v>0.99056603773584906</v>
      </c>
      <c r="P398">
        <v>2529</v>
      </c>
      <c r="Q398">
        <v>31028341</v>
      </c>
      <c r="R398">
        <v>8086</v>
      </c>
      <c r="S398">
        <v>2</v>
      </c>
      <c r="T398">
        <v>59</v>
      </c>
      <c r="U398">
        <v>1</v>
      </c>
      <c r="V398">
        <v>1</v>
      </c>
      <c r="W398">
        <v>0.99056603773584906</v>
      </c>
      <c r="X398">
        <v>3031</v>
      </c>
      <c r="Y398">
        <v>35328030</v>
      </c>
      <c r="Z398">
        <v>8343</v>
      </c>
      <c r="AA398">
        <v>2</v>
      </c>
      <c r="AB398">
        <v>60</v>
      </c>
    </row>
    <row r="399" spans="1:28" hidden="1" x14ac:dyDescent="0.25">
      <c r="A399" s="7" t="s">
        <v>57</v>
      </c>
      <c r="B399">
        <v>10</v>
      </c>
      <c r="C399">
        <v>3</v>
      </c>
      <c r="D399">
        <v>3</v>
      </c>
      <c r="E399">
        <v>0</v>
      </c>
      <c r="F399" s="7" t="s">
        <v>63</v>
      </c>
      <c r="G399">
        <v>8340</v>
      </c>
      <c r="H399">
        <v>1490270234</v>
      </c>
      <c r="I399">
        <v>10088</v>
      </c>
      <c r="J399">
        <v>0.70754718780517578</v>
      </c>
      <c r="K399">
        <v>0.96296298503875732</v>
      </c>
      <c r="L399">
        <v>0.46666666865348816</v>
      </c>
      <c r="M399">
        <v>0.97777777777777775</v>
      </c>
      <c r="N399">
        <v>1</v>
      </c>
      <c r="O399">
        <v>0.99056603773584906</v>
      </c>
      <c r="P399">
        <v>3014</v>
      </c>
      <c r="Q399">
        <v>34724737</v>
      </c>
      <c r="R399">
        <v>8086</v>
      </c>
      <c r="S399">
        <v>2</v>
      </c>
      <c r="T399">
        <v>59</v>
      </c>
      <c r="U399">
        <v>1</v>
      </c>
      <c r="V399">
        <v>1</v>
      </c>
      <c r="W399">
        <v>0.99056603773584906</v>
      </c>
      <c r="X399">
        <v>2625</v>
      </c>
      <c r="Y399">
        <v>31055117</v>
      </c>
      <c r="Z399">
        <v>8343</v>
      </c>
      <c r="AA399">
        <v>2</v>
      </c>
      <c r="AB399">
        <v>60</v>
      </c>
    </row>
    <row r="400" spans="1:28" hidden="1" x14ac:dyDescent="0.25">
      <c r="A400" s="7" t="s">
        <v>57</v>
      </c>
      <c r="B400">
        <v>10</v>
      </c>
      <c r="C400">
        <v>3</v>
      </c>
      <c r="D400">
        <v>3</v>
      </c>
      <c r="E400">
        <v>0</v>
      </c>
      <c r="F400" s="7" t="s">
        <v>63</v>
      </c>
      <c r="G400">
        <v>8340</v>
      </c>
      <c r="H400">
        <v>56214411</v>
      </c>
      <c r="I400">
        <v>370</v>
      </c>
      <c r="J400">
        <v>0.98113209009170532</v>
      </c>
      <c r="K400">
        <v>1</v>
      </c>
      <c r="L400">
        <v>0.91111111640930176</v>
      </c>
      <c r="M400">
        <v>0.97777777777777775</v>
      </c>
      <c r="N400">
        <v>1</v>
      </c>
      <c r="O400">
        <v>0.99056603773584906</v>
      </c>
      <c r="P400">
        <v>2673</v>
      </c>
      <c r="Q400">
        <v>30986836</v>
      </c>
      <c r="R400">
        <v>8086</v>
      </c>
      <c r="S400">
        <v>2</v>
      </c>
      <c r="T400">
        <v>59</v>
      </c>
      <c r="U400">
        <v>1</v>
      </c>
      <c r="V400">
        <v>1</v>
      </c>
      <c r="W400">
        <v>0.99056603773584906</v>
      </c>
      <c r="X400">
        <v>2926</v>
      </c>
      <c r="Y400">
        <v>33165337</v>
      </c>
      <c r="Z400">
        <v>8343</v>
      </c>
      <c r="AA400">
        <v>2</v>
      </c>
      <c r="AB400">
        <v>60</v>
      </c>
    </row>
    <row r="401" spans="1:28" hidden="1" x14ac:dyDescent="0.25">
      <c r="A401" s="7" t="s">
        <v>57</v>
      </c>
      <c r="B401">
        <v>10</v>
      </c>
      <c r="C401">
        <v>3</v>
      </c>
      <c r="D401">
        <v>3</v>
      </c>
      <c r="E401">
        <v>0</v>
      </c>
      <c r="F401" s="7" t="s">
        <v>64</v>
      </c>
      <c r="G401">
        <v>9785</v>
      </c>
      <c r="H401">
        <v>54773995</v>
      </c>
      <c r="I401">
        <v>348</v>
      </c>
      <c r="J401">
        <v>1</v>
      </c>
      <c r="K401">
        <v>0.96296298503875732</v>
      </c>
      <c r="L401">
        <v>0.93333333730697632</v>
      </c>
      <c r="M401">
        <v>0.97777777777777775</v>
      </c>
      <c r="N401">
        <v>1</v>
      </c>
      <c r="O401">
        <v>0.99056603773584906</v>
      </c>
      <c r="P401">
        <v>2595</v>
      </c>
      <c r="Q401">
        <v>32315951</v>
      </c>
      <c r="R401">
        <v>9688</v>
      </c>
      <c r="S401">
        <v>2</v>
      </c>
      <c r="T401">
        <v>65</v>
      </c>
      <c r="U401">
        <v>0.97777777777777775</v>
      </c>
      <c r="V401">
        <v>1</v>
      </c>
      <c r="W401">
        <v>0.99056603773584906</v>
      </c>
      <c r="X401">
        <v>2752</v>
      </c>
      <c r="Y401">
        <v>33133230</v>
      </c>
      <c r="Z401">
        <v>9969</v>
      </c>
      <c r="AA401">
        <v>2</v>
      </c>
      <c r="AB401">
        <v>66</v>
      </c>
    </row>
    <row r="402" spans="1:28" hidden="1" x14ac:dyDescent="0.25">
      <c r="A402" s="7" t="s">
        <v>57</v>
      </c>
      <c r="B402">
        <v>10</v>
      </c>
      <c r="C402">
        <v>3</v>
      </c>
      <c r="D402">
        <v>3</v>
      </c>
      <c r="E402">
        <v>0</v>
      </c>
      <c r="F402" s="7" t="s">
        <v>64</v>
      </c>
      <c r="G402">
        <v>9785</v>
      </c>
      <c r="H402">
        <v>46124024</v>
      </c>
      <c r="I402">
        <v>283</v>
      </c>
      <c r="J402">
        <v>1</v>
      </c>
      <c r="K402">
        <v>0.96296298503875732</v>
      </c>
      <c r="L402">
        <v>0.97777777910232544</v>
      </c>
      <c r="M402">
        <v>0.97777777777777775</v>
      </c>
      <c r="N402">
        <v>1</v>
      </c>
      <c r="O402">
        <v>0.99056603773584906</v>
      </c>
      <c r="P402">
        <v>2571</v>
      </c>
      <c r="Q402">
        <v>30464771</v>
      </c>
      <c r="R402">
        <v>9688</v>
      </c>
      <c r="S402">
        <v>2</v>
      </c>
      <c r="T402">
        <v>65</v>
      </c>
      <c r="U402">
        <v>0.97777777777777775</v>
      </c>
      <c r="V402">
        <v>1</v>
      </c>
      <c r="W402">
        <v>0.99056603773584906</v>
      </c>
      <c r="X402">
        <v>2731</v>
      </c>
      <c r="Y402">
        <v>31917700</v>
      </c>
      <c r="Z402">
        <v>9969</v>
      </c>
      <c r="AA402">
        <v>2</v>
      </c>
      <c r="AB402">
        <v>66</v>
      </c>
    </row>
    <row r="403" spans="1:28" hidden="1" x14ac:dyDescent="0.25">
      <c r="A403" s="7" t="s">
        <v>57</v>
      </c>
      <c r="B403">
        <v>10</v>
      </c>
      <c r="C403">
        <v>3</v>
      </c>
      <c r="D403">
        <v>3</v>
      </c>
      <c r="E403">
        <v>0</v>
      </c>
      <c r="F403" s="7" t="s">
        <v>64</v>
      </c>
      <c r="G403">
        <v>9785</v>
      </c>
      <c r="H403">
        <v>77079329</v>
      </c>
      <c r="I403">
        <v>487</v>
      </c>
      <c r="J403">
        <v>0.9716981053352356</v>
      </c>
      <c r="K403">
        <v>1</v>
      </c>
      <c r="L403">
        <v>0.95555555820465088</v>
      </c>
      <c r="M403">
        <v>1</v>
      </c>
      <c r="N403">
        <v>1</v>
      </c>
      <c r="O403">
        <v>0.99056603773584906</v>
      </c>
      <c r="P403">
        <v>2478</v>
      </c>
      <c r="Q403">
        <v>29548763</v>
      </c>
      <c r="R403">
        <v>9688</v>
      </c>
      <c r="S403">
        <v>2</v>
      </c>
      <c r="T403">
        <v>65</v>
      </c>
      <c r="U403">
        <v>0.9555555555555556</v>
      </c>
      <c r="V403">
        <v>1</v>
      </c>
      <c r="W403">
        <v>0.99056603773584906</v>
      </c>
      <c r="X403">
        <v>2685</v>
      </c>
      <c r="Y403">
        <v>33180270</v>
      </c>
      <c r="Z403">
        <v>9969</v>
      </c>
      <c r="AA403">
        <v>2</v>
      </c>
      <c r="AB403">
        <v>66</v>
      </c>
    </row>
    <row r="404" spans="1:28" hidden="1" x14ac:dyDescent="0.25">
      <c r="A404" s="7" t="s">
        <v>57</v>
      </c>
      <c r="B404">
        <v>10</v>
      </c>
      <c r="C404">
        <v>3</v>
      </c>
      <c r="D404">
        <v>3</v>
      </c>
      <c r="E404">
        <v>0</v>
      </c>
      <c r="F404" s="7" t="s">
        <v>64</v>
      </c>
      <c r="G404">
        <v>9785</v>
      </c>
      <c r="H404">
        <v>115364427</v>
      </c>
      <c r="I404">
        <v>730</v>
      </c>
      <c r="J404">
        <v>1</v>
      </c>
      <c r="K404">
        <v>0.96296298503875732</v>
      </c>
      <c r="L404">
        <v>0.93333333730697632</v>
      </c>
      <c r="M404">
        <v>0.97777777777777775</v>
      </c>
      <c r="N404">
        <v>1</v>
      </c>
      <c r="O404">
        <v>0.99056603773584906</v>
      </c>
      <c r="P404">
        <v>2582</v>
      </c>
      <c r="Q404">
        <v>29274477</v>
      </c>
      <c r="R404">
        <v>9688</v>
      </c>
      <c r="S404">
        <v>2</v>
      </c>
      <c r="T404">
        <v>65</v>
      </c>
      <c r="U404">
        <v>0.97777777777777775</v>
      </c>
      <c r="V404">
        <v>1</v>
      </c>
      <c r="W404">
        <v>0.99056603773584906</v>
      </c>
      <c r="X404">
        <v>2564</v>
      </c>
      <c r="Y404">
        <v>29332694</v>
      </c>
      <c r="Z404">
        <v>9969</v>
      </c>
      <c r="AA404">
        <v>2</v>
      </c>
      <c r="AB404">
        <v>66</v>
      </c>
    </row>
    <row r="405" spans="1:28" hidden="1" x14ac:dyDescent="0.25">
      <c r="A405" s="7" t="s">
        <v>57</v>
      </c>
      <c r="B405">
        <v>10</v>
      </c>
      <c r="C405">
        <v>3</v>
      </c>
      <c r="D405">
        <v>3</v>
      </c>
      <c r="E405">
        <v>0</v>
      </c>
      <c r="F405" s="7" t="s">
        <v>64</v>
      </c>
      <c r="G405">
        <v>9785</v>
      </c>
      <c r="H405">
        <v>13056990118</v>
      </c>
      <c r="I405">
        <v>84532</v>
      </c>
      <c r="J405">
        <v>1</v>
      </c>
      <c r="K405">
        <v>0.96296298503875732</v>
      </c>
      <c r="L405">
        <v>0.91111111640930176</v>
      </c>
      <c r="M405">
        <v>0.97777777777777775</v>
      </c>
      <c r="N405">
        <v>1</v>
      </c>
      <c r="O405">
        <v>0.99056603773584906</v>
      </c>
      <c r="P405">
        <v>2832</v>
      </c>
      <c r="Q405">
        <v>33047675</v>
      </c>
      <c r="R405">
        <v>9688</v>
      </c>
      <c r="S405">
        <v>2</v>
      </c>
      <c r="T405">
        <v>65</v>
      </c>
      <c r="U405">
        <v>0.97777777777777775</v>
      </c>
      <c r="V405">
        <v>1</v>
      </c>
      <c r="W405">
        <v>0.99056603773584906</v>
      </c>
      <c r="X405">
        <v>2688</v>
      </c>
      <c r="Y405">
        <v>31008093</v>
      </c>
      <c r="Z405">
        <v>9969</v>
      </c>
      <c r="AA405">
        <v>2</v>
      </c>
      <c r="AB405">
        <v>66</v>
      </c>
    </row>
    <row r="406" spans="1:28" hidden="1" x14ac:dyDescent="0.25">
      <c r="A406" s="7" t="s">
        <v>57</v>
      </c>
      <c r="B406">
        <v>10</v>
      </c>
      <c r="C406">
        <v>3</v>
      </c>
      <c r="D406">
        <v>3</v>
      </c>
      <c r="E406">
        <v>0</v>
      </c>
      <c r="F406" s="7" t="s">
        <v>65</v>
      </c>
      <c r="G406">
        <v>7729</v>
      </c>
      <c r="H406">
        <v>1529229272</v>
      </c>
      <c r="I406">
        <v>10799</v>
      </c>
      <c r="J406">
        <v>0.79245281219482422</v>
      </c>
      <c r="K406">
        <v>0.96296298503875732</v>
      </c>
      <c r="L406">
        <v>0.80000001192092896</v>
      </c>
      <c r="M406">
        <v>1</v>
      </c>
      <c r="N406">
        <v>1</v>
      </c>
      <c r="O406">
        <v>0.99056603773584906</v>
      </c>
      <c r="P406">
        <v>3487</v>
      </c>
      <c r="Q406">
        <v>38377518</v>
      </c>
      <c r="R406">
        <v>7584</v>
      </c>
      <c r="S406">
        <v>2</v>
      </c>
      <c r="T406">
        <v>57</v>
      </c>
      <c r="U406">
        <v>1</v>
      </c>
      <c r="V406">
        <v>1</v>
      </c>
      <c r="W406">
        <v>0.99056603773584906</v>
      </c>
      <c r="X406">
        <v>3137</v>
      </c>
      <c r="Y406">
        <v>35152398</v>
      </c>
      <c r="Z406">
        <v>7833</v>
      </c>
      <c r="AA406">
        <v>2</v>
      </c>
      <c r="AB406">
        <v>58</v>
      </c>
    </row>
    <row r="407" spans="1:28" hidden="1" x14ac:dyDescent="0.25">
      <c r="A407" s="7" t="s">
        <v>57</v>
      </c>
      <c r="B407">
        <v>10</v>
      </c>
      <c r="C407">
        <v>3</v>
      </c>
      <c r="D407">
        <v>3</v>
      </c>
      <c r="E407">
        <v>0</v>
      </c>
      <c r="F407" s="7" t="s">
        <v>65</v>
      </c>
      <c r="G407">
        <v>7729</v>
      </c>
      <c r="H407">
        <v>59445951</v>
      </c>
      <c r="I407">
        <v>419</v>
      </c>
      <c r="J407">
        <v>0.95283019542694092</v>
      </c>
      <c r="K407">
        <v>1</v>
      </c>
      <c r="L407">
        <v>0.93333333730697632</v>
      </c>
      <c r="M407">
        <v>1</v>
      </c>
      <c r="N407">
        <v>1</v>
      </c>
      <c r="O407">
        <v>0.99056603773584906</v>
      </c>
      <c r="P407">
        <v>2757</v>
      </c>
      <c r="Q407">
        <v>31554627</v>
      </c>
      <c r="R407">
        <v>7584</v>
      </c>
      <c r="S407">
        <v>2</v>
      </c>
      <c r="T407">
        <v>57</v>
      </c>
      <c r="U407">
        <v>0.97777777777777775</v>
      </c>
      <c r="V407">
        <v>1</v>
      </c>
      <c r="W407">
        <v>0.99056603773584906</v>
      </c>
      <c r="X407">
        <v>3042</v>
      </c>
      <c r="Y407">
        <v>35180237</v>
      </c>
      <c r="Z407">
        <v>7833</v>
      </c>
      <c r="AA407">
        <v>2</v>
      </c>
      <c r="AB407">
        <v>58</v>
      </c>
    </row>
    <row r="408" spans="1:28" hidden="1" x14ac:dyDescent="0.25">
      <c r="A408" s="7" t="s">
        <v>57</v>
      </c>
      <c r="B408">
        <v>10</v>
      </c>
      <c r="C408">
        <v>3</v>
      </c>
      <c r="D408">
        <v>3</v>
      </c>
      <c r="E408">
        <v>0</v>
      </c>
      <c r="F408" s="7" t="s">
        <v>65</v>
      </c>
      <c r="G408">
        <v>7729</v>
      </c>
      <c r="H408">
        <v>63070731</v>
      </c>
      <c r="I408">
        <v>445</v>
      </c>
      <c r="J408">
        <v>1</v>
      </c>
      <c r="K408">
        <v>0.96296298503875732</v>
      </c>
      <c r="L408">
        <v>0.8888888955116272</v>
      </c>
      <c r="M408">
        <v>0.97777777777777775</v>
      </c>
      <c r="N408">
        <v>1</v>
      </c>
      <c r="O408">
        <v>0.99056603773584906</v>
      </c>
      <c r="P408">
        <v>2567</v>
      </c>
      <c r="Q408">
        <v>27846853</v>
      </c>
      <c r="R408">
        <v>7584</v>
      </c>
      <c r="S408">
        <v>2</v>
      </c>
      <c r="T408">
        <v>57</v>
      </c>
      <c r="U408">
        <v>0.9555555555555556</v>
      </c>
      <c r="V408">
        <v>1</v>
      </c>
      <c r="W408">
        <v>0.99056603773584906</v>
      </c>
      <c r="X408">
        <v>2627</v>
      </c>
      <c r="Y408">
        <v>30044206</v>
      </c>
      <c r="Z408">
        <v>7833</v>
      </c>
      <c r="AA408">
        <v>2</v>
      </c>
      <c r="AB408">
        <v>58</v>
      </c>
    </row>
    <row r="409" spans="1:28" hidden="1" x14ac:dyDescent="0.25">
      <c r="A409" s="7" t="s">
        <v>57</v>
      </c>
      <c r="B409">
        <v>10</v>
      </c>
      <c r="C409">
        <v>3</v>
      </c>
      <c r="D409">
        <v>3</v>
      </c>
      <c r="E409">
        <v>0</v>
      </c>
      <c r="F409" s="7" t="s">
        <v>65</v>
      </c>
      <c r="G409">
        <v>7729</v>
      </c>
      <c r="H409">
        <v>1831027860</v>
      </c>
      <c r="I409">
        <v>13100</v>
      </c>
      <c r="J409">
        <v>0.5283018946647644</v>
      </c>
      <c r="K409">
        <v>0.92592591047286987</v>
      </c>
      <c r="L409">
        <v>0.57777780294418335</v>
      </c>
      <c r="M409">
        <v>0.97777777777777775</v>
      </c>
      <c r="N409">
        <v>1</v>
      </c>
      <c r="O409">
        <v>0.99056603773584906</v>
      </c>
      <c r="P409">
        <v>2645</v>
      </c>
      <c r="Q409">
        <v>34038839</v>
      </c>
      <c r="R409">
        <v>7584</v>
      </c>
      <c r="S409">
        <v>2</v>
      </c>
      <c r="T409">
        <v>57</v>
      </c>
      <c r="U409">
        <v>0.97777777777777775</v>
      </c>
      <c r="V409">
        <v>1</v>
      </c>
      <c r="W409">
        <v>0.99056603773584906</v>
      </c>
      <c r="X409">
        <v>3086</v>
      </c>
      <c r="Y409">
        <v>36830974</v>
      </c>
      <c r="Z409">
        <v>7833</v>
      </c>
      <c r="AA409">
        <v>2</v>
      </c>
      <c r="AB409">
        <v>58</v>
      </c>
    </row>
    <row r="410" spans="1:28" hidden="1" x14ac:dyDescent="0.25">
      <c r="A410" s="7" t="s">
        <v>57</v>
      </c>
      <c r="B410">
        <v>10</v>
      </c>
      <c r="C410">
        <v>3</v>
      </c>
      <c r="D410">
        <v>3</v>
      </c>
      <c r="E410">
        <v>0</v>
      </c>
      <c r="F410" s="7" t="s">
        <v>65</v>
      </c>
      <c r="G410">
        <v>7729</v>
      </c>
      <c r="H410">
        <v>30583026</v>
      </c>
      <c r="I410">
        <v>209</v>
      </c>
      <c r="J410">
        <v>0.96226418018341064</v>
      </c>
      <c r="K410">
        <v>1</v>
      </c>
      <c r="L410">
        <v>0.95555555820465088</v>
      </c>
      <c r="M410">
        <v>0.97777777777777775</v>
      </c>
      <c r="N410">
        <v>1</v>
      </c>
      <c r="O410">
        <v>0.99056603773584906</v>
      </c>
      <c r="P410">
        <v>2853</v>
      </c>
      <c r="Q410">
        <v>34795199</v>
      </c>
      <c r="R410">
        <v>7584</v>
      </c>
      <c r="S410">
        <v>2</v>
      </c>
      <c r="T410">
        <v>57</v>
      </c>
      <c r="U410">
        <v>0.9555555555555556</v>
      </c>
      <c r="V410">
        <v>1</v>
      </c>
      <c r="W410">
        <v>0.99056603773584906</v>
      </c>
      <c r="X410">
        <v>2548</v>
      </c>
      <c r="Y410">
        <v>29525351</v>
      </c>
      <c r="Z410">
        <v>7833</v>
      </c>
      <c r="AA410">
        <v>2</v>
      </c>
      <c r="AB410">
        <v>58</v>
      </c>
    </row>
    <row r="411" spans="1:28" hidden="1" x14ac:dyDescent="0.25">
      <c r="A411" s="7" t="s">
        <v>57</v>
      </c>
      <c r="B411">
        <v>10</v>
      </c>
      <c r="C411">
        <v>3</v>
      </c>
      <c r="D411">
        <v>3</v>
      </c>
      <c r="E411">
        <v>0</v>
      </c>
      <c r="F411" s="7" t="s">
        <v>66</v>
      </c>
      <c r="G411">
        <v>9334</v>
      </c>
      <c r="H411">
        <v>1586440975</v>
      </c>
      <c r="I411">
        <v>10627</v>
      </c>
      <c r="J411">
        <v>0.43396225571632385</v>
      </c>
      <c r="K411">
        <v>0.96296298503875732</v>
      </c>
      <c r="L411">
        <v>0.35555556416511536</v>
      </c>
      <c r="M411">
        <v>1</v>
      </c>
      <c r="N411">
        <v>1</v>
      </c>
      <c r="O411">
        <v>0.99056603773584906</v>
      </c>
      <c r="P411">
        <v>2566</v>
      </c>
      <c r="Q411">
        <v>29816019</v>
      </c>
      <c r="R411">
        <v>9138</v>
      </c>
      <c r="S411">
        <v>2</v>
      </c>
      <c r="T411">
        <v>63</v>
      </c>
      <c r="U411">
        <v>0.97777777777777775</v>
      </c>
      <c r="V411">
        <v>1</v>
      </c>
      <c r="W411">
        <v>0.99056603773584906</v>
      </c>
      <c r="X411">
        <v>2703</v>
      </c>
      <c r="Y411">
        <v>29286577</v>
      </c>
      <c r="Z411">
        <v>9411</v>
      </c>
      <c r="AA411">
        <v>2</v>
      </c>
      <c r="AB411">
        <v>64</v>
      </c>
    </row>
    <row r="412" spans="1:28" hidden="1" x14ac:dyDescent="0.25">
      <c r="A412" s="7" t="s">
        <v>57</v>
      </c>
      <c r="B412">
        <v>10</v>
      </c>
      <c r="C412">
        <v>3</v>
      </c>
      <c r="D412">
        <v>3</v>
      </c>
      <c r="E412">
        <v>0</v>
      </c>
      <c r="F412" s="7" t="s">
        <v>66</v>
      </c>
      <c r="G412">
        <v>9334</v>
      </c>
      <c r="H412">
        <v>2222710710</v>
      </c>
      <c r="I412">
        <v>15239</v>
      </c>
      <c r="J412">
        <v>0.89622640609741211</v>
      </c>
      <c r="K412">
        <v>0.96296298503875732</v>
      </c>
      <c r="L412">
        <v>0.77777779102325439</v>
      </c>
      <c r="M412">
        <v>0.97777777777777775</v>
      </c>
      <c r="N412">
        <v>1</v>
      </c>
      <c r="O412">
        <v>0.99056603773584906</v>
      </c>
      <c r="P412">
        <v>2333</v>
      </c>
      <c r="Q412">
        <v>26748262</v>
      </c>
      <c r="R412">
        <v>9138</v>
      </c>
      <c r="S412">
        <v>2</v>
      </c>
      <c r="T412">
        <v>63</v>
      </c>
      <c r="U412">
        <v>1</v>
      </c>
      <c r="V412">
        <v>1</v>
      </c>
      <c r="W412">
        <v>0.99056603773584906</v>
      </c>
      <c r="X412">
        <v>2987</v>
      </c>
      <c r="Y412">
        <v>33827514</v>
      </c>
      <c r="Z412">
        <v>9411</v>
      </c>
      <c r="AA412">
        <v>2</v>
      </c>
      <c r="AB412">
        <v>64</v>
      </c>
    </row>
    <row r="413" spans="1:28" hidden="1" x14ac:dyDescent="0.25">
      <c r="A413" s="7" t="s">
        <v>57</v>
      </c>
      <c r="B413">
        <v>10</v>
      </c>
      <c r="C413">
        <v>3</v>
      </c>
      <c r="D413">
        <v>3</v>
      </c>
      <c r="E413">
        <v>0</v>
      </c>
      <c r="F413" s="7" t="s">
        <v>66</v>
      </c>
      <c r="G413">
        <v>9334</v>
      </c>
      <c r="H413">
        <v>1534950638</v>
      </c>
      <c r="I413">
        <v>10473</v>
      </c>
      <c r="J413">
        <v>0.35849055647850037</v>
      </c>
      <c r="K413">
        <v>0.96296298503875732</v>
      </c>
      <c r="L413">
        <v>0.3333333432674408</v>
      </c>
      <c r="M413">
        <v>1</v>
      </c>
      <c r="N413">
        <v>1</v>
      </c>
      <c r="O413">
        <v>0.99056603773584906</v>
      </c>
      <c r="P413">
        <v>2765</v>
      </c>
      <c r="Q413">
        <v>31185269</v>
      </c>
      <c r="R413">
        <v>9138</v>
      </c>
      <c r="S413">
        <v>2</v>
      </c>
      <c r="T413">
        <v>63</v>
      </c>
      <c r="U413">
        <v>0.97777777777777775</v>
      </c>
      <c r="V413">
        <v>1</v>
      </c>
      <c r="W413">
        <v>0.99056603773584906</v>
      </c>
      <c r="X413">
        <v>2748</v>
      </c>
      <c r="Y413">
        <v>31804819</v>
      </c>
      <c r="Z413">
        <v>9411</v>
      </c>
      <c r="AA413">
        <v>2</v>
      </c>
      <c r="AB413">
        <v>64</v>
      </c>
    </row>
    <row r="414" spans="1:28" hidden="1" x14ac:dyDescent="0.25">
      <c r="A414" s="7" t="s">
        <v>57</v>
      </c>
      <c r="B414">
        <v>10</v>
      </c>
      <c r="C414">
        <v>3</v>
      </c>
      <c r="D414">
        <v>3</v>
      </c>
      <c r="E414">
        <v>0</v>
      </c>
      <c r="F414" s="7" t="s">
        <v>66</v>
      </c>
      <c r="G414">
        <v>9334</v>
      </c>
      <c r="H414">
        <v>1539132223</v>
      </c>
      <c r="I414">
        <v>10343</v>
      </c>
      <c r="J414">
        <v>0.75471699237823486</v>
      </c>
      <c r="K414">
        <v>0.96296298503875732</v>
      </c>
      <c r="L414">
        <v>0.77777779102325439</v>
      </c>
      <c r="M414">
        <v>1</v>
      </c>
      <c r="N414">
        <v>1</v>
      </c>
      <c r="O414">
        <v>0.99056603773584906</v>
      </c>
      <c r="P414">
        <v>2592</v>
      </c>
      <c r="Q414">
        <v>29172484</v>
      </c>
      <c r="R414">
        <v>9138</v>
      </c>
      <c r="S414">
        <v>2</v>
      </c>
      <c r="T414">
        <v>63</v>
      </c>
      <c r="U414">
        <v>0.97777777777777775</v>
      </c>
      <c r="V414">
        <v>1</v>
      </c>
      <c r="W414">
        <v>0.99056603773584906</v>
      </c>
      <c r="X414">
        <v>2622</v>
      </c>
      <c r="Y414">
        <v>30523338</v>
      </c>
      <c r="Z414">
        <v>9411</v>
      </c>
      <c r="AA414">
        <v>2</v>
      </c>
      <c r="AB414">
        <v>64</v>
      </c>
    </row>
    <row r="415" spans="1:28" hidden="1" x14ac:dyDescent="0.25">
      <c r="A415" s="7" t="s">
        <v>57</v>
      </c>
      <c r="B415">
        <v>10</v>
      </c>
      <c r="C415">
        <v>3</v>
      </c>
      <c r="D415">
        <v>3</v>
      </c>
      <c r="E415">
        <v>0</v>
      </c>
      <c r="F415" s="7" t="s">
        <v>66</v>
      </c>
      <c r="G415">
        <v>9334</v>
      </c>
      <c r="H415">
        <v>56311226</v>
      </c>
      <c r="I415">
        <v>368</v>
      </c>
      <c r="J415">
        <v>0.9716981053352356</v>
      </c>
      <c r="K415">
        <v>1</v>
      </c>
      <c r="L415">
        <v>0.93333333730697632</v>
      </c>
      <c r="M415">
        <v>0.97777777777777775</v>
      </c>
      <c r="N415">
        <v>1</v>
      </c>
      <c r="O415">
        <v>0.99056603773584906</v>
      </c>
      <c r="P415">
        <v>3181</v>
      </c>
      <c r="Q415">
        <v>37189382</v>
      </c>
      <c r="R415">
        <v>9138</v>
      </c>
      <c r="S415">
        <v>2</v>
      </c>
      <c r="T415">
        <v>63</v>
      </c>
      <c r="U415">
        <v>1</v>
      </c>
      <c r="V415">
        <v>1</v>
      </c>
      <c r="W415">
        <v>0.99056603773584906</v>
      </c>
      <c r="X415">
        <v>2760</v>
      </c>
      <c r="Y415">
        <v>31719964</v>
      </c>
      <c r="Z415">
        <v>9411</v>
      </c>
      <c r="AA415">
        <v>2</v>
      </c>
      <c r="AB415">
        <v>64</v>
      </c>
    </row>
    <row r="416" spans="1:28" hidden="1" x14ac:dyDescent="0.25">
      <c r="A416" s="7" t="s">
        <v>57</v>
      </c>
      <c r="B416">
        <v>10</v>
      </c>
      <c r="C416">
        <v>3</v>
      </c>
      <c r="D416">
        <v>3</v>
      </c>
      <c r="E416">
        <v>0</v>
      </c>
      <c r="F416" s="7" t="s">
        <v>67</v>
      </c>
      <c r="G416">
        <v>10939</v>
      </c>
      <c r="H416">
        <v>133608853</v>
      </c>
      <c r="I416">
        <v>841</v>
      </c>
      <c r="J416">
        <v>0.95283019542694092</v>
      </c>
      <c r="K416">
        <v>1</v>
      </c>
      <c r="L416">
        <v>0.8888888955116272</v>
      </c>
      <c r="M416">
        <v>0.9555555555555556</v>
      </c>
      <c r="N416">
        <v>1</v>
      </c>
      <c r="O416">
        <v>0.99056603773584906</v>
      </c>
      <c r="P416">
        <v>2773</v>
      </c>
      <c r="Q416">
        <v>31155661</v>
      </c>
      <c r="R416">
        <v>10836</v>
      </c>
      <c r="S416">
        <v>2</v>
      </c>
      <c r="T416">
        <v>69</v>
      </c>
      <c r="U416">
        <v>0.97777777777777775</v>
      </c>
      <c r="V416">
        <v>1</v>
      </c>
      <c r="W416">
        <v>0.99056603773584906</v>
      </c>
      <c r="X416">
        <v>2427</v>
      </c>
      <c r="Y416">
        <v>26402627</v>
      </c>
      <c r="Z416">
        <v>11133</v>
      </c>
      <c r="AA416">
        <v>2</v>
      </c>
      <c r="AB416">
        <v>70</v>
      </c>
    </row>
    <row r="417" spans="1:28" hidden="1" x14ac:dyDescent="0.25">
      <c r="A417" s="7" t="s">
        <v>57</v>
      </c>
      <c r="B417">
        <v>10</v>
      </c>
      <c r="C417">
        <v>3</v>
      </c>
      <c r="D417">
        <v>3</v>
      </c>
      <c r="E417">
        <v>0</v>
      </c>
      <c r="F417" s="7" t="s">
        <v>67</v>
      </c>
      <c r="G417">
        <v>10939</v>
      </c>
      <c r="H417">
        <v>50389820</v>
      </c>
      <c r="I417">
        <v>313</v>
      </c>
      <c r="J417">
        <v>0.92452830076217651</v>
      </c>
      <c r="K417">
        <v>1</v>
      </c>
      <c r="L417">
        <v>0.8888888955116272</v>
      </c>
      <c r="M417">
        <v>0.97777777777777775</v>
      </c>
      <c r="N417">
        <v>1</v>
      </c>
      <c r="O417">
        <v>0.99056603773584906</v>
      </c>
      <c r="P417">
        <v>2506</v>
      </c>
      <c r="Q417">
        <v>28305081</v>
      </c>
      <c r="R417">
        <v>10836</v>
      </c>
      <c r="S417">
        <v>2</v>
      </c>
      <c r="T417">
        <v>69</v>
      </c>
      <c r="U417">
        <v>0.97777777777777775</v>
      </c>
      <c r="V417">
        <v>1</v>
      </c>
      <c r="W417">
        <v>0.99056603773584906</v>
      </c>
      <c r="X417">
        <v>2344</v>
      </c>
      <c r="Y417">
        <v>26804644</v>
      </c>
      <c r="Z417">
        <v>11133</v>
      </c>
      <c r="AA417">
        <v>2</v>
      </c>
      <c r="AB417">
        <v>70</v>
      </c>
    </row>
    <row r="418" spans="1:28" hidden="1" x14ac:dyDescent="0.25">
      <c r="A418" s="7" t="s">
        <v>28</v>
      </c>
      <c r="B418">
        <v>8</v>
      </c>
      <c r="C418">
        <v>3</v>
      </c>
      <c r="D418">
        <v>2</v>
      </c>
      <c r="E418">
        <v>0</v>
      </c>
      <c r="F418" s="7" t="s">
        <v>31</v>
      </c>
      <c r="G418">
        <v>13346</v>
      </c>
      <c r="H418">
        <v>301752789</v>
      </c>
      <c r="I418">
        <v>1491</v>
      </c>
      <c r="J418">
        <v>1</v>
      </c>
      <c r="K418">
        <v>0.94186043739318848</v>
      </c>
      <c r="L418">
        <v>0.92307692766189575</v>
      </c>
      <c r="M418">
        <v>0.965034965034965</v>
      </c>
      <c r="N418">
        <v>0.96511627906976749</v>
      </c>
      <c r="O418">
        <v>1</v>
      </c>
      <c r="P418">
        <v>11786</v>
      </c>
      <c r="Q418">
        <v>3870911055</v>
      </c>
      <c r="R418">
        <v>13215</v>
      </c>
      <c r="S418">
        <v>2</v>
      </c>
      <c r="T418">
        <v>73</v>
      </c>
      <c r="U418">
        <v>0.95804195804195802</v>
      </c>
      <c r="V418">
        <v>0.95348837209302328</v>
      </c>
      <c r="W418">
        <v>1</v>
      </c>
      <c r="X418">
        <v>20835</v>
      </c>
      <c r="Y418">
        <v>6717461120</v>
      </c>
      <c r="Z418">
        <v>13544</v>
      </c>
      <c r="AA418">
        <v>2</v>
      </c>
      <c r="AB418">
        <v>74</v>
      </c>
    </row>
    <row r="419" spans="1:28" hidden="1" x14ac:dyDescent="0.25">
      <c r="A419" s="7" t="s">
        <v>28</v>
      </c>
      <c r="B419">
        <v>8</v>
      </c>
      <c r="C419">
        <v>3</v>
      </c>
      <c r="D419">
        <v>2</v>
      </c>
      <c r="E419">
        <v>0</v>
      </c>
      <c r="F419" s="7" t="s">
        <v>31</v>
      </c>
      <c r="G419">
        <v>13346</v>
      </c>
      <c r="H419">
        <v>283896039</v>
      </c>
      <c r="I419">
        <v>1245</v>
      </c>
      <c r="J419">
        <v>1</v>
      </c>
      <c r="K419">
        <v>0.97674417495727539</v>
      </c>
      <c r="L419">
        <v>0.95104897022247314</v>
      </c>
      <c r="M419">
        <v>0.95104895104895104</v>
      </c>
      <c r="N419">
        <v>0.96511627906976749</v>
      </c>
      <c r="O419">
        <v>1</v>
      </c>
      <c r="P419">
        <v>15441</v>
      </c>
      <c r="Q419">
        <v>4796675047</v>
      </c>
      <c r="R419">
        <v>13215</v>
      </c>
      <c r="S419">
        <v>2</v>
      </c>
      <c r="T419">
        <v>73</v>
      </c>
      <c r="U419">
        <v>0.95804195804195802</v>
      </c>
      <c r="V419">
        <v>0.96511627906976749</v>
      </c>
      <c r="W419">
        <v>1</v>
      </c>
      <c r="X419">
        <v>20479</v>
      </c>
      <c r="Y419">
        <v>6573433208</v>
      </c>
      <c r="Z419">
        <v>13544</v>
      </c>
      <c r="AA419">
        <v>2</v>
      </c>
      <c r="AB419">
        <v>74</v>
      </c>
    </row>
    <row r="420" spans="1:28" hidden="1" x14ac:dyDescent="0.25">
      <c r="A420" s="7" t="s">
        <v>28</v>
      </c>
      <c r="B420">
        <v>8</v>
      </c>
      <c r="C420">
        <v>3</v>
      </c>
      <c r="D420">
        <v>2</v>
      </c>
      <c r="E420">
        <v>0</v>
      </c>
      <c r="F420" s="7" t="s">
        <v>31</v>
      </c>
      <c r="G420">
        <v>13346</v>
      </c>
      <c r="H420">
        <v>487755467</v>
      </c>
      <c r="I420">
        <v>2097</v>
      </c>
      <c r="J420">
        <v>1</v>
      </c>
      <c r="K420">
        <v>0.96511626243591309</v>
      </c>
      <c r="L420">
        <v>0.94405591487884521</v>
      </c>
      <c r="M420">
        <v>0.965034965034965</v>
      </c>
      <c r="N420">
        <v>0.96511627906976749</v>
      </c>
      <c r="O420">
        <v>1</v>
      </c>
      <c r="P420">
        <v>12527</v>
      </c>
      <c r="Q420">
        <v>4242641365</v>
      </c>
      <c r="R420">
        <v>13215</v>
      </c>
      <c r="S420">
        <v>2</v>
      </c>
      <c r="T420">
        <v>73</v>
      </c>
      <c r="U420">
        <v>0.95804195804195802</v>
      </c>
      <c r="V420">
        <v>0.95348837209302328</v>
      </c>
      <c r="W420">
        <v>1</v>
      </c>
      <c r="X420">
        <v>11458</v>
      </c>
      <c r="Y420">
        <v>3645857593</v>
      </c>
      <c r="Z420">
        <v>13544</v>
      </c>
      <c r="AA420">
        <v>2</v>
      </c>
      <c r="AB420">
        <v>74</v>
      </c>
    </row>
    <row r="421" spans="1:28" hidden="1" x14ac:dyDescent="0.25">
      <c r="A421" s="7" t="s">
        <v>57</v>
      </c>
      <c r="B421">
        <v>18</v>
      </c>
      <c r="C421">
        <v>9</v>
      </c>
      <c r="D421">
        <v>4</v>
      </c>
      <c r="E421">
        <v>0</v>
      </c>
      <c r="F421" s="7" t="s">
        <v>70</v>
      </c>
      <c r="G421">
        <v>18870</v>
      </c>
      <c r="H421">
        <v>2329849385</v>
      </c>
      <c r="I421">
        <v>11025</v>
      </c>
      <c r="J421">
        <v>0.2641509473323822</v>
      </c>
      <c r="K421">
        <v>0.70370370149612427</v>
      </c>
      <c r="L421">
        <v>0.31111112236976624</v>
      </c>
      <c r="M421">
        <v>0.97777777777777775</v>
      </c>
      <c r="N421">
        <v>1</v>
      </c>
      <c r="O421">
        <v>0.839622641509434</v>
      </c>
      <c r="P421">
        <v>39</v>
      </c>
      <c r="Q421">
        <v>6378117</v>
      </c>
      <c r="R421">
        <v>18679</v>
      </c>
      <c r="S421">
        <v>2</v>
      </c>
      <c r="T421">
        <v>92</v>
      </c>
      <c r="U421">
        <v>0.93333333333333335</v>
      </c>
      <c r="V421">
        <v>1</v>
      </c>
      <c r="W421">
        <v>0.83018867924528306</v>
      </c>
      <c r="X421">
        <v>42</v>
      </c>
      <c r="Y421">
        <v>13371562</v>
      </c>
      <c r="Z421">
        <v>19068</v>
      </c>
      <c r="AA421">
        <v>2</v>
      </c>
      <c r="AB421">
        <v>93</v>
      </c>
    </row>
    <row r="422" spans="1:28" hidden="1" x14ac:dyDescent="0.25">
      <c r="A422" s="7" t="s">
        <v>57</v>
      </c>
      <c r="B422">
        <v>18</v>
      </c>
      <c r="C422">
        <v>9</v>
      </c>
      <c r="D422">
        <v>4</v>
      </c>
      <c r="E422">
        <v>0</v>
      </c>
      <c r="F422" s="7" t="s">
        <v>70</v>
      </c>
      <c r="G422">
        <v>18870</v>
      </c>
      <c r="H422">
        <v>2174751313</v>
      </c>
      <c r="I422">
        <v>10004</v>
      </c>
      <c r="J422">
        <v>0.40566039085388184</v>
      </c>
      <c r="K422">
        <v>0.74074071645736694</v>
      </c>
      <c r="L422">
        <v>0.40000000596046448</v>
      </c>
      <c r="M422">
        <v>0.97777777777777775</v>
      </c>
      <c r="N422">
        <v>1</v>
      </c>
      <c r="O422">
        <v>0.839622641509434</v>
      </c>
      <c r="P422">
        <v>43</v>
      </c>
      <c r="Q422">
        <v>19871270</v>
      </c>
      <c r="R422">
        <v>18679</v>
      </c>
      <c r="S422">
        <v>2</v>
      </c>
      <c r="T422">
        <v>92</v>
      </c>
      <c r="U422">
        <v>0.97777777777777775</v>
      </c>
      <c r="V422">
        <v>1</v>
      </c>
      <c r="W422">
        <v>0.839622641509434</v>
      </c>
      <c r="X422">
        <v>42</v>
      </c>
      <c r="Y422">
        <v>6946949</v>
      </c>
      <c r="Z422">
        <v>19068</v>
      </c>
      <c r="AA422">
        <v>2</v>
      </c>
      <c r="AB422">
        <v>93</v>
      </c>
    </row>
    <row r="423" spans="1:28" hidden="1" x14ac:dyDescent="0.25">
      <c r="A423" s="7" t="s">
        <v>57</v>
      </c>
      <c r="B423">
        <v>18</v>
      </c>
      <c r="C423">
        <v>9</v>
      </c>
      <c r="D423">
        <v>4</v>
      </c>
      <c r="E423">
        <v>0</v>
      </c>
      <c r="F423" s="7" t="s">
        <v>70</v>
      </c>
      <c r="G423">
        <v>18870</v>
      </c>
      <c r="H423">
        <v>2172255145</v>
      </c>
      <c r="I423">
        <v>10054</v>
      </c>
      <c r="J423">
        <v>0.31132075190544128</v>
      </c>
      <c r="K423">
        <v>0.66666668653488159</v>
      </c>
      <c r="L423">
        <v>0.42222222685813904</v>
      </c>
      <c r="M423">
        <v>0.9555555555555556</v>
      </c>
      <c r="N423">
        <v>1</v>
      </c>
      <c r="O423">
        <v>0.83018867924528306</v>
      </c>
      <c r="P423">
        <v>44</v>
      </c>
      <c r="Q423">
        <v>17687753</v>
      </c>
      <c r="R423">
        <v>18679</v>
      </c>
      <c r="S423">
        <v>2</v>
      </c>
      <c r="T423">
        <v>92</v>
      </c>
      <c r="U423">
        <v>0.93333333333333335</v>
      </c>
      <c r="V423">
        <v>1</v>
      </c>
      <c r="W423">
        <v>0.83018867924528306</v>
      </c>
      <c r="X423">
        <v>41</v>
      </c>
      <c r="Y423">
        <v>9987749</v>
      </c>
      <c r="Z423">
        <v>19068</v>
      </c>
      <c r="AA423">
        <v>2</v>
      </c>
      <c r="AB423">
        <v>93</v>
      </c>
    </row>
    <row r="424" spans="1:28" hidden="1" x14ac:dyDescent="0.25">
      <c r="A424" s="7" t="s">
        <v>57</v>
      </c>
      <c r="B424">
        <v>18</v>
      </c>
      <c r="C424">
        <v>9</v>
      </c>
      <c r="D424">
        <v>4</v>
      </c>
      <c r="E424">
        <v>0</v>
      </c>
      <c r="F424" s="7" t="s">
        <v>70</v>
      </c>
      <c r="G424">
        <v>18870</v>
      </c>
      <c r="H424">
        <v>2191117277</v>
      </c>
      <c r="I424">
        <v>10004</v>
      </c>
      <c r="J424">
        <v>0.33962264657020569</v>
      </c>
      <c r="K424">
        <v>0.62962961196899414</v>
      </c>
      <c r="L424">
        <v>0.4444444477558136</v>
      </c>
      <c r="M424">
        <v>0.97777777777777775</v>
      </c>
      <c r="N424">
        <v>1</v>
      </c>
      <c r="O424">
        <v>0.839622641509434</v>
      </c>
      <c r="P424">
        <v>43</v>
      </c>
      <c r="Q424">
        <v>14945601</v>
      </c>
      <c r="R424">
        <v>18679</v>
      </c>
      <c r="S424">
        <v>2</v>
      </c>
      <c r="T424">
        <v>92</v>
      </c>
      <c r="U424">
        <v>0.97777777777777775</v>
      </c>
      <c r="V424">
        <v>1</v>
      </c>
      <c r="W424">
        <v>0.839622641509434</v>
      </c>
      <c r="X424">
        <v>42</v>
      </c>
      <c r="Y424">
        <v>13638478</v>
      </c>
      <c r="Z424">
        <v>19068</v>
      </c>
      <c r="AA424">
        <v>2</v>
      </c>
      <c r="AB424">
        <v>93</v>
      </c>
    </row>
    <row r="425" spans="1:28" hidden="1" x14ac:dyDescent="0.25">
      <c r="A425" s="7" t="s">
        <v>57</v>
      </c>
      <c r="B425">
        <v>18</v>
      </c>
      <c r="C425">
        <v>9</v>
      </c>
      <c r="D425">
        <v>4</v>
      </c>
      <c r="E425">
        <v>0</v>
      </c>
      <c r="F425" s="7" t="s">
        <v>72</v>
      </c>
      <c r="G425">
        <v>14662</v>
      </c>
      <c r="H425">
        <v>1987706546</v>
      </c>
      <c r="I425">
        <v>10124</v>
      </c>
      <c r="J425">
        <v>0.33018869161605835</v>
      </c>
      <c r="K425">
        <v>0.74074071645736694</v>
      </c>
      <c r="L425">
        <v>0.35555556416511536</v>
      </c>
      <c r="M425">
        <v>0.9555555555555556</v>
      </c>
      <c r="N425">
        <v>1</v>
      </c>
      <c r="O425">
        <v>0.84905660377358494</v>
      </c>
      <c r="P425">
        <v>51</v>
      </c>
      <c r="Q425">
        <v>17546054</v>
      </c>
      <c r="R425">
        <v>14323</v>
      </c>
      <c r="S425">
        <v>2</v>
      </c>
      <c r="T425">
        <v>80</v>
      </c>
      <c r="U425">
        <v>0.9555555555555556</v>
      </c>
      <c r="V425">
        <v>1</v>
      </c>
      <c r="W425">
        <v>0.84905660377358494</v>
      </c>
      <c r="X425">
        <v>49</v>
      </c>
      <c r="Y425">
        <v>15006888</v>
      </c>
      <c r="Z425">
        <v>14664</v>
      </c>
      <c r="AA425">
        <v>2</v>
      </c>
      <c r="AB425">
        <v>81</v>
      </c>
    </row>
    <row r="426" spans="1:28" hidden="1" x14ac:dyDescent="0.25">
      <c r="A426" s="7" t="s">
        <v>57</v>
      </c>
      <c r="B426">
        <v>18</v>
      </c>
      <c r="C426">
        <v>9</v>
      </c>
      <c r="D426">
        <v>4</v>
      </c>
      <c r="E426">
        <v>0</v>
      </c>
      <c r="F426" s="7" t="s">
        <v>72</v>
      </c>
      <c r="G426">
        <v>14662</v>
      </c>
      <c r="H426">
        <v>2164677148</v>
      </c>
      <c r="I426">
        <v>11004</v>
      </c>
      <c r="J426">
        <v>0.30188679695129395</v>
      </c>
      <c r="K426">
        <v>0.62962961196899414</v>
      </c>
      <c r="L426">
        <v>0.35555556416511536</v>
      </c>
      <c r="M426">
        <v>0.97777777777777775</v>
      </c>
      <c r="N426">
        <v>1</v>
      </c>
      <c r="O426">
        <v>0.839622641509434</v>
      </c>
      <c r="P426">
        <v>44</v>
      </c>
      <c r="Q426">
        <v>10899337</v>
      </c>
      <c r="R426">
        <v>14323</v>
      </c>
      <c r="S426">
        <v>2</v>
      </c>
      <c r="T426">
        <v>80</v>
      </c>
      <c r="U426">
        <v>0.9555555555555556</v>
      </c>
      <c r="V426">
        <v>1</v>
      </c>
      <c r="W426">
        <v>0.839622641509434</v>
      </c>
      <c r="X426">
        <v>40</v>
      </c>
      <c r="Y426">
        <v>14145928</v>
      </c>
      <c r="Z426">
        <v>14664</v>
      </c>
      <c r="AA426">
        <v>2</v>
      </c>
      <c r="AB426">
        <v>81</v>
      </c>
    </row>
    <row r="427" spans="1:28" hidden="1" x14ac:dyDescent="0.25">
      <c r="A427" s="7" t="s">
        <v>57</v>
      </c>
      <c r="B427">
        <v>18</v>
      </c>
      <c r="C427">
        <v>9</v>
      </c>
      <c r="D427">
        <v>4</v>
      </c>
      <c r="E427">
        <v>0</v>
      </c>
      <c r="F427" s="7" t="s">
        <v>72</v>
      </c>
      <c r="G427">
        <v>14662</v>
      </c>
      <c r="H427">
        <v>1956197803</v>
      </c>
      <c r="I427">
        <v>10005</v>
      </c>
      <c r="J427">
        <v>0.33962264657020569</v>
      </c>
      <c r="K427">
        <v>0.77777779102325439</v>
      </c>
      <c r="L427">
        <v>0.26666668057441711</v>
      </c>
      <c r="M427">
        <v>0.9555555555555556</v>
      </c>
      <c r="N427">
        <v>1</v>
      </c>
      <c r="O427">
        <v>0.82075471698113212</v>
      </c>
      <c r="P427">
        <v>43</v>
      </c>
      <c r="Q427">
        <v>20743738</v>
      </c>
      <c r="R427">
        <v>14323</v>
      </c>
      <c r="S427">
        <v>2</v>
      </c>
      <c r="T427">
        <v>80</v>
      </c>
      <c r="U427">
        <v>0.9555555555555556</v>
      </c>
      <c r="V427">
        <v>1</v>
      </c>
      <c r="W427">
        <v>0.83018867924528306</v>
      </c>
      <c r="X427">
        <v>43</v>
      </c>
      <c r="Y427">
        <v>15281999</v>
      </c>
      <c r="Z427">
        <v>14664</v>
      </c>
      <c r="AA427">
        <v>2</v>
      </c>
      <c r="AB427">
        <v>81</v>
      </c>
    </row>
    <row r="428" spans="1:28" hidden="1" x14ac:dyDescent="0.25">
      <c r="A428" s="7" t="s">
        <v>57</v>
      </c>
      <c r="B428">
        <v>18</v>
      </c>
      <c r="C428">
        <v>9</v>
      </c>
      <c r="D428">
        <v>4</v>
      </c>
      <c r="E428">
        <v>0</v>
      </c>
      <c r="F428" s="7" t="s">
        <v>72</v>
      </c>
      <c r="G428">
        <v>14662</v>
      </c>
      <c r="H428">
        <v>1983682460</v>
      </c>
      <c r="I428">
        <v>10187</v>
      </c>
      <c r="J428">
        <v>0.38679245114326477</v>
      </c>
      <c r="K428">
        <v>0.70370370149612427</v>
      </c>
      <c r="L428">
        <v>0.42222222685813904</v>
      </c>
      <c r="M428">
        <v>0.9555555555555556</v>
      </c>
      <c r="N428">
        <v>1</v>
      </c>
      <c r="O428">
        <v>0.82075471698113212</v>
      </c>
      <c r="P428">
        <v>39</v>
      </c>
      <c r="Q428">
        <v>7100221</v>
      </c>
      <c r="R428">
        <v>14323</v>
      </c>
      <c r="S428">
        <v>2</v>
      </c>
      <c r="T428">
        <v>80</v>
      </c>
      <c r="U428">
        <v>0.97777777777777775</v>
      </c>
      <c r="V428">
        <v>1</v>
      </c>
      <c r="W428">
        <v>0.8867924528301887</v>
      </c>
      <c r="X428">
        <v>48</v>
      </c>
      <c r="Y428">
        <v>13890449</v>
      </c>
      <c r="Z428">
        <v>14664</v>
      </c>
      <c r="AA428">
        <v>2</v>
      </c>
      <c r="AB428">
        <v>81</v>
      </c>
    </row>
    <row r="429" spans="1:28" hidden="1" x14ac:dyDescent="0.25">
      <c r="A429" s="7" t="s">
        <v>57</v>
      </c>
      <c r="B429">
        <v>18</v>
      </c>
      <c r="C429">
        <v>9</v>
      </c>
      <c r="D429">
        <v>4</v>
      </c>
      <c r="E429">
        <v>0</v>
      </c>
      <c r="F429" s="7" t="s">
        <v>72</v>
      </c>
      <c r="G429">
        <v>14662</v>
      </c>
      <c r="H429">
        <v>2614719014</v>
      </c>
      <c r="I429">
        <v>13591</v>
      </c>
      <c r="J429">
        <v>0.30188679695129395</v>
      </c>
      <c r="K429">
        <v>0.74074071645736694</v>
      </c>
      <c r="L429">
        <v>0.42222222685813904</v>
      </c>
      <c r="M429">
        <v>0.97777777777777775</v>
      </c>
      <c r="N429">
        <v>1</v>
      </c>
      <c r="O429">
        <v>0.839622641509434</v>
      </c>
      <c r="P429">
        <v>43</v>
      </c>
      <c r="Q429">
        <v>8766314</v>
      </c>
      <c r="R429">
        <v>14323</v>
      </c>
      <c r="S429">
        <v>2</v>
      </c>
      <c r="T429">
        <v>80</v>
      </c>
      <c r="U429">
        <v>1</v>
      </c>
      <c r="V429">
        <v>1</v>
      </c>
      <c r="W429">
        <v>0.82075471698113212</v>
      </c>
      <c r="X429">
        <v>44</v>
      </c>
      <c r="Y429">
        <v>16105277</v>
      </c>
      <c r="Z429">
        <v>14664</v>
      </c>
      <c r="AA429">
        <v>2</v>
      </c>
      <c r="AB429">
        <v>81</v>
      </c>
    </row>
    <row r="430" spans="1:28" hidden="1" x14ac:dyDescent="0.25">
      <c r="A430" s="7" t="s">
        <v>57</v>
      </c>
      <c r="B430">
        <v>18</v>
      </c>
      <c r="C430">
        <v>9</v>
      </c>
      <c r="D430">
        <v>4</v>
      </c>
      <c r="E430">
        <v>0</v>
      </c>
      <c r="F430" s="7" t="s">
        <v>73</v>
      </c>
      <c r="G430">
        <v>17667</v>
      </c>
      <c r="H430">
        <v>2150384358</v>
      </c>
      <c r="I430">
        <v>10279</v>
      </c>
      <c r="J430">
        <v>0.33018869161605835</v>
      </c>
      <c r="K430">
        <v>0.77777779102325439</v>
      </c>
      <c r="L430">
        <v>0.31111112236976624</v>
      </c>
      <c r="M430">
        <v>0.97777777777777775</v>
      </c>
      <c r="N430">
        <v>1</v>
      </c>
      <c r="O430">
        <v>0.84905660377358494</v>
      </c>
      <c r="P430">
        <v>40</v>
      </c>
      <c r="Q430">
        <v>5470013</v>
      </c>
      <c r="R430">
        <v>17536</v>
      </c>
      <c r="S430">
        <v>2</v>
      </c>
      <c r="T430">
        <v>89</v>
      </c>
      <c r="U430">
        <v>1</v>
      </c>
      <c r="V430">
        <v>1</v>
      </c>
      <c r="W430">
        <v>0.83018867924528306</v>
      </c>
      <c r="X430">
        <v>40</v>
      </c>
      <c r="Y430">
        <v>15968698</v>
      </c>
      <c r="Z430">
        <v>17913</v>
      </c>
      <c r="AA430">
        <v>2</v>
      </c>
      <c r="AB430">
        <v>90</v>
      </c>
    </row>
    <row r="431" spans="1:28" hidden="1" x14ac:dyDescent="0.25">
      <c r="A431" s="7" t="s">
        <v>57</v>
      </c>
      <c r="B431">
        <v>18</v>
      </c>
      <c r="C431">
        <v>9</v>
      </c>
      <c r="D431">
        <v>4</v>
      </c>
      <c r="E431">
        <v>0</v>
      </c>
      <c r="F431" s="7" t="s">
        <v>73</v>
      </c>
      <c r="G431">
        <v>17667</v>
      </c>
      <c r="H431">
        <v>2092344346</v>
      </c>
      <c r="I431">
        <v>10026</v>
      </c>
      <c r="J431">
        <v>0.43396225571632385</v>
      </c>
      <c r="K431">
        <v>0.66666668653488159</v>
      </c>
      <c r="L431">
        <v>0.3333333432674408</v>
      </c>
      <c r="M431">
        <v>0.97777777777777775</v>
      </c>
      <c r="N431">
        <v>1</v>
      </c>
      <c r="O431">
        <v>0.839622641509434</v>
      </c>
      <c r="P431">
        <v>39</v>
      </c>
      <c r="Q431">
        <v>4974352</v>
      </c>
      <c r="R431">
        <v>17536</v>
      </c>
      <c r="S431">
        <v>2</v>
      </c>
      <c r="T431">
        <v>89</v>
      </c>
      <c r="U431">
        <v>0.9555555555555556</v>
      </c>
      <c r="V431">
        <v>1</v>
      </c>
      <c r="W431">
        <v>0.84905660377358494</v>
      </c>
      <c r="X431">
        <v>57</v>
      </c>
      <c r="Y431">
        <v>16186203</v>
      </c>
      <c r="Z431">
        <v>17913</v>
      </c>
      <c r="AA431">
        <v>2</v>
      </c>
      <c r="AB431">
        <v>90</v>
      </c>
    </row>
    <row r="432" spans="1:28" hidden="1" x14ac:dyDescent="0.25">
      <c r="A432" s="7" t="s">
        <v>57</v>
      </c>
      <c r="B432">
        <v>18</v>
      </c>
      <c r="C432">
        <v>9</v>
      </c>
      <c r="D432">
        <v>4</v>
      </c>
      <c r="E432">
        <v>0</v>
      </c>
      <c r="F432" s="7" t="s">
        <v>73</v>
      </c>
      <c r="G432">
        <v>17667</v>
      </c>
      <c r="H432">
        <v>2325334104</v>
      </c>
      <c r="I432">
        <v>10943</v>
      </c>
      <c r="J432">
        <v>0.30188679695129395</v>
      </c>
      <c r="K432">
        <v>0.74074071645736694</v>
      </c>
      <c r="L432">
        <v>0.31111112236976624</v>
      </c>
      <c r="M432">
        <v>0.97777777777777775</v>
      </c>
      <c r="N432">
        <v>1</v>
      </c>
      <c r="O432">
        <v>0.84905660377358494</v>
      </c>
      <c r="P432">
        <v>41</v>
      </c>
      <c r="Q432">
        <v>13597449</v>
      </c>
      <c r="R432">
        <v>17536</v>
      </c>
      <c r="S432">
        <v>2</v>
      </c>
      <c r="T432">
        <v>89</v>
      </c>
      <c r="U432">
        <v>0.97777777777777775</v>
      </c>
      <c r="V432">
        <v>1</v>
      </c>
      <c r="W432">
        <v>0.839622641509434</v>
      </c>
      <c r="X432">
        <v>37</v>
      </c>
      <c r="Y432">
        <v>13231205</v>
      </c>
      <c r="Z432">
        <v>17913</v>
      </c>
      <c r="AA432">
        <v>2</v>
      </c>
      <c r="AB432">
        <v>90</v>
      </c>
    </row>
    <row r="433" spans="1:28" hidden="1" x14ac:dyDescent="0.25">
      <c r="A433" s="7" t="s">
        <v>57</v>
      </c>
      <c r="B433">
        <v>18</v>
      </c>
      <c r="C433">
        <v>9</v>
      </c>
      <c r="D433">
        <v>4</v>
      </c>
      <c r="E433">
        <v>0</v>
      </c>
      <c r="F433" s="7" t="s">
        <v>73</v>
      </c>
      <c r="G433">
        <v>17667</v>
      </c>
      <c r="H433">
        <v>2121319151</v>
      </c>
      <c r="I433">
        <v>10050</v>
      </c>
      <c r="J433">
        <v>0.32075470685958862</v>
      </c>
      <c r="K433">
        <v>0.66666668653488159</v>
      </c>
      <c r="L433">
        <v>0.3333333432674408</v>
      </c>
      <c r="M433">
        <v>0.97777777777777775</v>
      </c>
      <c r="N433">
        <v>1</v>
      </c>
      <c r="O433">
        <v>0.839622641509434</v>
      </c>
      <c r="P433">
        <v>34</v>
      </c>
      <c r="Q433">
        <v>4893499</v>
      </c>
      <c r="R433">
        <v>17536</v>
      </c>
      <c r="S433">
        <v>2</v>
      </c>
      <c r="T433">
        <v>89</v>
      </c>
      <c r="U433">
        <v>0.97777777777777775</v>
      </c>
      <c r="V433">
        <v>1</v>
      </c>
      <c r="W433">
        <v>0.84905660377358494</v>
      </c>
      <c r="X433">
        <v>39</v>
      </c>
      <c r="Y433">
        <v>11182284</v>
      </c>
      <c r="Z433">
        <v>17913</v>
      </c>
      <c r="AA433">
        <v>2</v>
      </c>
      <c r="AB433">
        <v>90</v>
      </c>
    </row>
    <row r="434" spans="1:28" hidden="1" x14ac:dyDescent="0.25">
      <c r="A434" s="7" t="s">
        <v>57</v>
      </c>
      <c r="B434">
        <v>18</v>
      </c>
      <c r="C434">
        <v>9</v>
      </c>
      <c r="D434">
        <v>4</v>
      </c>
      <c r="E434">
        <v>0</v>
      </c>
      <c r="F434" s="7" t="s">
        <v>73</v>
      </c>
      <c r="G434">
        <v>17667</v>
      </c>
      <c r="H434">
        <v>2220456544</v>
      </c>
      <c r="I434">
        <v>10645</v>
      </c>
      <c r="J434">
        <v>0.31132075190544128</v>
      </c>
      <c r="K434">
        <v>0.74074071645736694</v>
      </c>
      <c r="L434">
        <v>0.24444444477558136</v>
      </c>
      <c r="M434">
        <v>0.97777777777777775</v>
      </c>
      <c r="N434">
        <v>1</v>
      </c>
      <c r="O434">
        <v>0.839622641509434</v>
      </c>
      <c r="P434">
        <v>36</v>
      </c>
      <c r="Q434">
        <v>13595973</v>
      </c>
      <c r="R434">
        <v>17536</v>
      </c>
      <c r="S434">
        <v>2</v>
      </c>
      <c r="T434">
        <v>89</v>
      </c>
      <c r="U434">
        <v>0.97777777777777775</v>
      </c>
      <c r="V434">
        <v>1</v>
      </c>
      <c r="W434">
        <v>0.839622641509434</v>
      </c>
      <c r="X434">
        <v>36</v>
      </c>
      <c r="Y434">
        <v>5687323</v>
      </c>
      <c r="Z434">
        <v>17913</v>
      </c>
      <c r="AA434">
        <v>2</v>
      </c>
      <c r="AB434">
        <v>90</v>
      </c>
    </row>
    <row r="435" spans="1:28" hidden="1" x14ac:dyDescent="0.25">
      <c r="A435" s="7" t="s">
        <v>57</v>
      </c>
      <c r="B435">
        <v>18</v>
      </c>
      <c r="C435">
        <v>9</v>
      </c>
      <c r="D435">
        <v>4</v>
      </c>
      <c r="E435">
        <v>0</v>
      </c>
      <c r="F435" s="7" t="s">
        <v>74</v>
      </c>
      <c r="G435">
        <v>20672</v>
      </c>
      <c r="H435">
        <v>2274092508</v>
      </c>
      <c r="I435">
        <v>10002</v>
      </c>
      <c r="J435">
        <v>0.33962264657020569</v>
      </c>
      <c r="K435">
        <v>0.66666668653488159</v>
      </c>
      <c r="L435">
        <v>0.3333333432674408</v>
      </c>
      <c r="M435">
        <v>0.9555555555555556</v>
      </c>
      <c r="N435">
        <v>1</v>
      </c>
      <c r="O435">
        <v>0.82075471698113212</v>
      </c>
      <c r="P435">
        <v>35</v>
      </c>
      <c r="Q435">
        <v>5039625</v>
      </c>
      <c r="R435">
        <v>20664</v>
      </c>
      <c r="S435">
        <v>2</v>
      </c>
      <c r="T435">
        <v>97</v>
      </c>
      <c r="U435">
        <v>0.88888888888888884</v>
      </c>
      <c r="V435">
        <v>1</v>
      </c>
      <c r="W435">
        <v>0.82075471698113212</v>
      </c>
      <c r="X435">
        <v>46</v>
      </c>
      <c r="Y435">
        <v>10670776</v>
      </c>
      <c r="Z435">
        <v>21073</v>
      </c>
      <c r="AA435">
        <v>2</v>
      </c>
      <c r="AB435">
        <v>98</v>
      </c>
    </row>
    <row r="436" spans="1:28" hidden="1" x14ac:dyDescent="0.25">
      <c r="A436" s="7" t="s">
        <v>57</v>
      </c>
      <c r="B436">
        <v>18</v>
      </c>
      <c r="C436">
        <v>9</v>
      </c>
      <c r="D436">
        <v>4</v>
      </c>
      <c r="E436">
        <v>0</v>
      </c>
      <c r="F436" s="7" t="s">
        <v>74</v>
      </c>
      <c r="G436">
        <v>20672</v>
      </c>
      <c r="H436">
        <v>2291313165</v>
      </c>
      <c r="I436">
        <v>10004</v>
      </c>
      <c r="J436">
        <v>0.32075470685958862</v>
      </c>
      <c r="K436">
        <v>0.77777779102325439</v>
      </c>
      <c r="L436">
        <v>0.31111112236976624</v>
      </c>
      <c r="M436">
        <v>0.91111111111111109</v>
      </c>
      <c r="N436">
        <v>1</v>
      </c>
      <c r="O436">
        <v>0.83018867924528306</v>
      </c>
      <c r="P436">
        <v>38</v>
      </c>
      <c r="Q436">
        <v>23221603</v>
      </c>
      <c r="R436">
        <v>20664</v>
      </c>
      <c r="S436">
        <v>2</v>
      </c>
      <c r="T436">
        <v>97</v>
      </c>
      <c r="U436">
        <v>0.97777777777777775</v>
      </c>
      <c r="V436">
        <v>1</v>
      </c>
      <c r="W436">
        <v>0.839622641509434</v>
      </c>
      <c r="X436">
        <v>34</v>
      </c>
      <c r="Y436">
        <v>7938762</v>
      </c>
      <c r="Z436">
        <v>21073</v>
      </c>
      <c r="AA436">
        <v>2</v>
      </c>
      <c r="AB436">
        <v>98</v>
      </c>
    </row>
    <row r="437" spans="1:28" hidden="1" x14ac:dyDescent="0.25">
      <c r="A437" s="7" t="s">
        <v>57</v>
      </c>
      <c r="B437">
        <v>18</v>
      </c>
      <c r="C437">
        <v>9</v>
      </c>
      <c r="D437">
        <v>4</v>
      </c>
      <c r="E437">
        <v>0</v>
      </c>
      <c r="F437" s="7" t="s">
        <v>74</v>
      </c>
      <c r="G437">
        <v>20672</v>
      </c>
      <c r="H437">
        <v>2273575201</v>
      </c>
      <c r="I437">
        <v>10004</v>
      </c>
      <c r="J437">
        <v>0.30188679695129395</v>
      </c>
      <c r="K437">
        <v>0.70370370149612427</v>
      </c>
      <c r="L437">
        <v>0.26666668057441711</v>
      </c>
      <c r="M437">
        <v>0.91111111111111109</v>
      </c>
      <c r="N437">
        <v>1</v>
      </c>
      <c r="O437">
        <v>0.83018867924528306</v>
      </c>
      <c r="P437">
        <v>38</v>
      </c>
      <c r="Q437">
        <v>17676461</v>
      </c>
      <c r="R437">
        <v>20664</v>
      </c>
      <c r="S437">
        <v>2</v>
      </c>
      <c r="T437">
        <v>97</v>
      </c>
      <c r="U437">
        <v>0.97777777777777775</v>
      </c>
      <c r="V437">
        <v>1</v>
      </c>
      <c r="W437">
        <v>0.839622641509434</v>
      </c>
      <c r="X437">
        <v>34</v>
      </c>
      <c r="Y437">
        <v>4755554</v>
      </c>
      <c r="Z437">
        <v>21073</v>
      </c>
      <c r="AA437">
        <v>2</v>
      </c>
      <c r="AB437">
        <v>98</v>
      </c>
    </row>
    <row r="438" spans="1:28" hidden="1" x14ac:dyDescent="0.25">
      <c r="A438" s="7" t="s">
        <v>57</v>
      </c>
      <c r="B438">
        <v>18</v>
      </c>
      <c r="C438">
        <v>9</v>
      </c>
      <c r="D438">
        <v>4</v>
      </c>
      <c r="E438">
        <v>0</v>
      </c>
      <c r="F438" s="7" t="s">
        <v>74</v>
      </c>
      <c r="G438">
        <v>20672</v>
      </c>
      <c r="H438">
        <v>2304753544</v>
      </c>
      <c r="I438">
        <v>10004</v>
      </c>
      <c r="J438">
        <v>0.48113209009170532</v>
      </c>
      <c r="K438">
        <v>0.70370370149612427</v>
      </c>
      <c r="L438">
        <v>0.35555556416511536</v>
      </c>
      <c r="M438">
        <v>0.91111111111111109</v>
      </c>
      <c r="N438">
        <v>1</v>
      </c>
      <c r="O438">
        <v>0.83018867924528306</v>
      </c>
      <c r="P438">
        <v>38</v>
      </c>
      <c r="Q438">
        <v>14990987</v>
      </c>
      <c r="R438">
        <v>20664</v>
      </c>
      <c r="S438">
        <v>2</v>
      </c>
      <c r="T438">
        <v>97</v>
      </c>
      <c r="U438">
        <v>0.97777777777777775</v>
      </c>
      <c r="V438">
        <v>1</v>
      </c>
      <c r="W438">
        <v>0.839622641509434</v>
      </c>
      <c r="X438">
        <v>34</v>
      </c>
      <c r="Y438">
        <v>21877200</v>
      </c>
      <c r="Z438">
        <v>21073</v>
      </c>
      <c r="AA438">
        <v>2</v>
      </c>
      <c r="AB438">
        <v>98</v>
      </c>
    </row>
    <row r="439" spans="1:28" hidden="1" x14ac:dyDescent="0.25">
      <c r="A439" s="7" t="s">
        <v>57</v>
      </c>
      <c r="B439">
        <v>18</v>
      </c>
      <c r="C439">
        <v>9</v>
      </c>
      <c r="D439">
        <v>4</v>
      </c>
      <c r="E439">
        <v>0</v>
      </c>
      <c r="F439" s="7" t="s">
        <v>74</v>
      </c>
      <c r="G439">
        <v>20672</v>
      </c>
      <c r="H439">
        <v>2276113646</v>
      </c>
      <c r="I439">
        <v>10004</v>
      </c>
      <c r="J439">
        <v>0.30188679695129395</v>
      </c>
      <c r="K439">
        <v>0.77777779102325439</v>
      </c>
      <c r="L439">
        <v>0.4444444477558136</v>
      </c>
      <c r="M439">
        <v>0.91111111111111109</v>
      </c>
      <c r="N439">
        <v>1</v>
      </c>
      <c r="O439">
        <v>0.83018867924528306</v>
      </c>
      <c r="P439">
        <v>38</v>
      </c>
      <c r="Q439">
        <v>7873135</v>
      </c>
      <c r="R439">
        <v>20664</v>
      </c>
      <c r="S439">
        <v>2</v>
      </c>
      <c r="T439">
        <v>97</v>
      </c>
      <c r="U439">
        <v>0.97777777777777775</v>
      </c>
      <c r="V439">
        <v>1</v>
      </c>
      <c r="W439">
        <v>0.839622641509434</v>
      </c>
      <c r="X439">
        <v>34</v>
      </c>
      <c r="Y439">
        <v>9269604</v>
      </c>
      <c r="Z439">
        <v>21073</v>
      </c>
      <c r="AA439">
        <v>2</v>
      </c>
      <c r="AB439">
        <v>98</v>
      </c>
    </row>
    <row r="440" spans="1:28" hidden="1" x14ac:dyDescent="0.25">
      <c r="A440" s="7" t="s">
        <v>28</v>
      </c>
      <c r="B440">
        <v>16</v>
      </c>
      <c r="C440">
        <v>9</v>
      </c>
      <c r="D440">
        <v>3</v>
      </c>
      <c r="E440">
        <v>0</v>
      </c>
      <c r="F440" s="7" t="s">
        <v>42</v>
      </c>
      <c r="G440">
        <v>40982</v>
      </c>
      <c r="H440">
        <v>77872214</v>
      </c>
      <c r="I440">
        <v>177</v>
      </c>
      <c r="J440">
        <v>1</v>
      </c>
      <c r="K440">
        <v>0.97674417495727539</v>
      </c>
      <c r="L440">
        <v>0.96503496170043945</v>
      </c>
      <c r="M440">
        <v>0.97202797202797198</v>
      </c>
      <c r="N440">
        <v>0.98837209302325579</v>
      </c>
      <c r="O440">
        <v>1</v>
      </c>
      <c r="P440">
        <v>21553</v>
      </c>
      <c r="Q440">
        <v>12976220819</v>
      </c>
      <c r="R440">
        <v>40604</v>
      </c>
      <c r="S440">
        <v>2</v>
      </c>
      <c r="T440">
        <v>134</v>
      </c>
      <c r="U440">
        <v>0.95804195804195802</v>
      </c>
      <c r="V440">
        <v>0.98837209302325579</v>
      </c>
      <c r="W440">
        <v>1</v>
      </c>
      <c r="X440">
        <v>10163</v>
      </c>
      <c r="Y440">
        <v>6021136997</v>
      </c>
      <c r="Z440">
        <v>41177</v>
      </c>
      <c r="AA440">
        <v>2</v>
      </c>
      <c r="AB440">
        <v>135</v>
      </c>
    </row>
    <row r="441" spans="1:28" x14ac:dyDescent="0.25">
      <c r="A441" s="7" t="s">
        <v>44</v>
      </c>
      <c r="B441">
        <v>12</v>
      </c>
      <c r="C441">
        <v>3</v>
      </c>
      <c r="D441">
        <v>4</v>
      </c>
      <c r="E441">
        <v>0</v>
      </c>
      <c r="F441" s="7" t="s">
        <v>47</v>
      </c>
      <c r="G441">
        <v>2071</v>
      </c>
      <c r="H441">
        <v>957655465</v>
      </c>
      <c r="I441">
        <v>10090</v>
      </c>
      <c r="J441">
        <v>0.39325842261314392</v>
      </c>
      <c r="K441">
        <v>0.91304349899291992</v>
      </c>
      <c r="L441">
        <v>0.34210526943206787</v>
      </c>
      <c r="M441">
        <v>0.97368421052631582</v>
      </c>
      <c r="N441">
        <v>0.95652173913043481</v>
      </c>
      <c r="O441">
        <v>1</v>
      </c>
      <c r="P441">
        <v>100000</v>
      </c>
      <c r="Q441">
        <v>8424993625</v>
      </c>
      <c r="R441">
        <v>1975</v>
      </c>
      <c r="S441">
        <v>2</v>
      </c>
      <c r="T441">
        <v>29</v>
      </c>
      <c r="U441">
        <v>0.97368421052631582</v>
      </c>
      <c r="V441">
        <v>0.95652173913043481</v>
      </c>
      <c r="W441">
        <v>1</v>
      </c>
      <c r="X441">
        <v>100000</v>
      </c>
      <c r="Y441">
        <v>7879919510</v>
      </c>
      <c r="Z441">
        <v>2103</v>
      </c>
      <c r="AA441">
        <v>2</v>
      </c>
      <c r="AB441">
        <v>30</v>
      </c>
    </row>
    <row r="442" spans="1:28" x14ac:dyDescent="0.25">
      <c r="A442" s="7" t="s">
        <v>44</v>
      </c>
      <c r="B442">
        <v>12</v>
      </c>
      <c r="C442">
        <v>3</v>
      </c>
      <c r="D442">
        <v>4</v>
      </c>
      <c r="E442">
        <v>0</v>
      </c>
      <c r="F442" s="7" t="s">
        <v>47</v>
      </c>
      <c r="G442">
        <v>2071</v>
      </c>
      <c r="H442">
        <v>921612773</v>
      </c>
      <c r="I442">
        <v>10020</v>
      </c>
      <c r="J442">
        <v>0.20224718749523163</v>
      </c>
      <c r="K442">
        <v>0.78260868787765503</v>
      </c>
      <c r="L442">
        <v>0.23684211075305939</v>
      </c>
      <c r="M442">
        <v>0.97368421052631582</v>
      </c>
      <c r="N442">
        <v>0.95652173913043481</v>
      </c>
      <c r="O442">
        <v>1</v>
      </c>
      <c r="P442">
        <v>100000</v>
      </c>
      <c r="Q442">
        <v>7818353348</v>
      </c>
      <c r="R442">
        <v>1975</v>
      </c>
      <c r="S442">
        <v>2</v>
      </c>
      <c r="T442">
        <v>29</v>
      </c>
      <c r="U442">
        <v>0.97368421052631582</v>
      </c>
      <c r="V442">
        <v>0.95652173913043481</v>
      </c>
      <c r="W442">
        <v>1</v>
      </c>
      <c r="X442">
        <v>100000</v>
      </c>
      <c r="Y442">
        <v>9237791323</v>
      </c>
      <c r="Z442">
        <v>2103</v>
      </c>
      <c r="AA442">
        <v>2</v>
      </c>
      <c r="AB442">
        <v>30</v>
      </c>
    </row>
    <row r="443" spans="1:28" hidden="1" x14ac:dyDescent="0.25">
      <c r="A443" s="7" t="s">
        <v>57</v>
      </c>
      <c r="B443">
        <v>10</v>
      </c>
      <c r="C443">
        <v>3</v>
      </c>
      <c r="D443">
        <v>3</v>
      </c>
      <c r="E443">
        <v>0</v>
      </c>
      <c r="F443" s="7" t="s">
        <v>67</v>
      </c>
      <c r="G443">
        <v>10939</v>
      </c>
      <c r="H443">
        <v>54742948</v>
      </c>
      <c r="I443">
        <v>484</v>
      </c>
      <c r="J443">
        <v>0.84905660152435303</v>
      </c>
      <c r="K443">
        <v>1</v>
      </c>
      <c r="L443">
        <v>0.8888888955116272</v>
      </c>
      <c r="M443">
        <v>0.93333333333333335</v>
      </c>
      <c r="N443">
        <v>0.96296296296296291</v>
      </c>
      <c r="O443">
        <v>1</v>
      </c>
      <c r="P443">
        <v>14085</v>
      </c>
      <c r="Q443">
        <v>117684915</v>
      </c>
      <c r="R443">
        <v>10836</v>
      </c>
      <c r="S443">
        <v>2</v>
      </c>
      <c r="T443">
        <v>69</v>
      </c>
      <c r="U443">
        <v>0.9555555555555556</v>
      </c>
      <c r="V443">
        <v>0.96296296296296291</v>
      </c>
      <c r="W443">
        <v>1</v>
      </c>
      <c r="X443">
        <v>100000</v>
      </c>
      <c r="Y443">
        <v>1335645324</v>
      </c>
      <c r="Z443">
        <v>11133</v>
      </c>
      <c r="AA443">
        <v>2</v>
      </c>
      <c r="AB443">
        <v>70</v>
      </c>
    </row>
    <row r="444" spans="1:28" hidden="1" x14ac:dyDescent="0.25">
      <c r="A444" s="7" t="s">
        <v>57</v>
      </c>
      <c r="B444">
        <v>10</v>
      </c>
      <c r="C444">
        <v>3</v>
      </c>
      <c r="D444">
        <v>3</v>
      </c>
      <c r="E444">
        <v>0</v>
      </c>
      <c r="F444" s="7" t="s">
        <v>67</v>
      </c>
      <c r="G444">
        <v>10939</v>
      </c>
      <c r="H444">
        <v>31662732</v>
      </c>
      <c r="I444">
        <v>270</v>
      </c>
      <c r="J444">
        <v>0.92452830076217651</v>
      </c>
      <c r="K444">
        <v>1</v>
      </c>
      <c r="L444">
        <v>0.91111111640930176</v>
      </c>
      <c r="M444">
        <v>0.9555555555555556</v>
      </c>
      <c r="N444">
        <v>0.96296296296296291</v>
      </c>
      <c r="O444">
        <v>1</v>
      </c>
      <c r="P444">
        <v>12670</v>
      </c>
      <c r="Q444">
        <v>105617544</v>
      </c>
      <c r="R444">
        <v>10836</v>
      </c>
      <c r="S444">
        <v>2</v>
      </c>
      <c r="T444">
        <v>69</v>
      </c>
      <c r="U444">
        <v>0.9555555555555556</v>
      </c>
      <c r="V444">
        <v>1</v>
      </c>
      <c r="W444">
        <v>0.91509433962264153</v>
      </c>
      <c r="X444">
        <v>533</v>
      </c>
      <c r="Y444">
        <v>4151819</v>
      </c>
      <c r="Z444">
        <v>11133</v>
      </c>
      <c r="AA444">
        <v>2</v>
      </c>
      <c r="AB444">
        <v>70</v>
      </c>
    </row>
    <row r="445" spans="1:28" hidden="1" x14ac:dyDescent="0.25">
      <c r="A445" s="7" t="s">
        <v>57</v>
      </c>
      <c r="B445">
        <v>10</v>
      </c>
      <c r="C445">
        <v>3</v>
      </c>
      <c r="D445">
        <v>3</v>
      </c>
      <c r="E445">
        <v>0</v>
      </c>
      <c r="F445" s="7" t="s">
        <v>67</v>
      </c>
      <c r="G445">
        <v>10939</v>
      </c>
      <c r="H445">
        <v>14372809</v>
      </c>
      <c r="I445">
        <v>113</v>
      </c>
      <c r="J445">
        <v>0.92452830076217651</v>
      </c>
      <c r="K445">
        <v>1</v>
      </c>
      <c r="L445">
        <v>0.95555555820465088</v>
      </c>
      <c r="M445">
        <v>0.93333333333333335</v>
      </c>
      <c r="N445">
        <v>0.96296296296296291</v>
      </c>
      <c r="O445">
        <v>1</v>
      </c>
      <c r="P445">
        <v>13744</v>
      </c>
      <c r="Q445">
        <v>115158965</v>
      </c>
      <c r="R445">
        <v>10836</v>
      </c>
      <c r="S445">
        <v>2</v>
      </c>
      <c r="T445">
        <v>69</v>
      </c>
      <c r="U445">
        <v>0.9555555555555556</v>
      </c>
      <c r="V445">
        <v>1</v>
      </c>
      <c r="W445">
        <v>0.91509433962264153</v>
      </c>
      <c r="X445">
        <v>542</v>
      </c>
      <c r="Y445">
        <v>4799890</v>
      </c>
      <c r="Z445">
        <v>11133</v>
      </c>
      <c r="AA445">
        <v>2</v>
      </c>
      <c r="AB445">
        <v>70</v>
      </c>
    </row>
    <row r="446" spans="1:28" hidden="1" x14ac:dyDescent="0.25">
      <c r="A446" s="7" t="s">
        <v>57</v>
      </c>
      <c r="B446">
        <v>10</v>
      </c>
      <c r="C446">
        <v>3</v>
      </c>
      <c r="D446">
        <v>3</v>
      </c>
      <c r="E446">
        <v>0</v>
      </c>
      <c r="F446" s="7" t="s">
        <v>68</v>
      </c>
      <c r="G446">
        <v>8563</v>
      </c>
      <c r="H446">
        <v>29258524</v>
      </c>
      <c r="I446">
        <v>249</v>
      </c>
      <c r="J446">
        <v>0.89622640609741211</v>
      </c>
      <c r="K446">
        <v>1</v>
      </c>
      <c r="L446">
        <v>0.93333333730697632</v>
      </c>
      <c r="M446">
        <v>0.9555555555555556</v>
      </c>
      <c r="N446">
        <v>1</v>
      </c>
      <c r="O446">
        <v>0.90566037735849059</v>
      </c>
      <c r="P446">
        <v>545</v>
      </c>
      <c r="Q446">
        <v>4801617</v>
      </c>
      <c r="R446">
        <v>8343</v>
      </c>
      <c r="S446">
        <v>2</v>
      </c>
      <c r="T446">
        <v>60</v>
      </c>
      <c r="U446">
        <v>0.9555555555555556</v>
      </c>
      <c r="V446">
        <v>1</v>
      </c>
      <c r="W446">
        <v>0.91509433962264153</v>
      </c>
      <c r="X446">
        <v>590</v>
      </c>
      <c r="Y446">
        <v>4600922</v>
      </c>
      <c r="Z446">
        <v>8604</v>
      </c>
      <c r="AA446">
        <v>2</v>
      </c>
      <c r="AB446">
        <v>61</v>
      </c>
    </row>
    <row r="447" spans="1:28" hidden="1" x14ac:dyDescent="0.25">
      <c r="A447" s="7" t="s">
        <v>57</v>
      </c>
      <c r="B447">
        <v>10</v>
      </c>
      <c r="C447">
        <v>3</v>
      </c>
      <c r="D447">
        <v>3</v>
      </c>
      <c r="E447">
        <v>0</v>
      </c>
      <c r="F447" s="7" t="s">
        <v>68</v>
      </c>
      <c r="G447">
        <v>8563</v>
      </c>
      <c r="H447">
        <v>12251724</v>
      </c>
      <c r="I447">
        <v>93</v>
      </c>
      <c r="J447">
        <v>0.86792451143264771</v>
      </c>
      <c r="K447">
        <v>1</v>
      </c>
      <c r="L447">
        <v>0.91111111640930176</v>
      </c>
      <c r="M447">
        <v>0.9555555555555556</v>
      </c>
      <c r="N447">
        <v>0.96296296296296291</v>
      </c>
      <c r="O447">
        <v>1</v>
      </c>
      <c r="P447">
        <v>100000</v>
      </c>
      <c r="Q447">
        <v>1204426783</v>
      </c>
      <c r="R447">
        <v>8343</v>
      </c>
      <c r="S447">
        <v>2</v>
      </c>
      <c r="T447">
        <v>60</v>
      </c>
      <c r="U447">
        <v>0.93333333333333335</v>
      </c>
      <c r="V447">
        <v>0.96296296296296291</v>
      </c>
      <c r="W447">
        <v>1</v>
      </c>
      <c r="X447">
        <v>13368</v>
      </c>
      <c r="Y447">
        <v>108347435</v>
      </c>
      <c r="Z447">
        <v>8604</v>
      </c>
      <c r="AA447">
        <v>2</v>
      </c>
      <c r="AB447">
        <v>61</v>
      </c>
    </row>
    <row r="448" spans="1:28" hidden="1" x14ac:dyDescent="0.25">
      <c r="A448" s="7" t="s">
        <v>57</v>
      </c>
      <c r="B448">
        <v>10</v>
      </c>
      <c r="C448">
        <v>3</v>
      </c>
      <c r="D448">
        <v>3</v>
      </c>
      <c r="E448">
        <v>0</v>
      </c>
      <c r="F448" s="7" t="s">
        <v>68</v>
      </c>
      <c r="G448">
        <v>8563</v>
      </c>
      <c r="H448">
        <v>12276202</v>
      </c>
      <c r="I448">
        <v>97</v>
      </c>
      <c r="J448">
        <v>0.91509431600570679</v>
      </c>
      <c r="K448">
        <v>1</v>
      </c>
      <c r="L448">
        <v>0.93333333730697632</v>
      </c>
      <c r="M448">
        <v>0.9555555555555556</v>
      </c>
      <c r="N448">
        <v>1</v>
      </c>
      <c r="O448">
        <v>0.91509433962264153</v>
      </c>
      <c r="P448">
        <v>545</v>
      </c>
      <c r="Q448">
        <v>4606490</v>
      </c>
      <c r="R448">
        <v>8343</v>
      </c>
      <c r="S448">
        <v>2</v>
      </c>
      <c r="T448">
        <v>60</v>
      </c>
      <c r="U448">
        <v>0.9555555555555556</v>
      </c>
      <c r="V448">
        <v>1</v>
      </c>
      <c r="W448">
        <v>0.91509433962264153</v>
      </c>
      <c r="X448">
        <v>585</v>
      </c>
      <c r="Y448">
        <v>4595435</v>
      </c>
      <c r="Z448">
        <v>8604</v>
      </c>
      <c r="AA448">
        <v>2</v>
      </c>
      <c r="AB448">
        <v>61</v>
      </c>
    </row>
    <row r="449" spans="1:28" hidden="1" x14ac:dyDescent="0.25">
      <c r="A449" s="7" t="s">
        <v>57</v>
      </c>
      <c r="B449">
        <v>10</v>
      </c>
      <c r="C449">
        <v>3</v>
      </c>
      <c r="D449">
        <v>3</v>
      </c>
      <c r="E449">
        <v>0</v>
      </c>
      <c r="F449" s="7" t="s">
        <v>68</v>
      </c>
      <c r="G449">
        <v>8563</v>
      </c>
      <c r="H449">
        <v>18483564</v>
      </c>
      <c r="I449">
        <v>146</v>
      </c>
      <c r="J449">
        <v>0.84905660152435303</v>
      </c>
      <c r="K449">
        <v>1</v>
      </c>
      <c r="L449">
        <v>0.86666667461395264</v>
      </c>
      <c r="M449">
        <v>0.93333333333333335</v>
      </c>
      <c r="N449">
        <v>0.96296296296296291</v>
      </c>
      <c r="O449">
        <v>1</v>
      </c>
      <c r="P449">
        <v>13246</v>
      </c>
      <c r="Q449">
        <v>107425016</v>
      </c>
      <c r="R449">
        <v>8343</v>
      </c>
      <c r="S449">
        <v>2</v>
      </c>
      <c r="T449">
        <v>60</v>
      </c>
      <c r="U449">
        <v>0.9555555555555556</v>
      </c>
      <c r="V449">
        <v>1</v>
      </c>
      <c r="W449">
        <v>0.91509433962264153</v>
      </c>
      <c r="X449">
        <v>552</v>
      </c>
      <c r="Y449">
        <v>4425966</v>
      </c>
      <c r="Z449">
        <v>8604</v>
      </c>
      <c r="AA449">
        <v>2</v>
      </c>
      <c r="AB449">
        <v>61</v>
      </c>
    </row>
    <row r="450" spans="1:28" hidden="1" x14ac:dyDescent="0.25">
      <c r="A450" s="7" t="s">
        <v>57</v>
      </c>
      <c r="B450">
        <v>10</v>
      </c>
      <c r="C450">
        <v>3</v>
      </c>
      <c r="D450">
        <v>3</v>
      </c>
      <c r="E450">
        <v>0</v>
      </c>
      <c r="F450" s="7" t="s">
        <v>68</v>
      </c>
      <c r="G450">
        <v>8563</v>
      </c>
      <c r="H450">
        <v>10761856</v>
      </c>
      <c r="I450">
        <v>83</v>
      </c>
      <c r="J450">
        <v>0.91509431600570679</v>
      </c>
      <c r="K450">
        <v>1</v>
      </c>
      <c r="L450">
        <v>0.95555555820465088</v>
      </c>
      <c r="M450">
        <v>0.9555555555555556</v>
      </c>
      <c r="N450">
        <v>0.96296296296296291</v>
      </c>
      <c r="O450">
        <v>1</v>
      </c>
      <c r="P450">
        <v>13410</v>
      </c>
      <c r="Q450">
        <v>107973643</v>
      </c>
      <c r="R450">
        <v>8343</v>
      </c>
      <c r="S450">
        <v>2</v>
      </c>
      <c r="T450">
        <v>60</v>
      </c>
      <c r="U450">
        <v>0.93333333333333335</v>
      </c>
      <c r="V450">
        <v>0.96296296296296291</v>
      </c>
      <c r="W450">
        <v>1</v>
      </c>
      <c r="X450">
        <v>12957</v>
      </c>
      <c r="Y450">
        <v>105289223</v>
      </c>
      <c r="Z450">
        <v>8604</v>
      </c>
      <c r="AA450">
        <v>2</v>
      </c>
      <c r="AB450">
        <v>61</v>
      </c>
    </row>
    <row r="451" spans="1:28" hidden="1" x14ac:dyDescent="0.25">
      <c r="A451" s="7" t="s">
        <v>57</v>
      </c>
      <c r="B451">
        <v>10</v>
      </c>
      <c r="C451">
        <v>3</v>
      </c>
      <c r="D451">
        <v>3</v>
      </c>
      <c r="E451">
        <v>0</v>
      </c>
      <c r="F451" s="7" t="s">
        <v>69</v>
      </c>
      <c r="G451">
        <v>10328</v>
      </c>
      <c r="H451">
        <v>22391543</v>
      </c>
      <c r="I451">
        <v>168</v>
      </c>
      <c r="J451">
        <v>0.90566039085388184</v>
      </c>
      <c r="K451">
        <v>1</v>
      </c>
      <c r="L451">
        <v>0.93333333730697632</v>
      </c>
      <c r="M451">
        <v>0.9555555555555556</v>
      </c>
      <c r="N451">
        <v>1</v>
      </c>
      <c r="O451">
        <v>0.89622641509433965</v>
      </c>
      <c r="P451">
        <v>572</v>
      </c>
      <c r="Q451">
        <v>5023783</v>
      </c>
      <c r="R451">
        <v>10254</v>
      </c>
      <c r="S451">
        <v>2</v>
      </c>
      <c r="T451">
        <v>67</v>
      </c>
      <c r="U451">
        <v>0.93333333333333335</v>
      </c>
      <c r="V451">
        <v>0.96296296296296291</v>
      </c>
      <c r="W451">
        <v>1</v>
      </c>
      <c r="X451">
        <v>13207</v>
      </c>
      <c r="Y451">
        <v>107297158</v>
      </c>
      <c r="Z451">
        <v>10543</v>
      </c>
      <c r="AA451">
        <v>2</v>
      </c>
      <c r="AB451">
        <v>68</v>
      </c>
    </row>
    <row r="452" spans="1:28" hidden="1" x14ac:dyDescent="0.25">
      <c r="A452" s="7" t="s">
        <v>57</v>
      </c>
      <c r="B452">
        <v>10</v>
      </c>
      <c r="C452">
        <v>3</v>
      </c>
      <c r="D452">
        <v>3</v>
      </c>
      <c r="E452">
        <v>0</v>
      </c>
      <c r="F452" s="7" t="s">
        <v>69</v>
      </c>
      <c r="G452">
        <v>10328</v>
      </c>
      <c r="H452">
        <v>19961939</v>
      </c>
      <c r="I452">
        <v>144</v>
      </c>
      <c r="J452">
        <v>0.86792451143264771</v>
      </c>
      <c r="K452">
        <v>1</v>
      </c>
      <c r="L452">
        <v>0.8888888955116272</v>
      </c>
      <c r="M452">
        <v>0.9555555555555556</v>
      </c>
      <c r="N452">
        <v>1</v>
      </c>
      <c r="O452">
        <v>0.92452830188679247</v>
      </c>
      <c r="P452">
        <v>587</v>
      </c>
      <c r="Q452">
        <v>6028661</v>
      </c>
      <c r="R452">
        <v>10254</v>
      </c>
      <c r="S452">
        <v>2</v>
      </c>
      <c r="T452">
        <v>67</v>
      </c>
      <c r="U452">
        <v>0.93333333333333335</v>
      </c>
      <c r="V452">
        <v>0.96296296296296291</v>
      </c>
      <c r="W452">
        <v>1</v>
      </c>
      <c r="X452">
        <v>12976</v>
      </c>
      <c r="Y452">
        <v>105919392</v>
      </c>
      <c r="Z452">
        <v>10543</v>
      </c>
      <c r="AA452">
        <v>2</v>
      </c>
      <c r="AB452">
        <v>68</v>
      </c>
    </row>
    <row r="453" spans="1:28" hidden="1" x14ac:dyDescent="0.25">
      <c r="A453" s="7" t="s">
        <v>57</v>
      </c>
      <c r="B453">
        <v>10</v>
      </c>
      <c r="C453">
        <v>3</v>
      </c>
      <c r="D453">
        <v>3</v>
      </c>
      <c r="E453">
        <v>0</v>
      </c>
      <c r="F453" s="7" t="s">
        <v>69</v>
      </c>
      <c r="G453">
        <v>10328</v>
      </c>
      <c r="H453">
        <v>61295010</v>
      </c>
      <c r="I453">
        <v>457</v>
      </c>
      <c r="J453">
        <v>0.81132078170776367</v>
      </c>
      <c r="K453">
        <v>1</v>
      </c>
      <c r="L453">
        <v>0.91111111640930176</v>
      </c>
      <c r="M453">
        <v>0.93333333333333335</v>
      </c>
      <c r="N453">
        <v>0.96296296296296291</v>
      </c>
      <c r="O453">
        <v>1</v>
      </c>
      <c r="P453">
        <v>12987</v>
      </c>
      <c r="Q453">
        <v>110967425</v>
      </c>
      <c r="R453">
        <v>10254</v>
      </c>
      <c r="S453">
        <v>2</v>
      </c>
      <c r="T453">
        <v>67</v>
      </c>
      <c r="U453">
        <v>0.93333333333333335</v>
      </c>
      <c r="V453">
        <v>0.96296296296296291</v>
      </c>
      <c r="W453">
        <v>1</v>
      </c>
      <c r="X453">
        <v>13276</v>
      </c>
      <c r="Y453">
        <v>107804520</v>
      </c>
      <c r="Z453">
        <v>10543</v>
      </c>
      <c r="AA453">
        <v>2</v>
      </c>
      <c r="AB453">
        <v>68</v>
      </c>
    </row>
    <row r="454" spans="1:28" hidden="1" x14ac:dyDescent="0.25">
      <c r="A454" s="7" t="s">
        <v>57</v>
      </c>
      <c r="B454">
        <v>10</v>
      </c>
      <c r="C454">
        <v>3</v>
      </c>
      <c r="D454">
        <v>3</v>
      </c>
      <c r="E454">
        <v>0</v>
      </c>
      <c r="F454" s="7" t="s">
        <v>69</v>
      </c>
      <c r="G454">
        <v>10328</v>
      </c>
      <c r="H454">
        <v>9579458</v>
      </c>
      <c r="I454">
        <v>71</v>
      </c>
      <c r="J454">
        <v>0.92452830076217651</v>
      </c>
      <c r="K454">
        <v>1</v>
      </c>
      <c r="L454">
        <v>0.93333333730697632</v>
      </c>
      <c r="M454">
        <v>0.9555555555555556</v>
      </c>
      <c r="N454">
        <v>1</v>
      </c>
      <c r="O454">
        <v>0.92452830188679247</v>
      </c>
      <c r="P454">
        <v>579</v>
      </c>
      <c r="Q454">
        <v>6249330</v>
      </c>
      <c r="R454">
        <v>10254</v>
      </c>
      <c r="S454">
        <v>2</v>
      </c>
      <c r="T454">
        <v>67</v>
      </c>
      <c r="U454">
        <v>0.9555555555555556</v>
      </c>
      <c r="V454">
        <v>1</v>
      </c>
      <c r="W454">
        <v>0.91509433962264153</v>
      </c>
      <c r="X454">
        <v>569</v>
      </c>
      <c r="Y454">
        <v>4673632</v>
      </c>
      <c r="Z454">
        <v>10543</v>
      </c>
      <c r="AA454">
        <v>2</v>
      </c>
      <c r="AB454">
        <v>68</v>
      </c>
    </row>
    <row r="455" spans="1:28" hidden="1" x14ac:dyDescent="0.25">
      <c r="A455" s="7" t="s">
        <v>57</v>
      </c>
      <c r="B455">
        <v>10</v>
      </c>
      <c r="C455">
        <v>3</v>
      </c>
      <c r="D455">
        <v>3</v>
      </c>
      <c r="E455">
        <v>0</v>
      </c>
      <c r="F455" s="7" t="s">
        <v>69</v>
      </c>
      <c r="G455">
        <v>10328</v>
      </c>
      <c r="H455">
        <v>16446732</v>
      </c>
      <c r="I455">
        <v>117</v>
      </c>
      <c r="J455">
        <v>0.8396226167678833</v>
      </c>
      <c r="K455">
        <v>1</v>
      </c>
      <c r="L455">
        <v>0.8888888955116272</v>
      </c>
      <c r="M455">
        <v>0.97777777777777775</v>
      </c>
      <c r="N455">
        <v>0.96296296296296291</v>
      </c>
      <c r="O455">
        <v>1</v>
      </c>
      <c r="P455">
        <v>100000</v>
      </c>
      <c r="Q455">
        <v>1342975316</v>
      </c>
      <c r="R455">
        <v>10254</v>
      </c>
      <c r="S455">
        <v>2</v>
      </c>
      <c r="T455">
        <v>67</v>
      </c>
      <c r="U455">
        <v>0.93333333333333335</v>
      </c>
      <c r="V455">
        <v>0.96296296296296291</v>
      </c>
      <c r="W455">
        <v>1</v>
      </c>
      <c r="X455">
        <v>13626</v>
      </c>
      <c r="Y455">
        <v>110849666</v>
      </c>
      <c r="Z455">
        <v>10543</v>
      </c>
      <c r="AA455">
        <v>2</v>
      </c>
      <c r="AB455">
        <v>68</v>
      </c>
    </row>
    <row r="456" spans="1:28" hidden="1" x14ac:dyDescent="0.25">
      <c r="A456" s="7" t="s">
        <v>57</v>
      </c>
      <c r="B456">
        <v>10</v>
      </c>
      <c r="C456">
        <v>3</v>
      </c>
      <c r="D456">
        <v>3</v>
      </c>
      <c r="E456">
        <v>0</v>
      </c>
      <c r="F456" s="7" t="s">
        <v>70</v>
      </c>
      <c r="G456">
        <v>12093</v>
      </c>
      <c r="H456">
        <v>11319056</v>
      </c>
      <c r="I456">
        <v>81</v>
      </c>
      <c r="J456">
        <v>0.90566039085388184</v>
      </c>
      <c r="K456">
        <v>1</v>
      </c>
      <c r="L456">
        <v>0.93333333730697632</v>
      </c>
      <c r="M456">
        <v>0.93333333333333335</v>
      </c>
      <c r="N456">
        <v>0.96296296296296291</v>
      </c>
      <c r="O456">
        <v>1</v>
      </c>
      <c r="P456">
        <v>12991</v>
      </c>
      <c r="Q456">
        <v>143042515</v>
      </c>
      <c r="R456">
        <v>12048</v>
      </c>
      <c r="S456">
        <v>2</v>
      </c>
      <c r="T456">
        <v>73</v>
      </c>
      <c r="U456">
        <v>0.93333333333333335</v>
      </c>
      <c r="V456">
        <v>0.96296296296296291</v>
      </c>
      <c r="W456">
        <v>1</v>
      </c>
      <c r="X456">
        <v>100000</v>
      </c>
      <c r="Y456">
        <v>1677876897</v>
      </c>
      <c r="Z456">
        <v>12361</v>
      </c>
      <c r="AA456">
        <v>2</v>
      </c>
      <c r="AB456">
        <v>74</v>
      </c>
    </row>
    <row r="457" spans="1:28" hidden="1" x14ac:dyDescent="0.25">
      <c r="A457" s="7" t="s">
        <v>57</v>
      </c>
      <c r="B457">
        <v>10</v>
      </c>
      <c r="C457">
        <v>3</v>
      </c>
      <c r="D457">
        <v>3</v>
      </c>
      <c r="E457">
        <v>0</v>
      </c>
      <c r="F457" s="7" t="s">
        <v>70</v>
      </c>
      <c r="G457">
        <v>12093</v>
      </c>
      <c r="H457">
        <v>20857261</v>
      </c>
      <c r="I457">
        <v>140</v>
      </c>
      <c r="J457">
        <v>0.83018869161605835</v>
      </c>
      <c r="K457">
        <v>1</v>
      </c>
      <c r="L457">
        <v>0.93333333730697632</v>
      </c>
      <c r="M457">
        <v>0.9555555555555556</v>
      </c>
      <c r="N457">
        <v>1</v>
      </c>
      <c r="O457">
        <v>0.91509433962264153</v>
      </c>
      <c r="P457">
        <v>555</v>
      </c>
      <c r="Q457">
        <v>18027176</v>
      </c>
      <c r="R457">
        <v>12048</v>
      </c>
      <c r="S457">
        <v>2</v>
      </c>
      <c r="T457">
        <v>73</v>
      </c>
      <c r="U457">
        <v>0.9555555555555556</v>
      </c>
      <c r="V457">
        <v>1</v>
      </c>
      <c r="W457">
        <v>0.90566037735849059</v>
      </c>
      <c r="X457">
        <v>525</v>
      </c>
      <c r="Y457">
        <v>4899742</v>
      </c>
      <c r="Z457">
        <v>12361</v>
      </c>
      <c r="AA457">
        <v>2</v>
      </c>
      <c r="AB457">
        <v>74</v>
      </c>
    </row>
    <row r="458" spans="1:28" hidden="1" x14ac:dyDescent="0.25">
      <c r="A458" s="7" t="s">
        <v>57</v>
      </c>
      <c r="B458">
        <v>10</v>
      </c>
      <c r="C458">
        <v>3</v>
      </c>
      <c r="D458">
        <v>3</v>
      </c>
      <c r="E458">
        <v>0</v>
      </c>
      <c r="F458" s="7" t="s">
        <v>70</v>
      </c>
      <c r="G458">
        <v>12093</v>
      </c>
      <c r="H458">
        <v>19078887</v>
      </c>
      <c r="I458">
        <v>131</v>
      </c>
      <c r="J458">
        <v>0.80188679695129395</v>
      </c>
      <c r="K458">
        <v>1</v>
      </c>
      <c r="L458">
        <v>0.86666667461395264</v>
      </c>
      <c r="M458">
        <v>0.93333333333333335</v>
      </c>
      <c r="N458">
        <v>0.96296296296296291</v>
      </c>
      <c r="O458">
        <v>1</v>
      </c>
      <c r="P458">
        <v>100000</v>
      </c>
      <c r="Q458">
        <v>1738618434</v>
      </c>
      <c r="R458">
        <v>12048</v>
      </c>
      <c r="S458">
        <v>2</v>
      </c>
      <c r="T458">
        <v>73</v>
      </c>
      <c r="U458">
        <v>0.93333333333333335</v>
      </c>
      <c r="V458">
        <v>0.96296296296296291</v>
      </c>
      <c r="W458">
        <v>1</v>
      </c>
      <c r="X458">
        <v>12992</v>
      </c>
      <c r="Y458">
        <v>142166590</v>
      </c>
      <c r="Z458">
        <v>12361</v>
      </c>
      <c r="AA458">
        <v>2</v>
      </c>
      <c r="AB458">
        <v>74</v>
      </c>
    </row>
    <row r="459" spans="1:28" hidden="1" x14ac:dyDescent="0.25">
      <c r="A459" s="7" t="s">
        <v>57</v>
      </c>
      <c r="B459">
        <v>10</v>
      </c>
      <c r="C459">
        <v>3</v>
      </c>
      <c r="D459">
        <v>3</v>
      </c>
      <c r="E459">
        <v>0</v>
      </c>
      <c r="F459" s="7" t="s">
        <v>70</v>
      </c>
      <c r="G459">
        <v>12093</v>
      </c>
      <c r="H459">
        <v>17593495</v>
      </c>
      <c r="I459">
        <v>120</v>
      </c>
      <c r="J459">
        <v>0.81132078170776367</v>
      </c>
      <c r="K459">
        <v>1</v>
      </c>
      <c r="L459">
        <v>0.91111111640930176</v>
      </c>
      <c r="M459">
        <v>0.93333333333333335</v>
      </c>
      <c r="N459">
        <v>0.96296296296296291</v>
      </c>
      <c r="O459">
        <v>1</v>
      </c>
      <c r="P459">
        <v>12809</v>
      </c>
      <c r="Q459">
        <v>156461461</v>
      </c>
      <c r="R459">
        <v>12048</v>
      </c>
      <c r="S459">
        <v>2</v>
      </c>
      <c r="T459">
        <v>73</v>
      </c>
      <c r="U459">
        <v>0.9555555555555556</v>
      </c>
      <c r="V459">
        <v>1</v>
      </c>
      <c r="W459">
        <v>0.90566037735849059</v>
      </c>
      <c r="X459">
        <v>563</v>
      </c>
      <c r="Y459">
        <v>5403459</v>
      </c>
      <c r="Z459">
        <v>12361</v>
      </c>
      <c r="AA459">
        <v>2</v>
      </c>
      <c r="AB459">
        <v>74</v>
      </c>
    </row>
    <row r="460" spans="1:28" hidden="1" x14ac:dyDescent="0.25">
      <c r="A460" s="7" t="s">
        <v>57</v>
      </c>
      <c r="B460">
        <v>10</v>
      </c>
      <c r="C460">
        <v>3</v>
      </c>
      <c r="D460">
        <v>3</v>
      </c>
      <c r="E460">
        <v>0</v>
      </c>
      <c r="F460" s="7" t="s">
        <v>70</v>
      </c>
      <c r="G460">
        <v>12093</v>
      </c>
      <c r="H460">
        <v>13850660</v>
      </c>
      <c r="I460">
        <v>85</v>
      </c>
      <c r="J460">
        <v>0.87735849618911743</v>
      </c>
      <c r="K460">
        <v>1</v>
      </c>
      <c r="L460">
        <v>0.93333333730697632</v>
      </c>
      <c r="M460">
        <v>0.9555555555555556</v>
      </c>
      <c r="N460">
        <v>1</v>
      </c>
      <c r="O460">
        <v>0.92452830188679247</v>
      </c>
      <c r="P460">
        <v>656</v>
      </c>
      <c r="Q460">
        <v>15999907</v>
      </c>
      <c r="R460">
        <v>12048</v>
      </c>
      <c r="S460">
        <v>2</v>
      </c>
      <c r="T460">
        <v>73</v>
      </c>
      <c r="U460">
        <v>0.9555555555555556</v>
      </c>
      <c r="V460">
        <v>0.96296296296296291</v>
      </c>
      <c r="W460">
        <v>1</v>
      </c>
      <c r="X460">
        <v>13043</v>
      </c>
      <c r="Y460">
        <v>152997725</v>
      </c>
      <c r="Z460">
        <v>12361</v>
      </c>
      <c r="AA460">
        <v>2</v>
      </c>
      <c r="AB460">
        <v>74</v>
      </c>
    </row>
    <row r="461" spans="1:28" hidden="1" x14ac:dyDescent="0.25">
      <c r="A461" s="7" t="s">
        <v>57</v>
      </c>
      <c r="B461">
        <v>10</v>
      </c>
      <c r="C461">
        <v>3</v>
      </c>
      <c r="D461">
        <v>3</v>
      </c>
      <c r="E461">
        <v>0</v>
      </c>
      <c r="F461" s="7" t="s">
        <v>72</v>
      </c>
      <c r="G461">
        <v>9397</v>
      </c>
      <c r="H461">
        <v>20065075</v>
      </c>
      <c r="I461">
        <v>140</v>
      </c>
      <c r="J461">
        <v>0.77358490228652954</v>
      </c>
      <c r="K461">
        <v>1</v>
      </c>
      <c r="L461">
        <v>0.86666667461395264</v>
      </c>
      <c r="M461">
        <v>0.93333333333333335</v>
      </c>
      <c r="N461">
        <v>0.96296296296296291</v>
      </c>
      <c r="O461">
        <v>1</v>
      </c>
      <c r="P461">
        <v>17894</v>
      </c>
      <c r="Q461">
        <v>193479623</v>
      </c>
      <c r="R461">
        <v>9138</v>
      </c>
      <c r="S461">
        <v>2</v>
      </c>
      <c r="T461">
        <v>63</v>
      </c>
      <c r="U461">
        <v>0.93333333333333335</v>
      </c>
      <c r="V461">
        <v>0.96296296296296291</v>
      </c>
      <c r="W461">
        <v>1</v>
      </c>
      <c r="X461">
        <v>13046</v>
      </c>
      <c r="Y461">
        <v>123166765</v>
      </c>
      <c r="Z461">
        <v>9411</v>
      </c>
      <c r="AA461">
        <v>2</v>
      </c>
      <c r="AB461">
        <v>64</v>
      </c>
    </row>
    <row r="462" spans="1:28" hidden="1" x14ac:dyDescent="0.25">
      <c r="A462" s="7" t="s">
        <v>57</v>
      </c>
      <c r="B462">
        <v>10</v>
      </c>
      <c r="C462">
        <v>3</v>
      </c>
      <c r="D462">
        <v>3</v>
      </c>
      <c r="E462">
        <v>0</v>
      </c>
      <c r="F462" s="7" t="s">
        <v>72</v>
      </c>
      <c r="G462">
        <v>9397</v>
      </c>
      <c r="H462">
        <v>12220695</v>
      </c>
      <c r="I462">
        <v>81</v>
      </c>
      <c r="J462">
        <v>0.83018869161605835</v>
      </c>
      <c r="K462">
        <v>1</v>
      </c>
      <c r="L462">
        <v>0.8888888955116272</v>
      </c>
      <c r="M462">
        <v>0.93333333333333335</v>
      </c>
      <c r="N462">
        <v>0.96296296296296291</v>
      </c>
      <c r="O462">
        <v>1</v>
      </c>
      <c r="P462">
        <v>13336</v>
      </c>
      <c r="Q462">
        <v>127919647</v>
      </c>
      <c r="R462">
        <v>9138</v>
      </c>
      <c r="S462">
        <v>2</v>
      </c>
      <c r="T462">
        <v>63</v>
      </c>
      <c r="U462">
        <v>0.93333333333333335</v>
      </c>
      <c r="V462">
        <v>0.96296296296296291</v>
      </c>
      <c r="W462">
        <v>1</v>
      </c>
      <c r="X462">
        <v>13169</v>
      </c>
      <c r="Y462">
        <v>123782378</v>
      </c>
      <c r="Z462">
        <v>9411</v>
      </c>
      <c r="AA462">
        <v>2</v>
      </c>
      <c r="AB462">
        <v>64</v>
      </c>
    </row>
    <row r="463" spans="1:28" hidden="1" x14ac:dyDescent="0.25">
      <c r="A463" s="7" t="s">
        <v>57</v>
      </c>
      <c r="B463">
        <v>10</v>
      </c>
      <c r="C463">
        <v>3</v>
      </c>
      <c r="D463">
        <v>3</v>
      </c>
      <c r="E463">
        <v>0</v>
      </c>
      <c r="F463" s="7" t="s">
        <v>72</v>
      </c>
      <c r="G463">
        <v>9397</v>
      </c>
      <c r="H463">
        <v>31461398</v>
      </c>
      <c r="I463">
        <v>228</v>
      </c>
      <c r="J463">
        <v>0.86792451143264771</v>
      </c>
      <c r="K463">
        <v>1</v>
      </c>
      <c r="L463">
        <v>0.91111111640930176</v>
      </c>
      <c r="M463">
        <v>0.9555555555555556</v>
      </c>
      <c r="N463">
        <v>1</v>
      </c>
      <c r="O463">
        <v>0.91509433962264153</v>
      </c>
      <c r="P463">
        <v>684</v>
      </c>
      <c r="Q463">
        <v>6618066</v>
      </c>
      <c r="R463">
        <v>9138</v>
      </c>
      <c r="S463">
        <v>2</v>
      </c>
      <c r="T463">
        <v>63</v>
      </c>
      <c r="U463">
        <v>0.9555555555555556</v>
      </c>
      <c r="V463">
        <v>1</v>
      </c>
      <c r="W463">
        <v>0.92452830188679247</v>
      </c>
      <c r="X463">
        <v>639</v>
      </c>
      <c r="Y463">
        <v>8047938</v>
      </c>
      <c r="Z463">
        <v>9411</v>
      </c>
      <c r="AA463">
        <v>2</v>
      </c>
      <c r="AB463">
        <v>64</v>
      </c>
    </row>
    <row r="464" spans="1:28" hidden="1" x14ac:dyDescent="0.25">
      <c r="A464" s="7" t="s">
        <v>57</v>
      </c>
      <c r="B464">
        <v>10</v>
      </c>
      <c r="C464">
        <v>3</v>
      </c>
      <c r="D464">
        <v>3</v>
      </c>
      <c r="E464">
        <v>0</v>
      </c>
      <c r="F464" s="7" t="s">
        <v>72</v>
      </c>
      <c r="G464">
        <v>9397</v>
      </c>
      <c r="H464">
        <v>25217332</v>
      </c>
      <c r="I464">
        <v>186</v>
      </c>
      <c r="J464">
        <v>0.91509431600570679</v>
      </c>
      <c r="K464">
        <v>1</v>
      </c>
      <c r="L464">
        <v>0.95555555820465088</v>
      </c>
      <c r="M464">
        <v>0.9555555555555556</v>
      </c>
      <c r="N464">
        <v>1</v>
      </c>
      <c r="O464">
        <v>0.8867924528301887</v>
      </c>
      <c r="P464">
        <v>443</v>
      </c>
      <c r="Q464">
        <v>5340038</v>
      </c>
      <c r="R464">
        <v>9138</v>
      </c>
      <c r="S464">
        <v>2</v>
      </c>
      <c r="T464">
        <v>63</v>
      </c>
      <c r="U464">
        <v>0.93333333333333335</v>
      </c>
      <c r="V464">
        <v>0.96296296296296291</v>
      </c>
      <c r="W464">
        <v>1</v>
      </c>
      <c r="X464">
        <v>13316</v>
      </c>
      <c r="Y464">
        <v>129584151</v>
      </c>
      <c r="Z464">
        <v>9411</v>
      </c>
      <c r="AA464">
        <v>2</v>
      </c>
      <c r="AB464">
        <v>64</v>
      </c>
    </row>
    <row r="465" spans="1:28" hidden="1" x14ac:dyDescent="0.25">
      <c r="A465" s="7" t="s">
        <v>57</v>
      </c>
      <c r="B465">
        <v>10</v>
      </c>
      <c r="C465">
        <v>3</v>
      </c>
      <c r="D465">
        <v>3</v>
      </c>
      <c r="E465">
        <v>0</v>
      </c>
      <c r="F465" s="7" t="s">
        <v>72</v>
      </c>
      <c r="G465">
        <v>9397</v>
      </c>
      <c r="H465">
        <v>19599827</v>
      </c>
      <c r="I465">
        <v>138</v>
      </c>
      <c r="J465">
        <v>0.89622640609741211</v>
      </c>
      <c r="K465">
        <v>1</v>
      </c>
      <c r="L465">
        <v>0.93333333730697632</v>
      </c>
      <c r="M465">
        <v>0.93333333333333335</v>
      </c>
      <c r="N465">
        <v>0.96296296296296291</v>
      </c>
      <c r="O465">
        <v>1</v>
      </c>
      <c r="P465">
        <v>13219</v>
      </c>
      <c r="Q465">
        <v>127170664</v>
      </c>
      <c r="R465">
        <v>9138</v>
      </c>
      <c r="S465">
        <v>2</v>
      </c>
      <c r="T465">
        <v>63</v>
      </c>
      <c r="U465">
        <v>0.9555555555555556</v>
      </c>
      <c r="V465">
        <v>1</v>
      </c>
      <c r="W465">
        <v>0.91509433962264153</v>
      </c>
      <c r="X465">
        <v>494</v>
      </c>
      <c r="Y465">
        <v>4787650</v>
      </c>
      <c r="Z465">
        <v>9411</v>
      </c>
      <c r="AA465">
        <v>2</v>
      </c>
      <c r="AB465">
        <v>64</v>
      </c>
    </row>
    <row r="466" spans="1:28" hidden="1" x14ac:dyDescent="0.25">
      <c r="A466" s="7" t="s">
        <v>57</v>
      </c>
      <c r="B466">
        <v>10</v>
      </c>
      <c r="C466">
        <v>3</v>
      </c>
      <c r="D466">
        <v>3</v>
      </c>
      <c r="E466">
        <v>0</v>
      </c>
      <c r="F466" s="7" t="s">
        <v>73</v>
      </c>
      <c r="G466">
        <v>11322</v>
      </c>
      <c r="H466">
        <v>77257415</v>
      </c>
      <c r="I466">
        <v>528</v>
      </c>
      <c r="J466">
        <v>0.96226418018341064</v>
      </c>
      <c r="K466">
        <v>1</v>
      </c>
      <c r="L466">
        <v>0.95555555820465088</v>
      </c>
      <c r="M466">
        <v>0.93333333333333335</v>
      </c>
      <c r="N466">
        <v>0.96296296296296291</v>
      </c>
      <c r="O466">
        <v>1</v>
      </c>
      <c r="P466">
        <v>58045</v>
      </c>
      <c r="Q466">
        <v>833304786</v>
      </c>
      <c r="R466">
        <v>11133</v>
      </c>
      <c r="S466">
        <v>2</v>
      </c>
      <c r="T466">
        <v>70</v>
      </c>
      <c r="U466">
        <v>0.9555555555555556</v>
      </c>
      <c r="V466">
        <v>1</v>
      </c>
      <c r="W466">
        <v>0.91509433962264153</v>
      </c>
      <c r="X466">
        <v>581</v>
      </c>
      <c r="Y466">
        <v>8537818</v>
      </c>
      <c r="Z466">
        <v>11434</v>
      </c>
      <c r="AA466">
        <v>2</v>
      </c>
      <c r="AB466">
        <v>71</v>
      </c>
    </row>
    <row r="467" spans="1:28" hidden="1" x14ac:dyDescent="0.25">
      <c r="A467" s="7" t="s">
        <v>57</v>
      </c>
      <c r="B467">
        <v>10</v>
      </c>
      <c r="C467">
        <v>3</v>
      </c>
      <c r="D467">
        <v>3</v>
      </c>
      <c r="E467">
        <v>0</v>
      </c>
      <c r="F467" s="7" t="s">
        <v>73</v>
      </c>
      <c r="G467">
        <v>11322</v>
      </c>
      <c r="H467">
        <v>39977625</v>
      </c>
      <c r="I467">
        <v>277</v>
      </c>
      <c r="J467">
        <v>0.85849058628082275</v>
      </c>
      <c r="K467">
        <v>1</v>
      </c>
      <c r="L467">
        <v>0.8888888955116272</v>
      </c>
      <c r="M467">
        <v>0.93333333333333335</v>
      </c>
      <c r="N467">
        <v>0.96296296296296291</v>
      </c>
      <c r="O467">
        <v>1</v>
      </c>
      <c r="P467">
        <v>13208</v>
      </c>
      <c r="Q467">
        <v>131713178</v>
      </c>
      <c r="R467">
        <v>11133</v>
      </c>
      <c r="S467">
        <v>2</v>
      </c>
      <c r="T467">
        <v>70</v>
      </c>
      <c r="U467">
        <v>0.93333333333333335</v>
      </c>
      <c r="V467">
        <v>0.96296296296296291</v>
      </c>
      <c r="W467">
        <v>1</v>
      </c>
      <c r="X467">
        <v>55297</v>
      </c>
      <c r="Y467">
        <v>908920172</v>
      </c>
      <c r="Z467">
        <v>11434</v>
      </c>
      <c r="AA467">
        <v>2</v>
      </c>
      <c r="AB467">
        <v>71</v>
      </c>
    </row>
    <row r="468" spans="1:28" hidden="1" x14ac:dyDescent="0.25">
      <c r="A468" s="7" t="s">
        <v>57</v>
      </c>
      <c r="B468">
        <v>10</v>
      </c>
      <c r="C468">
        <v>3</v>
      </c>
      <c r="D468">
        <v>3</v>
      </c>
      <c r="E468">
        <v>0</v>
      </c>
      <c r="F468" s="7" t="s">
        <v>73</v>
      </c>
      <c r="G468">
        <v>11322</v>
      </c>
      <c r="H468">
        <v>11427254</v>
      </c>
      <c r="I468">
        <v>76</v>
      </c>
      <c r="J468">
        <v>0.85849058628082275</v>
      </c>
      <c r="K468">
        <v>1</v>
      </c>
      <c r="L468">
        <v>0.93333333730697632</v>
      </c>
      <c r="M468">
        <v>0.93333333333333335</v>
      </c>
      <c r="N468">
        <v>0.96296296296296291</v>
      </c>
      <c r="O468">
        <v>1</v>
      </c>
      <c r="P468">
        <v>12885</v>
      </c>
      <c r="Q468">
        <v>122824143</v>
      </c>
      <c r="R468">
        <v>11133</v>
      </c>
      <c r="S468">
        <v>2</v>
      </c>
      <c r="T468">
        <v>70</v>
      </c>
      <c r="U468">
        <v>0.9555555555555556</v>
      </c>
      <c r="V468">
        <v>1</v>
      </c>
      <c r="W468">
        <v>0.92452830188679247</v>
      </c>
      <c r="X468">
        <v>629</v>
      </c>
      <c r="Y468">
        <v>8826615</v>
      </c>
      <c r="Z468">
        <v>11434</v>
      </c>
      <c r="AA468">
        <v>2</v>
      </c>
      <c r="AB468">
        <v>71</v>
      </c>
    </row>
    <row r="469" spans="1:28" hidden="1" x14ac:dyDescent="0.25">
      <c r="A469" s="7" t="s">
        <v>57</v>
      </c>
      <c r="B469">
        <v>10</v>
      </c>
      <c r="C469">
        <v>3</v>
      </c>
      <c r="D469">
        <v>3</v>
      </c>
      <c r="E469">
        <v>0</v>
      </c>
      <c r="F469" s="7" t="s">
        <v>73</v>
      </c>
      <c r="G469">
        <v>11322</v>
      </c>
      <c r="H469">
        <v>26470052</v>
      </c>
      <c r="I469">
        <v>182</v>
      </c>
      <c r="J469">
        <v>0.91509431600570679</v>
      </c>
      <c r="K469">
        <v>1</v>
      </c>
      <c r="L469">
        <v>0.95555555820465088</v>
      </c>
      <c r="M469">
        <v>0.93333333333333335</v>
      </c>
      <c r="N469">
        <v>0.96296296296296291</v>
      </c>
      <c r="O469">
        <v>1</v>
      </c>
      <c r="P469">
        <v>13190</v>
      </c>
      <c r="Q469">
        <v>131557626</v>
      </c>
      <c r="R469">
        <v>11133</v>
      </c>
      <c r="S469">
        <v>2</v>
      </c>
      <c r="T469">
        <v>70</v>
      </c>
      <c r="U469">
        <v>0.9555555555555556</v>
      </c>
      <c r="V469">
        <v>0.96296296296296291</v>
      </c>
      <c r="W469">
        <v>1</v>
      </c>
      <c r="X469">
        <v>11417</v>
      </c>
      <c r="Y469">
        <v>137738972</v>
      </c>
      <c r="Z469">
        <v>11434</v>
      </c>
      <c r="AA469">
        <v>2</v>
      </c>
      <c r="AB469">
        <v>71</v>
      </c>
    </row>
    <row r="470" spans="1:28" hidden="1" x14ac:dyDescent="0.25">
      <c r="A470" s="7" t="s">
        <v>57</v>
      </c>
      <c r="B470">
        <v>10</v>
      </c>
      <c r="C470">
        <v>3</v>
      </c>
      <c r="D470">
        <v>3</v>
      </c>
      <c r="E470">
        <v>0</v>
      </c>
      <c r="F470" s="7" t="s">
        <v>73</v>
      </c>
      <c r="G470">
        <v>11322</v>
      </c>
      <c r="H470">
        <v>22203911</v>
      </c>
      <c r="I470">
        <v>149</v>
      </c>
      <c r="J470">
        <v>0.92452830076217651</v>
      </c>
      <c r="K470">
        <v>1</v>
      </c>
      <c r="L470">
        <v>0.93333333730697632</v>
      </c>
      <c r="M470">
        <v>0.93333333333333335</v>
      </c>
      <c r="N470">
        <v>0.96296296296296291</v>
      </c>
      <c r="O470">
        <v>1</v>
      </c>
      <c r="P470">
        <v>13070</v>
      </c>
      <c r="Q470">
        <v>129526267</v>
      </c>
      <c r="R470">
        <v>11133</v>
      </c>
      <c r="S470">
        <v>2</v>
      </c>
      <c r="T470">
        <v>70</v>
      </c>
      <c r="U470">
        <v>0.9555555555555556</v>
      </c>
      <c r="V470">
        <v>1</v>
      </c>
      <c r="W470">
        <v>0.90566037735849059</v>
      </c>
      <c r="X470">
        <v>587</v>
      </c>
      <c r="Y470">
        <v>8568199</v>
      </c>
      <c r="Z470">
        <v>11434</v>
      </c>
      <c r="AA470">
        <v>2</v>
      </c>
      <c r="AB470">
        <v>71</v>
      </c>
    </row>
    <row r="471" spans="1:28" hidden="1" x14ac:dyDescent="0.25">
      <c r="A471" s="7" t="s">
        <v>57</v>
      </c>
      <c r="B471">
        <v>10</v>
      </c>
      <c r="C471">
        <v>3</v>
      </c>
      <c r="D471">
        <v>3</v>
      </c>
      <c r="E471">
        <v>0</v>
      </c>
      <c r="F471" s="7" t="s">
        <v>74</v>
      </c>
      <c r="G471">
        <v>13247</v>
      </c>
      <c r="H471">
        <v>12319892</v>
      </c>
      <c r="I471">
        <v>77</v>
      </c>
      <c r="J471">
        <v>0.8396226167678833</v>
      </c>
      <c r="K471">
        <v>1</v>
      </c>
      <c r="L471">
        <v>0.91111111640930176</v>
      </c>
      <c r="M471">
        <v>0.93333333333333335</v>
      </c>
      <c r="N471">
        <v>0.96296296296296291</v>
      </c>
      <c r="O471">
        <v>1</v>
      </c>
      <c r="P471">
        <v>18257</v>
      </c>
      <c r="Q471">
        <v>269570693</v>
      </c>
      <c r="R471">
        <v>12999</v>
      </c>
      <c r="S471">
        <v>2</v>
      </c>
      <c r="T471">
        <v>76</v>
      </c>
      <c r="U471">
        <v>0.93333333333333335</v>
      </c>
      <c r="V471">
        <v>0.96296296296296291</v>
      </c>
      <c r="W471">
        <v>1</v>
      </c>
      <c r="X471">
        <v>12899</v>
      </c>
      <c r="Y471">
        <v>153760905</v>
      </c>
      <c r="Z471">
        <v>13324</v>
      </c>
      <c r="AA471">
        <v>2</v>
      </c>
      <c r="AB471">
        <v>77</v>
      </c>
    </row>
    <row r="472" spans="1:28" hidden="1" x14ac:dyDescent="0.25">
      <c r="A472" s="7" t="s">
        <v>57</v>
      </c>
      <c r="B472">
        <v>10</v>
      </c>
      <c r="C472">
        <v>3</v>
      </c>
      <c r="D472">
        <v>3</v>
      </c>
      <c r="E472">
        <v>0</v>
      </c>
      <c r="F472" s="7" t="s">
        <v>74</v>
      </c>
      <c r="G472">
        <v>13247</v>
      </c>
      <c r="H472">
        <v>22763211</v>
      </c>
      <c r="I472">
        <v>142</v>
      </c>
      <c r="J472">
        <v>0.90566039085388184</v>
      </c>
      <c r="K472">
        <v>1</v>
      </c>
      <c r="L472">
        <v>0.95555555820465088</v>
      </c>
      <c r="M472">
        <v>0.93333333333333335</v>
      </c>
      <c r="N472">
        <v>0.96296296296296291</v>
      </c>
      <c r="O472">
        <v>1</v>
      </c>
      <c r="P472">
        <v>13038</v>
      </c>
      <c r="Q472">
        <v>189724166</v>
      </c>
      <c r="R472">
        <v>12999</v>
      </c>
      <c r="S472">
        <v>2</v>
      </c>
      <c r="T472">
        <v>76</v>
      </c>
      <c r="U472">
        <v>0.93333333333333335</v>
      </c>
      <c r="V472">
        <v>0.96296296296296291</v>
      </c>
      <c r="W472">
        <v>1</v>
      </c>
      <c r="X472">
        <v>12877</v>
      </c>
      <c r="Y472">
        <v>155780685</v>
      </c>
      <c r="Z472">
        <v>13324</v>
      </c>
      <c r="AA472">
        <v>2</v>
      </c>
      <c r="AB472">
        <v>77</v>
      </c>
    </row>
    <row r="473" spans="1:28" hidden="1" x14ac:dyDescent="0.25">
      <c r="A473" s="7" t="s">
        <v>57</v>
      </c>
      <c r="B473">
        <v>10</v>
      </c>
      <c r="C473">
        <v>3</v>
      </c>
      <c r="D473">
        <v>3</v>
      </c>
      <c r="E473">
        <v>0</v>
      </c>
      <c r="F473" s="7" t="s">
        <v>74</v>
      </c>
      <c r="G473">
        <v>13247</v>
      </c>
      <c r="H473">
        <v>33341520</v>
      </c>
      <c r="I473">
        <v>210</v>
      </c>
      <c r="J473">
        <v>0.96226418018341064</v>
      </c>
      <c r="K473">
        <v>1</v>
      </c>
      <c r="L473">
        <v>0.95555555820465088</v>
      </c>
      <c r="M473">
        <v>0.93333333333333335</v>
      </c>
      <c r="N473">
        <v>0.96296296296296291</v>
      </c>
      <c r="O473">
        <v>1</v>
      </c>
      <c r="P473">
        <v>13214</v>
      </c>
      <c r="Q473">
        <v>204337693</v>
      </c>
      <c r="R473">
        <v>12999</v>
      </c>
      <c r="S473">
        <v>2</v>
      </c>
      <c r="T473">
        <v>76</v>
      </c>
      <c r="U473">
        <v>0.93333333333333335</v>
      </c>
      <c r="V473">
        <v>0.96296296296296291</v>
      </c>
      <c r="W473">
        <v>1</v>
      </c>
      <c r="X473">
        <v>12931</v>
      </c>
      <c r="Y473">
        <v>155980631</v>
      </c>
      <c r="Z473">
        <v>13324</v>
      </c>
      <c r="AA473">
        <v>2</v>
      </c>
      <c r="AB473">
        <v>77</v>
      </c>
    </row>
    <row r="474" spans="1:28" hidden="1" x14ac:dyDescent="0.25">
      <c r="A474" s="7" t="s">
        <v>57</v>
      </c>
      <c r="B474">
        <v>10</v>
      </c>
      <c r="C474">
        <v>3</v>
      </c>
      <c r="D474">
        <v>3</v>
      </c>
      <c r="E474">
        <v>0</v>
      </c>
      <c r="F474" s="7" t="s">
        <v>74</v>
      </c>
      <c r="G474">
        <v>13247</v>
      </c>
      <c r="H474">
        <v>34728693</v>
      </c>
      <c r="I474">
        <v>222</v>
      </c>
      <c r="J474">
        <v>0.81132078170776367</v>
      </c>
      <c r="K474">
        <v>1</v>
      </c>
      <c r="L474">
        <v>0.91111111640930176</v>
      </c>
      <c r="M474">
        <v>0.93333333333333335</v>
      </c>
      <c r="N474">
        <v>0.96296296296296291</v>
      </c>
      <c r="O474">
        <v>1</v>
      </c>
      <c r="P474">
        <v>12675</v>
      </c>
      <c r="Q474">
        <v>194076639</v>
      </c>
      <c r="R474">
        <v>12999</v>
      </c>
      <c r="S474">
        <v>2</v>
      </c>
      <c r="T474">
        <v>76</v>
      </c>
      <c r="U474">
        <v>0.9555555555555556</v>
      </c>
      <c r="V474">
        <v>1</v>
      </c>
      <c r="W474">
        <v>0.92452830188679247</v>
      </c>
      <c r="X474">
        <v>623</v>
      </c>
      <c r="Y474">
        <v>8906831</v>
      </c>
      <c r="Z474">
        <v>13324</v>
      </c>
      <c r="AA474">
        <v>2</v>
      </c>
      <c r="AB474">
        <v>77</v>
      </c>
    </row>
    <row r="475" spans="1:28" hidden="1" x14ac:dyDescent="0.25">
      <c r="A475" s="7" t="s">
        <v>57</v>
      </c>
      <c r="B475">
        <v>10</v>
      </c>
      <c r="C475">
        <v>3</v>
      </c>
      <c r="D475">
        <v>3</v>
      </c>
      <c r="E475">
        <v>0</v>
      </c>
      <c r="F475" s="7" t="s">
        <v>74</v>
      </c>
      <c r="G475">
        <v>13247</v>
      </c>
      <c r="H475">
        <v>33401613</v>
      </c>
      <c r="I475">
        <v>213</v>
      </c>
      <c r="J475">
        <v>0.91509431600570679</v>
      </c>
      <c r="K475">
        <v>1</v>
      </c>
      <c r="L475">
        <v>0.93333333730697632</v>
      </c>
      <c r="M475">
        <v>0.9555555555555556</v>
      </c>
      <c r="N475">
        <v>1</v>
      </c>
      <c r="O475">
        <v>0.92452830188679247</v>
      </c>
      <c r="P475">
        <v>521</v>
      </c>
      <c r="Q475">
        <v>20993147</v>
      </c>
      <c r="R475">
        <v>12999</v>
      </c>
      <c r="S475">
        <v>2</v>
      </c>
      <c r="T475">
        <v>76</v>
      </c>
      <c r="U475">
        <v>0.9555555555555556</v>
      </c>
      <c r="V475">
        <v>1</v>
      </c>
      <c r="W475">
        <v>0.92452830188679247</v>
      </c>
      <c r="X475">
        <v>573</v>
      </c>
      <c r="Y475">
        <v>22877618</v>
      </c>
      <c r="Z475">
        <v>13324</v>
      </c>
      <c r="AA475">
        <v>2</v>
      </c>
      <c r="AB475">
        <v>77</v>
      </c>
    </row>
    <row r="476" spans="1:28" hidden="1" x14ac:dyDescent="0.25">
      <c r="A476" s="7" t="s">
        <v>57</v>
      </c>
      <c r="B476">
        <v>12</v>
      </c>
      <c r="C476">
        <v>3</v>
      </c>
      <c r="D476">
        <v>4</v>
      </c>
      <c r="E476">
        <v>0</v>
      </c>
      <c r="F476" s="7" t="s">
        <v>76</v>
      </c>
      <c r="G476">
        <v>2748</v>
      </c>
      <c r="H476">
        <v>51881359</v>
      </c>
      <c r="I476">
        <v>705</v>
      </c>
      <c r="J476">
        <v>0.92452830076217651</v>
      </c>
      <c r="K476">
        <v>1</v>
      </c>
      <c r="L476">
        <v>0.91111111640930176</v>
      </c>
      <c r="M476">
        <v>0.9555555555555556</v>
      </c>
      <c r="N476">
        <v>0.96296296296296291</v>
      </c>
      <c r="O476">
        <v>1</v>
      </c>
      <c r="P476">
        <v>14010</v>
      </c>
      <c r="Q476">
        <v>142949840</v>
      </c>
      <c r="R476">
        <v>2659</v>
      </c>
      <c r="S476">
        <v>2</v>
      </c>
      <c r="T476">
        <v>32</v>
      </c>
      <c r="U476">
        <v>0.93333333333333335</v>
      </c>
      <c r="V476">
        <v>0.96296296296296291</v>
      </c>
      <c r="W476">
        <v>1</v>
      </c>
      <c r="X476">
        <v>12725</v>
      </c>
      <c r="Y476">
        <v>117533861</v>
      </c>
      <c r="Z476">
        <v>2808</v>
      </c>
      <c r="AA476">
        <v>2</v>
      </c>
      <c r="AB476">
        <v>33</v>
      </c>
    </row>
    <row r="477" spans="1:28" hidden="1" x14ac:dyDescent="0.25">
      <c r="A477" s="7" t="s">
        <v>57</v>
      </c>
      <c r="B477">
        <v>12</v>
      </c>
      <c r="C477">
        <v>3</v>
      </c>
      <c r="D477">
        <v>4</v>
      </c>
      <c r="E477">
        <v>0</v>
      </c>
      <c r="F477" s="7" t="s">
        <v>76</v>
      </c>
      <c r="G477">
        <v>2748</v>
      </c>
      <c r="H477">
        <v>802287852</v>
      </c>
      <c r="I477">
        <v>10657</v>
      </c>
      <c r="J477">
        <v>0.79245281219482422</v>
      </c>
      <c r="K477">
        <v>0.96296298503875732</v>
      </c>
      <c r="L477">
        <v>0.75555557012557983</v>
      </c>
      <c r="M477">
        <v>0.9555555555555556</v>
      </c>
      <c r="N477">
        <v>0.96296296296296291</v>
      </c>
      <c r="O477">
        <v>1</v>
      </c>
      <c r="P477">
        <v>32540</v>
      </c>
      <c r="Q477">
        <v>365030540</v>
      </c>
      <c r="R477">
        <v>2659</v>
      </c>
      <c r="S477">
        <v>2</v>
      </c>
      <c r="T477">
        <v>32</v>
      </c>
      <c r="U477">
        <v>0.9555555555555556</v>
      </c>
      <c r="V477">
        <v>0.96296296296296291</v>
      </c>
      <c r="W477">
        <v>1</v>
      </c>
      <c r="X477">
        <v>100000</v>
      </c>
      <c r="Y477">
        <v>1250519787</v>
      </c>
      <c r="Z477">
        <v>2808</v>
      </c>
      <c r="AA477">
        <v>2</v>
      </c>
      <c r="AB477">
        <v>33</v>
      </c>
    </row>
    <row r="478" spans="1:28" hidden="1" x14ac:dyDescent="0.25">
      <c r="A478" s="7" t="s">
        <v>57</v>
      </c>
      <c r="B478">
        <v>12</v>
      </c>
      <c r="C478">
        <v>3</v>
      </c>
      <c r="D478">
        <v>4</v>
      </c>
      <c r="E478">
        <v>0</v>
      </c>
      <c r="F478" s="7" t="s">
        <v>76</v>
      </c>
      <c r="G478">
        <v>2748</v>
      </c>
      <c r="H478">
        <v>901977090</v>
      </c>
      <c r="I478">
        <v>11925</v>
      </c>
      <c r="J478">
        <v>0.89622640609741211</v>
      </c>
      <c r="K478">
        <v>1</v>
      </c>
      <c r="L478">
        <v>0.82222223281860352</v>
      </c>
      <c r="M478">
        <v>0.93333333333333335</v>
      </c>
      <c r="N478">
        <v>1</v>
      </c>
      <c r="O478">
        <v>0.8867924528301887</v>
      </c>
      <c r="P478">
        <v>960</v>
      </c>
      <c r="Q478">
        <v>10050252</v>
      </c>
      <c r="R478">
        <v>2659</v>
      </c>
      <c r="S478">
        <v>2</v>
      </c>
      <c r="T478">
        <v>32</v>
      </c>
      <c r="U478">
        <v>0.9555555555555556</v>
      </c>
      <c r="V478">
        <v>0.96296296296296291</v>
      </c>
      <c r="W478">
        <v>1</v>
      </c>
      <c r="X478">
        <v>14464</v>
      </c>
      <c r="Y478">
        <v>149897806</v>
      </c>
      <c r="Z478">
        <v>2808</v>
      </c>
      <c r="AA478">
        <v>2</v>
      </c>
      <c r="AB478">
        <v>33</v>
      </c>
    </row>
    <row r="479" spans="1:28" hidden="1" x14ac:dyDescent="0.25">
      <c r="A479" s="7" t="s">
        <v>57</v>
      </c>
      <c r="B479">
        <v>12</v>
      </c>
      <c r="C479">
        <v>3</v>
      </c>
      <c r="D479">
        <v>4</v>
      </c>
      <c r="E479">
        <v>0</v>
      </c>
      <c r="F479" s="7" t="s">
        <v>76</v>
      </c>
      <c r="G479">
        <v>2748</v>
      </c>
      <c r="H479">
        <v>217021663</v>
      </c>
      <c r="I479">
        <v>2879</v>
      </c>
      <c r="J479">
        <v>0.87735849618911743</v>
      </c>
      <c r="K479">
        <v>1</v>
      </c>
      <c r="L479">
        <v>0.93333333730697632</v>
      </c>
      <c r="M479">
        <v>0.9555555555555556</v>
      </c>
      <c r="N479">
        <v>0.96296296296296291</v>
      </c>
      <c r="O479">
        <v>1</v>
      </c>
      <c r="P479">
        <v>14699</v>
      </c>
      <c r="Q479">
        <v>151161075</v>
      </c>
      <c r="R479">
        <v>2659</v>
      </c>
      <c r="S479">
        <v>2</v>
      </c>
      <c r="T479">
        <v>32</v>
      </c>
      <c r="U479">
        <v>0.9555555555555556</v>
      </c>
      <c r="V479">
        <v>1</v>
      </c>
      <c r="W479">
        <v>0.90566037735849059</v>
      </c>
      <c r="X479">
        <v>779</v>
      </c>
      <c r="Y479">
        <v>8119408</v>
      </c>
      <c r="Z479">
        <v>2808</v>
      </c>
      <c r="AA479">
        <v>2</v>
      </c>
      <c r="AB479">
        <v>33</v>
      </c>
    </row>
    <row r="480" spans="1:28" hidden="1" x14ac:dyDescent="0.25">
      <c r="A480" s="7" t="s">
        <v>57</v>
      </c>
      <c r="B480">
        <v>12</v>
      </c>
      <c r="C480">
        <v>3</v>
      </c>
      <c r="D480">
        <v>4</v>
      </c>
      <c r="E480">
        <v>0</v>
      </c>
      <c r="F480" s="7" t="s">
        <v>76</v>
      </c>
      <c r="G480">
        <v>2748</v>
      </c>
      <c r="H480">
        <v>747913378</v>
      </c>
      <c r="I480">
        <v>10094</v>
      </c>
      <c r="J480">
        <v>0.85849058628082275</v>
      </c>
      <c r="K480">
        <v>0.96296298503875732</v>
      </c>
      <c r="L480">
        <v>0.91111111640930176</v>
      </c>
      <c r="M480">
        <v>0.9555555555555556</v>
      </c>
      <c r="N480">
        <v>0.96296296296296291</v>
      </c>
      <c r="O480">
        <v>1</v>
      </c>
      <c r="P480">
        <v>14325</v>
      </c>
      <c r="Q480">
        <v>145582952</v>
      </c>
      <c r="R480">
        <v>2659</v>
      </c>
      <c r="S480">
        <v>2</v>
      </c>
      <c r="T480">
        <v>32</v>
      </c>
      <c r="U480">
        <v>0.9555555555555556</v>
      </c>
      <c r="V480">
        <v>1</v>
      </c>
      <c r="W480">
        <v>0.92452830188679247</v>
      </c>
      <c r="X480">
        <v>931</v>
      </c>
      <c r="Y480">
        <v>10084234</v>
      </c>
      <c r="Z480">
        <v>2808</v>
      </c>
      <c r="AA480">
        <v>2</v>
      </c>
      <c r="AB480">
        <v>33</v>
      </c>
    </row>
    <row r="481" spans="1:28" hidden="1" x14ac:dyDescent="0.25">
      <c r="A481" s="7" t="s">
        <v>57</v>
      </c>
      <c r="B481">
        <v>12</v>
      </c>
      <c r="C481">
        <v>3</v>
      </c>
      <c r="D481">
        <v>4</v>
      </c>
      <c r="E481">
        <v>0</v>
      </c>
      <c r="F481" s="7" t="s">
        <v>61</v>
      </c>
      <c r="G481">
        <v>4273</v>
      </c>
      <c r="H481">
        <v>27377293</v>
      </c>
      <c r="I481">
        <v>328</v>
      </c>
      <c r="J481">
        <v>0.86792451143264771</v>
      </c>
      <c r="K481">
        <v>1</v>
      </c>
      <c r="L481">
        <v>0.93333333730697632</v>
      </c>
      <c r="M481">
        <v>0.9555555555555556</v>
      </c>
      <c r="N481">
        <v>0.96296296296296291</v>
      </c>
      <c r="O481">
        <v>1</v>
      </c>
      <c r="P481">
        <v>13983</v>
      </c>
      <c r="Q481">
        <v>145400054</v>
      </c>
      <c r="R481">
        <v>4144</v>
      </c>
      <c r="S481">
        <v>2</v>
      </c>
      <c r="T481">
        <v>41</v>
      </c>
      <c r="U481">
        <v>0.9555555555555556</v>
      </c>
      <c r="V481">
        <v>1</v>
      </c>
      <c r="W481">
        <v>0.92452830188679247</v>
      </c>
      <c r="X481">
        <v>804</v>
      </c>
      <c r="Y481">
        <v>8787252</v>
      </c>
      <c r="Z481">
        <v>4329</v>
      </c>
      <c r="AA481">
        <v>2</v>
      </c>
      <c r="AB481">
        <v>42</v>
      </c>
    </row>
    <row r="482" spans="1:28" hidden="1" x14ac:dyDescent="0.25">
      <c r="A482" s="7" t="s">
        <v>57</v>
      </c>
      <c r="B482">
        <v>12</v>
      </c>
      <c r="C482">
        <v>3</v>
      </c>
      <c r="D482">
        <v>4</v>
      </c>
      <c r="E482">
        <v>0</v>
      </c>
      <c r="F482" s="7" t="s">
        <v>61</v>
      </c>
      <c r="G482">
        <v>4273</v>
      </c>
      <c r="H482">
        <v>932616886</v>
      </c>
      <c r="I482">
        <v>11320</v>
      </c>
      <c r="J482">
        <v>0.66981130838394165</v>
      </c>
      <c r="K482">
        <v>0.96296298503875732</v>
      </c>
      <c r="L482">
        <v>0.62222224473953247</v>
      </c>
      <c r="M482">
        <v>0.9555555555555556</v>
      </c>
      <c r="N482">
        <v>0.96296296296296291</v>
      </c>
      <c r="O482">
        <v>1</v>
      </c>
      <c r="P482">
        <v>18574</v>
      </c>
      <c r="Q482">
        <v>207635697</v>
      </c>
      <c r="R482">
        <v>4144</v>
      </c>
      <c r="S482">
        <v>2</v>
      </c>
      <c r="T482">
        <v>41</v>
      </c>
      <c r="U482">
        <v>0.9555555555555556</v>
      </c>
      <c r="V482">
        <v>0.96296296296296291</v>
      </c>
      <c r="W482">
        <v>1</v>
      </c>
      <c r="X482">
        <v>22615</v>
      </c>
      <c r="Y482">
        <v>265527206</v>
      </c>
      <c r="Z482">
        <v>4329</v>
      </c>
      <c r="AA482">
        <v>2</v>
      </c>
      <c r="AB482">
        <v>42</v>
      </c>
    </row>
    <row r="483" spans="1:28" hidden="1" x14ac:dyDescent="0.25">
      <c r="A483" s="7" t="s">
        <v>57</v>
      </c>
      <c r="B483">
        <v>12</v>
      </c>
      <c r="C483">
        <v>3</v>
      </c>
      <c r="D483">
        <v>4</v>
      </c>
      <c r="E483">
        <v>0</v>
      </c>
      <c r="F483" s="7" t="s">
        <v>61</v>
      </c>
      <c r="G483">
        <v>4273</v>
      </c>
      <c r="H483">
        <v>26104561</v>
      </c>
      <c r="I483">
        <v>304</v>
      </c>
      <c r="J483">
        <v>0.88679248094558716</v>
      </c>
      <c r="K483">
        <v>1</v>
      </c>
      <c r="L483">
        <v>0.93333333730697632</v>
      </c>
      <c r="M483">
        <v>0.9555555555555556</v>
      </c>
      <c r="N483">
        <v>1</v>
      </c>
      <c r="O483">
        <v>0.92452830188679247</v>
      </c>
      <c r="P483">
        <v>822</v>
      </c>
      <c r="Q483">
        <v>8415608</v>
      </c>
      <c r="R483">
        <v>4144</v>
      </c>
      <c r="S483">
        <v>2</v>
      </c>
      <c r="T483">
        <v>41</v>
      </c>
      <c r="U483">
        <v>0.9555555555555556</v>
      </c>
      <c r="V483">
        <v>1</v>
      </c>
      <c r="W483">
        <v>0.92452830188679247</v>
      </c>
      <c r="X483">
        <v>836</v>
      </c>
      <c r="Y483">
        <v>9258117</v>
      </c>
      <c r="Z483">
        <v>4329</v>
      </c>
      <c r="AA483">
        <v>2</v>
      </c>
      <c r="AB483">
        <v>42</v>
      </c>
    </row>
    <row r="484" spans="1:28" hidden="1" x14ac:dyDescent="0.25">
      <c r="A484" s="7" t="s">
        <v>57</v>
      </c>
      <c r="B484">
        <v>12</v>
      </c>
      <c r="C484">
        <v>3</v>
      </c>
      <c r="D484">
        <v>4</v>
      </c>
      <c r="E484">
        <v>0</v>
      </c>
      <c r="F484" s="7" t="s">
        <v>61</v>
      </c>
      <c r="G484">
        <v>4273</v>
      </c>
      <c r="H484">
        <v>26462993</v>
      </c>
      <c r="I484">
        <v>310</v>
      </c>
      <c r="J484">
        <v>0.88679248094558716</v>
      </c>
      <c r="K484">
        <v>1</v>
      </c>
      <c r="L484">
        <v>0.91111111640930176</v>
      </c>
      <c r="M484">
        <v>0.9555555555555556</v>
      </c>
      <c r="N484">
        <v>0.96296296296296291</v>
      </c>
      <c r="O484">
        <v>1</v>
      </c>
      <c r="P484">
        <v>100000</v>
      </c>
      <c r="Q484">
        <v>1306723632</v>
      </c>
      <c r="R484">
        <v>4144</v>
      </c>
      <c r="S484">
        <v>2</v>
      </c>
      <c r="T484">
        <v>41</v>
      </c>
      <c r="U484">
        <v>0.9555555555555556</v>
      </c>
      <c r="V484">
        <v>1</v>
      </c>
      <c r="W484">
        <v>0.92452830188679247</v>
      </c>
      <c r="X484">
        <v>794</v>
      </c>
      <c r="Y484">
        <v>7762592</v>
      </c>
      <c r="Z484">
        <v>4329</v>
      </c>
      <c r="AA484">
        <v>2</v>
      </c>
      <c r="AB484">
        <v>42</v>
      </c>
    </row>
    <row r="485" spans="1:28" hidden="1" x14ac:dyDescent="0.25">
      <c r="A485" s="7" t="s">
        <v>57</v>
      </c>
      <c r="B485">
        <v>12</v>
      </c>
      <c r="C485">
        <v>3</v>
      </c>
      <c r="D485">
        <v>4</v>
      </c>
      <c r="E485">
        <v>0</v>
      </c>
      <c r="F485" s="7" t="s">
        <v>61</v>
      </c>
      <c r="G485">
        <v>4273</v>
      </c>
      <c r="H485">
        <v>23048119</v>
      </c>
      <c r="I485">
        <v>262</v>
      </c>
      <c r="J485">
        <v>0.93396228551864624</v>
      </c>
      <c r="K485">
        <v>1</v>
      </c>
      <c r="L485">
        <v>0.95555555820465088</v>
      </c>
      <c r="M485">
        <v>0.9555555555555556</v>
      </c>
      <c r="N485">
        <v>0.96296296296296291</v>
      </c>
      <c r="O485">
        <v>1</v>
      </c>
      <c r="P485">
        <v>100000</v>
      </c>
      <c r="Q485">
        <v>1290207712</v>
      </c>
      <c r="R485">
        <v>4144</v>
      </c>
      <c r="S485">
        <v>2</v>
      </c>
      <c r="T485">
        <v>41</v>
      </c>
      <c r="U485">
        <v>0.9555555555555556</v>
      </c>
      <c r="V485">
        <v>1</v>
      </c>
      <c r="W485">
        <v>0.91509433962264153</v>
      </c>
      <c r="X485">
        <v>745</v>
      </c>
      <c r="Y485">
        <v>7659995</v>
      </c>
      <c r="Z485">
        <v>4329</v>
      </c>
      <c r="AA485">
        <v>2</v>
      </c>
      <c r="AB485">
        <v>42</v>
      </c>
    </row>
    <row r="486" spans="1:28" hidden="1" x14ac:dyDescent="0.25">
      <c r="A486" s="7" t="s">
        <v>57</v>
      </c>
      <c r="B486">
        <v>12</v>
      </c>
      <c r="C486">
        <v>3</v>
      </c>
      <c r="D486">
        <v>4</v>
      </c>
      <c r="E486">
        <v>0</v>
      </c>
      <c r="F486" s="7" t="s">
        <v>71</v>
      </c>
      <c r="G486">
        <v>5798</v>
      </c>
      <c r="H486">
        <v>32053982</v>
      </c>
      <c r="I486">
        <v>350</v>
      </c>
      <c r="J486">
        <v>0.9716981053352356</v>
      </c>
      <c r="K486">
        <v>1</v>
      </c>
      <c r="L486">
        <v>0.97777777910232544</v>
      </c>
      <c r="M486">
        <v>0.9555555555555556</v>
      </c>
      <c r="N486">
        <v>1</v>
      </c>
      <c r="O486">
        <v>0.87735849056603776</v>
      </c>
      <c r="P486">
        <v>580</v>
      </c>
      <c r="Q486">
        <v>7155465</v>
      </c>
      <c r="R486">
        <v>5736</v>
      </c>
      <c r="S486">
        <v>2</v>
      </c>
      <c r="T486">
        <v>49</v>
      </c>
      <c r="U486">
        <v>0.9555555555555556</v>
      </c>
      <c r="V486">
        <v>0.96296296296296291</v>
      </c>
      <c r="W486">
        <v>1</v>
      </c>
      <c r="X486">
        <v>14014</v>
      </c>
      <c r="Y486">
        <v>149829107</v>
      </c>
      <c r="Z486">
        <v>5953</v>
      </c>
      <c r="AA486">
        <v>2</v>
      </c>
      <c r="AB486">
        <v>50</v>
      </c>
    </row>
    <row r="487" spans="1:28" hidden="1" x14ac:dyDescent="0.25">
      <c r="A487" s="7" t="s">
        <v>57</v>
      </c>
      <c r="B487">
        <v>12</v>
      </c>
      <c r="C487">
        <v>3</v>
      </c>
      <c r="D487">
        <v>4</v>
      </c>
      <c r="E487">
        <v>0</v>
      </c>
      <c r="F487" s="7" t="s">
        <v>71</v>
      </c>
      <c r="G487">
        <v>5798</v>
      </c>
      <c r="H487">
        <v>61878823</v>
      </c>
      <c r="I487">
        <v>682</v>
      </c>
      <c r="J487">
        <v>0.85849058628082275</v>
      </c>
      <c r="K487">
        <v>1</v>
      </c>
      <c r="L487">
        <v>0.93333333730697632</v>
      </c>
      <c r="M487">
        <v>0.93333333333333335</v>
      </c>
      <c r="N487">
        <v>0.96296296296296291</v>
      </c>
      <c r="O487">
        <v>1</v>
      </c>
      <c r="P487">
        <v>13491</v>
      </c>
      <c r="Q487">
        <v>146020539</v>
      </c>
      <c r="R487">
        <v>5736</v>
      </c>
      <c r="S487">
        <v>2</v>
      </c>
      <c r="T487">
        <v>49</v>
      </c>
      <c r="U487">
        <v>0.9555555555555556</v>
      </c>
      <c r="V487">
        <v>1</v>
      </c>
      <c r="W487">
        <v>0.92452830188679247</v>
      </c>
      <c r="X487">
        <v>750</v>
      </c>
      <c r="Y487">
        <v>7734271</v>
      </c>
      <c r="Z487">
        <v>5953</v>
      </c>
      <c r="AA487">
        <v>2</v>
      </c>
      <c r="AB487">
        <v>50</v>
      </c>
    </row>
    <row r="488" spans="1:28" hidden="1" x14ac:dyDescent="0.25">
      <c r="A488" s="7" t="s">
        <v>57</v>
      </c>
      <c r="B488">
        <v>12</v>
      </c>
      <c r="C488">
        <v>3</v>
      </c>
      <c r="D488">
        <v>4</v>
      </c>
      <c r="E488">
        <v>0</v>
      </c>
      <c r="F488" s="7" t="s">
        <v>71</v>
      </c>
      <c r="G488">
        <v>5798</v>
      </c>
      <c r="H488">
        <v>40460179</v>
      </c>
      <c r="I488">
        <v>436</v>
      </c>
      <c r="J488">
        <v>0.87735849618911743</v>
      </c>
      <c r="K488">
        <v>1</v>
      </c>
      <c r="L488">
        <v>0.93333333730697632</v>
      </c>
      <c r="M488">
        <v>0.9555555555555556</v>
      </c>
      <c r="N488">
        <v>0.96296296296296291</v>
      </c>
      <c r="O488">
        <v>1</v>
      </c>
      <c r="P488">
        <v>13671</v>
      </c>
      <c r="Q488">
        <v>145158772</v>
      </c>
      <c r="R488">
        <v>5736</v>
      </c>
      <c r="S488">
        <v>2</v>
      </c>
      <c r="T488">
        <v>49</v>
      </c>
      <c r="U488">
        <v>0.9555555555555556</v>
      </c>
      <c r="V488">
        <v>1</v>
      </c>
      <c r="W488">
        <v>0.91509433962264153</v>
      </c>
      <c r="X488">
        <v>715</v>
      </c>
      <c r="Y488">
        <v>8033535</v>
      </c>
      <c r="Z488">
        <v>5953</v>
      </c>
      <c r="AA488">
        <v>2</v>
      </c>
      <c r="AB488">
        <v>50</v>
      </c>
    </row>
    <row r="489" spans="1:28" hidden="1" x14ac:dyDescent="0.25">
      <c r="A489" s="7" t="s">
        <v>57</v>
      </c>
      <c r="B489">
        <v>12</v>
      </c>
      <c r="C489">
        <v>3</v>
      </c>
      <c r="D489">
        <v>4</v>
      </c>
      <c r="E489">
        <v>0</v>
      </c>
      <c r="F489" s="7" t="s">
        <v>71</v>
      </c>
      <c r="G489">
        <v>5798</v>
      </c>
      <c r="H489">
        <v>21647015</v>
      </c>
      <c r="I489">
        <v>232</v>
      </c>
      <c r="J489">
        <v>0.90566039085388184</v>
      </c>
      <c r="K489">
        <v>1</v>
      </c>
      <c r="L489">
        <v>0.86666667461395264</v>
      </c>
      <c r="M489">
        <v>0.93333333333333335</v>
      </c>
      <c r="N489">
        <v>0.96296296296296291</v>
      </c>
      <c r="O489">
        <v>1</v>
      </c>
      <c r="P489">
        <v>13459</v>
      </c>
      <c r="Q489">
        <v>143352995</v>
      </c>
      <c r="R489">
        <v>5736</v>
      </c>
      <c r="S489">
        <v>2</v>
      </c>
      <c r="T489">
        <v>49</v>
      </c>
      <c r="U489">
        <v>0.9555555555555556</v>
      </c>
      <c r="V489">
        <v>0.96296296296296291</v>
      </c>
      <c r="W489">
        <v>1</v>
      </c>
      <c r="X489">
        <v>11565</v>
      </c>
      <c r="Y489">
        <v>123600660</v>
      </c>
      <c r="Z489">
        <v>5953</v>
      </c>
      <c r="AA489">
        <v>2</v>
      </c>
      <c r="AB489">
        <v>50</v>
      </c>
    </row>
    <row r="490" spans="1:28" hidden="1" x14ac:dyDescent="0.25">
      <c r="A490" s="7" t="s">
        <v>57</v>
      </c>
      <c r="B490">
        <v>12</v>
      </c>
      <c r="C490">
        <v>3</v>
      </c>
      <c r="D490">
        <v>4</v>
      </c>
      <c r="E490">
        <v>0</v>
      </c>
      <c r="F490" s="7" t="s">
        <v>71</v>
      </c>
      <c r="G490">
        <v>5798</v>
      </c>
      <c r="H490">
        <v>17862550</v>
      </c>
      <c r="I490">
        <v>191</v>
      </c>
      <c r="J490">
        <v>0.86792451143264771</v>
      </c>
      <c r="K490">
        <v>1</v>
      </c>
      <c r="L490">
        <v>0.86666667461395264</v>
      </c>
      <c r="M490">
        <v>0.9555555555555556</v>
      </c>
      <c r="N490">
        <v>0.96296296296296291</v>
      </c>
      <c r="O490">
        <v>1</v>
      </c>
      <c r="P490">
        <v>13712</v>
      </c>
      <c r="Q490">
        <v>145518042</v>
      </c>
      <c r="R490">
        <v>5736</v>
      </c>
      <c r="S490">
        <v>2</v>
      </c>
      <c r="T490">
        <v>49</v>
      </c>
      <c r="U490">
        <v>0.93333333333333335</v>
      </c>
      <c r="V490">
        <v>0.96296296296296291</v>
      </c>
      <c r="W490">
        <v>1</v>
      </c>
      <c r="X490">
        <v>13188</v>
      </c>
      <c r="Y490">
        <v>140266675</v>
      </c>
      <c r="Z490">
        <v>5953</v>
      </c>
      <c r="AA490">
        <v>2</v>
      </c>
      <c r="AB490">
        <v>50</v>
      </c>
    </row>
    <row r="491" spans="1:28" hidden="1" x14ac:dyDescent="0.25">
      <c r="A491" s="7" t="s">
        <v>57</v>
      </c>
      <c r="B491">
        <v>12</v>
      </c>
      <c r="C491">
        <v>3</v>
      </c>
      <c r="D491">
        <v>4</v>
      </c>
      <c r="E491">
        <v>0</v>
      </c>
      <c r="F491" s="7" t="s">
        <v>75</v>
      </c>
      <c r="G491">
        <v>7323</v>
      </c>
      <c r="H491">
        <v>20984906</v>
      </c>
      <c r="I491">
        <v>211</v>
      </c>
      <c r="J491">
        <v>0.84905660152435303</v>
      </c>
      <c r="K491">
        <v>1</v>
      </c>
      <c r="L491">
        <v>0.93333333730697632</v>
      </c>
      <c r="M491">
        <v>0.9555555555555556</v>
      </c>
      <c r="N491">
        <v>1</v>
      </c>
      <c r="O491">
        <v>0.92452830188679247</v>
      </c>
      <c r="P491">
        <v>700</v>
      </c>
      <c r="Q491">
        <v>6940545</v>
      </c>
      <c r="R491">
        <v>7098</v>
      </c>
      <c r="S491">
        <v>2</v>
      </c>
      <c r="T491">
        <v>55</v>
      </c>
      <c r="U491">
        <v>0.9555555555555556</v>
      </c>
      <c r="V491">
        <v>1</v>
      </c>
      <c r="W491">
        <v>0.91509433962264153</v>
      </c>
      <c r="X491">
        <v>657</v>
      </c>
      <c r="Y491">
        <v>7753961</v>
      </c>
      <c r="Z491">
        <v>7339</v>
      </c>
      <c r="AA491">
        <v>2</v>
      </c>
      <c r="AB491">
        <v>56</v>
      </c>
    </row>
    <row r="492" spans="1:28" hidden="1" x14ac:dyDescent="0.25">
      <c r="A492" s="7" t="s">
        <v>57</v>
      </c>
      <c r="B492">
        <v>12</v>
      </c>
      <c r="C492">
        <v>3</v>
      </c>
      <c r="D492">
        <v>4</v>
      </c>
      <c r="E492">
        <v>0</v>
      </c>
      <c r="F492" s="7" t="s">
        <v>75</v>
      </c>
      <c r="G492">
        <v>7323</v>
      </c>
      <c r="H492">
        <v>20927465</v>
      </c>
      <c r="I492">
        <v>208</v>
      </c>
      <c r="J492">
        <v>0.90566039085388184</v>
      </c>
      <c r="K492">
        <v>1</v>
      </c>
      <c r="L492">
        <v>0.8888888955116272</v>
      </c>
      <c r="M492">
        <v>0.93333333333333335</v>
      </c>
      <c r="N492">
        <v>0.96296296296296291</v>
      </c>
      <c r="O492">
        <v>1</v>
      </c>
      <c r="P492">
        <v>13480</v>
      </c>
      <c r="Q492">
        <v>144823767</v>
      </c>
      <c r="R492">
        <v>7098</v>
      </c>
      <c r="S492">
        <v>2</v>
      </c>
      <c r="T492">
        <v>55</v>
      </c>
      <c r="U492">
        <v>0.93333333333333335</v>
      </c>
      <c r="V492">
        <v>0.96296296296296291</v>
      </c>
      <c r="W492">
        <v>1</v>
      </c>
      <c r="X492">
        <v>100000</v>
      </c>
      <c r="Y492">
        <v>1464296172</v>
      </c>
      <c r="Z492">
        <v>7339</v>
      </c>
      <c r="AA492">
        <v>2</v>
      </c>
      <c r="AB492">
        <v>56</v>
      </c>
    </row>
    <row r="493" spans="1:28" hidden="1" x14ac:dyDescent="0.25">
      <c r="A493" s="7" t="s">
        <v>57</v>
      </c>
      <c r="B493">
        <v>12</v>
      </c>
      <c r="C493">
        <v>3</v>
      </c>
      <c r="D493">
        <v>4</v>
      </c>
      <c r="E493">
        <v>0</v>
      </c>
      <c r="F493" s="7" t="s">
        <v>75</v>
      </c>
      <c r="G493">
        <v>7323</v>
      </c>
      <c r="H493">
        <v>54420932</v>
      </c>
      <c r="I493">
        <v>552</v>
      </c>
      <c r="J493">
        <v>0.94339621067047119</v>
      </c>
      <c r="K493">
        <v>1</v>
      </c>
      <c r="L493">
        <v>0.8888888955116272</v>
      </c>
      <c r="M493">
        <v>0.93333333333333335</v>
      </c>
      <c r="N493">
        <v>0.96296296296296291</v>
      </c>
      <c r="O493">
        <v>1</v>
      </c>
      <c r="P493">
        <v>13640</v>
      </c>
      <c r="Q493">
        <v>146607069</v>
      </c>
      <c r="R493">
        <v>7098</v>
      </c>
      <c r="S493">
        <v>2</v>
      </c>
      <c r="T493">
        <v>55</v>
      </c>
      <c r="U493">
        <v>0.9555555555555556</v>
      </c>
      <c r="V493">
        <v>1</v>
      </c>
      <c r="W493">
        <v>0.91509433962264153</v>
      </c>
      <c r="X493">
        <v>753</v>
      </c>
      <c r="Y493">
        <v>7481722</v>
      </c>
      <c r="Z493">
        <v>7339</v>
      </c>
      <c r="AA493">
        <v>2</v>
      </c>
      <c r="AB493">
        <v>56</v>
      </c>
    </row>
    <row r="494" spans="1:28" hidden="1" x14ac:dyDescent="0.25">
      <c r="A494" s="7" t="s">
        <v>57</v>
      </c>
      <c r="B494">
        <v>12</v>
      </c>
      <c r="C494">
        <v>3</v>
      </c>
      <c r="D494">
        <v>4</v>
      </c>
      <c r="E494">
        <v>0</v>
      </c>
      <c r="F494" s="7" t="s">
        <v>75</v>
      </c>
      <c r="G494">
        <v>7323</v>
      </c>
      <c r="H494">
        <v>64307442</v>
      </c>
      <c r="I494">
        <v>664</v>
      </c>
      <c r="J494">
        <v>0.92452830076217651</v>
      </c>
      <c r="K494">
        <v>1</v>
      </c>
      <c r="L494">
        <v>0.8888888955116272</v>
      </c>
      <c r="M494">
        <v>0.9555555555555556</v>
      </c>
      <c r="N494">
        <v>1</v>
      </c>
      <c r="O494">
        <v>0.92452830188679247</v>
      </c>
      <c r="P494">
        <v>571</v>
      </c>
      <c r="Q494">
        <v>5639920</v>
      </c>
      <c r="R494">
        <v>7098</v>
      </c>
      <c r="S494">
        <v>2</v>
      </c>
      <c r="T494">
        <v>55</v>
      </c>
      <c r="U494">
        <v>0.9555555555555556</v>
      </c>
      <c r="V494">
        <v>1</v>
      </c>
      <c r="W494">
        <v>0.91509433962264153</v>
      </c>
      <c r="X494">
        <v>677</v>
      </c>
      <c r="Y494">
        <v>8197320</v>
      </c>
      <c r="Z494">
        <v>7339</v>
      </c>
      <c r="AA494">
        <v>2</v>
      </c>
      <c r="AB494">
        <v>56</v>
      </c>
    </row>
    <row r="495" spans="1:28" hidden="1" x14ac:dyDescent="0.25">
      <c r="A495" s="7" t="s">
        <v>57</v>
      </c>
      <c r="B495">
        <v>12</v>
      </c>
      <c r="C495">
        <v>3</v>
      </c>
      <c r="D495">
        <v>4</v>
      </c>
      <c r="E495">
        <v>0</v>
      </c>
      <c r="F495" s="7" t="s">
        <v>75</v>
      </c>
      <c r="G495">
        <v>7323</v>
      </c>
      <c r="H495">
        <v>25103829</v>
      </c>
      <c r="I495">
        <v>260</v>
      </c>
      <c r="J495">
        <v>0.91509431600570679</v>
      </c>
      <c r="K495">
        <v>1</v>
      </c>
      <c r="L495">
        <v>0.97777777910232544</v>
      </c>
      <c r="M495">
        <v>0.9555555555555556</v>
      </c>
      <c r="N495">
        <v>1</v>
      </c>
      <c r="O495">
        <v>0.92452830188679247</v>
      </c>
      <c r="P495">
        <v>606</v>
      </c>
      <c r="Q495">
        <v>6854693</v>
      </c>
      <c r="R495">
        <v>7098</v>
      </c>
      <c r="S495">
        <v>2</v>
      </c>
      <c r="T495">
        <v>55</v>
      </c>
      <c r="U495">
        <v>0.93333333333333335</v>
      </c>
      <c r="V495">
        <v>0.96296296296296291</v>
      </c>
      <c r="W495">
        <v>1</v>
      </c>
      <c r="X495">
        <v>13720</v>
      </c>
      <c r="Y495">
        <v>146437365</v>
      </c>
      <c r="Z495">
        <v>7339</v>
      </c>
      <c r="AA495">
        <v>2</v>
      </c>
      <c r="AB495">
        <v>56</v>
      </c>
    </row>
    <row r="496" spans="1:28" hidden="1" x14ac:dyDescent="0.25">
      <c r="A496" s="7" t="s">
        <v>57</v>
      </c>
      <c r="B496">
        <v>12</v>
      </c>
      <c r="C496">
        <v>3</v>
      </c>
      <c r="D496">
        <v>4</v>
      </c>
      <c r="E496">
        <v>0</v>
      </c>
      <c r="F496" s="7" t="s">
        <v>58</v>
      </c>
      <c r="G496">
        <v>7192</v>
      </c>
      <c r="H496">
        <v>1466824305</v>
      </c>
      <c r="I496">
        <v>10701</v>
      </c>
      <c r="J496">
        <v>0.37735849618911743</v>
      </c>
      <c r="K496">
        <v>0.62962961196899414</v>
      </c>
      <c r="L496">
        <v>0.51111114025115967</v>
      </c>
      <c r="M496">
        <v>0.9555555555555556</v>
      </c>
      <c r="N496">
        <v>1</v>
      </c>
      <c r="O496">
        <v>0.92452830188679247</v>
      </c>
      <c r="P496">
        <v>659</v>
      </c>
      <c r="Q496">
        <v>8105559</v>
      </c>
      <c r="R496">
        <v>7098</v>
      </c>
      <c r="S496">
        <v>2</v>
      </c>
      <c r="T496">
        <v>55</v>
      </c>
      <c r="U496">
        <v>0.93333333333333335</v>
      </c>
      <c r="V496">
        <v>0.96296296296296291</v>
      </c>
      <c r="W496">
        <v>1</v>
      </c>
      <c r="X496">
        <v>31762</v>
      </c>
      <c r="Y496">
        <v>424997526</v>
      </c>
      <c r="Z496">
        <v>7339</v>
      </c>
      <c r="AA496">
        <v>2</v>
      </c>
      <c r="AB496">
        <v>56</v>
      </c>
    </row>
    <row r="497" spans="1:28" hidden="1" x14ac:dyDescent="0.25">
      <c r="A497" s="7" t="s">
        <v>57</v>
      </c>
      <c r="B497">
        <v>12</v>
      </c>
      <c r="C497">
        <v>3</v>
      </c>
      <c r="D497">
        <v>4</v>
      </c>
      <c r="E497">
        <v>0</v>
      </c>
      <c r="F497" s="7" t="s">
        <v>58</v>
      </c>
      <c r="G497">
        <v>7192</v>
      </c>
      <c r="H497">
        <v>1442123487</v>
      </c>
      <c r="I497">
        <v>10556</v>
      </c>
      <c r="J497">
        <v>0.29245284199714661</v>
      </c>
      <c r="K497">
        <v>0.77777779102325439</v>
      </c>
      <c r="L497">
        <v>0.28888890147209167</v>
      </c>
      <c r="M497">
        <v>0.9555555555555556</v>
      </c>
      <c r="N497">
        <v>0.96296296296296291</v>
      </c>
      <c r="O497">
        <v>1</v>
      </c>
      <c r="P497">
        <v>13582</v>
      </c>
      <c r="Q497">
        <v>146300739</v>
      </c>
      <c r="R497">
        <v>7098</v>
      </c>
      <c r="S497">
        <v>2</v>
      </c>
      <c r="T497">
        <v>55</v>
      </c>
      <c r="U497">
        <v>0.9555555555555556</v>
      </c>
      <c r="V497">
        <v>1</v>
      </c>
      <c r="W497">
        <v>0.91509433962264153</v>
      </c>
      <c r="X497">
        <v>645</v>
      </c>
      <c r="Y497">
        <v>6369356</v>
      </c>
      <c r="Z497">
        <v>7339</v>
      </c>
      <c r="AA497">
        <v>2</v>
      </c>
      <c r="AB497">
        <v>56</v>
      </c>
    </row>
    <row r="498" spans="1:28" hidden="1" x14ac:dyDescent="0.25">
      <c r="A498" s="7" t="s">
        <v>57</v>
      </c>
      <c r="B498">
        <v>12</v>
      </c>
      <c r="C498">
        <v>3</v>
      </c>
      <c r="D498">
        <v>4</v>
      </c>
      <c r="E498">
        <v>0</v>
      </c>
      <c r="F498" s="7" t="s">
        <v>58</v>
      </c>
      <c r="G498">
        <v>7192</v>
      </c>
      <c r="H498">
        <v>1375584454</v>
      </c>
      <c r="I498">
        <v>10097</v>
      </c>
      <c r="J498">
        <v>0.38679245114326477</v>
      </c>
      <c r="K498">
        <v>0.77777779102325439</v>
      </c>
      <c r="L498">
        <v>0.26666668057441711</v>
      </c>
      <c r="M498">
        <v>0.9555555555555556</v>
      </c>
      <c r="N498">
        <v>1</v>
      </c>
      <c r="O498">
        <v>0.92452830188679247</v>
      </c>
      <c r="P498">
        <v>743</v>
      </c>
      <c r="Q498">
        <v>8105277</v>
      </c>
      <c r="R498">
        <v>7098</v>
      </c>
      <c r="S498">
        <v>2</v>
      </c>
      <c r="T498">
        <v>55</v>
      </c>
      <c r="U498">
        <v>0.9555555555555556</v>
      </c>
      <c r="V498">
        <v>1</v>
      </c>
      <c r="W498">
        <v>0.91509433962264153</v>
      </c>
      <c r="X498">
        <v>629</v>
      </c>
      <c r="Y498">
        <v>6526455</v>
      </c>
      <c r="Z498">
        <v>7339</v>
      </c>
      <c r="AA498">
        <v>2</v>
      </c>
      <c r="AB498">
        <v>56</v>
      </c>
    </row>
    <row r="499" spans="1:28" hidden="1" x14ac:dyDescent="0.25">
      <c r="A499" s="7" t="s">
        <v>57</v>
      </c>
      <c r="B499">
        <v>12</v>
      </c>
      <c r="C499">
        <v>3</v>
      </c>
      <c r="D499">
        <v>4</v>
      </c>
      <c r="E499">
        <v>0</v>
      </c>
      <c r="F499" s="7" t="s">
        <v>58</v>
      </c>
      <c r="G499">
        <v>7192</v>
      </c>
      <c r="H499">
        <v>1393161398</v>
      </c>
      <c r="I499">
        <v>10237</v>
      </c>
      <c r="J499">
        <v>0.45283019542694092</v>
      </c>
      <c r="K499">
        <v>0.85185188055038452</v>
      </c>
      <c r="L499">
        <v>0.42222222685813904</v>
      </c>
      <c r="M499">
        <v>0.9555555555555556</v>
      </c>
      <c r="N499">
        <v>1</v>
      </c>
      <c r="O499">
        <v>0.92452830188679247</v>
      </c>
      <c r="P499">
        <v>677</v>
      </c>
      <c r="Q499">
        <v>6466164</v>
      </c>
      <c r="R499">
        <v>7098</v>
      </c>
      <c r="S499">
        <v>2</v>
      </c>
      <c r="T499">
        <v>55</v>
      </c>
      <c r="U499">
        <v>0.93333333333333335</v>
      </c>
      <c r="V499">
        <v>0.96296296296296291</v>
      </c>
      <c r="W499">
        <v>1</v>
      </c>
      <c r="X499">
        <v>13459</v>
      </c>
      <c r="Y499">
        <v>145495917</v>
      </c>
      <c r="Z499">
        <v>7339</v>
      </c>
      <c r="AA499">
        <v>2</v>
      </c>
      <c r="AB499">
        <v>56</v>
      </c>
    </row>
    <row r="500" spans="1:28" hidden="1" x14ac:dyDescent="0.25">
      <c r="A500" s="7" t="s">
        <v>57</v>
      </c>
      <c r="B500">
        <v>12</v>
      </c>
      <c r="C500">
        <v>3</v>
      </c>
      <c r="D500">
        <v>4</v>
      </c>
      <c r="E500">
        <v>0</v>
      </c>
      <c r="F500" s="7" t="s">
        <v>58</v>
      </c>
      <c r="G500">
        <v>7192</v>
      </c>
      <c r="H500">
        <v>1360579785</v>
      </c>
      <c r="I500">
        <v>10075</v>
      </c>
      <c r="J500">
        <v>0.21698112785816193</v>
      </c>
      <c r="K500">
        <v>0.74074071645736694</v>
      </c>
      <c r="L500">
        <v>0.28888890147209167</v>
      </c>
      <c r="M500">
        <v>0.9555555555555556</v>
      </c>
      <c r="N500">
        <v>1</v>
      </c>
      <c r="O500">
        <v>0.92452830188679247</v>
      </c>
      <c r="P500">
        <v>759</v>
      </c>
      <c r="Q500">
        <v>8207035</v>
      </c>
      <c r="R500">
        <v>7098</v>
      </c>
      <c r="S500">
        <v>2</v>
      </c>
      <c r="T500">
        <v>55</v>
      </c>
      <c r="U500">
        <v>0.9555555555555556</v>
      </c>
      <c r="V500">
        <v>1</v>
      </c>
      <c r="W500">
        <v>0.92452830188679247</v>
      </c>
      <c r="X500">
        <v>740</v>
      </c>
      <c r="Y500">
        <v>7756875</v>
      </c>
      <c r="Z500">
        <v>7339</v>
      </c>
      <c r="AA500">
        <v>2</v>
      </c>
      <c r="AB500">
        <v>56</v>
      </c>
    </row>
    <row r="501" spans="1:28" hidden="1" x14ac:dyDescent="0.25">
      <c r="A501" s="7" t="s">
        <v>57</v>
      </c>
      <c r="B501">
        <v>12</v>
      </c>
      <c r="C501">
        <v>3</v>
      </c>
      <c r="D501">
        <v>4</v>
      </c>
      <c r="E501">
        <v>0</v>
      </c>
      <c r="F501" s="7" t="s">
        <v>59</v>
      </c>
      <c r="G501">
        <v>8717</v>
      </c>
      <c r="H501">
        <v>2132403473</v>
      </c>
      <c r="I501">
        <v>14802</v>
      </c>
      <c r="J501">
        <v>0.49056604504585266</v>
      </c>
      <c r="K501">
        <v>0.66666668653488159</v>
      </c>
      <c r="L501">
        <v>0.42222222685813904</v>
      </c>
      <c r="M501">
        <v>0.93333333333333335</v>
      </c>
      <c r="N501">
        <v>0.96296296296296291</v>
      </c>
      <c r="O501">
        <v>1</v>
      </c>
      <c r="P501">
        <v>13146</v>
      </c>
      <c r="Q501">
        <v>144021876</v>
      </c>
      <c r="R501">
        <v>8604</v>
      </c>
      <c r="S501">
        <v>2</v>
      </c>
      <c r="T501">
        <v>61</v>
      </c>
      <c r="U501">
        <v>0.9555555555555556</v>
      </c>
      <c r="V501">
        <v>0.96296296296296291</v>
      </c>
      <c r="W501">
        <v>1</v>
      </c>
      <c r="X501">
        <v>19066</v>
      </c>
      <c r="Y501">
        <v>245245523</v>
      </c>
      <c r="Z501">
        <v>8869</v>
      </c>
      <c r="AA501">
        <v>2</v>
      </c>
      <c r="AB501">
        <v>62</v>
      </c>
    </row>
    <row r="502" spans="1:28" hidden="1" x14ac:dyDescent="0.25">
      <c r="A502" s="7" t="s">
        <v>57</v>
      </c>
      <c r="B502">
        <v>12</v>
      </c>
      <c r="C502">
        <v>3</v>
      </c>
      <c r="D502">
        <v>4</v>
      </c>
      <c r="E502">
        <v>0</v>
      </c>
      <c r="F502" s="7" t="s">
        <v>59</v>
      </c>
      <c r="G502">
        <v>8717</v>
      </c>
      <c r="H502">
        <v>1638436868</v>
      </c>
      <c r="I502">
        <v>11152</v>
      </c>
      <c r="J502">
        <v>0.36792454123497009</v>
      </c>
      <c r="K502">
        <v>0.70370370149612427</v>
      </c>
      <c r="L502">
        <v>0.48888888955116272</v>
      </c>
      <c r="M502">
        <v>0.93333333333333335</v>
      </c>
      <c r="N502">
        <v>0.96296296296296291</v>
      </c>
      <c r="O502">
        <v>1</v>
      </c>
      <c r="P502">
        <v>13382</v>
      </c>
      <c r="Q502">
        <v>150150910</v>
      </c>
      <c r="R502">
        <v>8604</v>
      </c>
      <c r="S502">
        <v>2</v>
      </c>
      <c r="T502">
        <v>61</v>
      </c>
      <c r="U502">
        <v>0.9555555555555556</v>
      </c>
      <c r="V502">
        <v>0.96296296296296291</v>
      </c>
      <c r="W502">
        <v>1</v>
      </c>
      <c r="X502">
        <v>12924</v>
      </c>
      <c r="Y502">
        <v>143600745</v>
      </c>
      <c r="Z502">
        <v>8869</v>
      </c>
      <c r="AA502">
        <v>2</v>
      </c>
      <c r="AB502">
        <v>62</v>
      </c>
    </row>
    <row r="503" spans="1:28" hidden="1" x14ac:dyDescent="0.25">
      <c r="A503" s="7" t="s">
        <v>57</v>
      </c>
      <c r="B503">
        <v>12</v>
      </c>
      <c r="C503">
        <v>3</v>
      </c>
      <c r="D503">
        <v>4</v>
      </c>
      <c r="E503">
        <v>0</v>
      </c>
      <c r="F503" s="7" t="s">
        <v>59</v>
      </c>
      <c r="G503">
        <v>8717</v>
      </c>
      <c r="H503">
        <v>1480313537</v>
      </c>
      <c r="I503">
        <v>10009</v>
      </c>
      <c r="J503">
        <v>0.51886790990829468</v>
      </c>
      <c r="K503">
        <v>0.70370370149612427</v>
      </c>
      <c r="L503">
        <v>0.4444444477558136</v>
      </c>
      <c r="M503">
        <v>0.93333333333333335</v>
      </c>
      <c r="N503">
        <v>0.96296296296296291</v>
      </c>
      <c r="O503">
        <v>1</v>
      </c>
      <c r="P503">
        <v>18060</v>
      </c>
      <c r="Q503">
        <v>227490350</v>
      </c>
      <c r="R503">
        <v>8604</v>
      </c>
      <c r="S503">
        <v>2</v>
      </c>
      <c r="T503">
        <v>61</v>
      </c>
      <c r="U503">
        <v>0.9555555555555556</v>
      </c>
      <c r="V503">
        <v>1</v>
      </c>
      <c r="W503">
        <v>0.92452830188679247</v>
      </c>
      <c r="X503">
        <v>673</v>
      </c>
      <c r="Y503">
        <v>6532098</v>
      </c>
      <c r="Z503">
        <v>8869</v>
      </c>
      <c r="AA503">
        <v>2</v>
      </c>
      <c r="AB503">
        <v>62</v>
      </c>
    </row>
    <row r="504" spans="1:28" hidden="1" x14ac:dyDescent="0.25">
      <c r="A504" s="7" t="s">
        <v>57</v>
      </c>
      <c r="B504">
        <v>12</v>
      </c>
      <c r="C504">
        <v>3</v>
      </c>
      <c r="D504">
        <v>4</v>
      </c>
      <c r="E504">
        <v>0</v>
      </c>
      <c r="F504" s="7" t="s">
        <v>59</v>
      </c>
      <c r="G504">
        <v>8717</v>
      </c>
      <c r="H504">
        <v>1486393736</v>
      </c>
      <c r="I504">
        <v>10013</v>
      </c>
      <c r="J504">
        <v>0.27358490228652954</v>
      </c>
      <c r="K504">
        <v>0.74074071645736694</v>
      </c>
      <c r="L504">
        <v>0.20000000298023224</v>
      </c>
      <c r="M504">
        <v>0.93333333333333335</v>
      </c>
      <c r="N504">
        <v>0.96296296296296291</v>
      </c>
      <c r="O504">
        <v>1</v>
      </c>
      <c r="P504">
        <v>12927</v>
      </c>
      <c r="Q504">
        <v>146834334</v>
      </c>
      <c r="R504">
        <v>8604</v>
      </c>
      <c r="S504">
        <v>2</v>
      </c>
      <c r="T504">
        <v>61</v>
      </c>
      <c r="U504">
        <v>0.93333333333333335</v>
      </c>
      <c r="V504">
        <v>0.96296296296296291</v>
      </c>
      <c r="W504">
        <v>1</v>
      </c>
      <c r="X504">
        <v>13227</v>
      </c>
      <c r="Y504">
        <v>148744976</v>
      </c>
      <c r="Z504">
        <v>8869</v>
      </c>
      <c r="AA504">
        <v>2</v>
      </c>
      <c r="AB504">
        <v>62</v>
      </c>
    </row>
    <row r="505" spans="1:28" x14ac:dyDescent="0.25">
      <c r="A505" s="7" t="s">
        <v>44</v>
      </c>
      <c r="B505">
        <v>12</v>
      </c>
      <c r="C505">
        <v>3</v>
      </c>
      <c r="D505">
        <v>4</v>
      </c>
      <c r="E505">
        <v>0</v>
      </c>
      <c r="F505" s="7" t="s">
        <v>47</v>
      </c>
      <c r="G505">
        <v>2071</v>
      </c>
      <c r="H505">
        <v>1099587330</v>
      </c>
      <c r="I505">
        <v>10403</v>
      </c>
      <c r="J505">
        <v>0.40449437499046326</v>
      </c>
      <c r="K505">
        <v>0.73913043737411499</v>
      </c>
      <c r="L505">
        <v>0.44736841320991516</v>
      </c>
      <c r="M505">
        <v>1</v>
      </c>
      <c r="N505">
        <v>1</v>
      </c>
      <c r="O505">
        <v>0.9662921348314607</v>
      </c>
      <c r="P505">
        <v>2</v>
      </c>
      <c r="Q505">
        <v>614543</v>
      </c>
      <c r="R505">
        <v>1975</v>
      </c>
      <c r="S505">
        <v>2</v>
      </c>
      <c r="T505">
        <v>29</v>
      </c>
      <c r="U505">
        <v>0.94736842105263153</v>
      </c>
      <c r="V505">
        <v>1</v>
      </c>
      <c r="W505">
        <v>0.97752808988764039</v>
      </c>
      <c r="X505">
        <v>49</v>
      </c>
      <c r="Y505">
        <v>14955746</v>
      </c>
      <c r="Z505">
        <v>2103</v>
      </c>
      <c r="AA505">
        <v>2</v>
      </c>
      <c r="AB505">
        <v>30</v>
      </c>
    </row>
    <row r="506" spans="1:28" x14ac:dyDescent="0.25">
      <c r="A506" s="7" t="s">
        <v>44</v>
      </c>
      <c r="B506">
        <v>12</v>
      </c>
      <c r="C506">
        <v>3</v>
      </c>
      <c r="D506">
        <v>4</v>
      </c>
      <c r="E506">
        <v>0</v>
      </c>
      <c r="F506" s="7" t="s">
        <v>47</v>
      </c>
      <c r="G506">
        <v>2071</v>
      </c>
      <c r="H506">
        <v>1154321546</v>
      </c>
      <c r="I506">
        <v>10795</v>
      </c>
      <c r="J506">
        <v>0.35955056548118591</v>
      </c>
      <c r="K506">
        <v>0.65217393636703491</v>
      </c>
      <c r="L506">
        <v>0.3684210479259491</v>
      </c>
      <c r="M506">
        <v>1</v>
      </c>
      <c r="N506">
        <v>1</v>
      </c>
      <c r="O506">
        <v>0.9662921348314607</v>
      </c>
      <c r="P506">
        <v>2</v>
      </c>
      <c r="Q506">
        <v>678220</v>
      </c>
      <c r="R506">
        <v>1975</v>
      </c>
      <c r="S506">
        <v>2</v>
      </c>
      <c r="T506">
        <v>29</v>
      </c>
      <c r="U506">
        <v>1</v>
      </c>
      <c r="V506">
        <v>1</v>
      </c>
      <c r="W506">
        <v>0.9662921348314607</v>
      </c>
      <c r="X506">
        <v>2</v>
      </c>
      <c r="Y506">
        <v>687807</v>
      </c>
      <c r="Z506">
        <v>2103</v>
      </c>
      <c r="AA506">
        <v>2</v>
      </c>
      <c r="AB506">
        <v>30</v>
      </c>
    </row>
    <row r="507" spans="1:28" x14ac:dyDescent="0.25">
      <c r="A507" s="7" t="s">
        <v>44</v>
      </c>
      <c r="B507">
        <v>12</v>
      </c>
      <c r="C507">
        <v>3</v>
      </c>
      <c r="D507">
        <v>4</v>
      </c>
      <c r="E507">
        <v>0</v>
      </c>
      <c r="F507" s="7" t="s">
        <v>47</v>
      </c>
      <c r="G507">
        <v>2071</v>
      </c>
      <c r="H507">
        <v>1106756503</v>
      </c>
      <c r="I507">
        <v>10149</v>
      </c>
      <c r="J507">
        <v>0.31460675597190857</v>
      </c>
      <c r="K507">
        <v>0.69565218687057495</v>
      </c>
      <c r="L507">
        <v>0.44736841320991516</v>
      </c>
      <c r="M507">
        <v>0.94736842105263153</v>
      </c>
      <c r="N507">
        <v>1</v>
      </c>
      <c r="O507">
        <v>0.9662921348314607</v>
      </c>
      <c r="P507">
        <v>576</v>
      </c>
      <c r="Q507">
        <v>215641978</v>
      </c>
      <c r="R507">
        <v>1975</v>
      </c>
      <c r="S507">
        <v>2</v>
      </c>
      <c r="T507">
        <v>29</v>
      </c>
      <c r="U507">
        <v>1</v>
      </c>
      <c r="V507">
        <v>1</v>
      </c>
      <c r="W507">
        <v>0.9662921348314607</v>
      </c>
      <c r="X507">
        <v>2</v>
      </c>
      <c r="Y507">
        <v>555115</v>
      </c>
      <c r="Z507">
        <v>2103</v>
      </c>
      <c r="AA507">
        <v>2</v>
      </c>
      <c r="AB507">
        <v>30</v>
      </c>
    </row>
    <row r="508" spans="1:28" x14ac:dyDescent="0.25">
      <c r="A508" s="7" t="s">
        <v>44</v>
      </c>
      <c r="B508">
        <v>12</v>
      </c>
      <c r="C508">
        <v>3</v>
      </c>
      <c r="D508">
        <v>4</v>
      </c>
      <c r="E508">
        <v>0</v>
      </c>
      <c r="F508" s="7" t="s">
        <v>47</v>
      </c>
      <c r="G508">
        <v>2071</v>
      </c>
      <c r="H508">
        <v>1079035274</v>
      </c>
      <c r="I508">
        <v>10074</v>
      </c>
      <c r="J508">
        <v>0.26966291666030884</v>
      </c>
      <c r="K508">
        <v>0.56521737575531006</v>
      </c>
      <c r="L508">
        <v>0.31578946113586426</v>
      </c>
      <c r="M508">
        <v>0.97368421052631582</v>
      </c>
      <c r="N508">
        <v>1</v>
      </c>
      <c r="O508">
        <v>0.97752808988764039</v>
      </c>
      <c r="P508">
        <v>11284</v>
      </c>
      <c r="Q508">
        <v>4792685984</v>
      </c>
      <c r="R508">
        <v>1975</v>
      </c>
      <c r="S508">
        <v>2</v>
      </c>
      <c r="T508">
        <v>29</v>
      </c>
      <c r="U508">
        <v>0.97368421052631582</v>
      </c>
      <c r="V508">
        <v>1</v>
      </c>
      <c r="W508">
        <v>0.9662921348314607</v>
      </c>
      <c r="X508">
        <v>166</v>
      </c>
      <c r="Y508">
        <v>49614373</v>
      </c>
      <c r="Z508">
        <v>2103</v>
      </c>
      <c r="AA508">
        <v>2</v>
      </c>
      <c r="AB508">
        <v>30</v>
      </c>
    </row>
    <row r="509" spans="1:28" x14ac:dyDescent="0.25">
      <c r="A509" s="7" t="s">
        <v>44</v>
      </c>
      <c r="B509">
        <v>12</v>
      </c>
      <c r="C509">
        <v>3</v>
      </c>
      <c r="D509">
        <v>4</v>
      </c>
      <c r="E509">
        <v>0</v>
      </c>
      <c r="F509" s="7" t="s">
        <v>47</v>
      </c>
      <c r="G509">
        <v>2071</v>
      </c>
      <c r="H509">
        <v>1076289605</v>
      </c>
      <c r="I509">
        <v>10066</v>
      </c>
      <c r="J509">
        <v>0.49438202381134033</v>
      </c>
      <c r="K509">
        <v>0.78260868787765503</v>
      </c>
      <c r="L509">
        <v>0.5</v>
      </c>
      <c r="M509">
        <v>1</v>
      </c>
      <c r="N509">
        <v>1</v>
      </c>
      <c r="O509">
        <v>0.9662921348314607</v>
      </c>
      <c r="P509">
        <v>2</v>
      </c>
      <c r="Q509">
        <v>756848</v>
      </c>
      <c r="R509">
        <v>1975</v>
      </c>
      <c r="S509">
        <v>2</v>
      </c>
      <c r="T509">
        <v>29</v>
      </c>
      <c r="U509">
        <v>0.94736842105263153</v>
      </c>
      <c r="V509">
        <v>1</v>
      </c>
      <c r="W509">
        <v>1</v>
      </c>
      <c r="X509">
        <v>356</v>
      </c>
      <c r="Y509">
        <v>130406829</v>
      </c>
      <c r="Z509">
        <v>2103</v>
      </c>
      <c r="AA509">
        <v>2</v>
      </c>
      <c r="AB509">
        <v>30</v>
      </c>
    </row>
    <row r="510" spans="1:28" x14ac:dyDescent="0.25">
      <c r="A510" s="7" t="s">
        <v>44</v>
      </c>
      <c r="B510">
        <v>12</v>
      </c>
      <c r="C510">
        <v>3</v>
      </c>
      <c r="D510">
        <v>4</v>
      </c>
      <c r="E510">
        <v>0</v>
      </c>
      <c r="F510" s="7" t="s">
        <v>48</v>
      </c>
      <c r="G510">
        <v>3501</v>
      </c>
      <c r="H510">
        <v>1354348957</v>
      </c>
      <c r="I510">
        <v>12129</v>
      </c>
      <c r="J510">
        <v>0.44943821430206299</v>
      </c>
      <c r="K510">
        <v>0.78260868787765503</v>
      </c>
      <c r="L510">
        <v>0.47368422150611877</v>
      </c>
      <c r="M510">
        <v>1</v>
      </c>
      <c r="N510">
        <v>1</v>
      </c>
      <c r="O510">
        <v>0.9662921348314607</v>
      </c>
      <c r="P510">
        <v>2</v>
      </c>
      <c r="Q510">
        <v>675863</v>
      </c>
      <c r="R510">
        <v>3435</v>
      </c>
      <c r="S510">
        <v>2</v>
      </c>
      <c r="T510">
        <v>39</v>
      </c>
      <c r="U510">
        <v>1</v>
      </c>
      <c r="V510">
        <v>1</v>
      </c>
      <c r="W510">
        <v>0.9662921348314607</v>
      </c>
      <c r="X510">
        <v>2</v>
      </c>
      <c r="Y510">
        <v>737454</v>
      </c>
      <c r="Z510">
        <v>3603</v>
      </c>
      <c r="AA510">
        <v>2</v>
      </c>
      <c r="AB510">
        <v>40</v>
      </c>
    </row>
    <row r="511" spans="1:28" x14ac:dyDescent="0.25">
      <c r="A511" s="7" t="s">
        <v>44</v>
      </c>
      <c r="B511">
        <v>12</v>
      </c>
      <c r="C511">
        <v>3</v>
      </c>
      <c r="D511">
        <v>4</v>
      </c>
      <c r="E511">
        <v>0</v>
      </c>
      <c r="F511" s="7" t="s">
        <v>48</v>
      </c>
      <c r="G511">
        <v>3501</v>
      </c>
      <c r="H511">
        <v>1128322593</v>
      </c>
      <c r="I511">
        <v>10030</v>
      </c>
      <c r="J511">
        <v>0.38202247023582458</v>
      </c>
      <c r="K511">
        <v>0.73913043737411499</v>
      </c>
      <c r="L511">
        <v>0.31578946113586426</v>
      </c>
      <c r="M511">
        <v>0.89473684210526316</v>
      </c>
      <c r="N511">
        <v>1</v>
      </c>
      <c r="O511">
        <v>1</v>
      </c>
      <c r="P511">
        <v>203</v>
      </c>
      <c r="Q511">
        <v>75495697</v>
      </c>
      <c r="R511">
        <v>3435</v>
      </c>
      <c r="S511">
        <v>2</v>
      </c>
      <c r="T511">
        <v>39</v>
      </c>
      <c r="U511">
        <v>1</v>
      </c>
      <c r="V511">
        <v>1</v>
      </c>
      <c r="W511">
        <v>0.9662921348314607</v>
      </c>
      <c r="X511">
        <v>1</v>
      </c>
      <c r="Y511">
        <v>298594</v>
      </c>
      <c r="Z511">
        <v>3603</v>
      </c>
      <c r="AA511">
        <v>2</v>
      </c>
      <c r="AB511">
        <v>40</v>
      </c>
    </row>
    <row r="512" spans="1:28" x14ac:dyDescent="0.25">
      <c r="A512" s="7" t="s">
        <v>44</v>
      </c>
      <c r="B512">
        <v>12</v>
      </c>
      <c r="C512">
        <v>3</v>
      </c>
      <c r="D512">
        <v>4</v>
      </c>
      <c r="E512">
        <v>0</v>
      </c>
      <c r="F512" s="7" t="s">
        <v>48</v>
      </c>
      <c r="G512">
        <v>3501</v>
      </c>
      <c r="H512">
        <v>1159808146</v>
      </c>
      <c r="I512">
        <v>10018</v>
      </c>
      <c r="J512">
        <v>0.22471910715103149</v>
      </c>
      <c r="K512">
        <v>0.65217393636703491</v>
      </c>
      <c r="L512">
        <v>0.15789473056793213</v>
      </c>
      <c r="M512">
        <v>1</v>
      </c>
      <c r="N512">
        <v>1</v>
      </c>
      <c r="O512">
        <v>0.9662921348314607</v>
      </c>
      <c r="P512">
        <v>2</v>
      </c>
      <c r="Q512">
        <v>612279</v>
      </c>
      <c r="R512">
        <v>3435</v>
      </c>
      <c r="S512">
        <v>2</v>
      </c>
      <c r="T512">
        <v>39</v>
      </c>
      <c r="U512">
        <v>0.89473684210526316</v>
      </c>
      <c r="V512">
        <v>1</v>
      </c>
      <c r="W512">
        <v>1</v>
      </c>
      <c r="X512">
        <v>6333</v>
      </c>
      <c r="Y512">
        <v>3258366268</v>
      </c>
      <c r="Z512">
        <v>3603</v>
      </c>
      <c r="AA512">
        <v>2</v>
      </c>
      <c r="AB512">
        <v>40</v>
      </c>
    </row>
    <row r="513" spans="1:28" x14ac:dyDescent="0.25">
      <c r="A513" s="7" t="s">
        <v>44</v>
      </c>
      <c r="B513">
        <v>12</v>
      </c>
      <c r="C513">
        <v>3</v>
      </c>
      <c r="D513">
        <v>4</v>
      </c>
      <c r="E513">
        <v>0</v>
      </c>
      <c r="F513" s="7" t="s">
        <v>48</v>
      </c>
      <c r="G513">
        <v>3501</v>
      </c>
      <c r="H513">
        <v>1159951278</v>
      </c>
      <c r="I513">
        <v>10058</v>
      </c>
      <c r="J513">
        <v>0.31460675597190857</v>
      </c>
      <c r="K513">
        <v>0.91304349899291992</v>
      </c>
      <c r="L513">
        <v>0.26315790414810181</v>
      </c>
      <c r="M513">
        <v>0.89473684210526316</v>
      </c>
      <c r="N513">
        <v>1</v>
      </c>
      <c r="O513">
        <v>1</v>
      </c>
      <c r="P513">
        <v>374</v>
      </c>
      <c r="Q513">
        <v>159226845</v>
      </c>
      <c r="R513">
        <v>3435</v>
      </c>
      <c r="S513">
        <v>2</v>
      </c>
      <c r="T513">
        <v>39</v>
      </c>
      <c r="U513">
        <v>0.94736842105263153</v>
      </c>
      <c r="V513">
        <v>1</v>
      </c>
      <c r="W513">
        <v>1</v>
      </c>
      <c r="X513">
        <v>238</v>
      </c>
      <c r="Y513">
        <v>92907705</v>
      </c>
      <c r="Z513">
        <v>3603</v>
      </c>
      <c r="AA513">
        <v>2</v>
      </c>
      <c r="AB513">
        <v>40</v>
      </c>
    </row>
    <row r="514" spans="1:28" x14ac:dyDescent="0.25">
      <c r="A514" s="7" t="s">
        <v>44</v>
      </c>
      <c r="B514">
        <v>12</v>
      </c>
      <c r="C514">
        <v>3</v>
      </c>
      <c r="D514">
        <v>4</v>
      </c>
      <c r="E514">
        <v>0</v>
      </c>
      <c r="F514" s="7" t="s">
        <v>48</v>
      </c>
      <c r="G514">
        <v>3501</v>
      </c>
      <c r="H514">
        <v>1286716060</v>
      </c>
      <c r="I514">
        <v>10927</v>
      </c>
      <c r="J514">
        <v>0.24719101190567017</v>
      </c>
      <c r="K514">
        <v>0.86956518888473511</v>
      </c>
      <c r="L514">
        <v>0.3684210479259491</v>
      </c>
      <c r="M514">
        <v>0.89473684210526316</v>
      </c>
      <c r="N514">
        <v>1</v>
      </c>
      <c r="O514">
        <v>1</v>
      </c>
      <c r="P514">
        <v>396</v>
      </c>
      <c r="Q514">
        <v>187616146</v>
      </c>
      <c r="R514">
        <v>3435</v>
      </c>
      <c r="S514">
        <v>2</v>
      </c>
      <c r="T514">
        <v>39</v>
      </c>
      <c r="U514">
        <v>1</v>
      </c>
      <c r="V514">
        <v>1</v>
      </c>
      <c r="W514">
        <v>0.9550561797752809</v>
      </c>
      <c r="X514">
        <v>2</v>
      </c>
      <c r="Y514">
        <v>545014</v>
      </c>
      <c r="Z514">
        <v>3603</v>
      </c>
      <c r="AA514">
        <v>2</v>
      </c>
      <c r="AB514">
        <v>40</v>
      </c>
    </row>
    <row r="515" spans="1:28" hidden="1" x14ac:dyDescent="0.25">
      <c r="A515" s="7" t="s">
        <v>57</v>
      </c>
      <c r="B515">
        <v>20</v>
      </c>
      <c r="C515">
        <v>9</v>
      </c>
      <c r="D515">
        <v>5</v>
      </c>
      <c r="E515">
        <v>0</v>
      </c>
      <c r="F515" s="7" t="s">
        <v>76</v>
      </c>
      <c r="G515">
        <v>4044</v>
      </c>
      <c r="H515">
        <v>825297629</v>
      </c>
      <c r="I515">
        <v>10207</v>
      </c>
      <c r="J515">
        <v>0.40566039085388184</v>
      </c>
      <c r="K515">
        <v>0.96296298503875732</v>
      </c>
      <c r="L515">
        <v>0.53333336114883423</v>
      </c>
      <c r="M515">
        <v>0.88888888888888884</v>
      </c>
      <c r="N515">
        <v>0.92592592592592593</v>
      </c>
      <c r="O515">
        <v>1</v>
      </c>
      <c r="P515">
        <v>22538</v>
      </c>
      <c r="Q515">
        <v>1325704613</v>
      </c>
      <c r="R515">
        <v>3963</v>
      </c>
      <c r="S515">
        <v>2</v>
      </c>
      <c r="T515">
        <v>40</v>
      </c>
      <c r="U515">
        <v>0.88888888888888884</v>
      </c>
      <c r="V515">
        <v>0.92592592592592593</v>
      </c>
      <c r="W515">
        <v>1</v>
      </c>
      <c r="X515">
        <v>62562</v>
      </c>
      <c r="Y515">
        <v>3032001040</v>
      </c>
      <c r="Z515">
        <v>4144</v>
      </c>
      <c r="AA515">
        <v>2</v>
      </c>
      <c r="AB515">
        <v>41</v>
      </c>
    </row>
    <row r="516" spans="1:28" hidden="1" x14ac:dyDescent="0.25">
      <c r="A516" s="7" t="s">
        <v>57</v>
      </c>
      <c r="B516">
        <v>20</v>
      </c>
      <c r="C516">
        <v>9</v>
      </c>
      <c r="D516">
        <v>5</v>
      </c>
      <c r="E516">
        <v>0</v>
      </c>
      <c r="F516" s="7" t="s">
        <v>76</v>
      </c>
      <c r="G516">
        <v>4044</v>
      </c>
      <c r="H516">
        <v>1047441021</v>
      </c>
      <c r="I516">
        <v>12838</v>
      </c>
      <c r="J516">
        <v>0.33018869161605835</v>
      </c>
      <c r="K516">
        <v>0.66666668653488159</v>
      </c>
      <c r="L516">
        <v>0.46666666865348816</v>
      </c>
      <c r="M516">
        <v>0.88888888888888884</v>
      </c>
      <c r="N516">
        <v>0.92592592592592593</v>
      </c>
      <c r="O516">
        <v>1</v>
      </c>
      <c r="P516">
        <v>14494</v>
      </c>
      <c r="Q516">
        <v>803321023</v>
      </c>
      <c r="R516">
        <v>3963</v>
      </c>
      <c r="S516">
        <v>2</v>
      </c>
      <c r="T516">
        <v>40</v>
      </c>
      <c r="U516">
        <v>0.88888888888888884</v>
      </c>
      <c r="V516">
        <v>0.88888888888888884</v>
      </c>
      <c r="W516">
        <v>1</v>
      </c>
      <c r="X516">
        <v>13594</v>
      </c>
      <c r="Y516">
        <v>790896640</v>
      </c>
      <c r="Z516">
        <v>4144</v>
      </c>
      <c r="AA516">
        <v>2</v>
      </c>
      <c r="AB516">
        <v>41</v>
      </c>
    </row>
    <row r="517" spans="1:28" hidden="1" x14ac:dyDescent="0.25">
      <c r="A517" s="7" t="s">
        <v>57</v>
      </c>
      <c r="B517">
        <v>20</v>
      </c>
      <c r="C517">
        <v>9</v>
      </c>
      <c r="D517">
        <v>5</v>
      </c>
      <c r="E517">
        <v>0</v>
      </c>
      <c r="F517" s="7" t="s">
        <v>76</v>
      </c>
      <c r="G517">
        <v>4044</v>
      </c>
      <c r="H517">
        <v>812414190</v>
      </c>
      <c r="I517">
        <v>10033</v>
      </c>
      <c r="J517">
        <v>0.50943398475646973</v>
      </c>
      <c r="K517">
        <v>0.8888888955116272</v>
      </c>
      <c r="L517">
        <v>0.40000000596046448</v>
      </c>
      <c r="M517">
        <v>0.88888888888888884</v>
      </c>
      <c r="N517">
        <v>0.92592592592592593</v>
      </c>
      <c r="O517">
        <v>1</v>
      </c>
      <c r="P517">
        <v>20445</v>
      </c>
      <c r="Q517">
        <v>1176433197</v>
      </c>
      <c r="R517">
        <v>3963</v>
      </c>
      <c r="S517">
        <v>2</v>
      </c>
      <c r="T517">
        <v>40</v>
      </c>
      <c r="U517">
        <v>0.91111111111111109</v>
      </c>
      <c r="V517">
        <v>0.88888888888888884</v>
      </c>
      <c r="W517">
        <v>1</v>
      </c>
      <c r="X517">
        <v>11607</v>
      </c>
      <c r="Y517">
        <v>682947389</v>
      </c>
      <c r="Z517">
        <v>4144</v>
      </c>
      <c r="AA517">
        <v>2</v>
      </c>
      <c r="AB517">
        <v>41</v>
      </c>
    </row>
    <row r="518" spans="1:28" hidden="1" x14ac:dyDescent="0.25">
      <c r="A518" s="7" t="s">
        <v>57</v>
      </c>
      <c r="B518">
        <v>20</v>
      </c>
      <c r="C518">
        <v>9</v>
      </c>
      <c r="D518">
        <v>5</v>
      </c>
      <c r="E518">
        <v>0</v>
      </c>
      <c r="F518" s="7" t="s">
        <v>76</v>
      </c>
      <c r="G518">
        <v>4044</v>
      </c>
      <c r="H518">
        <v>820282201</v>
      </c>
      <c r="I518">
        <v>10117</v>
      </c>
      <c r="J518">
        <v>0.31132075190544128</v>
      </c>
      <c r="K518">
        <v>0.85185188055038452</v>
      </c>
      <c r="L518">
        <v>0.42222222685813904</v>
      </c>
      <c r="M518">
        <v>0.88888888888888884</v>
      </c>
      <c r="N518">
        <v>0.88888888888888884</v>
      </c>
      <c r="O518">
        <v>1</v>
      </c>
      <c r="P518">
        <v>10704</v>
      </c>
      <c r="Q518">
        <v>615178483</v>
      </c>
      <c r="R518">
        <v>3963</v>
      </c>
      <c r="S518">
        <v>2</v>
      </c>
      <c r="T518">
        <v>40</v>
      </c>
      <c r="U518">
        <v>0.88888888888888884</v>
      </c>
      <c r="V518">
        <v>0.92592592592592593</v>
      </c>
      <c r="W518">
        <v>1</v>
      </c>
      <c r="X518">
        <v>10087</v>
      </c>
      <c r="Y518">
        <v>590098518</v>
      </c>
      <c r="Z518">
        <v>4144</v>
      </c>
      <c r="AA518">
        <v>2</v>
      </c>
      <c r="AB518">
        <v>41</v>
      </c>
    </row>
    <row r="519" spans="1:28" hidden="1" x14ac:dyDescent="0.25">
      <c r="A519" s="7" t="s">
        <v>57</v>
      </c>
      <c r="B519">
        <v>20</v>
      </c>
      <c r="C519">
        <v>9</v>
      </c>
      <c r="D519">
        <v>5</v>
      </c>
      <c r="E519">
        <v>0</v>
      </c>
      <c r="F519" s="7" t="s">
        <v>76</v>
      </c>
      <c r="G519">
        <v>4044</v>
      </c>
      <c r="H519">
        <v>823060246</v>
      </c>
      <c r="I519">
        <v>10091</v>
      </c>
      <c r="J519">
        <v>0.57547169923782349</v>
      </c>
      <c r="K519">
        <v>0.74074071645736694</v>
      </c>
      <c r="L519">
        <v>0.51111114025115967</v>
      </c>
      <c r="M519">
        <v>0.91111111111111109</v>
      </c>
      <c r="N519">
        <v>0.92592592592592593</v>
      </c>
      <c r="O519">
        <v>1</v>
      </c>
      <c r="P519">
        <v>25584</v>
      </c>
      <c r="Q519">
        <v>1493366353</v>
      </c>
      <c r="R519">
        <v>3963</v>
      </c>
      <c r="S519">
        <v>2</v>
      </c>
      <c r="T519">
        <v>40</v>
      </c>
      <c r="U519">
        <v>0.91111111111111109</v>
      </c>
      <c r="V519">
        <v>0.92592592592592593</v>
      </c>
      <c r="W519">
        <v>1</v>
      </c>
      <c r="X519">
        <v>34304</v>
      </c>
      <c r="Y519">
        <v>1954810720</v>
      </c>
      <c r="Z519">
        <v>4144</v>
      </c>
      <c r="AA519">
        <v>2</v>
      </c>
      <c r="AB519">
        <v>41</v>
      </c>
    </row>
    <row r="520" spans="1:28" hidden="1" x14ac:dyDescent="0.25">
      <c r="A520" s="7" t="s">
        <v>57</v>
      </c>
      <c r="B520">
        <v>20</v>
      </c>
      <c r="C520">
        <v>9</v>
      </c>
      <c r="D520">
        <v>5</v>
      </c>
      <c r="E520">
        <v>0</v>
      </c>
      <c r="F520" s="7" t="s">
        <v>61</v>
      </c>
      <c r="G520">
        <v>6289</v>
      </c>
      <c r="H520">
        <v>918619453</v>
      </c>
      <c r="I520">
        <v>10079</v>
      </c>
      <c r="J520">
        <v>0.49056604504585266</v>
      </c>
      <c r="K520">
        <v>0.77777779102325439</v>
      </c>
      <c r="L520">
        <v>0.55555558204650879</v>
      </c>
      <c r="M520">
        <v>0.91111111111111109</v>
      </c>
      <c r="N520">
        <v>0.92592592592592593</v>
      </c>
      <c r="O520">
        <v>1</v>
      </c>
      <c r="P520">
        <v>11200</v>
      </c>
      <c r="Q520">
        <v>781765594</v>
      </c>
      <c r="R520">
        <v>6174</v>
      </c>
      <c r="S520">
        <v>2</v>
      </c>
      <c r="T520">
        <v>51</v>
      </c>
      <c r="U520">
        <v>0.88888888888888884</v>
      </c>
      <c r="V520">
        <v>0.92592592592592593</v>
      </c>
      <c r="W520">
        <v>1</v>
      </c>
      <c r="X520">
        <v>11970</v>
      </c>
      <c r="Y520">
        <v>804045180</v>
      </c>
      <c r="Z520">
        <v>6399</v>
      </c>
      <c r="AA520">
        <v>2</v>
      </c>
      <c r="AB520">
        <v>52</v>
      </c>
    </row>
    <row r="521" spans="1:28" hidden="1" x14ac:dyDescent="0.25">
      <c r="A521" s="7" t="s">
        <v>57</v>
      </c>
      <c r="B521">
        <v>20</v>
      </c>
      <c r="C521">
        <v>9</v>
      </c>
      <c r="D521">
        <v>5</v>
      </c>
      <c r="E521">
        <v>0</v>
      </c>
      <c r="F521" s="7" t="s">
        <v>61</v>
      </c>
      <c r="G521">
        <v>6289</v>
      </c>
      <c r="H521">
        <v>929965077</v>
      </c>
      <c r="I521">
        <v>10086</v>
      </c>
      <c r="J521">
        <v>0.35849055647850037</v>
      </c>
      <c r="K521">
        <v>0.77777779102325439</v>
      </c>
      <c r="L521">
        <v>0.31111112236976624</v>
      </c>
      <c r="M521">
        <v>0.91111111111111109</v>
      </c>
      <c r="N521">
        <v>0.92592592592592593</v>
      </c>
      <c r="O521">
        <v>1</v>
      </c>
      <c r="P521">
        <v>17167</v>
      </c>
      <c r="Q521">
        <v>1226324492</v>
      </c>
      <c r="R521">
        <v>6174</v>
      </c>
      <c r="S521">
        <v>2</v>
      </c>
      <c r="T521">
        <v>51</v>
      </c>
      <c r="U521">
        <v>0.88888888888888884</v>
      </c>
      <c r="V521">
        <v>0.92592592592592593</v>
      </c>
      <c r="W521">
        <v>1</v>
      </c>
      <c r="X521">
        <v>54747</v>
      </c>
      <c r="Y521">
        <v>3832394268</v>
      </c>
      <c r="Z521">
        <v>6399</v>
      </c>
      <c r="AA521">
        <v>2</v>
      </c>
      <c r="AB521">
        <v>52</v>
      </c>
    </row>
    <row r="522" spans="1:28" hidden="1" x14ac:dyDescent="0.25">
      <c r="A522" s="7" t="s">
        <v>57</v>
      </c>
      <c r="B522">
        <v>20</v>
      </c>
      <c r="C522">
        <v>9</v>
      </c>
      <c r="D522">
        <v>5</v>
      </c>
      <c r="E522">
        <v>0</v>
      </c>
      <c r="F522" s="7" t="s">
        <v>61</v>
      </c>
      <c r="G522">
        <v>6289</v>
      </c>
      <c r="H522">
        <v>933194275</v>
      </c>
      <c r="I522">
        <v>10157</v>
      </c>
      <c r="J522">
        <v>0.33962264657020569</v>
      </c>
      <c r="K522">
        <v>0.8888888955116272</v>
      </c>
      <c r="L522">
        <v>0.3333333432674408</v>
      </c>
      <c r="M522">
        <v>0.88888888888888884</v>
      </c>
      <c r="N522">
        <v>0.92592592592592593</v>
      </c>
      <c r="O522">
        <v>1</v>
      </c>
      <c r="P522">
        <v>10056</v>
      </c>
      <c r="Q522">
        <v>640999769</v>
      </c>
      <c r="R522">
        <v>6174</v>
      </c>
      <c r="S522">
        <v>2</v>
      </c>
      <c r="T522">
        <v>51</v>
      </c>
      <c r="U522">
        <v>0.88888888888888884</v>
      </c>
      <c r="V522">
        <v>0.88888888888888884</v>
      </c>
      <c r="W522">
        <v>1</v>
      </c>
      <c r="X522">
        <v>20077</v>
      </c>
      <c r="Y522">
        <v>1484333415</v>
      </c>
      <c r="Z522">
        <v>6399</v>
      </c>
      <c r="AA522">
        <v>2</v>
      </c>
      <c r="AB522">
        <v>52</v>
      </c>
    </row>
    <row r="523" spans="1:28" hidden="1" x14ac:dyDescent="0.25">
      <c r="A523" s="7" t="s">
        <v>57</v>
      </c>
      <c r="B523">
        <v>20</v>
      </c>
      <c r="C523">
        <v>9</v>
      </c>
      <c r="D523">
        <v>5</v>
      </c>
      <c r="E523">
        <v>0</v>
      </c>
      <c r="F523" s="7" t="s">
        <v>61</v>
      </c>
      <c r="G523">
        <v>6289</v>
      </c>
      <c r="H523">
        <v>961180928</v>
      </c>
      <c r="I523">
        <v>10044</v>
      </c>
      <c r="J523">
        <v>0.43396225571632385</v>
      </c>
      <c r="K523">
        <v>0.96296298503875732</v>
      </c>
      <c r="L523">
        <v>0.51111114025115967</v>
      </c>
      <c r="M523">
        <v>0.91111111111111109</v>
      </c>
      <c r="N523">
        <v>0.92592592592592593</v>
      </c>
      <c r="O523">
        <v>1</v>
      </c>
      <c r="P523">
        <v>22926</v>
      </c>
      <c r="Q523">
        <v>1722249682</v>
      </c>
      <c r="R523">
        <v>6174</v>
      </c>
      <c r="S523">
        <v>2</v>
      </c>
      <c r="T523">
        <v>51</v>
      </c>
      <c r="U523">
        <v>0.91111111111111109</v>
      </c>
      <c r="V523">
        <v>0.92592592592592593</v>
      </c>
      <c r="W523">
        <v>1</v>
      </c>
      <c r="X523">
        <v>13045</v>
      </c>
      <c r="Y523">
        <v>902059946</v>
      </c>
      <c r="Z523">
        <v>6399</v>
      </c>
      <c r="AA523">
        <v>2</v>
      </c>
      <c r="AB523">
        <v>52</v>
      </c>
    </row>
    <row r="524" spans="1:28" hidden="1" x14ac:dyDescent="0.25">
      <c r="A524" s="7" t="s">
        <v>57</v>
      </c>
      <c r="B524">
        <v>20</v>
      </c>
      <c r="C524">
        <v>9</v>
      </c>
      <c r="D524">
        <v>5</v>
      </c>
      <c r="E524">
        <v>0</v>
      </c>
      <c r="F524" s="7" t="s">
        <v>61</v>
      </c>
      <c r="G524">
        <v>6289</v>
      </c>
      <c r="H524">
        <v>1700436464</v>
      </c>
      <c r="I524">
        <v>18129</v>
      </c>
      <c r="J524">
        <v>0.41509434580802917</v>
      </c>
      <c r="K524">
        <v>0.74074071645736694</v>
      </c>
      <c r="L524">
        <v>0.53333336114883423</v>
      </c>
      <c r="M524">
        <v>0.88888888888888884</v>
      </c>
      <c r="N524">
        <v>0.92592592592592593</v>
      </c>
      <c r="O524">
        <v>1</v>
      </c>
      <c r="P524">
        <v>47051</v>
      </c>
      <c r="Q524">
        <v>3816631659</v>
      </c>
      <c r="R524">
        <v>6174</v>
      </c>
      <c r="S524">
        <v>2</v>
      </c>
      <c r="T524">
        <v>51</v>
      </c>
      <c r="U524">
        <v>0.91111111111111109</v>
      </c>
      <c r="V524">
        <v>0.92592592592592593</v>
      </c>
      <c r="W524">
        <v>1</v>
      </c>
      <c r="X524">
        <v>10051</v>
      </c>
      <c r="Y524">
        <v>695336819</v>
      </c>
      <c r="Z524">
        <v>6399</v>
      </c>
      <c r="AA524">
        <v>2</v>
      </c>
      <c r="AB524">
        <v>52</v>
      </c>
    </row>
    <row r="525" spans="1:28" hidden="1" x14ac:dyDescent="0.25">
      <c r="A525" s="7" t="s">
        <v>57</v>
      </c>
      <c r="B525">
        <v>20</v>
      </c>
      <c r="C525">
        <v>9</v>
      </c>
      <c r="D525">
        <v>5</v>
      </c>
      <c r="E525">
        <v>0</v>
      </c>
      <c r="F525" s="7" t="s">
        <v>71</v>
      </c>
      <c r="G525">
        <v>8534</v>
      </c>
      <c r="H525">
        <v>1382018983</v>
      </c>
      <c r="I525">
        <v>13017</v>
      </c>
      <c r="J525">
        <v>0.40566039085388184</v>
      </c>
      <c r="K525">
        <v>0.81481480598449707</v>
      </c>
      <c r="L525">
        <v>0.4444444477558136</v>
      </c>
      <c r="M525">
        <v>0.91111111111111109</v>
      </c>
      <c r="N525">
        <v>0.92592592592592593</v>
      </c>
      <c r="O525">
        <v>1</v>
      </c>
      <c r="P525">
        <v>10065</v>
      </c>
      <c r="Q525">
        <v>823114482</v>
      </c>
      <c r="R525">
        <v>8343</v>
      </c>
      <c r="S525">
        <v>2</v>
      </c>
      <c r="T525">
        <v>60</v>
      </c>
      <c r="U525">
        <v>0.88888888888888884</v>
      </c>
      <c r="V525">
        <v>0.92592592592592593</v>
      </c>
      <c r="W525">
        <v>1</v>
      </c>
      <c r="X525">
        <v>19596</v>
      </c>
      <c r="Y525">
        <v>1771658609</v>
      </c>
      <c r="Z525">
        <v>8604</v>
      </c>
      <c r="AA525">
        <v>2</v>
      </c>
      <c r="AB525">
        <v>61</v>
      </c>
    </row>
    <row r="526" spans="1:28" x14ac:dyDescent="0.25">
      <c r="A526" s="7" t="s">
        <v>44</v>
      </c>
      <c r="B526">
        <v>14</v>
      </c>
      <c r="C526">
        <v>3</v>
      </c>
      <c r="D526">
        <v>5</v>
      </c>
      <c r="E526">
        <v>0</v>
      </c>
      <c r="F526" s="7" t="s">
        <v>49</v>
      </c>
      <c r="G526">
        <v>468</v>
      </c>
      <c r="H526">
        <v>316300149</v>
      </c>
      <c r="I526">
        <v>5014</v>
      </c>
      <c r="J526">
        <v>0.52808988094329834</v>
      </c>
      <c r="K526">
        <v>0.82608693838119507</v>
      </c>
      <c r="L526">
        <v>0.3684210479259491</v>
      </c>
      <c r="M526">
        <v>0.97368421052631582</v>
      </c>
      <c r="N526">
        <v>0.86956521739130432</v>
      </c>
      <c r="O526">
        <v>1</v>
      </c>
      <c r="P526">
        <v>5013</v>
      </c>
      <c r="Q526">
        <v>1229835235</v>
      </c>
      <c r="R526">
        <v>411</v>
      </c>
      <c r="S526">
        <v>2</v>
      </c>
      <c r="T526">
        <v>12</v>
      </c>
      <c r="U526">
        <v>0.97368421052631582</v>
      </c>
      <c r="V526">
        <v>0.91304347826086951</v>
      </c>
      <c r="W526">
        <v>1</v>
      </c>
      <c r="X526">
        <v>5010</v>
      </c>
      <c r="Y526">
        <v>1060949878</v>
      </c>
      <c r="Z526">
        <v>471</v>
      </c>
      <c r="AA526">
        <v>2</v>
      </c>
      <c r="AB526">
        <v>13</v>
      </c>
    </row>
    <row r="527" spans="1:28" x14ac:dyDescent="0.25">
      <c r="A527" s="7" t="s">
        <v>44</v>
      </c>
      <c r="B527">
        <v>14</v>
      </c>
      <c r="C527">
        <v>3</v>
      </c>
      <c r="D527">
        <v>5</v>
      </c>
      <c r="E527">
        <v>0</v>
      </c>
      <c r="F527" s="7" t="s">
        <v>49</v>
      </c>
      <c r="G527">
        <v>468</v>
      </c>
      <c r="H527">
        <v>307064752</v>
      </c>
      <c r="I527">
        <v>5014</v>
      </c>
      <c r="J527">
        <v>0.44943821430206299</v>
      </c>
      <c r="K527">
        <v>0.82608693838119507</v>
      </c>
      <c r="L527">
        <v>0.52631580829620361</v>
      </c>
      <c r="M527">
        <v>0.97368421052631582</v>
      </c>
      <c r="N527">
        <v>0.86956521739130432</v>
      </c>
      <c r="O527">
        <v>1</v>
      </c>
      <c r="P527">
        <v>5013</v>
      </c>
      <c r="Q527">
        <v>1407233220</v>
      </c>
      <c r="R527">
        <v>411</v>
      </c>
      <c r="S527">
        <v>2</v>
      </c>
      <c r="T527">
        <v>12</v>
      </c>
      <c r="U527">
        <v>0.97368421052631582</v>
      </c>
      <c r="V527">
        <v>0.91304347826086951</v>
      </c>
      <c r="W527">
        <v>1</v>
      </c>
      <c r="X527">
        <v>5010</v>
      </c>
      <c r="Y527">
        <v>1066831840</v>
      </c>
      <c r="Z527">
        <v>471</v>
      </c>
      <c r="AA527">
        <v>2</v>
      </c>
      <c r="AB527">
        <v>13</v>
      </c>
    </row>
    <row r="528" spans="1:28" x14ac:dyDescent="0.25">
      <c r="A528" s="7" t="s">
        <v>44</v>
      </c>
      <c r="B528">
        <v>14</v>
      </c>
      <c r="C528">
        <v>3</v>
      </c>
      <c r="D528">
        <v>5</v>
      </c>
      <c r="E528">
        <v>0</v>
      </c>
      <c r="F528" s="7" t="s">
        <v>49</v>
      </c>
      <c r="G528">
        <v>468</v>
      </c>
      <c r="H528">
        <v>392475330</v>
      </c>
      <c r="I528">
        <v>6329</v>
      </c>
      <c r="J528">
        <v>0.68539327383041382</v>
      </c>
      <c r="K528">
        <v>0.82608693838119507</v>
      </c>
      <c r="L528">
        <v>0.68421053886413574</v>
      </c>
      <c r="M528">
        <v>0.97368421052631582</v>
      </c>
      <c r="N528">
        <v>0.86956521739130432</v>
      </c>
      <c r="O528">
        <v>1</v>
      </c>
      <c r="P528">
        <v>5015</v>
      </c>
      <c r="Q528">
        <v>1456389394</v>
      </c>
      <c r="R528">
        <v>411</v>
      </c>
      <c r="S528">
        <v>2</v>
      </c>
      <c r="T528">
        <v>12</v>
      </c>
      <c r="U528">
        <v>0.97368421052631582</v>
      </c>
      <c r="V528">
        <v>0.91304347826086951</v>
      </c>
      <c r="W528">
        <v>1</v>
      </c>
      <c r="X528">
        <v>5013</v>
      </c>
      <c r="Y528">
        <v>1128098035</v>
      </c>
      <c r="Z528">
        <v>471</v>
      </c>
      <c r="AA528">
        <v>2</v>
      </c>
      <c r="AB528">
        <v>13</v>
      </c>
    </row>
    <row r="529" spans="1:28" x14ac:dyDescent="0.25">
      <c r="A529" s="7" t="s">
        <v>44</v>
      </c>
      <c r="B529">
        <v>14</v>
      </c>
      <c r="C529">
        <v>3</v>
      </c>
      <c r="D529">
        <v>5</v>
      </c>
      <c r="E529">
        <v>0</v>
      </c>
      <c r="F529" s="7" t="s">
        <v>49</v>
      </c>
      <c r="G529">
        <v>468</v>
      </c>
      <c r="H529">
        <v>315183312</v>
      </c>
      <c r="I529">
        <v>5014</v>
      </c>
      <c r="J529">
        <v>0.50561797618865967</v>
      </c>
      <c r="K529">
        <v>0.82608693838119507</v>
      </c>
      <c r="L529">
        <v>0.5</v>
      </c>
      <c r="M529">
        <v>0.97368421052631582</v>
      </c>
      <c r="N529">
        <v>0.86956521739130432</v>
      </c>
      <c r="O529">
        <v>1</v>
      </c>
      <c r="P529">
        <v>5013</v>
      </c>
      <c r="Q529">
        <v>1449804433</v>
      </c>
      <c r="R529">
        <v>411</v>
      </c>
      <c r="S529">
        <v>2</v>
      </c>
      <c r="T529">
        <v>12</v>
      </c>
      <c r="U529">
        <v>0.97368421052631582</v>
      </c>
      <c r="V529">
        <v>0.91304347826086951</v>
      </c>
      <c r="W529">
        <v>1</v>
      </c>
      <c r="X529">
        <v>5010</v>
      </c>
      <c r="Y529">
        <v>1079402090</v>
      </c>
      <c r="Z529">
        <v>471</v>
      </c>
      <c r="AA529">
        <v>2</v>
      </c>
      <c r="AB529">
        <v>13</v>
      </c>
    </row>
    <row r="530" spans="1:28" x14ac:dyDescent="0.25">
      <c r="A530" s="7" t="s">
        <v>44</v>
      </c>
      <c r="B530">
        <v>14</v>
      </c>
      <c r="C530">
        <v>3</v>
      </c>
      <c r="D530">
        <v>5</v>
      </c>
      <c r="E530">
        <v>0</v>
      </c>
      <c r="F530" s="7" t="s">
        <v>49</v>
      </c>
      <c r="G530">
        <v>468</v>
      </c>
      <c r="H530">
        <v>339730780</v>
      </c>
      <c r="I530">
        <v>5079</v>
      </c>
      <c r="J530">
        <v>0.58426964282989502</v>
      </c>
      <c r="K530">
        <v>0.86956518888473511</v>
      </c>
      <c r="L530">
        <v>0.63157892227172852</v>
      </c>
      <c r="M530">
        <v>0.97368421052631582</v>
      </c>
      <c r="N530">
        <v>0.86956521739130432</v>
      </c>
      <c r="O530">
        <v>1</v>
      </c>
      <c r="P530">
        <v>5010</v>
      </c>
      <c r="Q530">
        <v>1428469825</v>
      </c>
      <c r="R530">
        <v>411</v>
      </c>
      <c r="S530">
        <v>2</v>
      </c>
      <c r="T530">
        <v>12</v>
      </c>
      <c r="U530">
        <v>0.97368421052631582</v>
      </c>
      <c r="V530">
        <v>0.86956521739130432</v>
      </c>
      <c r="W530">
        <v>1</v>
      </c>
      <c r="X530">
        <v>5020</v>
      </c>
      <c r="Y530">
        <v>1025772741</v>
      </c>
      <c r="Z530">
        <v>471</v>
      </c>
      <c r="AA530">
        <v>2</v>
      </c>
      <c r="AB530">
        <v>13</v>
      </c>
    </row>
    <row r="531" spans="1:28" x14ac:dyDescent="0.25">
      <c r="A531" s="7" t="s">
        <v>44</v>
      </c>
      <c r="B531">
        <v>14</v>
      </c>
      <c r="C531">
        <v>3</v>
      </c>
      <c r="D531">
        <v>5</v>
      </c>
      <c r="E531">
        <v>0</v>
      </c>
      <c r="F531" s="7" t="s">
        <v>54</v>
      </c>
      <c r="G531">
        <v>1243</v>
      </c>
      <c r="H531">
        <v>377679163</v>
      </c>
      <c r="I531">
        <v>5245</v>
      </c>
      <c r="J531">
        <v>0.86516851186752319</v>
      </c>
      <c r="K531">
        <v>0.95652174949645996</v>
      </c>
      <c r="L531">
        <v>0.94736844301223755</v>
      </c>
      <c r="M531">
        <v>0.97368421052631582</v>
      </c>
      <c r="N531">
        <v>0.86956521739130432</v>
      </c>
      <c r="O531">
        <v>1</v>
      </c>
      <c r="P531">
        <v>5013</v>
      </c>
      <c r="Q531">
        <v>1636573557</v>
      </c>
      <c r="R531">
        <v>1191</v>
      </c>
      <c r="S531">
        <v>2</v>
      </c>
      <c r="T531">
        <v>22</v>
      </c>
      <c r="U531">
        <v>0.97368421052631582</v>
      </c>
      <c r="V531">
        <v>0.86956521739130432</v>
      </c>
      <c r="W531">
        <v>1</v>
      </c>
      <c r="X531">
        <v>5010</v>
      </c>
      <c r="Y531">
        <v>1263862867</v>
      </c>
      <c r="Z531">
        <v>1291</v>
      </c>
      <c r="AA531">
        <v>2</v>
      </c>
      <c r="AB531">
        <v>23</v>
      </c>
    </row>
    <row r="532" spans="1:28" x14ac:dyDescent="0.25">
      <c r="A532" s="7" t="s">
        <v>44</v>
      </c>
      <c r="B532">
        <v>14</v>
      </c>
      <c r="C532">
        <v>3</v>
      </c>
      <c r="D532">
        <v>5</v>
      </c>
      <c r="E532">
        <v>0</v>
      </c>
      <c r="F532" s="7" t="s">
        <v>54</v>
      </c>
      <c r="G532">
        <v>1243</v>
      </c>
      <c r="H532">
        <v>357170834</v>
      </c>
      <c r="I532">
        <v>5036</v>
      </c>
      <c r="J532">
        <v>0.43820226192474365</v>
      </c>
      <c r="K532">
        <v>0.82608693838119507</v>
      </c>
      <c r="L532">
        <v>0.5</v>
      </c>
      <c r="M532">
        <v>0.97368421052631582</v>
      </c>
      <c r="N532">
        <v>0.86956521739130432</v>
      </c>
      <c r="O532">
        <v>1</v>
      </c>
      <c r="P532">
        <v>5012</v>
      </c>
      <c r="Q532">
        <v>1614262489</v>
      </c>
      <c r="R532">
        <v>1191</v>
      </c>
      <c r="S532">
        <v>2</v>
      </c>
      <c r="T532">
        <v>22</v>
      </c>
      <c r="U532">
        <v>0.97368421052631582</v>
      </c>
      <c r="V532">
        <v>0.86956521739130432</v>
      </c>
      <c r="W532">
        <v>1</v>
      </c>
      <c r="X532">
        <v>5012</v>
      </c>
      <c r="Y532">
        <v>1320413929</v>
      </c>
      <c r="Z532">
        <v>1291</v>
      </c>
      <c r="AA532">
        <v>2</v>
      </c>
      <c r="AB532">
        <v>23</v>
      </c>
    </row>
    <row r="533" spans="1:28" x14ac:dyDescent="0.25">
      <c r="A533" s="7" t="s">
        <v>44</v>
      </c>
      <c r="B533">
        <v>14</v>
      </c>
      <c r="C533">
        <v>3</v>
      </c>
      <c r="D533">
        <v>5</v>
      </c>
      <c r="E533">
        <v>0</v>
      </c>
      <c r="F533" s="7" t="s">
        <v>54</v>
      </c>
      <c r="G533">
        <v>1243</v>
      </c>
      <c r="H533">
        <v>333667502</v>
      </c>
      <c r="I533">
        <v>5048</v>
      </c>
      <c r="J533">
        <v>0.67415732145309448</v>
      </c>
      <c r="K533">
        <v>0.82608693838119507</v>
      </c>
      <c r="L533">
        <v>0.71052628755569458</v>
      </c>
      <c r="M533">
        <v>0.97368421052631582</v>
      </c>
      <c r="N533">
        <v>0.86956521739130432</v>
      </c>
      <c r="O533">
        <v>1</v>
      </c>
      <c r="P533">
        <v>5008</v>
      </c>
      <c r="Q533">
        <v>1552856010</v>
      </c>
      <c r="R533">
        <v>1191</v>
      </c>
      <c r="S533">
        <v>2</v>
      </c>
      <c r="T533">
        <v>22</v>
      </c>
      <c r="U533">
        <v>0.97368421052631582</v>
      </c>
      <c r="V533">
        <v>0.86956521739130432</v>
      </c>
      <c r="W533">
        <v>1</v>
      </c>
      <c r="X533">
        <v>5012</v>
      </c>
      <c r="Y533">
        <v>1279873584</v>
      </c>
      <c r="Z533">
        <v>1291</v>
      </c>
      <c r="AA533">
        <v>2</v>
      </c>
      <c r="AB533">
        <v>23</v>
      </c>
    </row>
    <row r="534" spans="1:28" x14ac:dyDescent="0.25">
      <c r="A534" s="7" t="s">
        <v>44</v>
      </c>
      <c r="B534">
        <v>14</v>
      </c>
      <c r="C534">
        <v>3</v>
      </c>
      <c r="D534">
        <v>5</v>
      </c>
      <c r="E534">
        <v>0</v>
      </c>
      <c r="F534" s="7" t="s">
        <v>54</v>
      </c>
      <c r="G534">
        <v>1243</v>
      </c>
      <c r="H534">
        <v>331290766</v>
      </c>
      <c r="I534">
        <v>5053</v>
      </c>
      <c r="J534">
        <v>0.65168541669845581</v>
      </c>
      <c r="K534">
        <v>0.91304349899291992</v>
      </c>
      <c r="L534">
        <v>0.73684209585189819</v>
      </c>
      <c r="M534">
        <v>0.97368421052631582</v>
      </c>
      <c r="N534">
        <v>0.86956521739130432</v>
      </c>
      <c r="O534">
        <v>1</v>
      </c>
      <c r="P534">
        <v>5009</v>
      </c>
      <c r="Q534">
        <v>1589181753</v>
      </c>
      <c r="R534">
        <v>1191</v>
      </c>
      <c r="S534">
        <v>2</v>
      </c>
      <c r="T534">
        <v>22</v>
      </c>
      <c r="U534">
        <v>0.97368421052631582</v>
      </c>
      <c r="V534">
        <v>0.86956521739130432</v>
      </c>
      <c r="W534">
        <v>1</v>
      </c>
      <c r="X534">
        <v>5009</v>
      </c>
      <c r="Y534">
        <v>1259736854</v>
      </c>
      <c r="Z534">
        <v>1291</v>
      </c>
      <c r="AA534">
        <v>2</v>
      </c>
      <c r="AB534">
        <v>23</v>
      </c>
    </row>
    <row r="535" spans="1:28" x14ac:dyDescent="0.25">
      <c r="A535" s="7" t="s">
        <v>44</v>
      </c>
      <c r="B535">
        <v>14</v>
      </c>
      <c r="C535">
        <v>3</v>
      </c>
      <c r="D535">
        <v>5</v>
      </c>
      <c r="E535">
        <v>0</v>
      </c>
      <c r="F535" s="7" t="s">
        <v>54</v>
      </c>
      <c r="G535">
        <v>1243</v>
      </c>
      <c r="H535">
        <v>371294990</v>
      </c>
      <c r="I535">
        <v>5072</v>
      </c>
      <c r="J535">
        <v>0.82022470235824585</v>
      </c>
      <c r="K535">
        <v>0.91304349899291992</v>
      </c>
      <c r="L535">
        <v>0.86842107772827148</v>
      </c>
      <c r="M535">
        <v>0.97368421052631582</v>
      </c>
      <c r="N535">
        <v>0.86956521739130432</v>
      </c>
      <c r="O535">
        <v>1</v>
      </c>
      <c r="P535">
        <v>5010</v>
      </c>
      <c r="Q535">
        <v>1673849023</v>
      </c>
      <c r="R535">
        <v>1191</v>
      </c>
      <c r="S535">
        <v>2</v>
      </c>
      <c r="T535">
        <v>22</v>
      </c>
      <c r="U535">
        <v>0.97368421052631582</v>
      </c>
      <c r="V535">
        <v>0.91304347826086951</v>
      </c>
      <c r="W535">
        <v>1</v>
      </c>
      <c r="X535">
        <v>5009</v>
      </c>
      <c r="Y535">
        <v>1357718542</v>
      </c>
      <c r="Z535">
        <v>1291</v>
      </c>
      <c r="AA535">
        <v>2</v>
      </c>
      <c r="AB535">
        <v>23</v>
      </c>
    </row>
    <row r="536" spans="1:28" x14ac:dyDescent="0.25">
      <c r="A536" s="7" t="s">
        <v>44</v>
      </c>
      <c r="B536">
        <v>14</v>
      </c>
      <c r="C536">
        <v>3</v>
      </c>
      <c r="D536">
        <v>5</v>
      </c>
      <c r="E536">
        <v>0</v>
      </c>
      <c r="F536" s="7" t="s">
        <v>50</v>
      </c>
      <c r="G536">
        <v>979</v>
      </c>
      <c r="H536">
        <v>559063622</v>
      </c>
      <c r="I536">
        <v>5023</v>
      </c>
      <c r="J536">
        <v>0.59550559520721436</v>
      </c>
      <c r="K536">
        <v>0.78260868787765503</v>
      </c>
      <c r="L536">
        <v>0.57894736528396606</v>
      </c>
      <c r="M536">
        <v>0.97368421052631582</v>
      </c>
      <c r="N536">
        <v>0.86956521739130432</v>
      </c>
      <c r="O536">
        <v>1</v>
      </c>
      <c r="P536">
        <v>5012</v>
      </c>
      <c r="Q536">
        <v>1668623377</v>
      </c>
      <c r="R536">
        <v>915</v>
      </c>
      <c r="S536">
        <v>2</v>
      </c>
      <c r="T536">
        <v>19</v>
      </c>
      <c r="U536">
        <v>0.97368421052631582</v>
      </c>
      <c r="V536">
        <v>0.91304347826086951</v>
      </c>
      <c r="W536">
        <v>1</v>
      </c>
      <c r="X536">
        <v>5007</v>
      </c>
      <c r="Y536">
        <v>1166470605</v>
      </c>
      <c r="Z536">
        <v>1003</v>
      </c>
      <c r="AA536">
        <v>2</v>
      </c>
      <c r="AB536">
        <v>20</v>
      </c>
    </row>
    <row r="537" spans="1:28" x14ac:dyDescent="0.25">
      <c r="A537" s="7" t="s">
        <v>44</v>
      </c>
      <c r="B537">
        <v>14</v>
      </c>
      <c r="C537">
        <v>3</v>
      </c>
      <c r="D537">
        <v>5</v>
      </c>
      <c r="E537">
        <v>0</v>
      </c>
      <c r="F537" s="7" t="s">
        <v>50</v>
      </c>
      <c r="G537">
        <v>979</v>
      </c>
      <c r="H537">
        <v>550969207</v>
      </c>
      <c r="I537">
        <v>5042</v>
      </c>
      <c r="J537">
        <v>0.24719101190567017</v>
      </c>
      <c r="K537">
        <v>0.6086956262588501</v>
      </c>
      <c r="L537">
        <v>0.26315790414810181</v>
      </c>
      <c r="M537">
        <v>0.97368421052631582</v>
      </c>
      <c r="N537">
        <v>0.86956521739130432</v>
      </c>
      <c r="O537">
        <v>1</v>
      </c>
      <c r="P537">
        <v>5013</v>
      </c>
      <c r="Q537">
        <v>1650060208</v>
      </c>
      <c r="R537">
        <v>915</v>
      </c>
      <c r="S537">
        <v>2</v>
      </c>
      <c r="T537">
        <v>19</v>
      </c>
      <c r="U537">
        <v>0.97368421052631582</v>
      </c>
      <c r="V537">
        <v>0.91304347826086951</v>
      </c>
      <c r="W537">
        <v>1</v>
      </c>
      <c r="X537">
        <v>5007</v>
      </c>
      <c r="Y537">
        <v>1163855120</v>
      </c>
      <c r="Z537">
        <v>1003</v>
      </c>
      <c r="AA537">
        <v>2</v>
      </c>
      <c r="AB537">
        <v>20</v>
      </c>
    </row>
    <row r="538" spans="1:28" x14ac:dyDescent="0.25">
      <c r="A538" s="7" t="s">
        <v>44</v>
      </c>
      <c r="B538">
        <v>14</v>
      </c>
      <c r="C538">
        <v>3</v>
      </c>
      <c r="D538">
        <v>5</v>
      </c>
      <c r="E538">
        <v>0</v>
      </c>
      <c r="F538" s="7" t="s">
        <v>50</v>
      </c>
      <c r="G538">
        <v>979</v>
      </c>
      <c r="H538">
        <v>559519270</v>
      </c>
      <c r="I538">
        <v>5056</v>
      </c>
      <c r="J538">
        <v>0.37078651785850525</v>
      </c>
      <c r="K538">
        <v>0.91304349899291992</v>
      </c>
      <c r="L538">
        <v>0.3684210479259491</v>
      </c>
      <c r="M538">
        <v>0.97368421052631582</v>
      </c>
      <c r="N538">
        <v>0.91304347826086951</v>
      </c>
      <c r="O538">
        <v>1</v>
      </c>
      <c r="P538">
        <v>5007</v>
      </c>
      <c r="Q538">
        <v>1655070924</v>
      </c>
      <c r="R538">
        <v>915</v>
      </c>
      <c r="S538">
        <v>2</v>
      </c>
      <c r="T538">
        <v>19</v>
      </c>
      <c r="U538">
        <v>0.97368421052631582</v>
      </c>
      <c r="V538">
        <v>0.86956521739130432</v>
      </c>
      <c r="W538">
        <v>1</v>
      </c>
      <c r="X538">
        <v>5011</v>
      </c>
      <c r="Y538">
        <v>1199038936</v>
      </c>
      <c r="Z538">
        <v>1003</v>
      </c>
      <c r="AA538">
        <v>2</v>
      </c>
      <c r="AB538">
        <v>20</v>
      </c>
    </row>
    <row r="539" spans="1:28" hidden="1" x14ac:dyDescent="0.25">
      <c r="A539" s="7" t="s">
        <v>57</v>
      </c>
      <c r="B539">
        <v>12</v>
      </c>
      <c r="C539">
        <v>3</v>
      </c>
      <c r="D539">
        <v>4</v>
      </c>
      <c r="E539">
        <v>0</v>
      </c>
      <c r="F539" s="7" t="s">
        <v>59</v>
      </c>
      <c r="G539">
        <v>8717</v>
      </c>
      <c r="H539">
        <v>858527811</v>
      </c>
      <c r="I539">
        <v>6356</v>
      </c>
      <c r="J539">
        <v>0.2358490526676178</v>
      </c>
      <c r="K539">
        <v>0.85185188055038452</v>
      </c>
      <c r="L539">
        <v>0.28888890147209167</v>
      </c>
      <c r="M539">
        <v>0.93333333333333335</v>
      </c>
      <c r="N539">
        <v>0.92592592592592593</v>
      </c>
      <c r="O539">
        <v>1</v>
      </c>
      <c r="P539">
        <v>17129</v>
      </c>
      <c r="Q539">
        <v>178453412</v>
      </c>
      <c r="R539">
        <v>8604</v>
      </c>
      <c r="S539">
        <v>2</v>
      </c>
      <c r="T539">
        <v>61</v>
      </c>
      <c r="U539">
        <v>0.91111111111111109</v>
      </c>
      <c r="V539">
        <v>0.92592592592592593</v>
      </c>
      <c r="W539">
        <v>1</v>
      </c>
      <c r="X539">
        <v>13490</v>
      </c>
      <c r="Y539">
        <v>125365563</v>
      </c>
      <c r="Z539">
        <v>8869</v>
      </c>
      <c r="AA539">
        <v>2</v>
      </c>
      <c r="AB539">
        <v>62</v>
      </c>
    </row>
    <row r="540" spans="1:28" hidden="1" x14ac:dyDescent="0.25">
      <c r="A540" s="7" t="s">
        <v>57</v>
      </c>
      <c r="B540">
        <v>12</v>
      </c>
      <c r="C540">
        <v>3</v>
      </c>
      <c r="D540">
        <v>4</v>
      </c>
      <c r="E540">
        <v>0</v>
      </c>
      <c r="F540" s="7" t="s">
        <v>60</v>
      </c>
      <c r="G540">
        <v>10242</v>
      </c>
      <c r="H540">
        <v>743484147</v>
      </c>
      <c r="I540">
        <v>5129</v>
      </c>
      <c r="J540">
        <v>0.4716981053352356</v>
      </c>
      <c r="K540">
        <v>0.8888888955116272</v>
      </c>
      <c r="L540">
        <v>0.4444444477558136</v>
      </c>
      <c r="M540">
        <v>0.91111111111111109</v>
      </c>
      <c r="N540">
        <v>0.92592592592592593</v>
      </c>
      <c r="O540">
        <v>1</v>
      </c>
      <c r="P540">
        <v>12132</v>
      </c>
      <c r="Q540">
        <v>110878843</v>
      </c>
      <c r="R540">
        <v>9969</v>
      </c>
      <c r="S540">
        <v>2</v>
      </c>
      <c r="T540">
        <v>66</v>
      </c>
      <c r="U540">
        <v>0.93333333333333335</v>
      </c>
      <c r="V540">
        <v>0.92592592592592593</v>
      </c>
      <c r="W540">
        <v>1</v>
      </c>
      <c r="X540">
        <v>12478</v>
      </c>
      <c r="Y540">
        <v>113173183</v>
      </c>
      <c r="Z540">
        <v>10254</v>
      </c>
      <c r="AA540">
        <v>2</v>
      </c>
      <c r="AB540">
        <v>67</v>
      </c>
    </row>
    <row r="541" spans="1:28" hidden="1" x14ac:dyDescent="0.25">
      <c r="A541" s="7" t="s">
        <v>57</v>
      </c>
      <c r="B541">
        <v>12</v>
      </c>
      <c r="C541">
        <v>3</v>
      </c>
      <c r="D541">
        <v>4</v>
      </c>
      <c r="E541">
        <v>0</v>
      </c>
      <c r="F541" s="7" t="s">
        <v>60</v>
      </c>
      <c r="G541">
        <v>10242</v>
      </c>
      <c r="H541">
        <v>728238737</v>
      </c>
      <c r="I541">
        <v>5042</v>
      </c>
      <c r="J541">
        <v>0.37735849618911743</v>
      </c>
      <c r="K541">
        <v>0.59259259700775146</v>
      </c>
      <c r="L541">
        <v>0.28888890147209167</v>
      </c>
      <c r="M541">
        <v>0.9555555555555556</v>
      </c>
      <c r="N541">
        <v>0.92592592592592593</v>
      </c>
      <c r="O541">
        <v>1</v>
      </c>
      <c r="P541">
        <v>16351</v>
      </c>
      <c r="Q541">
        <v>169832598</v>
      </c>
      <c r="R541">
        <v>9969</v>
      </c>
      <c r="S541">
        <v>2</v>
      </c>
      <c r="T541">
        <v>66</v>
      </c>
      <c r="U541">
        <v>0.9555555555555556</v>
      </c>
      <c r="V541">
        <v>0.92592592592592593</v>
      </c>
      <c r="W541">
        <v>1</v>
      </c>
      <c r="X541">
        <v>15710</v>
      </c>
      <c r="Y541">
        <v>159042933</v>
      </c>
      <c r="Z541">
        <v>10254</v>
      </c>
      <c r="AA541">
        <v>2</v>
      </c>
      <c r="AB541">
        <v>67</v>
      </c>
    </row>
    <row r="542" spans="1:28" hidden="1" x14ac:dyDescent="0.25">
      <c r="A542" s="7" t="s">
        <v>57</v>
      </c>
      <c r="B542">
        <v>12</v>
      </c>
      <c r="C542">
        <v>3</v>
      </c>
      <c r="D542">
        <v>4</v>
      </c>
      <c r="E542">
        <v>0</v>
      </c>
      <c r="F542" s="7" t="s">
        <v>60</v>
      </c>
      <c r="G542">
        <v>10242</v>
      </c>
      <c r="H542">
        <v>780330201</v>
      </c>
      <c r="I542">
        <v>5374</v>
      </c>
      <c r="J542">
        <v>0.30188679695129395</v>
      </c>
      <c r="K542">
        <v>0.66666668653488159</v>
      </c>
      <c r="L542">
        <v>0.3333333432674408</v>
      </c>
      <c r="M542">
        <v>0.93333333333333335</v>
      </c>
      <c r="N542">
        <v>0.92592592592592593</v>
      </c>
      <c r="O542">
        <v>1</v>
      </c>
      <c r="P542">
        <v>12013</v>
      </c>
      <c r="Q542">
        <v>108964846</v>
      </c>
      <c r="R542">
        <v>9969</v>
      </c>
      <c r="S542">
        <v>2</v>
      </c>
      <c r="T542">
        <v>66</v>
      </c>
      <c r="U542">
        <v>0.9555555555555556</v>
      </c>
      <c r="V542">
        <v>0.92592592592592593</v>
      </c>
      <c r="W542">
        <v>1</v>
      </c>
      <c r="X542">
        <v>18594</v>
      </c>
      <c r="Y542">
        <v>208375239</v>
      </c>
      <c r="Z542">
        <v>10254</v>
      </c>
      <c r="AA542">
        <v>2</v>
      </c>
      <c r="AB542">
        <v>67</v>
      </c>
    </row>
    <row r="543" spans="1:28" hidden="1" x14ac:dyDescent="0.25">
      <c r="A543" s="7" t="s">
        <v>57</v>
      </c>
      <c r="B543">
        <v>12</v>
      </c>
      <c r="C543">
        <v>3</v>
      </c>
      <c r="D543">
        <v>4</v>
      </c>
      <c r="E543">
        <v>0</v>
      </c>
      <c r="F543" s="7" t="s">
        <v>60</v>
      </c>
      <c r="G543">
        <v>10242</v>
      </c>
      <c r="H543">
        <v>2326701153</v>
      </c>
      <c r="I543">
        <v>15898</v>
      </c>
      <c r="J543">
        <v>0.56603771448135376</v>
      </c>
      <c r="K543">
        <v>0.81481480598449707</v>
      </c>
      <c r="L543">
        <v>0.66666668653488159</v>
      </c>
      <c r="M543">
        <v>0.93333333333333335</v>
      </c>
      <c r="N543">
        <v>0.92592592592592593</v>
      </c>
      <c r="O543">
        <v>1</v>
      </c>
      <c r="P543">
        <v>11722</v>
      </c>
      <c r="Q543">
        <v>105021617</v>
      </c>
      <c r="R543">
        <v>9969</v>
      </c>
      <c r="S543">
        <v>2</v>
      </c>
      <c r="T543">
        <v>66</v>
      </c>
      <c r="U543">
        <v>0.91111111111111109</v>
      </c>
      <c r="V543">
        <v>0.92592592592592593</v>
      </c>
      <c r="W543">
        <v>1</v>
      </c>
      <c r="X543">
        <v>9076</v>
      </c>
      <c r="Y543">
        <v>82633382</v>
      </c>
      <c r="Z543">
        <v>10254</v>
      </c>
      <c r="AA543">
        <v>2</v>
      </c>
      <c r="AB543">
        <v>67</v>
      </c>
    </row>
    <row r="544" spans="1:28" hidden="1" x14ac:dyDescent="0.25">
      <c r="A544" s="7" t="s">
        <v>57</v>
      </c>
      <c r="B544">
        <v>12</v>
      </c>
      <c r="C544">
        <v>3</v>
      </c>
      <c r="D544">
        <v>4</v>
      </c>
      <c r="E544">
        <v>0</v>
      </c>
      <c r="F544" s="7" t="s">
        <v>60</v>
      </c>
      <c r="G544">
        <v>10242</v>
      </c>
      <c r="H544">
        <v>1284053718</v>
      </c>
      <c r="I544">
        <v>8788</v>
      </c>
      <c r="J544">
        <v>0.49056604504585266</v>
      </c>
      <c r="K544">
        <v>0.66666668653488159</v>
      </c>
      <c r="L544">
        <v>0.51111114025115967</v>
      </c>
      <c r="M544">
        <v>0.93333333333333335</v>
      </c>
      <c r="N544">
        <v>0.92592592592592593</v>
      </c>
      <c r="O544">
        <v>1</v>
      </c>
      <c r="P544">
        <v>9735</v>
      </c>
      <c r="Q544">
        <v>88725636</v>
      </c>
      <c r="R544">
        <v>9969</v>
      </c>
      <c r="S544">
        <v>2</v>
      </c>
      <c r="T544">
        <v>66</v>
      </c>
      <c r="U544">
        <v>0.91111111111111109</v>
      </c>
      <c r="V544">
        <v>0.92592592592592593</v>
      </c>
      <c r="W544">
        <v>1</v>
      </c>
      <c r="X544">
        <v>15064</v>
      </c>
      <c r="Y544">
        <v>147042314</v>
      </c>
      <c r="Z544">
        <v>10254</v>
      </c>
      <c r="AA544">
        <v>2</v>
      </c>
      <c r="AB544">
        <v>67</v>
      </c>
    </row>
    <row r="545" spans="1:28" hidden="1" x14ac:dyDescent="0.25">
      <c r="A545" s="7" t="s">
        <v>57</v>
      </c>
      <c r="B545">
        <v>12</v>
      </c>
      <c r="C545">
        <v>3</v>
      </c>
      <c r="D545">
        <v>4</v>
      </c>
      <c r="E545">
        <v>0</v>
      </c>
      <c r="F545" s="7" t="s">
        <v>62</v>
      </c>
      <c r="G545">
        <v>8182</v>
      </c>
      <c r="H545">
        <v>716688939</v>
      </c>
      <c r="I545">
        <v>5409</v>
      </c>
      <c r="J545">
        <v>0.33018869161605835</v>
      </c>
      <c r="K545">
        <v>0.77777779102325439</v>
      </c>
      <c r="L545">
        <v>0.40000000596046448</v>
      </c>
      <c r="M545">
        <v>0.9555555555555556</v>
      </c>
      <c r="N545">
        <v>0.92592592592592593</v>
      </c>
      <c r="O545">
        <v>1</v>
      </c>
      <c r="P545">
        <v>13119</v>
      </c>
      <c r="Q545">
        <v>119729497</v>
      </c>
      <c r="R545">
        <v>8086</v>
      </c>
      <c r="S545">
        <v>2</v>
      </c>
      <c r="T545">
        <v>59</v>
      </c>
      <c r="U545">
        <v>0.91111111111111109</v>
      </c>
      <c r="V545">
        <v>0.88888888888888884</v>
      </c>
      <c r="W545">
        <v>1</v>
      </c>
      <c r="X545">
        <v>7388</v>
      </c>
      <c r="Y545">
        <v>66975976</v>
      </c>
      <c r="Z545">
        <v>8343</v>
      </c>
      <c r="AA545">
        <v>2</v>
      </c>
      <c r="AB545">
        <v>60</v>
      </c>
    </row>
    <row r="546" spans="1:28" hidden="1" x14ac:dyDescent="0.25">
      <c r="A546" s="7" t="s">
        <v>57</v>
      </c>
      <c r="B546">
        <v>12</v>
      </c>
      <c r="C546">
        <v>3</v>
      </c>
      <c r="D546">
        <v>4</v>
      </c>
      <c r="E546">
        <v>0</v>
      </c>
      <c r="F546" s="7" t="s">
        <v>62</v>
      </c>
      <c r="G546">
        <v>8182</v>
      </c>
      <c r="H546">
        <v>737191948</v>
      </c>
      <c r="I546">
        <v>5526</v>
      </c>
      <c r="J546">
        <v>0.38679245114326477</v>
      </c>
      <c r="K546">
        <v>0.85185188055038452</v>
      </c>
      <c r="L546">
        <v>0.51111114025115967</v>
      </c>
      <c r="M546">
        <v>0.91111111111111109</v>
      </c>
      <c r="N546">
        <v>0.92592592592592593</v>
      </c>
      <c r="O546">
        <v>1</v>
      </c>
      <c r="P546">
        <v>15589</v>
      </c>
      <c r="Q546">
        <v>152719357</v>
      </c>
      <c r="R546">
        <v>8086</v>
      </c>
      <c r="S546">
        <v>2</v>
      </c>
      <c r="T546">
        <v>59</v>
      </c>
      <c r="U546">
        <v>0.9555555555555556</v>
      </c>
      <c r="V546">
        <v>0.92592592592592593</v>
      </c>
      <c r="W546">
        <v>1</v>
      </c>
      <c r="X546">
        <v>15344</v>
      </c>
      <c r="Y546">
        <v>148390086</v>
      </c>
      <c r="Z546">
        <v>8343</v>
      </c>
      <c r="AA546">
        <v>2</v>
      </c>
      <c r="AB546">
        <v>60</v>
      </c>
    </row>
    <row r="547" spans="1:28" hidden="1" x14ac:dyDescent="0.25">
      <c r="A547" s="7" t="s">
        <v>57</v>
      </c>
      <c r="B547">
        <v>12</v>
      </c>
      <c r="C547">
        <v>3</v>
      </c>
      <c r="D547">
        <v>4</v>
      </c>
      <c r="E547">
        <v>0</v>
      </c>
      <c r="F547" s="7" t="s">
        <v>62</v>
      </c>
      <c r="G547">
        <v>8182</v>
      </c>
      <c r="H547">
        <v>677239216</v>
      </c>
      <c r="I547">
        <v>5083</v>
      </c>
      <c r="J547">
        <v>0.5283018946647644</v>
      </c>
      <c r="K547">
        <v>0.59259259700775146</v>
      </c>
      <c r="L547">
        <v>0.40000000596046448</v>
      </c>
      <c r="M547">
        <v>0.9555555555555556</v>
      </c>
      <c r="N547">
        <v>0.92592592592592593</v>
      </c>
      <c r="O547">
        <v>1</v>
      </c>
      <c r="P547">
        <v>9389</v>
      </c>
      <c r="Q547">
        <v>85016618</v>
      </c>
      <c r="R547">
        <v>8086</v>
      </c>
      <c r="S547">
        <v>2</v>
      </c>
      <c r="T547">
        <v>59</v>
      </c>
      <c r="U547">
        <v>0.91111111111111109</v>
      </c>
      <c r="V547">
        <v>0.92592592592592593</v>
      </c>
      <c r="W547">
        <v>1</v>
      </c>
      <c r="X547">
        <v>10348</v>
      </c>
      <c r="Y547">
        <v>94896076</v>
      </c>
      <c r="Z547">
        <v>8343</v>
      </c>
      <c r="AA547">
        <v>2</v>
      </c>
      <c r="AB547">
        <v>60</v>
      </c>
    </row>
    <row r="548" spans="1:28" hidden="1" x14ac:dyDescent="0.25">
      <c r="A548" s="7" t="s">
        <v>57</v>
      </c>
      <c r="B548">
        <v>12</v>
      </c>
      <c r="C548">
        <v>3</v>
      </c>
      <c r="D548">
        <v>4</v>
      </c>
      <c r="E548">
        <v>0</v>
      </c>
      <c r="F548" s="7" t="s">
        <v>62</v>
      </c>
      <c r="G548">
        <v>8182</v>
      </c>
      <c r="H548">
        <v>725014493</v>
      </c>
      <c r="I548">
        <v>5400</v>
      </c>
      <c r="J548">
        <v>0.4716981053352356</v>
      </c>
      <c r="K548">
        <v>0.77777779102325439</v>
      </c>
      <c r="L548">
        <v>0.57777780294418335</v>
      </c>
      <c r="M548">
        <v>0.91111111111111109</v>
      </c>
      <c r="N548">
        <v>0.92592592592592593</v>
      </c>
      <c r="O548">
        <v>1</v>
      </c>
      <c r="P548">
        <v>15674</v>
      </c>
      <c r="Q548">
        <v>151967242</v>
      </c>
      <c r="R548">
        <v>8086</v>
      </c>
      <c r="S548">
        <v>2</v>
      </c>
      <c r="T548">
        <v>59</v>
      </c>
      <c r="U548">
        <v>0.91111111111111109</v>
      </c>
      <c r="V548">
        <v>0.88888888888888884</v>
      </c>
      <c r="W548">
        <v>1</v>
      </c>
      <c r="X548">
        <v>13696</v>
      </c>
      <c r="Y548">
        <v>123554410</v>
      </c>
      <c r="Z548">
        <v>8343</v>
      </c>
      <c r="AA548">
        <v>2</v>
      </c>
      <c r="AB548">
        <v>60</v>
      </c>
    </row>
    <row r="549" spans="1:28" hidden="1" x14ac:dyDescent="0.25">
      <c r="A549" s="7" t="s">
        <v>57</v>
      </c>
      <c r="B549">
        <v>12</v>
      </c>
      <c r="C549">
        <v>3</v>
      </c>
      <c r="D549">
        <v>4</v>
      </c>
      <c r="E549">
        <v>0</v>
      </c>
      <c r="F549" s="7" t="s">
        <v>62</v>
      </c>
      <c r="G549">
        <v>8182</v>
      </c>
      <c r="H549">
        <v>838334913</v>
      </c>
      <c r="I549">
        <v>6260</v>
      </c>
      <c r="J549">
        <v>0.58490568399429321</v>
      </c>
      <c r="K549">
        <v>0.77777779102325439</v>
      </c>
      <c r="L549">
        <v>0.60000002384185791</v>
      </c>
      <c r="M549">
        <v>0.9555555555555556</v>
      </c>
      <c r="N549">
        <v>0.88888888888888884</v>
      </c>
      <c r="O549">
        <v>1</v>
      </c>
      <c r="P549">
        <v>14175</v>
      </c>
      <c r="Q549">
        <v>133287251</v>
      </c>
      <c r="R549">
        <v>8086</v>
      </c>
      <c r="S549">
        <v>2</v>
      </c>
      <c r="T549">
        <v>59</v>
      </c>
      <c r="U549">
        <v>0.91111111111111109</v>
      </c>
      <c r="V549">
        <v>0.96296296296296291</v>
      </c>
      <c r="W549">
        <v>1</v>
      </c>
      <c r="X549">
        <v>12855</v>
      </c>
      <c r="Y549">
        <v>118094437</v>
      </c>
      <c r="Z549">
        <v>8343</v>
      </c>
      <c r="AA549">
        <v>2</v>
      </c>
      <c r="AB549">
        <v>60</v>
      </c>
    </row>
    <row r="550" spans="1:28" hidden="1" x14ac:dyDescent="0.25">
      <c r="A550" s="7" t="s">
        <v>57</v>
      </c>
      <c r="B550">
        <v>12</v>
      </c>
      <c r="C550">
        <v>3</v>
      </c>
      <c r="D550">
        <v>4</v>
      </c>
      <c r="E550">
        <v>0</v>
      </c>
      <c r="F550" s="7" t="s">
        <v>63</v>
      </c>
      <c r="G550">
        <v>9897</v>
      </c>
      <c r="H550">
        <v>736441824</v>
      </c>
      <c r="I550">
        <v>5181</v>
      </c>
      <c r="J550">
        <v>0.48113209009170532</v>
      </c>
      <c r="K550">
        <v>0.74074071645736694</v>
      </c>
      <c r="L550">
        <v>0.40000000596046448</v>
      </c>
      <c r="M550">
        <v>0.93333333333333335</v>
      </c>
      <c r="N550">
        <v>0.92592592592592593</v>
      </c>
      <c r="O550">
        <v>1</v>
      </c>
      <c r="P550">
        <v>11854</v>
      </c>
      <c r="Q550">
        <v>110711642</v>
      </c>
      <c r="R550">
        <v>9688</v>
      </c>
      <c r="S550">
        <v>2</v>
      </c>
      <c r="T550">
        <v>65</v>
      </c>
      <c r="U550">
        <v>0.91111111111111109</v>
      </c>
      <c r="V550">
        <v>0.92592592592592593</v>
      </c>
      <c r="W550">
        <v>1</v>
      </c>
      <c r="X550">
        <v>14004</v>
      </c>
      <c r="Y550">
        <v>132172390</v>
      </c>
      <c r="Z550">
        <v>9969</v>
      </c>
      <c r="AA550">
        <v>2</v>
      </c>
      <c r="AB550">
        <v>66</v>
      </c>
    </row>
    <row r="551" spans="1:28" hidden="1" x14ac:dyDescent="0.25">
      <c r="A551" s="7" t="s">
        <v>57</v>
      </c>
      <c r="B551">
        <v>12</v>
      </c>
      <c r="C551">
        <v>3</v>
      </c>
      <c r="D551">
        <v>4</v>
      </c>
      <c r="E551">
        <v>0</v>
      </c>
      <c r="F551" s="7" t="s">
        <v>63</v>
      </c>
      <c r="G551">
        <v>9897</v>
      </c>
      <c r="H551">
        <v>790058081</v>
      </c>
      <c r="I551">
        <v>5519</v>
      </c>
      <c r="J551">
        <v>0.30188679695129395</v>
      </c>
      <c r="K551">
        <v>0.66666668653488159</v>
      </c>
      <c r="L551">
        <v>0.15555556118488312</v>
      </c>
      <c r="M551">
        <v>0.91111111111111109</v>
      </c>
      <c r="N551">
        <v>0.92592592592592593</v>
      </c>
      <c r="O551">
        <v>1</v>
      </c>
      <c r="P551">
        <v>13124</v>
      </c>
      <c r="Q551">
        <v>120867315</v>
      </c>
      <c r="R551">
        <v>9688</v>
      </c>
      <c r="S551">
        <v>2</v>
      </c>
      <c r="T551">
        <v>65</v>
      </c>
      <c r="U551">
        <v>0.88888888888888884</v>
      </c>
      <c r="V551">
        <v>0.92592592592592593</v>
      </c>
      <c r="W551">
        <v>0.92452830188679247</v>
      </c>
      <c r="X551">
        <v>12961</v>
      </c>
      <c r="Y551">
        <v>117906448</v>
      </c>
      <c r="Z551">
        <v>9969</v>
      </c>
      <c r="AA551">
        <v>2</v>
      </c>
      <c r="AB551">
        <v>66</v>
      </c>
    </row>
    <row r="552" spans="1:28" hidden="1" x14ac:dyDescent="0.25">
      <c r="A552" s="7" t="s">
        <v>57</v>
      </c>
      <c r="B552">
        <v>12</v>
      </c>
      <c r="C552">
        <v>3</v>
      </c>
      <c r="D552">
        <v>4</v>
      </c>
      <c r="E552">
        <v>0</v>
      </c>
      <c r="F552" s="7" t="s">
        <v>63</v>
      </c>
      <c r="G552">
        <v>9897</v>
      </c>
      <c r="H552">
        <v>711542876</v>
      </c>
      <c r="I552">
        <v>5032</v>
      </c>
      <c r="J552">
        <v>0.41509434580802917</v>
      </c>
      <c r="K552">
        <v>0.66666668653488159</v>
      </c>
      <c r="L552">
        <v>0.42222222685813904</v>
      </c>
      <c r="M552">
        <v>0.9555555555555556</v>
      </c>
      <c r="N552">
        <v>0.92592592592592593</v>
      </c>
      <c r="O552">
        <v>1</v>
      </c>
      <c r="P552">
        <v>16467</v>
      </c>
      <c r="Q552">
        <v>172714371</v>
      </c>
      <c r="R552">
        <v>9688</v>
      </c>
      <c r="S552">
        <v>2</v>
      </c>
      <c r="T552">
        <v>65</v>
      </c>
      <c r="U552">
        <v>0.93333333333333335</v>
      </c>
      <c r="V552">
        <v>0.92592592592592593</v>
      </c>
      <c r="W552">
        <v>1</v>
      </c>
      <c r="X552">
        <v>12013</v>
      </c>
      <c r="Y552">
        <v>108988061</v>
      </c>
      <c r="Z552">
        <v>9969</v>
      </c>
      <c r="AA552">
        <v>2</v>
      </c>
      <c r="AB552">
        <v>66</v>
      </c>
    </row>
    <row r="553" spans="1:28" hidden="1" x14ac:dyDescent="0.25">
      <c r="A553" s="7" t="s">
        <v>57</v>
      </c>
      <c r="B553">
        <v>12</v>
      </c>
      <c r="C553">
        <v>3</v>
      </c>
      <c r="D553">
        <v>4</v>
      </c>
      <c r="E553">
        <v>0</v>
      </c>
      <c r="F553" s="7" t="s">
        <v>63</v>
      </c>
      <c r="G553">
        <v>9897</v>
      </c>
      <c r="H553">
        <v>897926745</v>
      </c>
      <c r="I553">
        <v>6354</v>
      </c>
      <c r="J553">
        <v>0.2641509473323822</v>
      </c>
      <c r="K553">
        <v>0.74074071645736694</v>
      </c>
      <c r="L553">
        <v>0.17777778208255768</v>
      </c>
      <c r="M553">
        <v>0.91111111111111109</v>
      </c>
      <c r="N553">
        <v>0.92592592592592593</v>
      </c>
      <c r="O553">
        <v>1</v>
      </c>
      <c r="P553">
        <v>11422</v>
      </c>
      <c r="Q553">
        <v>106090986</v>
      </c>
      <c r="R553">
        <v>9688</v>
      </c>
      <c r="S553">
        <v>2</v>
      </c>
      <c r="T553">
        <v>65</v>
      </c>
      <c r="U553">
        <v>0.91111111111111109</v>
      </c>
      <c r="V553">
        <v>0.92592592592592593</v>
      </c>
      <c r="W553">
        <v>1</v>
      </c>
      <c r="X553">
        <v>11021</v>
      </c>
      <c r="Y553">
        <v>102951482</v>
      </c>
      <c r="Z553">
        <v>9969</v>
      </c>
      <c r="AA553">
        <v>2</v>
      </c>
      <c r="AB553">
        <v>66</v>
      </c>
    </row>
    <row r="554" spans="1:28" hidden="1" x14ac:dyDescent="0.25">
      <c r="A554" s="7" t="s">
        <v>57</v>
      </c>
      <c r="B554">
        <v>12</v>
      </c>
      <c r="C554">
        <v>3</v>
      </c>
      <c r="D554">
        <v>4</v>
      </c>
      <c r="E554">
        <v>0</v>
      </c>
      <c r="F554" s="7" t="s">
        <v>63</v>
      </c>
      <c r="G554">
        <v>9897</v>
      </c>
      <c r="H554">
        <v>793599970</v>
      </c>
      <c r="I554">
        <v>5572</v>
      </c>
      <c r="J554">
        <v>0.42452830076217651</v>
      </c>
      <c r="K554">
        <v>0.70370370149612427</v>
      </c>
      <c r="L554">
        <v>0.46666666865348816</v>
      </c>
      <c r="M554">
        <v>0.88888888888888884</v>
      </c>
      <c r="N554">
        <v>0.88888888888888884</v>
      </c>
      <c r="O554">
        <v>1</v>
      </c>
      <c r="P554">
        <v>13177</v>
      </c>
      <c r="Q554">
        <v>132551750</v>
      </c>
      <c r="R554">
        <v>9688</v>
      </c>
      <c r="S554">
        <v>2</v>
      </c>
      <c r="T554">
        <v>65</v>
      </c>
      <c r="U554">
        <v>0.93333333333333335</v>
      </c>
      <c r="V554">
        <v>0.88888888888888884</v>
      </c>
      <c r="W554">
        <v>1</v>
      </c>
      <c r="X554">
        <v>19888</v>
      </c>
      <c r="Y554">
        <v>242017036</v>
      </c>
      <c r="Z554">
        <v>9969</v>
      </c>
      <c r="AA554">
        <v>2</v>
      </c>
      <c r="AB554">
        <v>66</v>
      </c>
    </row>
    <row r="555" spans="1:28" hidden="1" x14ac:dyDescent="0.25">
      <c r="A555" s="7" t="s">
        <v>57</v>
      </c>
      <c r="B555">
        <v>12</v>
      </c>
      <c r="C555">
        <v>3</v>
      </c>
      <c r="D555">
        <v>4</v>
      </c>
      <c r="E555">
        <v>0</v>
      </c>
      <c r="F555" s="7" t="s">
        <v>64</v>
      </c>
      <c r="G555">
        <v>11612</v>
      </c>
      <c r="H555">
        <v>803716055</v>
      </c>
      <c r="I555">
        <v>5100</v>
      </c>
      <c r="J555">
        <v>0.31132075190544128</v>
      </c>
      <c r="K555">
        <v>0.66666668653488159</v>
      </c>
      <c r="L555">
        <v>0.28888890147209167</v>
      </c>
      <c r="M555">
        <v>0.93333333333333335</v>
      </c>
      <c r="N555">
        <v>0.92592592592592593</v>
      </c>
      <c r="O555">
        <v>1</v>
      </c>
      <c r="P555">
        <v>18514</v>
      </c>
      <c r="Q555">
        <v>947853887</v>
      </c>
      <c r="R555">
        <v>11434</v>
      </c>
      <c r="S555">
        <v>2</v>
      </c>
      <c r="T555">
        <v>71</v>
      </c>
      <c r="U555">
        <v>0.9555555555555556</v>
      </c>
      <c r="V555">
        <v>0.92592592592592593</v>
      </c>
      <c r="W555">
        <v>1</v>
      </c>
      <c r="X555">
        <v>8602</v>
      </c>
      <c r="Y555">
        <v>405176573</v>
      </c>
      <c r="Z555">
        <v>11739</v>
      </c>
      <c r="AA555">
        <v>2</v>
      </c>
      <c r="AB555">
        <v>72</v>
      </c>
    </row>
    <row r="556" spans="1:28" hidden="1" x14ac:dyDescent="0.25">
      <c r="A556" s="7" t="s">
        <v>57</v>
      </c>
      <c r="B556">
        <v>12</v>
      </c>
      <c r="C556">
        <v>3</v>
      </c>
      <c r="D556">
        <v>4</v>
      </c>
      <c r="E556">
        <v>0</v>
      </c>
      <c r="F556" s="7" t="s">
        <v>64</v>
      </c>
      <c r="G556">
        <v>11612</v>
      </c>
      <c r="H556">
        <v>909594364</v>
      </c>
      <c r="I556">
        <v>5785</v>
      </c>
      <c r="J556">
        <v>0.31132075190544128</v>
      </c>
      <c r="K556">
        <v>0.74074071645736694</v>
      </c>
      <c r="L556">
        <v>0.31111112236976624</v>
      </c>
      <c r="M556">
        <v>0.93333333333333335</v>
      </c>
      <c r="N556">
        <v>0.88888888888888884</v>
      </c>
      <c r="O556">
        <v>1</v>
      </c>
      <c r="P556">
        <v>14411</v>
      </c>
      <c r="Q556">
        <v>719785380</v>
      </c>
      <c r="R556">
        <v>11434</v>
      </c>
      <c r="S556">
        <v>2</v>
      </c>
      <c r="T556">
        <v>71</v>
      </c>
      <c r="U556">
        <v>0.93333333333333335</v>
      </c>
      <c r="V556">
        <v>0.88888888888888884</v>
      </c>
      <c r="W556">
        <v>1</v>
      </c>
      <c r="X556">
        <v>15792</v>
      </c>
      <c r="Y556">
        <v>803641398</v>
      </c>
      <c r="Z556">
        <v>11739</v>
      </c>
      <c r="AA556">
        <v>2</v>
      </c>
      <c r="AB556">
        <v>72</v>
      </c>
    </row>
    <row r="557" spans="1:28" hidden="1" x14ac:dyDescent="0.25">
      <c r="A557" s="7" t="s">
        <v>57</v>
      </c>
      <c r="B557">
        <v>12</v>
      </c>
      <c r="C557">
        <v>3</v>
      </c>
      <c r="D557">
        <v>4</v>
      </c>
      <c r="E557">
        <v>0</v>
      </c>
      <c r="F557" s="7" t="s">
        <v>64</v>
      </c>
      <c r="G557">
        <v>11612</v>
      </c>
      <c r="H557">
        <v>800554399</v>
      </c>
      <c r="I557">
        <v>5071</v>
      </c>
      <c r="J557">
        <v>0.66981130838394165</v>
      </c>
      <c r="K557">
        <v>0.74074071645736694</v>
      </c>
      <c r="L557">
        <v>0.57777780294418335</v>
      </c>
      <c r="M557">
        <v>0.9555555555555556</v>
      </c>
      <c r="N557">
        <v>0.92592592592592593</v>
      </c>
      <c r="O557">
        <v>1</v>
      </c>
      <c r="P557">
        <v>9184</v>
      </c>
      <c r="Q557">
        <v>429621629</v>
      </c>
      <c r="R557">
        <v>11434</v>
      </c>
      <c r="S557">
        <v>2</v>
      </c>
      <c r="T557">
        <v>71</v>
      </c>
      <c r="U557">
        <v>0.93333333333333335</v>
      </c>
      <c r="V557">
        <v>0.92592592592592593</v>
      </c>
      <c r="W557">
        <v>1</v>
      </c>
      <c r="X557">
        <v>11715</v>
      </c>
      <c r="Y557">
        <v>549374279</v>
      </c>
      <c r="Z557">
        <v>11739</v>
      </c>
      <c r="AA557">
        <v>2</v>
      </c>
      <c r="AB557">
        <v>72</v>
      </c>
    </row>
    <row r="558" spans="1:28" hidden="1" x14ac:dyDescent="0.25">
      <c r="A558" s="7" t="s">
        <v>57</v>
      </c>
      <c r="B558">
        <v>12</v>
      </c>
      <c r="C558">
        <v>3</v>
      </c>
      <c r="D558">
        <v>4</v>
      </c>
      <c r="E558">
        <v>0</v>
      </c>
      <c r="F558" s="7" t="s">
        <v>64</v>
      </c>
      <c r="G558">
        <v>11612</v>
      </c>
      <c r="H558">
        <v>1040042929</v>
      </c>
      <c r="I558">
        <v>6565</v>
      </c>
      <c r="J558">
        <v>0.37735849618911743</v>
      </c>
      <c r="K558">
        <v>0.81481480598449707</v>
      </c>
      <c r="L558">
        <v>0.46666666865348816</v>
      </c>
      <c r="M558">
        <v>0.91111111111111109</v>
      </c>
      <c r="N558">
        <v>0.88888888888888884</v>
      </c>
      <c r="O558">
        <v>1</v>
      </c>
      <c r="P558">
        <v>24718</v>
      </c>
      <c r="Q558">
        <v>1380183770</v>
      </c>
      <c r="R558">
        <v>11434</v>
      </c>
      <c r="S558">
        <v>2</v>
      </c>
      <c r="T558">
        <v>71</v>
      </c>
      <c r="U558">
        <v>0.9555555555555556</v>
      </c>
      <c r="V558">
        <v>0.96296296296296291</v>
      </c>
      <c r="W558">
        <v>1</v>
      </c>
      <c r="X558">
        <v>11963</v>
      </c>
      <c r="Y558">
        <v>568452396</v>
      </c>
      <c r="Z558">
        <v>11739</v>
      </c>
      <c r="AA558">
        <v>2</v>
      </c>
      <c r="AB558">
        <v>72</v>
      </c>
    </row>
    <row r="559" spans="1:28" hidden="1" x14ac:dyDescent="0.25">
      <c r="A559" s="7" t="s">
        <v>57</v>
      </c>
      <c r="B559">
        <v>12</v>
      </c>
      <c r="C559">
        <v>3</v>
      </c>
      <c r="D559">
        <v>4</v>
      </c>
      <c r="E559">
        <v>0</v>
      </c>
      <c r="F559" s="7" t="s">
        <v>64</v>
      </c>
      <c r="G559">
        <v>11612</v>
      </c>
      <c r="H559">
        <v>832168398</v>
      </c>
      <c r="I559">
        <v>5252</v>
      </c>
      <c r="J559">
        <v>0.35849055647850037</v>
      </c>
      <c r="K559">
        <v>0.77777779102325439</v>
      </c>
      <c r="L559">
        <v>0.3333333432674408</v>
      </c>
      <c r="M559">
        <v>0.91111111111111109</v>
      </c>
      <c r="N559">
        <v>0.88888888888888884</v>
      </c>
      <c r="O559">
        <v>1</v>
      </c>
      <c r="P559">
        <v>11774</v>
      </c>
      <c r="Q559">
        <v>566911628</v>
      </c>
      <c r="R559">
        <v>11434</v>
      </c>
      <c r="S559">
        <v>2</v>
      </c>
      <c r="T559">
        <v>71</v>
      </c>
      <c r="U559">
        <v>0.91111111111111109</v>
      </c>
      <c r="V559">
        <v>0.88888888888888884</v>
      </c>
      <c r="W559">
        <v>1</v>
      </c>
      <c r="X559">
        <v>16804</v>
      </c>
      <c r="Y559">
        <v>812474507</v>
      </c>
      <c r="Z559">
        <v>11739</v>
      </c>
      <c r="AA559">
        <v>2</v>
      </c>
      <c r="AB559">
        <v>72</v>
      </c>
    </row>
    <row r="560" spans="1:28" hidden="1" x14ac:dyDescent="0.25">
      <c r="A560" s="7" t="s">
        <v>57</v>
      </c>
      <c r="B560">
        <v>12</v>
      </c>
      <c r="C560">
        <v>3</v>
      </c>
      <c r="D560">
        <v>4</v>
      </c>
      <c r="E560">
        <v>0</v>
      </c>
      <c r="F560" s="7" t="s">
        <v>65</v>
      </c>
      <c r="G560">
        <v>9172</v>
      </c>
      <c r="H560">
        <v>919443343</v>
      </c>
      <c r="I560">
        <v>6361</v>
      </c>
      <c r="J560">
        <v>0.63207548856735229</v>
      </c>
      <c r="K560">
        <v>0.70370370149612427</v>
      </c>
      <c r="L560">
        <v>0.62222224473953247</v>
      </c>
      <c r="M560">
        <v>0.9555555555555556</v>
      </c>
      <c r="N560">
        <v>0.92592592592592593</v>
      </c>
      <c r="O560">
        <v>1</v>
      </c>
      <c r="P560">
        <v>12778</v>
      </c>
      <c r="Q560">
        <v>126332067</v>
      </c>
      <c r="R560">
        <v>9138</v>
      </c>
      <c r="S560">
        <v>2</v>
      </c>
      <c r="T560">
        <v>63</v>
      </c>
      <c r="U560">
        <v>0.9555555555555556</v>
      </c>
      <c r="V560">
        <v>0.92592592592592593</v>
      </c>
      <c r="W560">
        <v>1</v>
      </c>
      <c r="X560">
        <v>12607</v>
      </c>
      <c r="Y560">
        <v>127854444</v>
      </c>
      <c r="Z560">
        <v>9411</v>
      </c>
      <c r="AA560">
        <v>2</v>
      </c>
      <c r="AB560">
        <v>64</v>
      </c>
    </row>
    <row r="561" spans="1:28" hidden="1" x14ac:dyDescent="0.25">
      <c r="A561" s="7" t="s">
        <v>57</v>
      </c>
      <c r="B561">
        <v>12</v>
      </c>
      <c r="C561">
        <v>3</v>
      </c>
      <c r="D561">
        <v>4</v>
      </c>
      <c r="E561">
        <v>0</v>
      </c>
      <c r="F561" s="7" t="s">
        <v>65</v>
      </c>
      <c r="G561">
        <v>9172</v>
      </c>
      <c r="H561">
        <v>766635324</v>
      </c>
      <c r="I561">
        <v>5301</v>
      </c>
      <c r="J561">
        <v>0.51886790990829468</v>
      </c>
      <c r="K561">
        <v>0.70370370149612427</v>
      </c>
      <c r="L561">
        <v>0.51111114025115967</v>
      </c>
      <c r="M561">
        <v>0.9555555555555556</v>
      </c>
      <c r="N561">
        <v>0.92592592592592593</v>
      </c>
      <c r="O561">
        <v>1</v>
      </c>
      <c r="P561">
        <v>12731</v>
      </c>
      <c r="Q561">
        <v>128462179</v>
      </c>
      <c r="R561">
        <v>9138</v>
      </c>
      <c r="S561">
        <v>2</v>
      </c>
      <c r="T561">
        <v>63</v>
      </c>
      <c r="U561">
        <v>0.93333333333333335</v>
      </c>
      <c r="V561">
        <v>0.92592592592592593</v>
      </c>
      <c r="W561">
        <v>1</v>
      </c>
      <c r="X561">
        <v>11193</v>
      </c>
      <c r="Y561">
        <v>112555941</v>
      </c>
      <c r="Z561">
        <v>9411</v>
      </c>
      <c r="AA561">
        <v>2</v>
      </c>
      <c r="AB561">
        <v>64</v>
      </c>
    </row>
    <row r="562" spans="1:28" hidden="1" x14ac:dyDescent="0.25">
      <c r="A562" s="7" t="s">
        <v>57</v>
      </c>
      <c r="B562">
        <v>12</v>
      </c>
      <c r="C562">
        <v>3</v>
      </c>
      <c r="D562">
        <v>4</v>
      </c>
      <c r="E562">
        <v>0</v>
      </c>
      <c r="F562" s="7" t="s">
        <v>65</v>
      </c>
      <c r="G562">
        <v>9172</v>
      </c>
      <c r="H562">
        <v>756925478</v>
      </c>
      <c r="I562">
        <v>5256</v>
      </c>
      <c r="J562">
        <v>0.34905660152435303</v>
      </c>
      <c r="K562">
        <v>0.70370370149612427</v>
      </c>
      <c r="L562">
        <v>0.48888888955116272</v>
      </c>
      <c r="M562">
        <v>0.91111111111111109</v>
      </c>
      <c r="N562">
        <v>0.92592592592592593</v>
      </c>
      <c r="O562">
        <v>1</v>
      </c>
      <c r="P562">
        <v>14354</v>
      </c>
      <c r="Q562">
        <v>145900424</v>
      </c>
      <c r="R562">
        <v>9138</v>
      </c>
      <c r="S562">
        <v>2</v>
      </c>
      <c r="T562">
        <v>63</v>
      </c>
      <c r="U562">
        <v>0.91111111111111109</v>
      </c>
      <c r="V562">
        <v>0.92592592592592593</v>
      </c>
      <c r="W562">
        <v>1</v>
      </c>
      <c r="X562">
        <v>11824</v>
      </c>
      <c r="Y562">
        <v>117245189</v>
      </c>
      <c r="Z562">
        <v>9411</v>
      </c>
      <c r="AA562">
        <v>2</v>
      </c>
      <c r="AB562">
        <v>64</v>
      </c>
    </row>
    <row r="563" spans="1:28" hidden="1" x14ac:dyDescent="0.25">
      <c r="A563" s="7" t="s">
        <v>57</v>
      </c>
      <c r="B563">
        <v>12</v>
      </c>
      <c r="C563">
        <v>3</v>
      </c>
      <c r="D563">
        <v>4</v>
      </c>
      <c r="E563">
        <v>0</v>
      </c>
      <c r="F563" s="7" t="s">
        <v>65</v>
      </c>
      <c r="G563">
        <v>9172</v>
      </c>
      <c r="H563">
        <v>743985879</v>
      </c>
      <c r="I563">
        <v>5159</v>
      </c>
      <c r="J563">
        <v>0.30188679695129395</v>
      </c>
      <c r="K563">
        <v>0.77777779102325439</v>
      </c>
      <c r="L563">
        <v>0.20000000298023224</v>
      </c>
      <c r="M563">
        <v>0.9555555555555556</v>
      </c>
      <c r="N563">
        <v>0.96296296296296291</v>
      </c>
      <c r="O563">
        <v>1</v>
      </c>
      <c r="P563">
        <v>20271</v>
      </c>
      <c r="Q563">
        <v>253528156</v>
      </c>
      <c r="R563">
        <v>9138</v>
      </c>
      <c r="S563">
        <v>2</v>
      </c>
      <c r="T563">
        <v>63</v>
      </c>
      <c r="U563">
        <v>0.93333333333333335</v>
      </c>
      <c r="V563">
        <v>0.92592592592592593</v>
      </c>
      <c r="W563">
        <v>1</v>
      </c>
      <c r="X563">
        <v>11596</v>
      </c>
      <c r="Y563">
        <v>119381096</v>
      </c>
      <c r="Z563">
        <v>9411</v>
      </c>
      <c r="AA563">
        <v>2</v>
      </c>
      <c r="AB563">
        <v>64</v>
      </c>
    </row>
    <row r="564" spans="1:28" hidden="1" x14ac:dyDescent="0.25">
      <c r="A564" s="7" t="s">
        <v>57</v>
      </c>
      <c r="B564">
        <v>12</v>
      </c>
      <c r="C564">
        <v>3</v>
      </c>
      <c r="D564">
        <v>4</v>
      </c>
      <c r="E564">
        <v>0</v>
      </c>
      <c r="F564" s="7" t="s">
        <v>65</v>
      </c>
      <c r="G564">
        <v>9172</v>
      </c>
      <c r="H564">
        <v>785757052</v>
      </c>
      <c r="I564">
        <v>5344</v>
      </c>
      <c r="J564">
        <v>0.35849055647850037</v>
      </c>
      <c r="K564">
        <v>0.66666668653488159</v>
      </c>
      <c r="L564">
        <v>0.37777778506278992</v>
      </c>
      <c r="M564">
        <v>0.93333333333333335</v>
      </c>
      <c r="N564">
        <v>0.96296296296296291</v>
      </c>
      <c r="O564">
        <v>1</v>
      </c>
      <c r="P564">
        <v>14122</v>
      </c>
      <c r="Q564">
        <v>145101941</v>
      </c>
      <c r="R564">
        <v>9138</v>
      </c>
      <c r="S564">
        <v>2</v>
      </c>
      <c r="T564">
        <v>63</v>
      </c>
      <c r="U564">
        <v>0.93333333333333335</v>
      </c>
      <c r="V564">
        <v>0.88888888888888884</v>
      </c>
      <c r="W564">
        <v>0.98113207547169812</v>
      </c>
      <c r="X564">
        <v>13807</v>
      </c>
      <c r="Y564">
        <v>141933084</v>
      </c>
      <c r="Z564">
        <v>9411</v>
      </c>
      <c r="AA564">
        <v>2</v>
      </c>
      <c r="AB564">
        <v>64</v>
      </c>
    </row>
    <row r="565" spans="1:28" hidden="1" x14ac:dyDescent="0.25">
      <c r="A565" s="7" t="s">
        <v>57</v>
      </c>
      <c r="B565">
        <v>12</v>
      </c>
      <c r="C565">
        <v>3</v>
      </c>
      <c r="D565">
        <v>4</v>
      </c>
      <c r="E565">
        <v>0</v>
      </c>
      <c r="F565" s="7" t="s">
        <v>66</v>
      </c>
      <c r="G565">
        <v>11077</v>
      </c>
      <c r="H565">
        <v>874571746</v>
      </c>
      <c r="I565">
        <v>5600</v>
      </c>
      <c r="J565">
        <v>0.27358490228652954</v>
      </c>
      <c r="K565">
        <v>0.62962961196899414</v>
      </c>
      <c r="L565">
        <v>0.2222222238779068</v>
      </c>
      <c r="M565">
        <v>0.93333333333333335</v>
      </c>
      <c r="N565">
        <v>0.88888888888888884</v>
      </c>
      <c r="O565">
        <v>1</v>
      </c>
      <c r="P565">
        <v>18808</v>
      </c>
      <c r="Q565">
        <v>233964825</v>
      </c>
      <c r="R565">
        <v>10836</v>
      </c>
      <c r="S565">
        <v>2</v>
      </c>
      <c r="T565">
        <v>69</v>
      </c>
      <c r="U565">
        <v>0.93333333333333335</v>
      </c>
      <c r="V565">
        <v>0.92592592592592593</v>
      </c>
      <c r="W565">
        <v>1</v>
      </c>
      <c r="X565">
        <v>15286</v>
      </c>
      <c r="Y565">
        <v>176044996</v>
      </c>
      <c r="Z565">
        <v>11133</v>
      </c>
      <c r="AA565">
        <v>2</v>
      </c>
      <c r="AB565">
        <v>70</v>
      </c>
    </row>
    <row r="566" spans="1:28" hidden="1" x14ac:dyDescent="0.25">
      <c r="A566" s="7" t="s">
        <v>57</v>
      </c>
      <c r="B566">
        <v>12</v>
      </c>
      <c r="C566">
        <v>3</v>
      </c>
      <c r="D566">
        <v>4</v>
      </c>
      <c r="E566">
        <v>0</v>
      </c>
      <c r="F566" s="7" t="s">
        <v>66</v>
      </c>
      <c r="G566">
        <v>11077</v>
      </c>
      <c r="H566">
        <v>2406800388</v>
      </c>
      <c r="I566">
        <v>15266</v>
      </c>
      <c r="J566">
        <v>0.6603773832321167</v>
      </c>
      <c r="K566">
        <v>0.81481480598449707</v>
      </c>
      <c r="L566">
        <v>0.68888890743255615</v>
      </c>
      <c r="M566">
        <v>0.91111111111111109</v>
      </c>
      <c r="N566">
        <v>0.92592592592592593</v>
      </c>
      <c r="O566">
        <v>1</v>
      </c>
      <c r="P566">
        <v>11436</v>
      </c>
      <c r="Q566">
        <v>118256542</v>
      </c>
      <c r="R566">
        <v>10836</v>
      </c>
      <c r="S566">
        <v>2</v>
      </c>
      <c r="T566">
        <v>69</v>
      </c>
      <c r="U566">
        <v>0.91111111111111109</v>
      </c>
      <c r="V566">
        <v>0.92592592592592593</v>
      </c>
      <c r="W566">
        <v>1</v>
      </c>
      <c r="X566">
        <v>8946</v>
      </c>
      <c r="Y566">
        <v>93629314</v>
      </c>
      <c r="Z566">
        <v>11133</v>
      </c>
      <c r="AA566">
        <v>2</v>
      </c>
      <c r="AB566">
        <v>70</v>
      </c>
    </row>
    <row r="567" spans="1:28" hidden="1" x14ac:dyDescent="0.25">
      <c r="A567" s="7" t="s">
        <v>57</v>
      </c>
      <c r="B567">
        <v>12</v>
      </c>
      <c r="C567">
        <v>3</v>
      </c>
      <c r="D567">
        <v>4</v>
      </c>
      <c r="E567">
        <v>0</v>
      </c>
      <c r="F567" s="7" t="s">
        <v>66</v>
      </c>
      <c r="G567">
        <v>11077</v>
      </c>
      <c r="H567">
        <v>831861409</v>
      </c>
      <c r="I567">
        <v>5360</v>
      </c>
      <c r="J567">
        <v>0.68867921829223633</v>
      </c>
      <c r="K567">
        <v>0.85185188055038452</v>
      </c>
      <c r="L567">
        <v>0.75555557012557983</v>
      </c>
      <c r="M567">
        <v>0.91111111111111109</v>
      </c>
      <c r="N567">
        <v>0.96296296296296291</v>
      </c>
      <c r="O567">
        <v>1</v>
      </c>
      <c r="P567">
        <v>13885</v>
      </c>
      <c r="Q567">
        <v>144585066</v>
      </c>
      <c r="R567">
        <v>10836</v>
      </c>
      <c r="S567">
        <v>2</v>
      </c>
      <c r="T567">
        <v>69</v>
      </c>
      <c r="U567">
        <v>0.93333333333333335</v>
      </c>
      <c r="V567">
        <v>0.96296296296296291</v>
      </c>
      <c r="W567">
        <v>1</v>
      </c>
      <c r="X567">
        <v>14860</v>
      </c>
      <c r="Y567">
        <v>159068743</v>
      </c>
      <c r="Z567">
        <v>11133</v>
      </c>
      <c r="AA567">
        <v>2</v>
      </c>
      <c r="AB567">
        <v>70</v>
      </c>
    </row>
    <row r="568" spans="1:28" hidden="1" x14ac:dyDescent="0.25">
      <c r="A568" s="7" t="s">
        <v>57</v>
      </c>
      <c r="B568">
        <v>12</v>
      </c>
      <c r="C568">
        <v>3</v>
      </c>
      <c r="D568">
        <v>4</v>
      </c>
      <c r="E568">
        <v>0</v>
      </c>
      <c r="F568" s="7" t="s">
        <v>66</v>
      </c>
      <c r="G568">
        <v>11077</v>
      </c>
      <c r="H568">
        <v>1280167741</v>
      </c>
      <c r="I568">
        <v>8239</v>
      </c>
      <c r="J568">
        <v>0.50943398475646973</v>
      </c>
      <c r="K568">
        <v>0.70370370149612427</v>
      </c>
      <c r="L568">
        <v>0.57777780294418335</v>
      </c>
      <c r="M568">
        <v>0.9555555555555556</v>
      </c>
      <c r="N568">
        <v>0.92592592592592593</v>
      </c>
      <c r="O568">
        <v>1</v>
      </c>
      <c r="P568">
        <v>11401</v>
      </c>
      <c r="Q568">
        <v>116809016</v>
      </c>
      <c r="R568">
        <v>10836</v>
      </c>
      <c r="S568">
        <v>2</v>
      </c>
      <c r="T568">
        <v>69</v>
      </c>
      <c r="U568">
        <v>0.9555555555555556</v>
      </c>
      <c r="V568">
        <v>0.96296296296296291</v>
      </c>
      <c r="W568">
        <v>1</v>
      </c>
      <c r="X568">
        <v>14677</v>
      </c>
      <c r="Y568">
        <v>158404814</v>
      </c>
      <c r="Z568">
        <v>11133</v>
      </c>
      <c r="AA568">
        <v>2</v>
      </c>
      <c r="AB568">
        <v>70</v>
      </c>
    </row>
    <row r="569" spans="1:28" hidden="1" x14ac:dyDescent="0.25">
      <c r="A569" s="7" t="s">
        <v>57</v>
      </c>
      <c r="B569">
        <v>20</v>
      </c>
      <c r="C569">
        <v>9</v>
      </c>
      <c r="D569">
        <v>5</v>
      </c>
      <c r="E569">
        <v>0</v>
      </c>
      <c r="F569" s="7" t="s">
        <v>71</v>
      </c>
      <c r="G569">
        <v>8534</v>
      </c>
      <c r="H569">
        <v>524920451</v>
      </c>
      <c r="I569">
        <v>5134</v>
      </c>
      <c r="J569">
        <v>0.28301885724067688</v>
      </c>
      <c r="K569">
        <v>0.92592591047286987</v>
      </c>
      <c r="L569">
        <v>0.35555556416511536</v>
      </c>
      <c r="M569">
        <v>0.84444444444444444</v>
      </c>
      <c r="N569">
        <v>1</v>
      </c>
      <c r="O569">
        <v>1</v>
      </c>
      <c r="P569">
        <v>1706</v>
      </c>
      <c r="Q569">
        <v>83744095</v>
      </c>
      <c r="R569">
        <v>8343</v>
      </c>
      <c r="S569">
        <v>2</v>
      </c>
      <c r="T569">
        <v>60</v>
      </c>
      <c r="U569">
        <v>0.91111111111111109</v>
      </c>
      <c r="V569">
        <v>1</v>
      </c>
      <c r="W569">
        <v>0.99056603773584906</v>
      </c>
      <c r="X569">
        <v>1971</v>
      </c>
      <c r="Y569">
        <v>107843625</v>
      </c>
      <c r="Z569">
        <v>8604</v>
      </c>
      <c r="AA569">
        <v>2</v>
      </c>
      <c r="AB569">
        <v>61</v>
      </c>
    </row>
    <row r="570" spans="1:28" hidden="1" x14ac:dyDescent="0.25">
      <c r="A570" s="7" t="s">
        <v>57</v>
      </c>
      <c r="B570">
        <v>20</v>
      </c>
      <c r="C570">
        <v>9</v>
      </c>
      <c r="D570">
        <v>5</v>
      </c>
      <c r="E570">
        <v>0</v>
      </c>
      <c r="F570" s="7" t="s">
        <v>71</v>
      </c>
      <c r="G570">
        <v>8534</v>
      </c>
      <c r="H570">
        <v>531348134</v>
      </c>
      <c r="I570">
        <v>5043</v>
      </c>
      <c r="J570">
        <v>0.34905660152435303</v>
      </c>
      <c r="K570">
        <v>0.81481480598449707</v>
      </c>
      <c r="L570">
        <v>0.37777778506278992</v>
      </c>
      <c r="M570">
        <v>0.84444444444444444</v>
      </c>
      <c r="N570">
        <v>1</v>
      </c>
      <c r="O570">
        <v>1</v>
      </c>
      <c r="P570">
        <v>1939</v>
      </c>
      <c r="Q570">
        <v>101604859</v>
      </c>
      <c r="R570">
        <v>8343</v>
      </c>
      <c r="S570">
        <v>2</v>
      </c>
      <c r="T570">
        <v>60</v>
      </c>
      <c r="U570">
        <v>0.91111111111111109</v>
      </c>
      <c r="V570">
        <v>1</v>
      </c>
      <c r="W570">
        <v>1</v>
      </c>
      <c r="X570">
        <v>1208</v>
      </c>
      <c r="Y570">
        <v>46613155</v>
      </c>
      <c r="Z570">
        <v>8604</v>
      </c>
      <c r="AA570">
        <v>2</v>
      </c>
      <c r="AB570">
        <v>61</v>
      </c>
    </row>
    <row r="571" spans="1:28" hidden="1" x14ac:dyDescent="0.25">
      <c r="A571" s="7" t="s">
        <v>57</v>
      </c>
      <c r="B571">
        <v>20</v>
      </c>
      <c r="C571">
        <v>9</v>
      </c>
      <c r="D571">
        <v>5</v>
      </c>
      <c r="E571">
        <v>0</v>
      </c>
      <c r="F571" s="7" t="s">
        <v>71</v>
      </c>
      <c r="G571">
        <v>8534</v>
      </c>
      <c r="H571">
        <v>551059474</v>
      </c>
      <c r="I571">
        <v>5206</v>
      </c>
      <c r="J571">
        <v>0.32075470685958862</v>
      </c>
      <c r="K571">
        <v>0.81481480598449707</v>
      </c>
      <c r="L571">
        <v>0.42222222685813904</v>
      </c>
      <c r="M571">
        <v>0.88888888888888884</v>
      </c>
      <c r="N571">
        <v>1</v>
      </c>
      <c r="O571">
        <v>1</v>
      </c>
      <c r="P571">
        <v>2720</v>
      </c>
      <c r="Q571">
        <v>162905627</v>
      </c>
      <c r="R571">
        <v>8343</v>
      </c>
      <c r="S571">
        <v>2</v>
      </c>
      <c r="T571">
        <v>60</v>
      </c>
      <c r="U571">
        <v>0.88888888888888884</v>
      </c>
      <c r="V571">
        <v>1</v>
      </c>
      <c r="W571">
        <v>1</v>
      </c>
      <c r="X571">
        <v>931</v>
      </c>
      <c r="Y571">
        <v>37010948</v>
      </c>
      <c r="Z571">
        <v>8604</v>
      </c>
      <c r="AA571">
        <v>2</v>
      </c>
      <c r="AB571">
        <v>61</v>
      </c>
    </row>
    <row r="572" spans="1:28" hidden="1" x14ac:dyDescent="0.25">
      <c r="A572" s="7" t="s">
        <v>57</v>
      </c>
      <c r="B572">
        <v>20</v>
      </c>
      <c r="C572">
        <v>9</v>
      </c>
      <c r="D572">
        <v>5</v>
      </c>
      <c r="E572">
        <v>0</v>
      </c>
      <c r="F572" s="7" t="s">
        <v>71</v>
      </c>
      <c r="G572">
        <v>8534</v>
      </c>
      <c r="H572">
        <v>612353210</v>
      </c>
      <c r="I572">
        <v>5855</v>
      </c>
      <c r="J572">
        <v>0.66981130838394165</v>
      </c>
      <c r="K572">
        <v>0.8888888955116272</v>
      </c>
      <c r="L572">
        <v>0.66666668653488159</v>
      </c>
      <c r="M572">
        <v>0.91111111111111109</v>
      </c>
      <c r="N572">
        <v>1</v>
      </c>
      <c r="O572">
        <v>1</v>
      </c>
      <c r="P572">
        <v>1961</v>
      </c>
      <c r="Q572">
        <v>103415315</v>
      </c>
      <c r="R572">
        <v>8343</v>
      </c>
      <c r="S572">
        <v>2</v>
      </c>
      <c r="T572">
        <v>60</v>
      </c>
      <c r="U572">
        <v>0.88888888888888884</v>
      </c>
      <c r="V572">
        <v>1</v>
      </c>
      <c r="W572">
        <v>1</v>
      </c>
      <c r="X572">
        <v>974</v>
      </c>
      <c r="Y572">
        <v>38256408</v>
      </c>
      <c r="Z572">
        <v>8604</v>
      </c>
      <c r="AA572">
        <v>2</v>
      </c>
      <c r="AB572">
        <v>61</v>
      </c>
    </row>
    <row r="573" spans="1:28" hidden="1" x14ac:dyDescent="0.25">
      <c r="A573" s="7" t="s">
        <v>57</v>
      </c>
      <c r="B573">
        <v>20</v>
      </c>
      <c r="C573">
        <v>9</v>
      </c>
      <c r="D573">
        <v>5</v>
      </c>
      <c r="E573">
        <v>0</v>
      </c>
      <c r="F573" s="7" t="s">
        <v>75</v>
      </c>
      <c r="G573">
        <v>10779</v>
      </c>
      <c r="H573">
        <v>591028144</v>
      </c>
      <c r="I573">
        <v>5020</v>
      </c>
      <c r="J573">
        <v>0.33018869161605835</v>
      </c>
      <c r="K573">
        <v>0.81481480598449707</v>
      </c>
      <c r="L573">
        <v>0.4444444477558136</v>
      </c>
      <c r="M573">
        <v>0.84444444444444444</v>
      </c>
      <c r="N573">
        <v>1</v>
      </c>
      <c r="O573">
        <v>1</v>
      </c>
      <c r="P573">
        <v>2570</v>
      </c>
      <c r="Q573">
        <v>178440902</v>
      </c>
      <c r="R573">
        <v>10543</v>
      </c>
      <c r="S573">
        <v>2</v>
      </c>
      <c r="T573">
        <v>68</v>
      </c>
      <c r="U573">
        <v>0.91111111111111109</v>
      </c>
      <c r="V573">
        <v>1</v>
      </c>
      <c r="W573">
        <v>1</v>
      </c>
      <c r="X573">
        <v>963</v>
      </c>
      <c r="Y573">
        <v>41394765</v>
      </c>
      <c r="Z573">
        <v>10836</v>
      </c>
      <c r="AA573">
        <v>2</v>
      </c>
      <c r="AB573">
        <v>69</v>
      </c>
    </row>
    <row r="574" spans="1:28" hidden="1" x14ac:dyDescent="0.25">
      <c r="A574" s="7" t="s">
        <v>57</v>
      </c>
      <c r="B574">
        <v>20</v>
      </c>
      <c r="C574">
        <v>9</v>
      </c>
      <c r="D574">
        <v>5</v>
      </c>
      <c r="E574">
        <v>0</v>
      </c>
      <c r="F574" s="7" t="s">
        <v>75</v>
      </c>
      <c r="G574">
        <v>10779</v>
      </c>
      <c r="H574">
        <v>587369363</v>
      </c>
      <c r="I574">
        <v>5044</v>
      </c>
      <c r="J574">
        <v>0.17924527823925018</v>
      </c>
      <c r="K574">
        <v>0.81481480598449707</v>
      </c>
      <c r="L574">
        <v>0.31111112236976624</v>
      </c>
      <c r="M574">
        <v>0.91111111111111109</v>
      </c>
      <c r="N574">
        <v>1</v>
      </c>
      <c r="O574">
        <v>0.97169811320754718</v>
      </c>
      <c r="P574">
        <v>1945</v>
      </c>
      <c r="Q574">
        <v>115386599</v>
      </c>
      <c r="R574">
        <v>10543</v>
      </c>
      <c r="S574">
        <v>2</v>
      </c>
      <c r="T574">
        <v>68</v>
      </c>
      <c r="U574">
        <v>0.82222222222222219</v>
      </c>
      <c r="V574">
        <v>1</v>
      </c>
      <c r="W574">
        <v>0.96226415094339623</v>
      </c>
      <c r="X574">
        <v>976</v>
      </c>
      <c r="Y574">
        <v>39560692</v>
      </c>
      <c r="Z574">
        <v>10836</v>
      </c>
      <c r="AA574">
        <v>2</v>
      </c>
      <c r="AB574">
        <v>69</v>
      </c>
    </row>
    <row r="575" spans="1:28" hidden="1" x14ac:dyDescent="0.25">
      <c r="A575" s="7" t="s">
        <v>57</v>
      </c>
      <c r="B575">
        <v>20</v>
      </c>
      <c r="C575">
        <v>9</v>
      </c>
      <c r="D575">
        <v>5</v>
      </c>
      <c r="E575">
        <v>0</v>
      </c>
      <c r="F575" s="7" t="s">
        <v>75</v>
      </c>
      <c r="G575">
        <v>10779</v>
      </c>
      <c r="H575">
        <v>573945000</v>
      </c>
      <c r="I575">
        <v>5017</v>
      </c>
      <c r="J575">
        <v>0.41509434580802917</v>
      </c>
      <c r="K575">
        <v>0.81481480598449707</v>
      </c>
      <c r="L575">
        <v>0.40000000596046448</v>
      </c>
      <c r="M575">
        <v>0.8666666666666667</v>
      </c>
      <c r="N575">
        <v>1</v>
      </c>
      <c r="O575">
        <v>0.97169811320754718</v>
      </c>
      <c r="P575">
        <v>1186</v>
      </c>
      <c r="Q575">
        <v>48163033</v>
      </c>
      <c r="R575">
        <v>10543</v>
      </c>
      <c r="S575">
        <v>2</v>
      </c>
      <c r="T575">
        <v>68</v>
      </c>
      <c r="U575">
        <v>0.88888888888888884</v>
      </c>
      <c r="V575">
        <v>1</v>
      </c>
      <c r="W575">
        <v>0.97169811320754718</v>
      </c>
      <c r="X575">
        <v>2081</v>
      </c>
      <c r="Y575">
        <v>130751284</v>
      </c>
      <c r="Z575">
        <v>10836</v>
      </c>
      <c r="AA575">
        <v>2</v>
      </c>
      <c r="AB575">
        <v>69</v>
      </c>
    </row>
    <row r="576" spans="1:28" hidden="1" x14ac:dyDescent="0.25">
      <c r="A576" s="7" t="s">
        <v>57</v>
      </c>
      <c r="B576">
        <v>20</v>
      </c>
      <c r="C576">
        <v>9</v>
      </c>
      <c r="D576">
        <v>5</v>
      </c>
      <c r="E576">
        <v>0</v>
      </c>
      <c r="F576" s="7" t="s">
        <v>75</v>
      </c>
      <c r="G576">
        <v>10779</v>
      </c>
      <c r="H576">
        <v>601417029</v>
      </c>
      <c r="I576">
        <v>5186</v>
      </c>
      <c r="J576">
        <v>0.40566039085388184</v>
      </c>
      <c r="K576">
        <v>0.81481480598449707</v>
      </c>
      <c r="L576">
        <v>0.4444444477558136</v>
      </c>
      <c r="M576">
        <v>0.88888888888888884</v>
      </c>
      <c r="N576">
        <v>1</v>
      </c>
      <c r="O576">
        <v>1</v>
      </c>
      <c r="P576">
        <v>1196</v>
      </c>
      <c r="Q576">
        <v>47650073</v>
      </c>
      <c r="R576">
        <v>10543</v>
      </c>
      <c r="S576">
        <v>2</v>
      </c>
      <c r="T576">
        <v>68</v>
      </c>
      <c r="U576">
        <v>0.91111111111111109</v>
      </c>
      <c r="V576">
        <v>1</v>
      </c>
      <c r="W576">
        <v>0.97169811320754718</v>
      </c>
      <c r="X576">
        <v>916</v>
      </c>
      <c r="Y576">
        <v>37304944</v>
      </c>
      <c r="Z576">
        <v>10836</v>
      </c>
      <c r="AA576">
        <v>2</v>
      </c>
      <c r="AB576">
        <v>69</v>
      </c>
    </row>
    <row r="577" spans="1:28" hidden="1" x14ac:dyDescent="0.25">
      <c r="A577" s="7" t="s">
        <v>57</v>
      </c>
      <c r="B577">
        <v>20</v>
      </c>
      <c r="C577">
        <v>9</v>
      </c>
      <c r="D577">
        <v>5</v>
      </c>
      <c r="E577">
        <v>0</v>
      </c>
      <c r="F577" s="7" t="s">
        <v>75</v>
      </c>
      <c r="G577">
        <v>10779</v>
      </c>
      <c r="H577">
        <v>588354402</v>
      </c>
      <c r="I577">
        <v>5123</v>
      </c>
      <c r="J577">
        <v>0.37735849618911743</v>
      </c>
      <c r="K577">
        <v>0.85185188055038452</v>
      </c>
      <c r="L577">
        <v>0.51111114025115967</v>
      </c>
      <c r="M577">
        <v>0.8666666666666667</v>
      </c>
      <c r="N577">
        <v>1</v>
      </c>
      <c r="O577">
        <v>1</v>
      </c>
      <c r="P577">
        <v>1900</v>
      </c>
      <c r="Q577">
        <v>103455017</v>
      </c>
      <c r="R577">
        <v>10543</v>
      </c>
      <c r="S577">
        <v>2</v>
      </c>
      <c r="T577">
        <v>68</v>
      </c>
      <c r="U577">
        <v>0.91111111111111109</v>
      </c>
      <c r="V577">
        <v>1</v>
      </c>
      <c r="W577">
        <v>0.97169811320754718</v>
      </c>
      <c r="X577">
        <v>1094</v>
      </c>
      <c r="Y577">
        <v>45022414</v>
      </c>
      <c r="Z577">
        <v>10836</v>
      </c>
      <c r="AA577">
        <v>2</v>
      </c>
      <c r="AB577">
        <v>69</v>
      </c>
    </row>
    <row r="578" spans="1:28" hidden="1" x14ac:dyDescent="0.25">
      <c r="A578" s="7" t="s">
        <v>57</v>
      </c>
      <c r="B578">
        <v>20</v>
      </c>
      <c r="C578">
        <v>9</v>
      </c>
      <c r="D578">
        <v>5</v>
      </c>
      <c r="E578">
        <v>0</v>
      </c>
      <c r="F578" s="7" t="s">
        <v>58</v>
      </c>
      <c r="G578">
        <v>10585</v>
      </c>
      <c r="H578">
        <v>792883166</v>
      </c>
      <c r="I578">
        <v>5005</v>
      </c>
      <c r="J578">
        <v>0.40566039085388184</v>
      </c>
      <c r="K578">
        <v>0.55555558204650879</v>
      </c>
      <c r="L578">
        <v>0.24444444477558136</v>
      </c>
      <c r="M578">
        <v>0.91111111111111109</v>
      </c>
      <c r="N578">
        <v>1</v>
      </c>
      <c r="O578">
        <v>1</v>
      </c>
      <c r="P578">
        <v>3105</v>
      </c>
      <c r="Q578">
        <v>235494318</v>
      </c>
      <c r="R578">
        <v>10543</v>
      </c>
      <c r="S578">
        <v>2</v>
      </c>
      <c r="T578">
        <v>68</v>
      </c>
      <c r="U578">
        <v>0.84444444444444444</v>
      </c>
      <c r="V578">
        <v>1</v>
      </c>
      <c r="W578">
        <v>1</v>
      </c>
      <c r="X578">
        <v>2261</v>
      </c>
      <c r="Y578">
        <v>147151062</v>
      </c>
      <c r="Z578">
        <v>10836</v>
      </c>
      <c r="AA578">
        <v>2</v>
      </c>
      <c r="AB578">
        <v>69</v>
      </c>
    </row>
    <row r="579" spans="1:28" hidden="1" x14ac:dyDescent="0.25">
      <c r="A579" s="7" t="s">
        <v>57</v>
      </c>
      <c r="B579">
        <v>20</v>
      </c>
      <c r="C579">
        <v>9</v>
      </c>
      <c r="D579">
        <v>5</v>
      </c>
      <c r="E579">
        <v>0</v>
      </c>
      <c r="F579" s="7" t="s">
        <v>58</v>
      </c>
      <c r="G579">
        <v>10585</v>
      </c>
      <c r="H579">
        <v>799280066</v>
      </c>
      <c r="I579">
        <v>5066</v>
      </c>
      <c r="J579">
        <v>0.2641509473323822</v>
      </c>
      <c r="K579">
        <v>0.70370370149612427</v>
      </c>
      <c r="L579">
        <v>0.3333333432674408</v>
      </c>
      <c r="M579">
        <v>0.8666666666666667</v>
      </c>
      <c r="N579">
        <v>1</v>
      </c>
      <c r="O579">
        <v>0.99056603773584906</v>
      </c>
      <c r="P579">
        <v>957</v>
      </c>
      <c r="Q579">
        <v>38374398</v>
      </c>
      <c r="R579">
        <v>10543</v>
      </c>
      <c r="S579">
        <v>2</v>
      </c>
      <c r="T579">
        <v>68</v>
      </c>
      <c r="U579">
        <v>0.91111111111111109</v>
      </c>
      <c r="V579">
        <v>1</v>
      </c>
      <c r="W579">
        <v>1</v>
      </c>
      <c r="X579">
        <v>2118</v>
      </c>
      <c r="Y579">
        <v>137184071</v>
      </c>
      <c r="Z579">
        <v>10836</v>
      </c>
      <c r="AA579">
        <v>2</v>
      </c>
      <c r="AB579">
        <v>69</v>
      </c>
    </row>
    <row r="580" spans="1:28" hidden="1" x14ac:dyDescent="0.25">
      <c r="A580" s="7" t="s">
        <v>57</v>
      </c>
      <c r="B580">
        <v>20</v>
      </c>
      <c r="C580">
        <v>9</v>
      </c>
      <c r="D580">
        <v>5</v>
      </c>
      <c r="E580">
        <v>0</v>
      </c>
      <c r="F580" s="7" t="s">
        <v>58</v>
      </c>
      <c r="G580">
        <v>10585</v>
      </c>
      <c r="H580">
        <v>799312258</v>
      </c>
      <c r="I580">
        <v>5079</v>
      </c>
      <c r="J580">
        <v>0.29245284199714661</v>
      </c>
      <c r="K580">
        <v>0.62962961196899414</v>
      </c>
      <c r="L580">
        <v>0.35555556416511536</v>
      </c>
      <c r="M580">
        <v>0.91111111111111109</v>
      </c>
      <c r="N580">
        <v>1</v>
      </c>
      <c r="O580">
        <v>0.97169811320754718</v>
      </c>
      <c r="P580">
        <v>786</v>
      </c>
      <c r="Q580">
        <v>31577622</v>
      </c>
      <c r="R580">
        <v>10543</v>
      </c>
      <c r="S580">
        <v>2</v>
      </c>
      <c r="T580">
        <v>68</v>
      </c>
      <c r="U580">
        <v>0.88888888888888884</v>
      </c>
      <c r="V580">
        <v>1</v>
      </c>
      <c r="W580">
        <v>1</v>
      </c>
      <c r="X580">
        <v>1989</v>
      </c>
      <c r="Y580">
        <v>113688513</v>
      </c>
      <c r="Z580">
        <v>10836</v>
      </c>
      <c r="AA580">
        <v>2</v>
      </c>
      <c r="AB580">
        <v>69</v>
      </c>
    </row>
    <row r="581" spans="1:28" hidden="1" x14ac:dyDescent="0.25">
      <c r="A581" s="7" t="s">
        <v>57</v>
      </c>
      <c r="B581">
        <v>20</v>
      </c>
      <c r="C581">
        <v>9</v>
      </c>
      <c r="D581">
        <v>5</v>
      </c>
      <c r="E581">
        <v>0</v>
      </c>
      <c r="F581" s="7" t="s">
        <v>58</v>
      </c>
      <c r="G581">
        <v>10585</v>
      </c>
      <c r="H581">
        <v>804601468</v>
      </c>
      <c r="I581">
        <v>5148</v>
      </c>
      <c r="J581">
        <v>0.35849055647850037</v>
      </c>
      <c r="K581">
        <v>0.70370370149612427</v>
      </c>
      <c r="L581">
        <v>0.37777778506278992</v>
      </c>
      <c r="M581">
        <v>0.88888888888888884</v>
      </c>
      <c r="N581">
        <v>1</v>
      </c>
      <c r="O581">
        <v>1</v>
      </c>
      <c r="P581">
        <v>983</v>
      </c>
      <c r="Q581">
        <v>39576434</v>
      </c>
      <c r="R581">
        <v>10543</v>
      </c>
      <c r="S581">
        <v>2</v>
      </c>
      <c r="T581">
        <v>68</v>
      </c>
      <c r="U581">
        <v>0.88888888888888884</v>
      </c>
      <c r="V581">
        <v>1</v>
      </c>
      <c r="W581">
        <v>0.97169811320754718</v>
      </c>
      <c r="X581">
        <v>821</v>
      </c>
      <c r="Y581">
        <v>32776097</v>
      </c>
      <c r="Z581">
        <v>10836</v>
      </c>
      <c r="AA581">
        <v>2</v>
      </c>
      <c r="AB581">
        <v>69</v>
      </c>
    </row>
    <row r="582" spans="1:28" hidden="1" x14ac:dyDescent="0.25">
      <c r="A582" s="7" t="s">
        <v>57</v>
      </c>
      <c r="B582">
        <v>20</v>
      </c>
      <c r="C582">
        <v>9</v>
      </c>
      <c r="D582">
        <v>5</v>
      </c>
      <c r="E582">
        <v>0</v>
      </c>
      <c r="F582" s="7" t="s">
        <v>58</v>
      </c>
      <c r="G582">
        <v>10585</v>
      </c>
      <c r="H582">
        <v>791052531</v>
      </c>
      <c r="I582">
        <v>5054</v>
      </c>
      <c r="J582">
        <v>0.32075470685958862</v>
      </c>
      <c r="K582">
        <v>0.55555558204650879</v>
      </c>
      <c r="L582">
        <v>0.35555556416511536</v>
      </c>
      <c r="M582">
        <v>0.88888888888888884</v>
      </c>
      <c r="N582">
        <v>1</v>
      </c>
      <c r="O582">
        <v>1</v>
      </c>
      <c r="P582">
        <v>3172</v>
      </c>
      <c r="Q582">
        <v>233432820</v>
      </c>
      <c r="R582">
        <v>10543</v>
      </c>
      <c r="S582">
        <v>2</v>
      </c>
      <c r="T582">
        <v>68</v>
      </c>
      <c r="U582">
        <v>0.88888888888888884</v>
      </c>
      <c r="V582">
        <v>1</v>
      </c>
      <c r="W582">
        <v>1</v>
      </c>
      <c r="X582">
        <v>881</v>
      </c>
      <c r="Y582">
        <v>35103760</v>
      </c>
      <c r="Z582">
        <v>10836</v>
      </c>
      <c r="AA582">
        <v>2</v>
      </c>
      <c r="AB582">
        <v>69</v>
      </c>
    </row>
    <row r="583" spans="1:28" hidden="1" x14ac:dyDescent="0.25">
      <c r="A583" s="7" t="s">
        <v>57</v>
      </c>
      <c r="B583">
        <v>20</v>
      </c>
      <c r="C583">
        <v>9</v>
      </c>
      <c r="D583">
        <v>5</v>
      </c>
      <c r="E583">
        <v>0</v>
      </c>
      <c r="F583" s="7" t="s">
        <v>59</v>
      </c>
      <c r="G583">
        <v>12830</v>
      </c>
      <c r="H583">
        <v>841496899</v>
      </c>
      <c r="I583">
        <v>5032</v>
      </c>
      <c r="J583">
        <v>0.37735849618911743</v>
      </c>
      <c r="K583">
        <v>0.77777779102325439</v>
      </c>
      <c r="L583">
        <v>0.31111112236976624</v>
      </c>
      <c r="M583">
        <v>0.91111111111111109</v>
      </c>
      <c r="N583">
        <v>1</v>
      </c>
      <c r="O583">
        <v>0.99056603773584906</v>
      </c>
      <c r="P583">
        <v>1925</v>
      </c>
      <c r="Q583">
        <v>550636266</v>
      </c>
      <c r="R583">
        <v>12678</v>
      </c>
      <c r="S583">
        <v>2</v>
      </c>
      <c r="T583">
        <v>75</v>
      </c>
      <c r="U583">
        <v>0.84444444444444444</v>
      </c>
      <c r="V583">
        <v>1</v>
      </c>
      <c r="W583">
        <v>0.93396226415094341</v>
      </c>
      <c r="X583">
        <v>5111</v>
      </c>
      <c r="Y583">
        <v>1954642229</v>
      </c>
      <c r="Z583">
        <v>12999</v>
      </c>
      <c r="AA583">
        <v>2</v>
      </c>
      <c r="AB583">
        <v>76</v>
      </c>
    </row>
    <row r="584" spans="1:28" hidden="1" x14ac:dyDescent="0.25">
      <c r="A584" s="7" t="s">
        <v>57</v>
      </c>
      <c r="B584">
        <v>20</v>
      </c>
      <c r="C584">
        <v>9</v>
      </c>
      <c r="D584">
        <v>5</v>
      </c>
      <c r="E584">
        <v>0</v>
      </c>
      <c r="F584" s="7" t="s">
        <v>59</v>
      </c>
      <c r="G584">
        <v>12830</v>
      </c>
      <c r="H584">
        <v>920629732</v>
      </c>
      <c r="I584">
        <v>5488</v>
      </c>
      <c r="J584">
        <v>0.32075470685958862</v>
      </c>
      <c r="K584">
        <v>0.70370370149612427</v>
      </c>
      <c r="L584">
        <v>0.3333333432674408</v>
      </c>
      <c r="M584">
        <v>0.91111111111111109</v>
      </c>
      <c r="N584">
        <v>1</v>
      </c>
      <c r="O584">
        <v>1</v>
      </c>
      <c r="P584">
        <v>822</v>
      </c>
      <c r="Q584">
        <v>188385419</v>
      </c>
      <c r="R584">
        <v>12678</v>
      </c>
      <c r="S584">
        <v>2</v>
      </c>
      <c r="T584">
        <v>75</v>
      </c>
      <c r="U584">
        <v>0.91111111111111109</v>
      </c>
      <c r="V584">
        <v>1</v>
      </c>
      <c r="W584">
        <v>1</v>
      </c>
      <c r="X584">
        <v>3253</v>
      </c>
      <c r="Y584">
        <v>1100621720</v>
      </c>
      <c r="Z584">
        <v>12999</v>
      </c>
      <c r="AA584">
        <v>2</v>
      </c>
      <c r="AB584">
        <v>76</v>
      </c>
    </row>
    <row r="585" spans="1:28" hidden="1" x14ac:dyDescent="0.25">
      <c r="A585" s="7" t="s">
        <v>57</v>
      </c>
      <c r="B585">
        <v>20</v>
      </c>
      <c r="C585">
        <v>9</v>
      </c>
      <c r="D585">
        <v>5</v>
      </c>
      <c r="E585">
        <v>0</v>
      </c>
      <c r="F585" s="7" t="s">
        <v>59</v>
      </c>
      <c r="G585">
        <v>12830</v>
      </c>
      <c r="H585">
        <v>840638486</v>
      </c>
      <c r="I585">
        <v>5004</v>
      </c>
      <c r="J585">
        <v>0.43396225571632385</v>
      </c>
      <c r="K585">
        <v>0.62962961196899414</v>
      </c>
      <c r="L585">
        <v>0.46666666865348816</v>
      </c>
      <c r="M585">
        <v>0.8666666666666667</v>
      </c>
      <c r="N585">
        <v>1</v>
      </c>
      <c r="O585">
        <v>1</v>
      </c>
      <c r="P585">
        <v>1972</v>
      </c>
      <c r="Q585">
        <v>583677298</v>
      </c>
      <c r="R585">
        <v>12678</v>
      </c>
      <c r="S585">
        <v>2</v>
      </c>
      <c r="T585">
        <v>75</v>
      </c>
      <c r="U585">
        <v>0.91111111111111109</v>
      </c>
      <c r="V585">
        <v>1</v>
      </c>
      <c r="W585">
        <v>1</v>
      </c>
      <c r="X585">
        <v>1052</v>
      </c>
      <c r="Y585">
        <v>249541612</v>
      </c>
      <c r="Z585">
        <v>12999</v>
      </c>
      <c r="AA585">
        <v>2</v>
      </c>
      <c r="AB585">
        <v>76</v>
      </c>
    </row>
    <row r="586" spans="1:28" hidden="1" x14ac:dyDescent="0.25">
      <c r="A586" s="7" t="s">
        <v>57</v>
      </c>
      <c r="B586">
        <v>20</v>
      </c>
      <c r="C586">
        <v>9</v>
      </c>
      <c r="D586">
        <v>5</v>
      </c>
      <c r="E586">
        <v>0</v>
      </c>
      <c r="F586" s="7" t="s">
        <v>59</v>
      </c>
      <c r="G586">
        <v>12830</v>
      </c>
      <c r="H586">
        <v>827234910</v>
      </c>
      <c r="I586">
        <v>5030</v>
      </c>
      <c r="J586">
        <v>0.33962264657020569</v>
      </c>
      <c r="K586">
        <v>0.62962961196899414</v>
      </c>
      <c r="L586">
        <v>0.3333333432674408</v>
      </c>
      <c r="M586">
        <v>0.88888888888888884</v>
      </c>
      <c r="N586">
        <v>1</v>
      </c>
      <c r="O586">
        <v>1</v>
      </c>
      <c r="P586">
        <v>815</v>
      </c>
      <c r="Q586">
        <v>181705798</v>
      </c>
      <c r="R586">
        <v>12678</v>
      </c>
      <c r="S586">
        <v>2</v>
      </c>
      <c r="T586">
        <v>75</v>
      </c>
      <c r="U586">
        <v>0.91111111111111109</v>
      </c>
      <c r="V586">
        <v>1</v>
      </c>
      <c r="W586">
        <v>0.99056603773584906</v>
      </c>
      <c r="X586">
        <v>1383</v>
      </c>
      <c r="Y586">
        <v>280684547</v>
      </c>
      <c r="Z586">
        <v>12999</v>
      </c>
      <c r="AA586">
        <v>2</v>
      </c>
      <c r="AB586">
        <v>76</v>
      </c>
    </row>
    <row r="587" spans="1:28" hidden="1" x14ac:dyDescent="0.25">
      <c r="A587" s="7" t="s">
        <v>57</v>
      </c>
      <c r="B587">
        <v>20</v>
      </c>
      <c r="C587">
        <v>9</v>
      </c>
      <c r="D587">
        <v>5</v>
      </c>
      <c r="E587">
        <v>0</v>
      </c>
      <c r="F587" s="7" t="s">
        <v>59</v>
      </c>
      <c r="G587">
        <v>12830</v>
      </c>
      <c r="H587">
        <v>831205284</v>
      </c>
      <c r="I587">
        <v>5046</v>
      </c>
      <c r="J587">
        <v>0.29245284199714661</v>
      </c>
      <c r="K587">
        <v>0.74074071645736694</v>
      </c>
      <c r="L587">
        <v>0.24444444477558136</v>
      </c>
      <c r="M587">
        <v>0.91111111111111109</v>
      </c>
      <c r="N587">
        <v>1</v>
      </c>
      <c r="O587">
        <v>1</v>
      </c>
      <c r="P587">
        <v>957</v>
      </c>
      <c r="Q587">
        <v>246800620</v>
      </c>
      <c r="R587">
        <v>12678</v>
      </c>
      <c r="S587">
        <v>2</v>
      </c>
      <c r="T587">
        <v>75</v>
      </c>
      <c r="U587">
        <v>0.84444444444444444</v>
      </c>
      <c r="V587">
        <v>1</v>
      </c>
      <c r="W587">
        <v>1</v>
      </c>
      <c r="X587">
        <v>2949</v>
      </c>
      <c r="Y587">
        <v>1023934299</v>
      </c>
      <c r="Z587">
        <v>12999</v>
      </c>
      <c r="AA587">
        <v>2</v>
      </c>
      <c r="AB587">
        <v>76</v>
      </c>
    </row>
    <row r="588" spans="1:28" hidden="1" x14ac:dyDescent="0.25">
      <c r="A588" s="7" t="s">
        <v>57</v>
      </c>
      <c r="B588">
        <v>20</v>
      </c>
      <c r="C588">
        <v>9</v>
      </c>
      <c r="D588">
        <v>5</v>
      </c>
      <c r="E588">
        <v>0</v>
      </c>
      <c r="F588" s="7" t="s">
        <v>60</v>
      </c>
      <c r="G588">
        <v>15075</v>
      </c>
      <c r="H588">
        <v>881906724</v>
      </c>
      <c r="I588">
        <v>5006</v>
      </c>
      <c r="J588">
        <v>0.2641509473323822</v>
      </c>
      <c r="K588">
        <v>0.55555558204650879</v>
      </c>
      <c r="L588">
        <v>0.28888890147209167</v>
      </c>
      <c r="M588">
        <v>0.88888888888888884</v>
      </c>
      <c r="N588">
        <v>1</v>
      </c>
      <c r="O588">
        <v>0.97169811320754718</v>
      </c>
      <c r="P588">
        <v>972</v>
      </c>
      <c r="Q588">
        <v>221563254</v>
      </c>
      <c r="R588">
        <v>15009</v>
      </c>
      <c r="S588">
        <v>2</v>
      </c>
      <c r="T588">
        <v>82</v>
      </c>
      <c r="U588">
        <v>0.8666666666666667</v>
      </c>
      <c r="V588">
        <v>1</v>
      </c>
      <c r="W588">
        <v>0.97169811320754718</v>
      </c>
      <c r="X588">
        <v>805</v>
      </c>
      <c r="Y588">
        <v>203513740</v>
      </c>
      <c r="Z588">
        <v>15358</v>
      </c>
      <c r="AA588">
        <v>2</v>
      </c>
      <c r="AB588">
        <v>83</v>
      </c>
    </row>
    <row r="589" spans="1:28" hidden="1" x14ac:dyDescent="0.25">
      <c r="A589" s="7" t="s">
        <v>57</v>
      </c>
      <c r="B589">
        <v>20</v>
      </c>
      <c r="C589">
        <v>9</v>
      </c>
      <c r="D589">
        <v>5</v>
      </c>
      <c r="E589">
        <v>0</v>
      </c>
      <c r="F589" s="7" t="s">
        <v>60</v>
      </c>
      <c r="G589">
        <v>15075</v>
      </c>
      <c r="H589">
        <v>885869925</v>
      </c>
      <c r="I589">
        <v>5022</v>
      </c>
      <c r="J589">
        <v>0.33018869161605835</v>
      </c>
      <c r="K589">
        <v>0.70370370149612427</v>
      </c>
      <c r="L589">
        <v>0.40000000596046448</v>
      </c>
      <c r="M589">
        <v>0.91111111111111109</v>
      </c>
      <c r="N589">
        <v>1</v>
      </c>
      <c r="O589">
        <v>1</v>
      </c>
      <c r="P589">
        <v>810</v>
      </c>
      <c r="Q589">
        <v>190663120</v>
      </c>
      <c r="R589">
        <v>15009</v>
      </c>
      <c r="S589">
        <v>2</v>
      </c>
      <c r="T589">
        <v>82</v>
      </c>
      <c r="U589">
        <v>0.91111111111111109</v>
      </c>
      <c r="V589">
        <v>1</v>
      </c>
      <c r="W589">
        <v>1</v>
      </c>
      <c r="X589">
        <v>799</v>
      </c>
      <c r="Y589">
        <v>167278101</v>
      </c>
      <c r="Z589">
        <v>15358</v>
      </c>
      <c r="AA589">
        <v>2</v>
      </c>
      <c r="AB589">
        <v>83</v>
      </c>
    </row>
    <row r="590" spans="1:28" hidden="1" x14ac:dyDescent="0.25">
      <c r="A590" s="7" t="s">
        <v>57</v>
      </c>
      <c r="B590">
        <v>20</v>
      </c>
      <c r="C590">
        <v>9</v>
      </c>
      <c r="D590">
        <v>5</v>
      </c>
      <c r="E590">
        <v>0</v>
      </c>
      <c r="F590" s="7" t="s">
        <v>60</v>
      </c>
      <c r="G590">
        <v>15075</v>
      </c>
      <c r="H590">
        <v>883382333</v>
      </c>
      <c r="I590">
        <v>5025</v>
      </c>
      <c r="J590">
        <v>0.33018869161605835</v>
      </c>
      <c r="K590">
        <v>0.62962961196899414</v>
      </c>
      <c r="L590">
        <v>0.35555556416511536</v>
      </c>
      <c r="M590">
        <v>0.8666666666666667</v>
      </c>
      <c r="N590">
        <v>1</v>
      </c>
      <c r="O590">
        <v>1</v>
      </c>
      <c r="P590">
        <v>1889</v>
      </c>
      <c r="Q590">
        <v>517711130</v>
      </c>
      <c r="R590">
        <v>15009</v>
      </c>
      <c r="S590">
        <v>2</v>
      </c>
      <c r="T590">
        <v>82</v>
      </c>
      <c r="U590">
        <v>0.84444444444444444</v>
      </c>
      <c r="V590">
        <v>1</v>
      </c>
      <c r="W590">
        <v>0.98113207547169812</v>
      </c>
      <c r="X590">
        <v>743</v>
      </c>
      <c r="Y590">
        <v>165809881</v>
      </c>
      <c r="Z590">
        <v>15358</v>
      </c>
      <c r="AA590">
        <v>2</v>
      </c>
      <c r="AB590">
        <v>83</v>
      </c>
    </row>
    <row r="591" spans="1:28" hidden="1" x14ac:dyDescent="0.25">
      <c r="A591" s="7" t="s">
        <v>57</v>
      </c>
      <c r="B591">
        <v>20</v>
      </c>
      <c r="C591">
        <v>9</v>
      </c>
      <c r="D591">
        <v>5</v>
      </c>
      <c r="E591">
        <v>0</v>
      </c>
      <c r="F591" s="7" t="s">
        <v>60</v>
      </c>
      <c r="G591">
        <v>15075</v>
      </c>
      <c r="H591">
        <v>931686889</v>
      </c>
      <c r="I591">
        <v>5260</v>
      </c>
      <c r="J591">
        <v>0.25471699237823486</v>
      </c>
      <c r="K591">
        <v>0.70370370149612427</v>
      </c>
      <c r="L591">
        <v>0.28888890147209167</v>
      </c>
      <c r="M591">
        <v>0.8666666666666667</v>
      </c>
      <c r="N591">
        <v>1</v>
      </c>
      <c r="O591">
        <v>0.97169811320754718</v>
      </c>
      <c r="P591">
        <v>879</v>
      </c>
      <c r="Q591">
        <v>203256344</v>
      </c>
      <c r="R591">
        <v>15009</v>
      </c>
      <c r="S591">
        <v>2</v>
      </c>
      <c r="T591">
        <v>82</v>
      </c>
      <c r="U591">
        <v>0.82222222222222219</v>
      </c>
      <c r="V591">
        <v>1</v>
      </c>
      <c r="W591">
        <v>0.97169811320754718</v>
      </c>
      <c r="X591">
        <v>845</v>
      </c>
      <c r="Y591">
        <v>197252965</v>
      </c>
      <c r="Z591">
        <v>15358</v>
      </c>
      <c r="AA591">
        <v>2</v>
      </c>
      <c r="AB591">
        <v>83</v>
      </c>
    </row>
    <row r="592" spans="1:28" hidden="1" x14ac:dyDescent="0.25">
      <c r="A592" s="7" t="s">
        <v>57</v>
      </c>
      <c r="B592">
        <v>20</v>
      </c>
      <c r="C592">
        <v>9</v>
      </c>
      <c r="D592">
        <v>5</v>
      </c>
      <c r="E592">
        <v>0</v>
      </c>
      <c r="F592" s="7" t="s">
        <v>60</v>
      </c>
      <c r="G592">
        <v>15075</v>
      </c>
      <c r="H592">
        <v>891537917</v>
      </c>
      <c r="I592">
        <v>5034</v>
      </c>
      <c r="J592">
        <v>0.39622640609741211</v>
      </c>
      <c r="K592">
        <v>0.59259259700775146</v>
      </c>
      <c r="L592">
        <v>0.37777778506278992</v>
      </c>
      <c r="M592">
        <v>0.8666666666666667</v>
      </c>
      <c r="N592">
        <v>1</v>
      </c>
      <c r="O592">
        <v>0.97169811320754718</v>
      </c>
      <c r="P592">
        <v>873</v>
      </c>
      <c r="Q592">
        <v>224947578</v>
      </c>
      <c r="R592">
        <v>15009</v>
      </c>
      <c r="S592">
        <v>2</v>
      </c>
      <c r="T592">
        <v>82</v>
      </c>
      <c r="U592">
        <v>0.93333333333333335</v>
      </c>
      <c r="V592">
        <v>1</v>
      </c>
      <c r="W592">
        <v>1</v>
      </c>
      <c r="X592">
        <v>817</v>
      </c>
      <c r="Y592">
        <v>182319085</v>
      </c>
      <c r="Z592">
        <v>15358</v>
      </c>
      <c r="AA592">
        <v>2</v>
      </c>
      <c r="AB592">
        <v>83</v>
      </c>
    </row>
    <row r="593" spans="1:28" hidden="1" x14ac:dyDescent="0.25">
      <c r="A593" s="7" t="s">
        <v>57</v>
      </c>
      <c r="B593">
        <v>20</v>
      </c>
      <c r="C593">
        <v>9</v>
      </c>
      <c r="D593">
        <v>5</v>
      </c>
      <c r="E593">
        <v>0</v>
      </c>
      <c r="F593" s="7" t="s">
        <v>62</v>
      </c>
      <c r="G593">
        <v>12043</v>
      </c>
      <c r="H593">
        <v>801479020</v>
      </c>
      <c r="I593">
        <v>5003</v>
      </c>
      <c r="J593">
        <v>0.31132075190544128</v>
      </c>
      <c r="K593">
        <v>0.74074071645736694</v>
      </c>
      <c r="L593">
        <v>0.42222222685813904</v>
      </c>
      <c r="M593">
        <v>0.88888888888888884</v>
      </c>
      <c r="N593">
        <v>1</v>
      </c>
      <c r="O593">
        <v>0.97169811320754718</v>
      </c>
      <c r="P593">
        <v>1491</v>
      </c>
      <c r="Q593">
        <v>353626786</v>
      </c>
      <c r="R593">
        <v>11739</v>
      </c>
      <c r="S593">
        <v>2</v>
      </c>
      <c r="T593">
        <v>72</v>
      </c>
      <c r="U593">
        <v>0.88888888888888884</v>
      </c>
      <c r="V593">
        <v>1</v>
      </c>
      <c r="W593">
        <v>1</v>
      </c>
      <c r="X593">
        <v>1818</v>
      </c>
      <c r="Y593">
        <v>551584232</v>
      </c>
      <c r="Z593">
        <v>12048</v>
      </c>
      <c r="AA593">
        <v>2</v>
      </c>
      <c r="AB593">
        <v>73</v>
      </c>
    </row>
    <row r="594" spans="1:28" hidden="1" x14ac:dyDescent="0.25">
      <c r="A594" s="7" t="s">
        <v>57</v>
      </c>
      <c r="B594">
        <v>20</v>
      </c>
      <c r="C594">
        <v>9</v>
      </c>
      <c r="D594">
        <v>5</v>
      </c>
      <c r="E594">
        <v>0</v>
      </c>
      <c r="F594" s="7" t="s">
        <v>62</v>
      </c>
      <c r="G594">
        <v>12043</v>
      </c>
      <c r="H594">
        <v>786976320</v>
      </c>
      <c r="I594">
        <v>5003</v>
      </c>
      <c r="J594">
        <v>0.2358490526676178</v>
      </c>
      <c r="K594">
        <v>0.66666668653488159</v>
      </c>
      <c r="L594">
        <v>0.31111112236976624</v>
      </c>
      <c r="M594">
        <v>0.88888888888888884</v>
      </c>
      <c r="N594">
        <v>1</v>
      </c>
      <c r="O594">
        <v>0.97169811320754718</v>
      </c>
      <c r="P594">
        <v>1491</v>
      </c>
      <c r="Q594">
        <v>373824887</v>
      </c>
      <c r="R594">
        <v>11739</v>
      </c>
      <c r="S594">
        <v>2</v>
      </c>
      <c r="T594">
        <v>72</v>
      </c>
      <c r="U594">
        <v>0.88888888888888884</v>
      </c>
      <c r="V594">
        <v>1</v>
      </c>
      <c r="W594">
        <v>1</v>
      </c>
      <c r="X594">
        <v>1818</v>
      </c>
      <c r="Y594">
        <v>528763719</v>
      </c>
      <c r="Z594">
        <v>12048</v>
      </c>
      <c r="AA594">
        <v>2</v>
      </c>
      <c r="AB594">
        <v>73</v>
      </c>
    </row>
    <row r="595" spans="1:28" hidden="1" x14ac:dyDescent="0.25">
      <c r="A595" s="7" t="s">
        <v>57</v>
      </c>
      <c r="B595">
        <v>20</v>
      </c>
      <c r="C595">
        <v>9</v>
      </c>
      <c r="D595">
        <v>5</v>
      </c>
      <c r="E595">
        <v>0</v>
      </c>
      <c r="F595" s="7" t="s">
        <v>62</v>
      </c>
      <c r="G595">
        <v>12043</v>
      </c>
      <c r="H595">
        <v>802084560</v>
      </c>
      <c r="I595">
        <v>5003</v>
      </c>
      <c r="J595">
        <v>0.2641509473323822</v>
      </c>
      <c r="K595">
        <v>0.74074071645736694</v>
      </c>
      <c r="L595">
        <v>0.31111112236976624</v>
      </c>
      <c r="M595">
        <v>0.88888888888888884</v>
      </c>
      <c r="N595">
        <v>1</v>
      </c>
      <c r="O595">
        <v>0.97169811320754718</v>
      </c>
      <c r="P595">
        <v>1491</v>
      </c>
      <c r="Q595">
        <v>354519624</v>
      </c>
      <c r="R595">
        <v>11739</v>
      </c>
      <c r="S595">
        <v>2</v>
      </c>
      <c r="T595">
        <v>72</v>
      </c>
      <c r="U595">
        <v>0.88888888888888884</v>
      </c>
      <c r="V595">
        <v>1</v>
      </c>
      <c r="W595">
        <v>1</v>
      </c>
      <c r="X595">
        <v>1818</v>
      </c>
      <c r="Y595">
        <v>509320999</v>
      </c>
      <c r="Z595">
        <v>12048</v>
      </c>
      <c r="AA595">
        <v>2</v>
      </c>
      <c r="AB595">
        <v>73</v>
      </c>
    </row>
    <row r="596" spans="1:28" hidden="1" x14ac:dyDescent="0.25">
      <c r="A596" s="7" t="s">
        <v>57</v>
      </c>
      <c r="B596">
        <v>20</v>
      </c>
      <c r="C596">
        <v>9</v>
      </c>
      <c r="D596">
        <v>5</v>
      </c>
      <c r="E596">
        <v>0</v>
      </c>
      <c r="F596" s="7" t="s">
        <v>62</v>
      </c>
      <c r="G596">
        <v>12043</v>
      </c>
      <c r="H596">
        <v>800308119</v>
      </c>
      <c r="I596">
        <v>5012</v>
      </c>
      <c r="J596">
        <v>0.40566039085388184</v>
      </c>
      <c r="K596">
        <v>0.77777779102325439</v>
      </c>
      <c r="L596">
        <v>0.35555556416511536</v>
      </c>
      <c r="M596">
        <v>0.8666666666666667</v>
      </c>
      <c r="N596">
        <v>1</v>
      </c>
      <c r="O596">
        <v>0.98113207547169812</v>
      </c>
      <c r="P596">
        <v>867</v>
      </c>
      <c r="Q596">
        <v>210587005</v>
      </c>
      <c r="R596">
        <v>11739</v>
      </c>
      <c r="S596">
        <v>2</v>
      </c>
      <c r="T596">
        <v>72</v>
      </c>
      <c r="U596">
        <v>0.8666666666666667</v>
      </c>
      <c r="V596">
        <v>1</v>
      </c>
      <c r="W596">
        <v>1</v>
      </c>
      <c r="X596">
        <v>3440</v>
      </c>
      <c r="Y596">
        <v>1100519792</v>
      </c>
      <c r="Z596">
        <v>12048</v>
      </c>
      <c r="AA596">
        <v>2</v>
      </c>
      <c r="AB596">
        <v>73</v>
      </c>
    </row>
    <row r="597" spans="1:28" hidden="1" x14ac:dyDescent="0.25">
      <c r="A597" s="7" t="s">
        <v>57</v>
      </c>
      <c r="B597">
        <v>20</v>
      </c>
      <c r="C597">
        <v>9</v>
      </c>
      <c r="D597">
        <v>5</v>
      </c>
      <c r="E597">
        <v>0</v>
      </c>
      <c r="F597" s="7" t="s">
        <v>62</v>
      </c>
      <c r="G597">
        <v>12043</v>
      </c>
      <c r="H597">
        <v>798617368</v>
      </c>
      <c r="I597">
        <v>5003</v>
      </c>
      <c r="J597">
        <v>0.32075470685958862</v>
      </c>
      <c r="K597">
        <v>0.70370370149612427</v>
      </c>
      <c r="L597">
        <v>0.35555556416511536</v>
      </c>
      <c r="M597">
        <v>0.88888888888888884</v>
      </c>
      <c r="N597">
        <v>1</v>
      </c>
      <c r="O597">
        <v>0.97169811320754718</v>
      </c>
      <c r="P597">
        <v>1491</v>
      </c>
      <c r="Q597">
        <v>392854681</v>
      </c>
      <c r="R597">
        <v>11739</v>
      </c>
      <c r="S597">
        <v>2</v>
      </c>
      <c r="T597">
        <v>72</v>
      </c>
      <c r="U597">
        <v>0.88888888888888884</v>
      </c>
      <c r="V597">
        <v>1</v>
      </c>
      <c r="W597">
        <v>1</v>
      </c>
      <c r="X597">
        <v>1818</v>
      </c>
      <c r="Y597">
        <v>468195277</v>
      </c>
      <c r="Z597">
        <v>12048</v>
      </c>
      <c r="AA597">
        <v>2</v>
      </c>
      <c r="AB597">
        <v>73</v>
      </c>
    </row>
    <row r="598" spans="1:28" hidden="1" x14ac:dyDescent="0.25">
      <c r="A598" s="7" t="s">
        <v>57</v>
      </c>
      <c r="B598">
        <v>20</v>
      </c>
      <c r="C598">
        <v>9</v>
      </c>
      <c r="D598">
        <v>5</v>
      </c>
      <c r="E598">
        <v>0</v>
      </c>
      <c r="F598" s="7" t="s">
        <v>63</v>
      </c>
      <c r="G598">
        <v>14568</v>
      </c>
      <c r="H598">
        <v>851164319</v>
      </c>
      <c r="I598">
        <v>5003</v>
      </c>
      <c r="J598">
        <v>0.27358490228652954</v>
      </c>
      <c r="K598">
        <v>0.70370370149612427</v>
      </c>
      <c r="L598">
        <v>0.40000000596046448</v>
      </c>
      <c r="M598">
        <v>0.88888888888888884</v>
      </c>
      <c r="N598">
        <v>1</v>
      </c>
      <c r="O598">
        <v>1</v>
      </c>
      <c r="P598">
        <v>1428</v>
      </c>
      <c r="Q598">
        <v>353025192</v>
      </c>
      <c r="R598">
        <v>14323</v>
      </c>
      <c r="S598">
        <v>2</v>
      </c>
      <c r="T598">
        <v>80</v>
      </c>
      <c r="U598">
        <v>0.84444444444444444</v>
      </c>
      <c r="V598">
        <v>1</v>
      </c>
      <c r="W598">
        <v>1</v>
      </c>
      <c r="X598">
        <v>2198</v>
      </c>
      <c r="Y598">
        <v>688479481</v>
      </c>
      <c r="Z598">
        <v>14664</v>
      </c>
      <c r="AA598">
        <v>2</v>
      </c>
      <c r="AB598">
        <v>81</v>
      </c>
    </row>
    <row r="599" spans="1:28" hidden="1" x14ac:dyDescent="0.25">
      <c r="A599" s="7" t="s">
        <v>57</v>
      </c>
      <c r="B599">
        <v>20</v>
      </c>
      <c r="C599">
        <v>9</v>
      </c>
      <c r="D599">
        <v>5</v>
      </c>
      <c r="E599">
        <v>0</v>
      </c>
      <c r="F599" s="7" t="s">
        <v>63</v>
      </c>
      <c r="G599">
        <v>14568</v>
      </c>
      <c r="H599">
        <v>879198141</v>
      </c>
      <c r="I599">
        <v>5019</v>
      </c>
      <c r="J599">
        <v>0.33962264657020569</v>
      </c>
      <c r="K599">
        <v>0.59259259700775146</v>
      </c>
      <c r="L599">
        <v>0.35555556416511536</v>
      </c>
      <c r="M599">
        <v>0.8666666666666667</v>
      </c>
      <c r="N599">
        <v>1</v>
      </c>
      <c r="O599">
        <v>0.98113207547169812</v>
      </c>
      <c r="P599">
        <v>3095</v>
      </c>
      <c r="Q599">
        <v>1103422609</v>
      </c>
      <c r="R599">
        <v>14323</v>
      </c>
      <c r="S599">
        <v>2</v>
      </c>
      <c r="T599">
        <v>80</v>
      </c>
      <c r="U599">
        <v>0.88888888888888884</v>
      </c>
      <c r="V599">
        <v>1</v>
      </c>
      <c r="W599">
        <v>1</v>
      </c>
      <c r="X599">
        <v>848</v>
      </c>
      <c r="Y599">
        <v>200039580</v>
      </c>
      <c r="Z599">
        <v>14664</v>
      </c>
      <c r="AA599">
        <v>2</v>
      </c>
      <c r="AB599">
        <v>81</v>
      </c>
    </row>
    <row r="600" spans="1:28" hidden="1" x14ac:dyDescent="0.25">
      <c r="A600" s="7" t="s">
        <v>57</v>
      </c>
      <c r="B600">
        <v>20</v>
      </c>
      <c r="C600">
        <v>9</v>
      </c>
      <c r="D600">
        <v>5</v>
      </c>
      <c r="E600">
        <v>0</v>
      </c>
      <c r="F600" s="7" t="s">
        <v>63</v>
      </c>
      <c r="G600">
        <v>14568</v>
      </c>
      <c r="H600">
        <v>959005462</v>
      </c>
      <c r="I600">
        <v>5050</v>
      </c>
      <c r="J600">
        <v>0.35849055647850037</v>
      </c>
      <c r="K600">
        <v>0.81481480598449707</v>
      </c>
      <c r="L600">
        <v>0.40000000596046448</v>
      </c>
      <c r="M600">
        <v>0.88888888888888884</v>
      </c>
      <c r="N600">
        <v>1</v>
      </c>
      <c r="O600">
        <v>0.89622641509433965</v>
      </c>
      <c r="P600">
        <v>47</v>
      </c>
      <c r="Q600">
        <v>9148843</v>
      </c>
      <c r="R600">
        <v>14323</v>
      </c>
      <c r="S600">
        <v>2</v>
      </c>
      <c r="T600">
        <v>80</v>
      </c>
      <c r="U600">
        <v>0.88888888888888884</v>
      </c>
      <c r="V600">
        <v>1</v>
      </c>
      <c r="W600">
        <v>0.89622641509433965</v>
      </c>
      <c r="X600">
        <v>52</v>
      </c>
      <c r="Y600">
        <v>14844069</v>
      </c>
      <c r="Z600">
        <v>14664</v>
      </c>
      <c r="AA600">
        <v>2</v>
      </c>
      <c r="AB600">
        <v>81</v>
      </c>
    </row>
    <row r="601" spans="1:28" hidden="1" x14ac:dyDescent="0.25">
      <c r="A601" s="7" t="s">
        <v>57</v>
      </c>
      <c r="B601">
        <v>20</v>
      </c>
      <c r="C601">
        <v>9</v>
      </c>
      <c r="D601">
        <v>5</v>
      </c>
      <c r="E601">
        <v>0</v>
      </c>
      <c r="F601" s="7" t="s">
        <v>63</v>
      </c>
      <c r="G601">
        <v>14568</v>
      </c>
      <c r="H601">
        <v>1054966612</v>
      </c>
      <c r="I601">
        <v>5500</v>
      </c>
      <c r="J601">
        <v>0.2358490526676178</v>
      </c>
      <c r="K601">
        <v>0.62962961196899414</v>
      </c>
      <c r="L601">
        <v>0.3333333432674408</v>
      </c>
      <c r="M601">
        <v>0.8666666666666667</v>
      </c>
      <c r="N601">
        <v>1</v>
      </c>
      <c r="O601">
        <v>0.90566037735849059</v>
      </c>
      <c r="P601">
        <v>47</v>
      </c>
      <c r="Q601">
        <v>15774004</v>
      </c>
      <c r="R601">
        <v>14323</v>
      </c>
      <c r="S601">
        <v>2</v>
      </c>
      <c r="T601">
        <v>80</v>
      </c>
      <c r="U601">
        <v>0.8666666666666667</v>
      </c>
      <c r="V601">
        <v>1</v>
      </c>
      <c r="W601">
        <v>0.90566037735849059</v>
      </c>
      <c r="X601">
        <v>51</v>
      </c>
      <c r="Y601">
        <v>25961360</v>
      </c>
      <c r="Z601">
        <v>14664</v>
      </c>
      <c r="AA601">
        <v>2</v>
      </c>
      <c r="AB601">
        <v>81</v>
      </c>
    </row>
    <row r="602" spans="1:28" hidden="1" x14ac:dyDescent="0.25">
      <c r="A602" s="7" t="s">
        <v>57</v>
      </c>
      <c r="B602">
        <v>20</v>
      </c>
      <c r="C602">
        <v>9</v>
      </c>
      <c r="D602">
        <v>5</v>
      </c>
      <c r="E602">
        <v>0</v>
      </c>
      <c r="F602" s="7" t="s">
        <v>63</v>
      </c>
      <c r="G602">
        <v>14568</v>
      </c>
      <c r="H602">
        <v>1143274597</v>
      </c>
      <c r="I602">
        <v>5369</v>
      </c>
      <c r="J602">
        <v>0.36792454123497009</v>
      </c>
      <c r="K602">
        <v>0.66666668653488159</v>
      </c>
      <c r="L602">
        <v>0.31111112236976624</v>
      </c>
      <c r="M602">
        <v>0.8666666666666667</v>
      </c>
      <c r="N602">
        <v>1</v>
      </c>
      <c r="O602">
        <v>0.93396226415094341</v>
      </c>
      <c r="P602">
        <v>66</v>
      </c>
      <c r="Q602">
        <v>18714379</v>
      </c>
      <c r="R602">
        <v>14323</v>
      </c>
      <c r="S602">
        <v>2</v>
      </c>
      <c r="T602">
        <v>80</v>
      </c>
      <c r="U602">
        <v>0.8666666666666667</v>
      </c>
      <c r="V602">
        <v>1</v>
      </c>
      <c r="W602">
        <v>0.89622641509433965</v>
      </c>
      <c r="X602">
        <v>41</v>
      </c>
      <c r="Y602">
        <v>13854820</v>
      </c>
      <c r="Z602">
        <v>14664</v>
      </c>
      <c r="AA602">
        <v>2</v>
      </c>
      <c r="AB602">
        <v>81</v>
      </c>
    </row>
    <row r="603" spans="1:28" hidden="1" x14ac:dyDescent="0.25">
      <c r="A603" s="7" t="s">
        <v>57</v>
      </c>
      <c r="B603">
        <v>20</v>
      </c>
      <c r="C603">
        <v>9</v>
      </c>
      <c r="D603">
        <v>5</v>
      </c>
      <c r="E603">
        <v>0</v>
      </c>
      <c r="F603" s="7" t="s">
        <v>64</v>
      </c>
      <c r="G603">
        <v>17093</v>
      </c>
      <c r="H603">
        <v>1163490291</v>
      </c>
      <c r="I603">
        <v>5154</v>
      </c>
      <c r="J603">
        <v>0.32075470685958862</v>
      </c>
      <c r="K603">
        <v>0.66666668653488159</v>
      </c>
      <c r="L603">
        <v>0.24444444477558136</v>
      </c>
      <c r="M603">
        <v>0.8666666666666667</v>
      </c>
      <c r="N603">
        <v>1</v>
      </c>
      <c r="O603">
        <v>0.89622641509433965</v>
      </c>
      <c r="P603">
        <v>46</v>
      </c>
      <c r="Q603">
        <v>9942221</v>
      </c>
      <c r="R603">
        <v>16794</v>
      </c>
      <c r="S603">
        <v>2</v>
      </c>
      <c r="T603">
        <v>87</v>
      </c>
      <c r="U603">
        <v>0.8666666666666667</v>
      </c>
      <c r="V603">
        <v>1</v>
      </c>
      <c r="W603">
        <v>0.91509433962264153</v>
      </c>
      <c r="X603">
        <v>56</v>
      </c>
      <c r="Y603">
        <v>15870402</v>
      </c>
      <c r="Z603">
        <v>17163</v>
      </c>
      <c r="AA603">
        <v>2</v>
      </c>
      <c r="AB603">
        <v>88</v>
      </c>
    </row>
    <row r="604" spans="1:28" hidden="1" x14ac:dyDescent="0.25">
      <c r="A604" s="7" t="s">
        <v>57</v>
      </c>
      <c r="B604">
        <v>20</v>
      </c>
      <c r="C604">
        <v>9</v>
      </c>
      <c r="D604">
        <v>5</v>
      </c>
      <c r="E604">
        <v>0</v>
      </c>
      <c r="F604" s="7" t="s">
        <v>64</v>
      </c>
      <c r="G604">
        <v>17093</v>
      </c>
      <c r="H604">
        <v>2205935550</v>
      </c>
      <c r="I604">
        <v>9761</v>
      </c>
      <c r="J604">
        <v>0.30188679695129395</v>
      </c>
      <c r="K604">
        <v>0.66666668653488159</v>
      </c>
      <c r="L604">
        <v>0.26666668057441711</v>
      </c>
      <c r="M604">
        <v>0.8666666666666667</v>
      </c>
      <c r="N604">
        <v>1</v>
      </c>
      <c r="O604">
        <v>0.92452830188679247</v>
      </c>
      <c r="P604">
        <v>48</v>
      </c>
      <c r="Q604">
        <v>14208344</v>
      </c>
      <c r="R604">
        <v>16794</v>
      </c>
      <c r="S604">
        <v>2</v>
      </c>
      <c r="T604">
        <v>87</v>
      </c>
      <c r="U604">
        <v>0.8666666666666667</v>
      </c>
      <c r="V604">
        <v>1</v>
      </c>
      <c r="W604">
        <v>0.90566037735849059</v>
      </c>
      <c r="X604">
        <v>48</v>
      </c>
      <c r="Y604">
        <v>11611467</v>
      </c>
      <c r="Z604">
        <v>17163</v>
      </c>
      <c r="AA604">
        <v>2</v>
      </c>
      <c r="AB604">
        <v>88</v>
      </c>
    </row>
    <row r="605" spans="1:28" hidden="1" x14ac:dyDescent="0.25">
      <c r="A605" s="7" t="s">
        <v>57</v>
      </c>
      <c r="B605">
        <v>20</v>
      </c>
      <c r="C605">
        <v>9</v>
      </c>
      <c r="D605">
        <v>5</v>
      </c>
      <c r="E605">
        <v>0</v>
      </c>
      <c r="F605" s="7" t="s">
        <v>64</v>
      </c>
      <c r="G605">
        <v>17093</v>
      </c>
      <c r="H605">
        <v>1171931358</v>
      </c>
      <c r="I605">
        <v>5191</v>
      </c>
      <c r="J605">
        <v>0.29245284199714661</v>
      </c>
      <c r="K605">
        <v>0.74074071645736694</v>
      </c>
      <c r="L605">
        <v>0.28888890147209167</v>
      </c>
      <c r="M605">
        <v>0.8666666666666667</v>
      </c>
      <c r="N605">
        <v>1</v>
      </c>
      <c r="O605">
        <v>0.89622641509433965</v>
      </c>
      <c r="P605">
        <v>44</v>
      </c>
      <c r="Q605">
        <v>25896062</v>
      </c>
      <c r="R605">
        <v>16794</v>
      </c>
      <c r="S605">
        <v>2</v>
      </c>
      <c r="T605">
        <v>87</v>
      </c>
      <c r="U605">
        <v>0.8666666666666667</v>
      </c>
      <c r="V605">
        <v>1</v>
      </c>
      <c r="W605">
        <v>0.90566037735849059</v>
      </c>
      <c r="X605">
        <v>44</v>
      </c>
      <c r="Y605">
        <v>18171631</v>
      </c>
      <c r="Z605">
        <v>17163</v>
      </c>
      <c r="AA605">
        <v>2</v>
      </c>
      <c r="AB605">
        <v>88</v>
      </c>
    </row>
    <row r="606" spans="1:28" hidden="1" x14ac:dyDescent="0.25">
      <c r="A606" s="7" t="s">
        <v>57</v>
      </c>
      <c r="B606">
        <v>20</v>
      </c>
      <c r="C606">
        <v>9</v>
      </c>
      <c r="D606">
        <v>5</v>
      </c>
      <c r="E606">
        <v>0</v>
      </c>
      <c r="F606" s="7" t="s">
        <v>64</v>
      </c>
      <c r="G606">
        <v>17093</v>
      </c>
      <c r="H606">
        <v>1150361622</v>
      </c>
      <c r="I606">
        <v>5089</v>
      </c>
      <c r="J606">
        <v>0.25471699237823486</v>
      </c>
      <c r="K606">
        <v>0.55555558204650879</v>
      </c>
      <c r="L606">
        <v>0.26666668057441711</v>
      </c>
      <c r="M606">
        <v>0.8666666666666667</v>
      </c>
      <c r="N606">
        <v>1</v>
      </c>
      <c r="O606">
        <v>0.89622641509433965</v>
      </c>
      <c r="P606">
        <v>40</v>
      </c>
      <c r="Q606">
        <v>6164283</v>
      </c>
      <c r="R606">
        <v>16794</v>
      </c>
      <c r="S606">
        <v>2</v>
      </c>
      <c r="T606">
        <v>87</v>
      </c>
      <c r="U606">
        <v>0.8666666666666667</v>
      </c>
      <c r="V606">
        <v>1</v>
      </c>
      <c r="W606">
        <v>0.91509433962264153</v>
      </c>
      <c r="X606">
        <v>50</v>
      </c>
      <c r="Y606">
        <v>13580833</v>
      </c>
      <c r="Z606">
        <v>17163</v>
      </c>
      <c r="AA606">
        <v>2</v>
      </c>
      <c r="AB606">
        <v>88</v>
      </c>
    </row>
    <row r="607" spans="1:28" hidden="1" x14ac:dyDescent="0.25">
      <c r="A607" s="7" t="s">
        <v>57</v>
      </c>
      <c r="B607">
        <v>20</v>
      </c>
      <c r="C607">
        <v>9</v>
      </c>
      <c r="D607">
        <v>5</v>
      </c>
      <c r="E607">
        <v>0</v>
      </c>
      <c r="F607" s="7" t="s">
        <v>64</v>
      </c>
      <c r="G607">
        <v>17093</v>
      </c>
      <c r="H607">
        <v>1135678956</v>
      </c>
      <c r="I607">
        <v>5017</v>
      </c>
      <c r="J607">
        <v>0.33962264657020569</v>
      </c>
      <c r="K607">
        <v>0.70370370149612427</v>
      </c>
      <c r="L607">
        <v>0.37777778506278992</v>
      </c>
      <c r="M607">
        <v>0.8666666666666667</v>
      </c>
      <c r="N607">
        <v>1</v>
      </c>
      <c r="O607">
        <v>0.89622641509433965</v>
      </c>
      <c r="P607">
        <v>44</v>
      </c>
      <c r="Q607">
        <v>14354566</v>
      </c>
      <c r="R607">
        <v>16794</v>
      </c>
      <c r="S607">
        <v>2</v>
      </c>
      <c r="T607">
        <v>87</v>
      </c>
      <c r="U607">
        <v>0.88888888888888884</v>
      </c>
      <c r="V607">
        <v>1</v>
      </c>
      <c r="W607">
        <v>0.87735849056603776</v>
      </c>
      <c r="X607">
        <v>41</v>
      </c>
      <c r="Y607">
        <v>5869189</v>
      </c>
      <c r="Z607">
        <v>17163</v>
      </c>
      <c r="AA607">
        <v>2</v>
      </c>
      <c r="AB607">
        <v>88</v>
      </c>
    </row>
    <row r="608" spans="1:28" hidden="1" x14ac:dyDescent="0.25">
      <c r="A608" s="7" t="s">
        <v>57</v>
      </c>
      <c r="B608">
        <v>20</v>
      </c>
      <c r="C608">
        <v>9</v>
      </c>
      <c r="D608">
        <v>5</v>
      </c>
      <c r="E608">
        <v>0</v>
      </c>
      <c r="F608" s="7" t="s">
        <v>65</v>
      </c>
      <c r="G608">
        <v>13501</v>
      </c>
      <c r="H608">
        <v>1084537727</v>
      </c>
      <c r="I608">
        <v>5433</v>
      </c>
      <c r="J608">
        <v>0.35849055647850037</v>
      </c>
      <c r="K608">
        <v>0.70370370149612427</v>
      </c>
      <c r="L608">
        <v>0.37777778506278992</v>
      </c>
      <c r="M608">
        <v>0.8666666666666667</v>
      </c>
      <c r="N608">
        <v>1</v>
      </c>
      <c r="O608">
        <v>0.89622641509433965</v>
      </c>
      <c r="P608">
        <v>47</v>
      </c>
      <c r="Q608">
        <v>19519693</v>
      </c>
      <c r="R608">
        <v>13324</v>
      </c>
      <c r="S608">
        <v>2</v>
      </c>
      <c r="T608">
        <v>77</v>
      </c>
      <c r="U608">
        <v>0.8666666666666667</v>
      </c>
      <c r="V608">
        <v>1</v>
      </c>
      <c r="W608">
        <v>0.91509433962264153</v>
      </c>
      <c r="X608">
        <v>61</v>
      </c>
      <c r="Y608">
        <v>11507435</v>
      </c>
      <c r="Z608">
        <v>13653</v>
      </c>
      <c r="AA608">
        <v>2</v>
      </c>
      <c r="AB608">
        <v>78</v>
      </c>
    </row>
    <row r="609" spans="1:28" hidden="1" x14ac:dyDescent="0.25">
      <c r="A609" s="7" t="s">
        <v>57</v>
      </c>
      <c r="B609">
        <v>20</v>
      </c>
      <c r="C609">
        <v>9</v>
      </c>
      <c r="D609">
        <v>5</v>
      </c>
      <c r="E609">
        <v>0</v>
      </c>
      <c r="F609" s="7" t="s">
        <v>65</v>
      </c>
      <c r="G609">
        <v>13501</v>
      </c>
      <c r="H609">
        <v>1016041618</v>
      </c>
      <c r="I609">
        <v>5029</v>
      </c>
      <c r="J609">
        <v>0.37735849618911743</v>
      </c>
      <c r="K609">
        <v>0.74074071645736694</v>
      </c>
      <c r="L609">
        <v>0.4444444477558136</v>
      </c>
      <c r="M609">
        <v>0.8666666666666667</v>
      </c>
      <c r="N609">
        <v>1</v>
      </c>
      <c r="O609">
        <v>0.89622641509433965</v>
      </c>
      <c r="P609">
        <v>56</v>
      </c>
      <c r="Q609">
        <v>33538859</v>
      </c>
      <c r="R609">
        <v>13324</v>
      </c>
      <c r="S609">
        <v>2</v>
      </c>
      <c r="T609">
        <v>77</v>
      </c>
      <c r="U609">
        <v>0.82222222222222219</v>
      </c>
      <c r="V609">
        <v>1</v>
      </c>
      <c r="W609">
        <v>0.839622641509434</v>
      </c>
      <c r="X609">
        <v>59</v>
      </c>
      <c r="Y609">
        <v>14478692</v>
      </c>
      <c r="Z609">
        <v>13653</v>
      </c>
      <c r="AA609">
        <v>2</v>
      </c>
      <c r="AB609">
        <v>78</v>
      </c>
    </row>
    <row r="610" spans="1:28" hidden="1" x14ac:dyDescent="0.25">
      <c r="A610" s="7" t="s">
        <v>57</v>
      </c>
      <c r="B610">
        <v>20</v>
      </c>
      <c r="C610">
        <v>9</v>
      </c>
      <c r="D610">
        <v>5</v>
      </c>
      <c r="E610">
        <v>0</v>
      </c>
      <c r="F610" s="7" t="s">
        <v>65</v>
      </c>
      <c r="G610">
        <v>13501</v>
      </c>
      <c r="H610">
        <v>1071927880</v>
      </c>
      <c r="I610">
        <v>5238</v>
      </c>
      <c r="J610">
        <v>0.40566039085388184</v>
      </c>
      <c r="K610">
        <v>0.70370370149612427</v>
      </c>
      <c r="L610">
        <v>0.37777778506278992</v>
      </c>
      <c r="M610">
        <v>0.8666666666666667</v>
      </c>
      <c r="N610">
        <v>1</v>
      </c>
      <c r="O610">
        <v>0.92452830188679247</v>
      </c>
      <c r="P610">
        <v>51</v>
      </c>
      <c r="Q610">
        <v>9831747</v>
      </c>
      <c r="R610">
        <v>13324</v>
      </c>
      <c r="S610">
        <v>2</v>
      </c>
      <c r="T610">
        <v>77</v>
      </c>
      <c r="U610">
        <v>0.8666666666666667</v>
      </c>
      <c r="V610">
        <v>1</v>
      </c>
      <c r="W610">
        <v>0.90566037735849059</v>
      </c>
      <c r="X610">
        <v>57</v>
      </c>
      <c r="Y610">
        <v>18767993</v>
      </c>
      <c r="Z610">
        <v>13653</v>
      </c>
      <c r="AA610">
        <v>2</v>
      </c>
      <c r="AB610">
        <v>78</v>
      </c>
    </row>
    <row r="611" spans="1:28" hidden="1" x14ac:dyDescent="0.25">
      <c r="A611" s="7" t="s">
        <v>57</v>
      </c>
      <c r="B611">
        <v>20</v>
      </c>
      <c r="C611">
        <v>9</v>
      </c>
      <c r="D611">
        <v>5</v>
      </c>
      <c r="E611">
        <v>0</v>
      </c>
      <c r="F611" s="7" t="s">
        <v>65</v>
      </c>
      <c r="G611">
        <v>13501</v>
      </c>
      <c r="H611">
        <v>1012521863</v>
      </c>
      <c r="I611">
        <v>5016</v>
      </c>
      <c r="J611">
        <v>0.33962264657020569</v>
      </c>
      <c r="K611">
        <v>0.70370370149612427</v>
      </c>
      <c r="L611">
        <v>0.24444444477558136</v>
      </c>
      <c r="M611">
        <v>0.88888888888888884</v>
      </c>
      <c r="N611">
        <v>1</v>
      </c>
      <c r="O611">
        <v>0.93396226415094341</v>
      </c>
      <c r="P611">
        <v>76</v>
      </c>
      <c r="Q611">
        <v>26580665</v>
      </c>
      <c r="R611">
        <v>13324</v>
      </c>
      <c r="S611">
        <v>2</v>
      </c>
      <c r="T611">
        <v>77</v>
      </c>
      <c r="U611">
        <v>0.8666666666666667</v>
      </c>
      <c r="V611">
        <v>1</v>
      </c>
      <c r="W611">
        <v>0.91509433962264153</v>
      </c>
      <c r="X611">
        <v>59</v>
      </c>
      <c r="Y611">
        <v>15199539</v>
      </c>
      <c r="Z611">
        <v>13653</v>
      </c>
      <c r="AA611">
        <v>2</v>
      </c>
      <c r="AB611">
        <v>78</v>
      </c>
    </row>
    <row r="612" spans="1:28" hidden="1" x14ac:dyDescent="0.25">
      <c r="A612" s="7" t="s">
        <v>57</v>
      </c>
      <c r="B612">
        <v>20</v>
      </c>
      <c r="C612">
        <v>9</v>
      </c>
      <c r="D612">
        <v>5</v>
      </c>
      <c r="E612">
        <v>0</v>
      </c>
      <c r="F612" s="7" t="s">
        <v>65</v>
      </c>
      <c r="G612">
        <v>13501</v>
      </c>
      <c r="H612">
        <v>1016004296</v>
      </c>
      <c r="I612">
        <v>5006</v>
      </c>
      <c r="J612">
        <v>0.29245284199714661</v>
      </c>
      <c r="K612">
        <v>0.66666668653488159</v>
      </c>
      <c r="L612">
        <v>0.37777778506278992</v>
      </c>
      <c r="M612">
        <v>0.91111111111111109</v>
      </c>
      <c r="N612">
        <v>1</v>
      </c>
      <c r="O612">
        <v>0.92452830188679247</v>
      </c>
      <c r="P612">
        <v>73</v>
      </c>
      <c r="Q612">
        <v>25771842</v>
      </c>
      <c r="R612">
        <v>13324</v>
      </c>
      <c r="S612">
        <v>2</v>
      </c>
      <c r="T612">
        <v>77</v>
      </c>
      <c r="U612">
        <v>0.88888888888888884</v>
      </c>
      <c r="V612">
        <v>1</v>
      </c>
      <c r="W612">
        <v>0.8867924528301887</v>
      </c>
      <c r="X612">
        <v>53</v>
      </c>
      <c r="Y612">
        <v>10477176</v>
      </c>
      <c r="Z612">
        <v>13653</v>
      </c>
      <c r="AA612">
        <v>2</v>
      </c>
      <c r="AB612">
        <v>78</v>
      </c>
    </row>
    <row r="613" spans="1:28" hidden="1" x14ac:dyDescent="0.25">
      <c r="A613" s="7" t="s">
        <v>57</v>
      </c>
      <c r="B613">
        <v>20</v>
      </c>
      <c r="C613">
        <v>9</v>
      </c>
      <c r="D613">
        <v>5</v>
      </c>
      <c r="E613">
        <v>0</v>
      </c>
      <c r="F613" s="7" t="s">
        <v>66</v>
      </c>
      <c r="G613">
        <v>16306</v>
      </c>
      <c r="H613">
        <v>1117474786</v>
      </c>
      <c r="I613">
        <v>5182</v>
      </c>
      <c r="J613">
        <v>0.34905660152435303</v>
      </c>
      <c r="K613">
        <v>0.70370370149612427</v>
      </c>
      <c r="L613">
        <v>0.4444444477558136</v>
      </c>
      <c r="M613">
        <v>0.8666666666666667</v>
      </c>
      <c r="N613">
        <v>1</v>
      </c>
      <c r="O613">
        <v>0.8867924528301887</v>
      </c>
      <c r="P613">
        <v>52</v>
      </c>
      <c r="Q613">
        <v>13136777</v>
      </c>
      <c r="R613">
        <v>16068</v>
      </c>
      <c r="S613">
        <v>2</v>
      </c>
      <c r="T613">
        <v>85</v>
      </c>
      <c r="U613">
        <v>0.8666666666666667</v>
      </c>
      <c r="V613">
        <v>1</v>
      </c>
      <c r="W613">
        <v>0.91509433962264153</v>
      </c>
      <c r="X613">
        <v>55</v>
      </c>
      <c r="Y613">
        <v>20780510</v>
      </c>
      <c r="Z613">
        <v>16429</v>
      </c>
      <c r="AA613">
        <v>2</v>
      </c>
      <c r="AB613">
        <v>86</v>
      </c>
    </row>
    <row r="614" spans="1:28" hidden="1" x14ac:dyDescent="0.25">
      <c r="A614" s="7" t="s">
        <v>57</v>
      </c>
      <c r="B614">
        <v>20</v>
      </c>
      <c r="C614">
        <v>9</v>
      </c>
      <c r="D614">
        <v>5</v>
      </c>
      <c r="E614">
        <v>0</v>
      </c>
      <c r="F614" s="7" t="s">
        <v>66</v>
      </c>
      <c r="G614">
        <v>16306</v>
      </c>
      <c r="H614">
        <v>1094551648</v>
      </c>
      <c r="I614">
        <v>5026</v>
      </c>
      <c r="J614">
        <v>0.31132075190544128</v>
      </c>
      <c r="K614">
        <v>0.66666668653488159</v>
      </c>
      <c r="L614">
        <v>0.28888890147209167</v>
      </c>
      <c r="M614">
        <v>0.88888888888888884</v>
      </c>
      <c r="N614">
        <v>1</v>
      </c>
      <c r="O614">
        <v>0.92452830188679247</v>
      </c>
      <c r="P614">
        <v>61</v>
      </c>
      <c r="Q614">
        <v>17536687</v>
      </c>
      <c r="R614">
        <v>16068</v>
      </c>
      <c r="S614">
        <v>2</v>
      </c>
      <c r="T614">
        <v>85</v>
      </c>
      <c r="U614">
        <v>0.8666666666666667</v>
      </c>
      <c r="V614">
        <v>1</v>
      </c>
      <c r="W614">
        <v>0.8867924528301887</v>
      </c>
      <c r="X614">
        <v>44</v>
      </c>
      <c r="Y614">
        <v>11894116</v>
      </c>
      <c r="Z614">
        <v>16429</v>
      </c>
      <c r="AA614">
        <v>2</v>
      </c>
      <c r="AB614">
        <v>86</v>
      </c>
    </row>
    <row r="615" spans="1:28" hidden="1" x14ac:dyDescent="0.25">
      <c r="A615" s="7" t="s">
        <v>57</v>
      </c>
      <c r="B615">
        <v>20</v>
      </c>
      <c r="C615">
        <v>9</v>
      </c>
      <c r="D615">
        <v>5</v>
      </c>
      <c r="E615">
        <v>0</v>
      </c>
      <c r="F615" s="7" t="s">
        <v>66</v>
      </c>
      <c r="G615">
        <v>16306</v>
      </c>
      <c r="H615">
        <v>1122109089</v>
      </c>
      <c r="I615">
        <v>5037</v>
      </c>
      <c r="J615">
        <v>0.33018869161605835</v>
      </c>
      <c r="K615">
        <v>0.66666668653488159</v>
      </c>
      <c r="L615">
        <v>0.3333333432674408</v>
      </c>
      <c r="M615">
        <v>0.8666666666666667</v>
      </c>
      <c r="N615">
        <v>1</v>
      </c>
      <c r="O615">
        <v>0.89622641509433965</v>
      </c>
      <c r="P615">
        <v>48</v>
      </c>
      <c r="Q615">
        <v>8224558</v>
      </c>
      <c r="R615">
        <v>16068</v>
      </c>
      <c r="S615">
        <v>2</v>
      </c>
      <c r="T615">
        <v>85</v>
      </c>
      <c r="U615">
        <v>0.8666666666666667</v>
      </c>
      <c r="V615">
        <v>1</v>
      </c>
      <c r="W615">
        <v>0.92452830188679247</v>
      </c>
      <c r="X615">
        <v>57</v>
      </c>
      <c r="Y615">
        <v>17832632</v>
      </c>
      <c r="Z615">
        <v>16429</v>
      </c>
      <c r="AA615">
        <v>2</v>
      </c>
      <c r="AB615">
        <v>86</v>
      </c>
    </row>
    <row r="616" spans="1:28" hidden="1" x14ac:dyDescent="0.25">
      <c r="A616" s="7" t="s">
        <v>57</v>
      </c>
      <c r="B616">
        <v>20</v>
      </c>
      <c r="C616">
        <v>9</v>
      </c>
      <c r="D616">
        <v>5</v>
      </c>
      <c r="E616">
        <v>0</v>
      </c>
      <c r="F616" s="7" t="s">
        <v>66</v>
      </c>
      <c r="G616">
        <v>16306</v>
      </c>
      <c r="H616">
        <v>1043867911</v>
      </c>
      <c r="I616">
        <v>5015</v>
      </c>
      <c r="J616">
        <v>0.30188679695129395</v>
      </c>
      <c r="K616">
        <v>0.62962961196899414</v>
      </c>
      <c r="L616">
        <v>0.42222222685813904</v>
      </c>
      <c r="M616">
        <v>0.88888888888888884</v>
      </c>
      <c r="N616">
        <v>1</v>
      </c>
      <c r="O616">
        <v>0.89622641509433965</v>
      </c>
      <c r="P616">
        <v>59</v>
      </c>
      <c r="Q616">
        <v>14125290</v>
      </c>
      <c r="R616">
        <v>16068</v>
      </c>
      <c r="S616">
        <v>2</v>
      </c>
      <c r="T616">
        <v>85</v>
      </c>
      <c r="U616">
        <v>0.88888888888888884</v>
      </c>
      <c r="V616">
        <v>1</v>
      </c>
      <c r="W616">
        <v>0.86792452830188682</v>
      </c>
      <c r="X616">
        <v>46</v>
      </c>
      <c r="Y616">
        <v>15857051</v>
      </c>
      <c r="Z616">
        <v>16429</v>
      </c>
      <c r="AA616">
        <v>2</v>
      </c>
      <c r="AB616">
        <v>86</v>
      </c>
    </row>
    <row r="617" spans="1:28" hidden="1" x14ac:dyDescent="0.25">
      <c r="A617" s="7" t="s">
        <v>57</v>
      </c>
      <c r="B617">
        <v>20</v>
      </c>
      <c r="C617">
        <v>9</v>
      </c>
      <c r="D617">
        <v>5</v>
      </c>
      <c r="E617">
        <v>0</v>
      </c>
      <c r="F617" s="7" t="s">
        <v>66</v>
      </c>
      <c r="G617">
        <v>16306</v>
      </c>
      <c r="H617">
        <v>1102427320</v>
      </c>
      <c r="I617">
        <v>5005</v>
      </c>
      <c r="J617">
        <v>0.34905660152435303</v>
      </c>
      <c r="K617">
        <v>0.59259259700775146</v>
      </c>
      <c r="L617">
        <v>0.40000000596046448</v>
      </c>
      <c r="M617">
        <v>0.8666666666666667</v>
      </c>
      <c r="N617">
        <v>1</v>
      </c>
      <c r="O617">
        <v>0.92452830188679247</v>
      </c>
      <c r="P617">
        <v>58</v>
      </c>
      <c r="Q617">
        <v>15070911</v>
      </c>
      <c r="R617">
        <v>16068</v>
      </c>
      <c r="S617">
        <v>2</v>
      </c>
      <c r="T617">
        <v>85</v>
      </c>
      <c r="U617">
        <v>0.8666666666666667</v>
      </c>
      <c r="V617">
        <v>1</v>
      </c>
      <c r="W617">
        <v>0.91509433962264153</v>
      </c>
      <c r="X617">
        <v>48</v>
      </c>
      <c r="Y617">
        <v>15102227</v>
      </c>
      <c r="Z617">
        <v>16429</v>
      </c>
      <c r="AA617">
        <v>2</v>
      </c>
      <c r="AB617">
        <v>86</v>
      </c>
    </row>
    <row r="618" spans="1:28" hidden="1" x14ac:dyDescent="0.25">
      <c r="A618" s="7" t="s">
        <v>57</v>
      </c>
      <c r="B618">
        <v>20</v>
      </c>
      <c r="C618">
        <v>9</v>
      </c>
      <c r="D618">
        <v>5</v>
      </c>
      <c r="E618">
        <v>0</v>
      </c>
      <c r="F618" s="7" t="s">
        <v>67</v>
      </c>
      <c r="G618">
        <v>19111</v>
      </c>
      <c r="H618">
        <v>1211215868</v>
      </c>
      <c r="I618">
        <v>5123</v>
      </c>
      <c r="J618">
        <v>0.2641509473323822</v>
      </c>
      <c r="K618">
        <v>0.70370370149612427</v>
      </c>
      <c r="L618">
        <v>0.40000000596046448</v>
      </c>
      <c r="M618">
        <v>0.8666666666666667</v>
      </c>
      <c r="N618">
        <v>1</v>
      </c>
      <c r="O618">
        <v>0.90566037735849059</v>
      </c>
      <c r="P618">
        <v>48</v>
      </c>
      <c r="Q618">
        <v>11959229</v>
      </c>
      <c r="R618">
        <v>19068</v>
      </c>
      <c r="S618">
        <v>2</v>
      </c>
      <c r="T618">
        <v>93</v>
      </c>
      <c r="U618">
        <v>0.84444444444444444</v>
      </c>
      <c r="V618">
        <v>1</v>
      </c>
      <c r="W618">
        <v>0.82075471698113212</v>
      </c>
      <c r="X618">
        <v>37</v>
      </c>
      <c r="Y618">
        <v>7680331</v>
      </c>
      <c r="Z618">
        <v>19461</v>
      </c>
      <c r="AA618">
        <v>2</v>
      </c>
      <c r="AB618">
        <v>94</v>
      </c>
    </row>
    <row r="619" spans="1:28" hidden="1" x14ac:dyDescent="0.25">
      <c r="A619" s="7" t="s">
        <v>57</v>
      </c>
      <c r="B619">
        <v>20</v>
      </c>
      <c r="C619">
        <v>9</v>
      </c>
      <c r="D619">
        <v>5</v>
      </c>
      <c r="E619">
        <v>0</v>
      </c>
      <c r="F619" s="7" t="s">
        <v>67</v>
      </c>
      <c r="G619">
        <v>19111</v>
      </c>
      <c r="H619">
        <v>1168118435</v>
      </c>
      <c r="I619">
        <v>5011</v>
      </c>
      <c r="J619">
        <v>0.29245284199714661</v>
      </c>
      <c r="K619">
        <v>0.59259259700775146</v>
      </c>
      <c r="L619">
        <v>0.24444444477558136</v>
      </c>
      <c r="M619">
        <v>0.88888888888888884</v>
      </c>
      <c r="N619">
        <v>1</v>
      </c>
      <c r="O619">
        <v>0.8867924528301887</v>
      </c>
      <c r="P619">
        <v>51</v>
      </c>
      <c r="Q619">
        <v>13500778</v>
      </c>
      <c r="R619">
        <v>19068</v>
      </c>
      <c r="S619">
        <v>2</v>
      </c>
      <c r="T619">
        <v>93</v>
      </c>
      <c r="U619">
        <v>0.8666666666666667</v>
      </c>
      <c r="V619">
        <v>1</v>
      </c>
      <c r="W619">
        <v>0.91509433962264153</v>
      </c>
      <c r="X619">
        <v>48</v>
      </c>
      <c r="Y619">
        <v>13698063</v>
      </c>
      <c r="Z619">
        <v>19461</v>
      </c>
      <c r="AA619">
        <v>2</v>
      </c>
      <c r="AB619">
        <v>94</v>
      </c>
    </row>
    <row r="620" spans="1:28" hidden="1" x14ac:dyDescent="0.25">
      <c r="A620" s="7" t="s">
        <v>57</v>
      </c>
      <c r="B620">
        <v>20</v>
      </c>
      <c r="C620">
        <v>9</v>
      </c>
      <c r="D620">
        <v>5</v>
      </c>
      <c r="E620">
        <v>0</v>
      </c>
      <c r="F620" s="7" t="s">
        <v>67</v>
      </c>
      <c r="G620">
        <v>19111</v>
      </c>
      <c r="H620">
        <v>1307028818</v>
      </c>
      <c r="I620">
        <v>5635</v>
      </c>
      <c r="J620">
        <v>0.32075470685958862</v>
      </c>
      <c r="K620">
        <v>0.70370370149612427</v>
      </c>
      <c r="L620">
        <v>0.31111112236976624</v>
      </c>
      <c r="M620">
        <v>0.8666666666666667</v>
      </c>
      <c r="N620">
        <v>1</v>
      </c>
      <c r="O620">
        <v>0.89622641509433965</v>
      </c>
      <c r="P620">
        <v>37</v>
      </c>
      <c r="Q620">
        <v>4954522</v>
      </c>
      <c r="R620">
        <v>19068</v>
      </c>
      <c r="S620">
        <v>2</v>
      </c>
      <c r="T620">
        <v>93</v>
      </c>
      <c r="U620">
        <v>0.8666666666666667</v>
      </c>
      <c r="V620">
        <v>1</v>
      </c>
      <c r="W620">
        <v>0.94339622641509435</v>
      </c>
      <c r="X620">
        <v>67</v>
      </c>
      <c r="Y620">
        <v>36164345</v>
      </c>
      <c r="Z620">
        <v>19461</v>
      </c>
      <c r="AA620">
        <v>2</v>
      </c>
      <c r="AB620">
        <v>94</v>
      </c>
    </row>
    <row r="621" spans="1:28" hidden="1" x14ac:dyDescent="0.25">
      <c r="A621" s="7" t="s">
        <v>57</v>
      </c>
      <c r="B621">
        <v>20</v>
      </c>
      <c r="C621">
        <v>9</v>
      </c>
      <c r="D621">
        <v>5</v>
      </c>
      <c r="E621">
        <v>0</v>
      </c>
      <c r="F621" s="7" t="s">
        <v>67</v>
      </c>
      <c r="G621">
        <v>19111</v>
      </c>
      <c r="H621">
        <v>1149777067</v>
      </c>
      <c r="I621">
        <v>5025</v>
      </c>
      <c r="J621">
        <v>0.30188679695129395</v>
      </c>
      <c r="K621">
        <v>0.62962961196899414</v>
      </c>
      <c r="L621">
        <v>0.24444444477558136</v>
      </c>
      <c r="M621">
        <v>0.8666666666666667</v>
      </c>
      <c r="N621">
        <v>1</v>
      </c>
      <c r="O621">
        <v>0.89622641509433965</v>
      </c>
      <c r="P621">
        <v>42</v>
      </c>
      <c r="Q621">
        <v>6093161</v>
      </c>
      <c r="R621">
        <v>19068</v>
      </c>
      <c r="S621">
        <v>2</v>
      </c>
      <c r="T621">
        <v>93</v>
      </c>
      <c r="U621">
        <v>0.88888888888888884</v>
      </c>
      <c r="V621">
        <v>1</v>
      </c>
      <c r="W621">
        <v>0.92452830188679247</v>
      </c>
      <c r="X621">
        <v>46</v>
      </c>
      <c r="Y621">
        <v>20996035</v>
      </c>
      <c r="Z621">
        <v>19461</v>
      </c>
      <c r="AA621">
        <v>2</v>
      </c>
      <c r="AB621">
        <v>94</v>
      </c>
    </row>
    <row r="622" spans="1:28" hidden="1" x14ac:dyDescent="0.25">
      <c r="A622" s="7" t="s">
        <v>57</v>
      </c>
      <c r="B622">
        <v>20</v>
      </c>
      <c r="C622">
        <v>9</v>
      </c>
      <c r="D622">
        <v>5</v>
      </c>
      <c r="E622">
        <v>0</v>
      </c>
      <c r="F622" s="7" t="s">
        <v>67</v>
      </c>
      <c r="G622">
        <v>19111</v>
      </c>
      <c r="H622">
        <v>2061349490</v>
      </c>
      <c r="I622">
        <v>8797</v>
      </c>
      <c r="J622">
        <v>0.40566039085388184</v>
      </c>
      <c r="K622">
        <v>0.62962961196899414</v>
      </c>
      <c r="L622">
        <v>0.4444444477558136</v>
      </c>
      <c r="M622">
        <v>0.8666666666666667</v>
      </c>
      <c r="N622">
        <v>1</v>
      </c>
      <c r="O622">
        <v>0.94339622641509435</v>
      </c>
      <c r="P622">
        <v>64</v>
      </c>
      <c r="Q622">
        <v>20686530</v>
      </c>
      <c r="R622">
        <v>19068</v>
      </c>
      <c r="S622">
        <v>2</v>
      </c>
      <c r="T622">
        <v>93</v>
      </c>
      <c r="U622">
        <v>0.8666666666666667</v>
      </c>
      <c r="V622">
        <v>1</v>
      </c>
      <c r="W622">
        <v>0.89622641509433965</v>
      </c>
      <c r="X622">
        <v>49</v>
      </c>
      <c r="Y622">
        <v>20549140</v>
      </c>
      <c r="Z622">
        <v>19461</v>
      </c>
      <c r="AA622">
        <v>2</v>
      </c>
      <c r="AB622">
        <v>94</v>
      </c>
    </row>
    <row r="623" spans="1:28" hidden="1" x14ac:dyDescent="0.25">
      <c r="A623" s="7" t="s">
        <v>57</v>
      </c>
      <c r="B623">
        <v>20</v>
      </c>
      <c r="C623">
        <v>9</v>
      </c>
      <c r="D623">
        <v>5</v>
      </c>
      <c r="E623">
        <v>0</v>
      </c>
      <c r="F623" s="7" t="s">
        <v>68</v>
      </c>
      <c r="G623">
        <v>14959</v>
      </c>
      <c r="H623">
        <v>1066169896</v>
      </c>
      <c r="I623">
        <v>5012</v>
      </c>
      <c r="J623">
        <v>0.34905660152435303</v>
      </c>
      <c r="K623">
        <v>0.70370370149612427</v>
      </c>
      <c r="L623">
        <v>0.37777778506278992</v>
      </c>
      <c r="M623">
        <v>0.88888888888888884</v>
      </c>
      <c r="N623">
        <v>1</v>
      </c>
      <c r="O623">
        <v>0.8867924528301887</v>
      </c>
      <c r="P623">
        <v>41</v>
      </c>
      <c r="Q623">
        <v>15694057</v>
      </c>
      <c r="R623">
        <v>14664</v>
      </c>
      <c r="S623">
        <v>2</v>
      </c>
      <c r="T623">
        <v>81</v>
      </c>
      <c r="U623">
        <v>0.8666666666666667</v>
      </c>
      <c r="V623">
        <v>1</v>
      </c>
      <c r="W623">
        <v>0.8867924528301887</v>
      </c>
      <c r="X623">
        <v>42</v>
      </c>
      <c r="Y623">
        <v>14684997</v>
      </c>
      <c r="Z623">
        <v>15009</v>
      </c>
      <c r="AA623">
        <v>2</v>
      </c>
      <c r="AB623">
        <v>82</v>
      </c>
    </row>
    <row r="624" spans="1:28" hidden="1" x14ac:dyDescent="0.25">
      <c r="A624" s="7" t="s">
        <v>57</v>
      </c>
      <c r="B624">
        <v>20</v>
      </c>
      <c r="C624">
        <v>9</v>
      </c>
      <c r="D624">
        <v>5</v>
      </c>
      <c r="E624">
        <v>0</v>
      </c>
      <c r="F624" s="7" t="s">
        <v>68</v>
      </c>
      <c r="G624">
        <v>14959</v>
      </c>
      <c r="H624">
        <v>1067540110</v>
      </c>
      <c r="I624">
        <v>5002</v>
      </c>
      <c r="J624">
        <v>0.33018869161605835</v>
      </c>
      <c r="K624">
        <v>0.62962961196899414</v>
      </c>
      <c r="L624">
        <v>0.42222222685813904</v>
      </c>
      <c r="M624">
        <v>0.8666666666666667</v>
      </c>
      <c r="N624">
        <v>1</v>
      </c>
      <c r="O624">
        <v>0.91509433962264153</v>
      </c>
      <c r="P624">
        <v>49</v>
      </c>
      <c r="Q624">
        <v>15354320</v>
      </c>
      <c r="R624">
        <v>14664</v>
      </c>
      <c r="S624">
        <v>2</v>
      </c>
      <c r="T624">
        <v>81</v>
      </c>
      <c r="U624">
        <v>0.8666666666666667</v>
      </c>
      <c r="V624">
        <v>1</v>
      </c>
      <c r="W624">
        <v>0.90566037735849059</v>
      </c>
      <c r="X624">
        <v>52</v>
      </c>
      <c r="Y624">
        <v>15504132</v>
      </c>
      <c r="Z624">
        <v>15009</v>
      </c>
      <c r="AA624">
        <v>2</v>
      </c>
      <c r="AB624">
        <v>82</v>
      </c>
    </row>
    <row r="625" spans="1:28" hidden="1" x14ac:dyDescent="0.25">
      <c r="A625" s="7" t="s">
        <v>57</v>
      </c>
      <c r="B625">
        <v>20</v>
      </c>
      <c r="C625">
        <v>9</v>
      </c>
      <c r="D625">
        <v>5</v>
      </c>
      <c r="E625">
        <v>0</v>
      </c>
      <c r="F625" s="7" t="s">
        <v>68</v>
      </c>
      <c r="G625">
        <v>14959</v>
      </c>
      <c r="H625">
        <v>1089165183</v>
      </c>
      <c r="I625">
        <v>5051</v>
      </c>
      <c r="J625">
        <v>0.33018869161605835</v>
      </c>
      <c r="K625">
        <v>0.92592591047286987</v>
      </c>
      <c r="L625">
        <v>0.37777778506278992</v>
      </c>
      <c r="M625">
        <v>0.8666666666666667</v>
      </c>
      <c r="N625">
        <v>1</v>
      </c>
      <c r="O625">
        <v>0.90566037735849059</v>
      </c>
      <c r="P625">
        <v>53</v>
      </c>
      <c r="Q625">
        <v>12687039</v>
      </c>
      <c r="R625">
        <v>14664</v>
      </c>
      <c r="S625">
        <v>2</v>
      </c>
      <c r="T625">
        <v>81</v>
      </c>
      <c r="U625">
        <v>0.8666666666666667</v>
      </c>
      <c r="V625">
        <v>1</v>
      </c>
      <c r="W625">
        <v>0.8867924528301887</v>
      </c>
      <c r="X625">
        <v>52</v>
      </c>
      <c r="Y625">
        <v>14704711</v>
      </c>
      <c r="Z625">
        <v>15009</v>
      </c>
      <c r="AA625">
        <v>2</v>
      </c>
      <c r="AB625">
        <v>82</v>
      </c>
    </row>
    <row r="626" spans="1:28" hidden="1" x14ac:dyDescent="0.25">
      <c r="A626" s="7" t="s">
        <v>57</v>
      </c>
      <c r="B626">
        <v>20</v>
      </c>
      <c r="C626">
        <v>9</v>
      </c>
      <c r="D626">
        <v>5</v>
      </c>
      <c r="E626">
        <v>0</v>
      </c>
      <c r="F626" s="7" t="s">
        <v>68</v>
      </c>
      <c r="G626">
        <v>14959</v>
      </c>
      <c r="H626">
        <v>1047886797</v>
      </c>
      <c r="I626">
        <v>5033</v>
      </c>
      <c r="J626">
        <v>0.29245284199714661</v>
      </c>
      <c r="K626">
        <v>0.62962961196899414</v>
      </c>
      <c r="L626">
        <v>0.37777778506278992</v>
      </c>
      <c r="M626">
        <v>0.8666666666666667</v>
      </c>
      <c r="N626">
        <v>1</v>
      </c>
      <c r="O626">
        <v>0.90566037735849059</v>
      </c>
      <c r="P626">
        <v>47</v>
      </c>
      <c r="Q626">
        <v>8067142</v>
      </c>
      <c r="R626">
        <v>14664</v>
      </c>
      <c r="S626">
        <v>2</v>
      </c>
      <c r="T626">
        <v>81</v>
      </c>
      <c r="U626">
        <v>0.8666666666666667</v>
      </c>
      <c r="V626">
        <v>1</v>
      </c>
      <c r="W626">
        <v>0.90566037735849059</v>
      </c>
      <c r="X626">
        <v>51</v>
      </c>
      <c r="Y626">
        <v>15152823</v>
      </c>
      <c r="Z626">
        <v>15009</v>
      </c>
      <c r="AA626">
        <v>2</v>
      </c>
      <c r="AB626">
        <v>82</v>
      </c>
    </row>
    <row r="627" spans="1:28" hidden="1" x14ac:dyDescent="0.25">
      <c r="A627" s="7" t="s">
        <v>57</v>
      </c>
      <c r="B627">
        <v>20</v>
      </c>
      <c r="C627">
        <v>9</v>
      </c>
      <c r="D627">
        <v>5</v>
      </c>
      <c r="E627">
        <v>0</v>
      </c>
      <c r="F627" s="7" t="s">
        <v>68</v>
      </c>
      <c r="G627">
        <v>14959</v>
      </c>
      <c r="H627">
        <v>1064959365</v>
      </c>
      <c r="I627">
        <v>5002</v>
      </c>
      <c r="J627">
        <v>0.31132075190544128</v>
      </c>
      <c r="K627">
        <v>0.62962961196899414</v>
      </c>
      <c r="L627">
        <v>0.46666666865348816</v>
      </c>
      <c r="M627">
        <v>0.8666666666666667</v>
      </c>
      <c r="N627">
        <v>1</v>
      </c>
      <c r="O627">
        <v>0.91509433962264153</v>
      </c>
      <c r="P627">
        <v>49</v>
      </c>
      <c r="Q627">
        <v>27540874</v>
      </c>
      <c r="R627">
        <v>14664</v>
      </c>
      <c r="S627">
        <v>2</v>
      </c>
      <c r="T627">
        <v>81</v>
      </c>
      <c r="U627">
        <v>0.8666666666666667</v>
      </c>
      <c r="V627">
        <v>1</v>
      </c>
      <c r="W627">
        <v>0.90566037735849059</v>
      </c>
      <c r="X627">
        <v>52</v>
      </c>
      <c r="Y627">
        <v>16694960</v>
      </c>
      <c r="Z627">
        <v>15009</v>
      </c>
      <c r="AA627">
        <v>2</v>
      </c>
      <c r="AB627">
        <v>82</v>
      </c>
    </row>
    <row r="628" spans="1:28" hidden="1" x14ac:dyDescent="0.25">
      <c r="A628" s="7" t="s">
        <v>57</v>
      </c>
      <c r="B628">
        <v>20</v>
      </c>
      <c r="C628">
        <v>9</v>
      </c>
      <c r="D628">
        <v>5</v>
      </c>
      <c r="E628">
        <v>0</v>
      </c>
      <c r="F628" s="7" t="s">
        <v>69</v>
      </c>
      <c r="G628">
        <v>18044</v>
      </c>
      <c r="H628">
        <v>1091125247</v>
      </c>
      <c r="I628">
        <v>5008</v>
      </c>
      <c r="J628">
        <v>0.25471699237823486</v>
      </c>
      <c r="K628">
        <v>0.62962961196899414</v>
      </c>
      <c r="L628">
        <v>0.42222222685813904</v>
      </c>
      <c r="M628">
        <v>0.88888888888888884</v>
      </c>
      <c r="N628">
        <v>1</v>
      </c>
      <c r="O628">
        <v>0.92452830188679247</v>
      </c>
      <c r="P628">
        <v>59</v>
      </c>
      <c r="Q628">
        <v>9575864</v>
      </c>
      <c r="R628">
        <v>17913</v>
      </c>
      <c r="S628">
        <v>2</v>
      </c>
      <c r="T628">
        <v>90</v>
      </c>
      <c r="U628">
        <v>0.8666666666666667</v>
      </c>
      <c r="V628">
        <v>1</v>
      </c>
      <c r="W628">
        <v>0.89622641509433965</v>
      </c>
      <c r="X628">
        <v>47</v>
      </c>
      <c r="Y628">
        <v>14333428</v>
      </c>
      <c r="Z628">
        <v>18294</v>
      </c>
      <c r="AA628">
        <v>2</v>
      </c>
      <c r="AB628">
        <v>91</v>
      </c>
    </row>
    <row r="629" spans="1:28" hidden="1" x14ac:dyDescent="0.25">
      <c r="A629" s="7" t="s">
        <v>57</v>
      </c>
      <c r="B629">
        <v>20</v>
      </c>
      <c r="C629">
        <v>9</v>
      </c>
      <c r="D629">
        <v>5</v>
      </c>
      <c r="E629">
        <v>0</v>
      </c>
      <c r="F629" s="7" t="s">
        <v>69</v>
      </c>
      <c r="G629">
        <v>18044</v>
      </c>
      <c r="H629">
        <v>1857410028</v>
      </c>
      <c r="I629">
        <v>8925</v>
      </c>
      <c r="J629">
        <v>0.37735849618911743</v>
      </c>
      <c r="K629">
        <v>0.62962961196899414</v>
      </c>
      <c r="L629">
        <v>0.51111114025115967</v>
      </c>
      <c r="M629">
        <v>0.8666666666666667</v>
      </c>
      <c r="N629">
        <v>1</v>
      </c>
      <c r="O629">
        <v>0.90566037735849059</v>
      </c>
      <c r="P629">
        <v>43</v>
      </c>
      <c r="Q629">
        <v>11414961</v>
      </c>
      <c r="R629">
        <v>17913</v>
      </c>
      <c r="S629">
        <v>2</v>
      </c>
      <c r="T629">
        <v>90</v>
      </c>
      <c r="U629">
        <v>0.8666666666666667</v>
      </c>
      <c r="V629">
        <v>1</v>
      </c>
      <c r="W629">
        <v>0.90566037735849059</v>
      </c>
      <c r="X629">
        <v>51</v>
      </c>
      <c r="Y629">
        <v>17021112</v>
      </c>
      <c r="Z629">
        <v>18294</v>
      </c>
      <c r="AA629">
        <v>2</v>
      </c>
      <c r="AB629">
        <v>91</v>
      </c>
    </row>
    <row r="630" spans="1:28" hidden="1" x14ac:dyDescent="0.25">
      <c r="A630" s="7" t="s">
        <v>57</v>
      </c>
      <c r="B630">
        <v>20</v>
      </c>
      <c r="C630">
        <v>9</v>
      </c>
      <c r="D630">
        <v>5</v>
      </c>
      <c r="E630">
        <v>0</v>
      </c>
      <c r="F630" s="7" t="s">
        <v>69</v>
      </c>
      <c r="G630">
        <v>18044</v>
      </c>
      <c r="H630">
        <v>1114383052</v>
      </c>
      <c r="I630">
        <v>5297</v>
      </c>
      <c r="J630">
        <v>0.33018869161605835</v>
      </c>
      <c r="K630">
        <v>0.66666668653488159</v>
      </c>
      <c r="L630">
        <v>0.48888888955116272</v>
      </c>
      <c r="M630">
        <v>0.88888888888888884</v>
      </c>
      <c r="N630">
        <v>1</v>
      </c>
      <c r="O630">
        <v>0.89622641509433965</v>
      </c>
      <c r="P630">
        <v>40</v>
      </c>
      <c r="Q630">
        <v>9023307</v>
      </c>
      <c r="R630">
        <v>17913</v>
      </c>
      <c r="S630">
        <v>2</v>
      </c>
      <c r="T630">
        <v>90</v>
      </c>
      <c r="U630">
        <v>0.8666666666666667</v>
      </c>
      <c r="V630">
        <v>1</v>
      </c>
      <c r="W630">
        <v>0.90566037735849059</v>
      </c>
      <c r="X630">
        <v>41</v>
      </c>
      <c r="Y630">
        <v>12508177</v>
      </c>
      <c r="Z630">
        <v>18294</v>
      </c>
      <c r="AA630">
        <v>2</v>
      </c>
      <c r="AB630">
        <v>91</v>
      </c>
    </row>
    <row r="631" spans="1:28" x14ac:dyDescent="0.25">
      <c r="A631" s="7" t="s">
        <v>44</v>
      </c>
      <c r="B631">
        <v>14</v>
      </c>
      <c r="C631">
        <v>3</v>
      </c>
      <c r="D631">
        <v>5</v>
      </c>
      <c r="E631">
        <v>0</v>
      </c>
      <c r="F631" s="7" t="s">
        <v>50</v>
      </c>
      <c r="G631">
        <v>979</v>
      </c>
      <c r="H631">
        <v>623237621</v>
      </c>
      <c r="I631">
        <v>5007</v>
      </c>
      <c r="J631">
        <v>0.14606741070747375</v>
      </c>
      <c r="K631">
        <v>0.86956518888473511</v>
      </c>
      <c r="L631">
        <v>0.34210526943206787</v>
      </c>
      <c r="M631">
        <v>0.94736842105263153</v>
      </c>
      <c r="N631">
        <v>0.95652173913043481</v>
      </c>
      <c r="O631">
        <v>1</v>
      </c>
      <c r="P631">
        <v>63905</v>
      </c>
      <c r="Q631">
        <v>19241645735</v>
      </c>
      <c r="R631">
        <v>915</v>
      </c>
      <c r="S631">
        <v>2</v>
      </c>
      <c r="T631">
        <v>19</v>
      </c>
      <c r="U631">
        <v>0.81578947368421051</v>
      </c>
      <c r="V631">
        <v>0.91304347826086951</v>
      </c>
      <c r="W631">
        <v>0.97752808988764039</v>
      </c>
      <c r="X631">
        <v>17313</v>
      </c>
      <c r="Y631">
        <v>5005885359</v>
      </c>
      <c r="Z631">
        <v>1003</v>
      </c>
      <c r="AA631">
        <v>2</v>
      </c>
      <c r="AB631">
        <v>20</v>
      </c>
    </row>
    <row r="632" spans="1:28" x14ac:dyDescent="0.25">
      <c r="A632" s="7" t="s">
        <v>44</v>
      </c>
      <c r="B632">
        <v>14</v>
      </c>
      <c r="C632">
        <v>3</v>
      </c>
      <c r="D632">
        <v>5</v>
      </c>
      <c r="E632">
        <v>0</v>
      </c>
      <c r="F632" s="7" t="s">
        <v>50</v>
      </c>
      <c r="G632">
        <v>979</v>
      </c>
      <c r="H632">
        <v>639981693</v>
      </c>
      <c r="I632">
        <v>5034</v>
      </c>
      <c r="J632">
        <v>0.39325842261314392</v>
      </c>
      <c r="K632">
        <v>0.86956518888473511</v>
      </c>
      <c r="L632">
        <v>0.44736841320991516</v>
      </c>
      <c r="M632">
        <v>0.94736842105263153</v>
      </c>
      <c r="N632">
        <v>0.91304347826086951</v>
      </c>
      <c r="O632">
        <v>1</v>
      </c>
      <c r="P632">
        <v>5585</v>
      </c>
      <c r="Q632">
        <v>2142766130</v>
      </c>
      <c r="R632">
        <v>915</v>
      </c>
      <c r="S632">
        <v>2</v>
      </c>
      <c r="T632">
        <v>19</v>
      </c>
      <c r="U632">
        <v>0.94736842105263153</v>
      </c>
      <c r="V632">
        <v>0.91304347826086951</v>
      </c>
      <c r="W632">
        <v>1</v>
      </c>
      <c r="X632">
        <v>5588</v>
      </c>
      <c r="Y632">
        <v>1643179568</v>
      </c>
      <c r="Z632">
        <v>1003</v>
      </c>
      <c r="AA632">
        <v>2</v>
      </c>
      <c r="AB632">
        <v>20</v>
      </c>
    </row>
    <row r="633" spans="1:28" x14ac:dyDescent="0.25">
      <c r="A633" s="7" t="s">
        <v>44</v>
      </c>
      <c r="B633">
        <v>14</v>
      </c>
      <c r="C633">
        <v>3</v>
      </c>
      <c r="D633">
        <v>5</v>
      </c>
      <c r="E633">
        <v>0</v>
      </c>
      <c r="F633" s="7" t="s">
        <v>51</v>
      </c>
      <c r="G633">
        <v>1754</v>
      </c>
      <c r="H633">
        <v>686793110</v>
      </c>
      <c r="I633">
        <v>5019</v>
      </c>
      <c r="J633">
        <v>0.41573032736778259</v>
      </c>
      <c r="K633">
        <v>0.95652174949645996</v>
      </c>
      <c r="L633">
        <v>0.5</v>
      </c>
      <c r="M633">
        <v>0.94736842105263153</v>
      </c>
      <c r="N633">
        <v>0.91304347826086951</v>
      </c>
      <c r="O633">
        <v>1</v>
      </c>
      <c r="P633">
        <v>7470</v>
      </c>
      <c r="Q633">
        <v>3240916918</v>
      </c>
      <c r="R633">
        <v>1731</v>
      </c>
      <c r="S633">
        <v>2</v>
      </c>
      <c r="T633">
        <v>27</v>
      </c>
      <c r="U633">
        <v>0.94736842105263153</v>
      </c>
      <c r="V633">
        <v>0.95652173913043481</v>
      </c>
      <c r="W633">
        <v>1</v>
      </c>
      <c r="X633">
        <v>6223</v>
      </c>
      <c r="Y633">
        <v>2200498455</v>
      </c>
      <c r="Z633">
        <v>1851</v>
      </c>
      <c r="AA633">
        <v>2</v>
      </c>
      <c r="AB633">
        <v>28</v>
      </c>
    </row>
    <row r="634" spans="1:28" hidden="1" x14ac:dyDescent="0.25">
      <c r="A634" s="7" t="s">
        <v>57</v>
      </c>
      <c r="B634">
        <v>12</v>
      </c>
      <c r="C634">
        <v>3</v>
      </c>
      <c r="D634">
        <v>4</v>
      </c>
      <c r="E634">
        <v>0</v>
      </c>
      <c r="F634" s="7" t="s">
        <v>66</v>
      </c>
      <c r="G634">
        <v>11077</v>
      </c>
      <c r="H634">
        <v>851724870</v>
      </c>
      <c r="I634">
        <v>5170</v>
      </c>
      <c r="J634">
        <v>0.43396225571632385</v>
      </c>
      <c r="K634">
        <v>0.92592591047286987</v>
      </c>
      <c r="L634">
        <v>0.2222222238779068</v>
      </c>
      <c r="M634">
        <v>0.9555555555555556</v>
      </c>
      <c r="N634">
        <v>0.96296296296296291</v>
      </c>
      <c r="O634">
        <v>1</v>
      </c>
      <c r="P634">
        <v>5654</v>
      </c>
      <c r="Q634">
        <v>72881307</v>
      </c>
      <c r="R634">
        <v>10836</v>
      </c>
      <c r="S634">
        <v>2</v>
      </c>
      <c r="T634">
        <v>69</v>
      </c>
      <c r="U634">
        <v>0.93333333333333335</v>
      </c>
      <c r="V634">
        <v>0.96296296296296291</v>
      </c>
      <c r="W634">
        <v>1</v>
      </c>
      <c r="X634">
        <v>5776</v>
      </c>
      <c r="Y634">
        <v>71678348</v>
      </c>
      <c r="Z634">
        <v>11133</v>
      </c>
      <c r="AA634">
        <v>2</v>
      </c>
      <c r="AB634">
        <v>70</v>
      </c>
    </row>
    <row r="635" spans="1:28" hidden="1" x14ac:dyDescent="0.25">
      <c r="A635" s="7" t="s">
        <v>57</v>
      </c>
      <c r="B635">
        <v>12</v>
      </c>
      <c r="C635">
        <v>3</v>
      </c>
      <c r="D635">
        <v>4</v>
      </c>
      <c r="E635">
        <v>0</v>
      </c>
      <c r="F635" s="7" t="s">
        <v>67</v>
      </c>
      <c r="G635">
        <v>12982</v>
      </c>
      <c r="H635">
        <v>1032546625</v>
      </c>
      <c r="I635">
        <v>5678</v>
      </c>
      <c r="J635">
        <v>0.38679245114326477</v>
      </c>
      <c r="K635">
        <v>0.74074071645736694</v>
      </c>
      <c r="L635">
        <v>0.40000000596046448</v>
      </c>
      <c r="M635">
        <v>0.91111111111111109</v>
      </c>
      <c r="N635">
        <v>0.96296296296296291</v>
      </c>
      <c r="O635">
        <v>1</v>
      </c>
      <c r="P635">
        <v>5811</v>
      </c>
      <c r="Q635">
        <v>308446460</v>
      </c>
      <c r="R635">
        <v>12678</v>
      </c>
      <c r="S635">
        <v>2</v>
      </c>
      <c r="T635">
        <v>75</v>
      </c>
      <c r="U635">
        <v>0.91111111111111109</v>
      </c>
      <c r="V635">
        <v>0.96296296296296291</v>
      </c>
      <c r="W635">
        <v>1</v>
      </c>
      <c r="X635">
        <v>5721</v>
      </c>
      <c r="Y635">
        <v>292124615</v>
      </c>
      <c r="Z635">
        <v>12999</v>
      </c>
      <c r="AA635">
        <v>2</v>
      </c>
      <c r="AB635">
        <v>76</v>
      </c>
    </row>
    <row r="636" spans="1:28" hidden="1" x14ac:dyDescent="0.25">
      <c r="A636" s="7" t="s">
        <v>57</v>
      </c>
      <c r="B636">
        <v>12</v>
      </c>
      <c r="C636">
        <v>3</v>
      </c>
      <c r="D636">
        <v>4</v>
      </c>
      <c r="E636">
        <v>0</v>
      </c>
      <c r="F636" s="7" t="s">
        <v>67</v>
      </c>
      <c r="G636">
        <v>12982</v>
      </c>
      <c r="H636">
        <v>953475635</v>
      </c>
      <c r="I636">
        <v>5122</v>
      </c>
      <c r="J636">
        <v>0.38679245114326477</v>
      </c>
      <c r="K636">
        <v>0.66666668653488159</v>
      </c>
      <c r="L636">
        <v>0.2222222238779068</v>
      </c>
      <c r="M636">
        <v>0.91111111111111109</v>
      </c>
      <c r="N636">
        <v>0.96296296296296291</v>
      </c>
      <c r="O636">
        <v>1</v>
      </c>
      <c r="P636">
        <v>5671</v>
      </c>
      <c r="Q636">
        <v>288777260</v>
      </c>
      <c r="R636">
        <v>12678</v>
      </c>
      <c r="S636">
        <v>2</v>
      </c>
      <c r="T636">
        <v>75</v>
      </c>
      <c r="U636">
        <v>0.93333333333333335</v>
      </c>
      <c r="V636">
        <v>0.96296296296296291</v>
      </c>
      <c r="W636">
        <v>1</v>
      </c>
      <c r="X636">
        <v>5703</v>
      </c>
      <c r="Y636">
        <v>281373125</v>
      </c>
      <c r="Z636">
        <v>12999</v>
      </c>
      <c r="AA636">
        <v>2</v>
      </c>
      <c r="AB636">
        <v>76</v>
      </c>
    </row>
    <row r="637" spans="1:28" hidden="1" x14ac:dyDescent="0.25">
      <c r="A637" s="7" t="s">
        <v>57</v>
      </c>
      <c r="B637">
        <v>12</v>
      </c>
      <c r="C637">
        <v>3</v>
      </c>
      <c r="D637">
        <v>4</v>
      </c>
      <c r="E637">
        <v>0</v>
      </c>
      <c r="F637" s="7" t="s">
        <v>67</v>
      </c>
      <c r="G637">
        <v>12982</v>
      </c>
      <c r="H637">
        <v>811213828</v>
      </c>
      <c r="I637">
        <v>5099</v>
      </c>
      <c r="J637">
        <v>0.41509434580802917</v>
      </c>
      <c r="K637">
        <v>0.70370370149612427</v>
      </c>
      <c r="L637">
        <v>0.2222222238779068</v>
      </c>
      <c r="M637">
        <v>0.93333333333333335</v>
      </c>
      <c r="N637">
        <v>0.96296296296296291</v>
      </c>
      <c r="O637">
        <v>1</v>
      </c>
      <c r="P637">
        <v>5803</v>
      </c>
      <c r="Q637">
        <v>264783530</v>
      </c>
      <c r="R637">
        <v>12678</v>
      </c>
      <c r="S637">
        <v>2</v>
      </c>
      <c r="T637">
        <v>75</v>
      </c>
      <c r="U637">
        <v>0.93333333333333335</v>
      </c>
      <c r="V637">
        <v>0.96296296296296291</v>
      </c>
      <c r="W637">
        <v>1</v>
      </c>
      <c r="X637">
        <v>5713</v>
      </c>
      <c r="Y637">
        <v>272851411</v>
      </c>
      <c r="Z637">
        <v>12999</v>
      </c>
      <c r="AA637">
        <v>2</v>
      </c>
      <c r="AB637">
        <v>76</v>
      </c>
    </row>
    <row r="638" spans="1:28" hidden="1" x14ac:dyDescent="0.25">
      <c r="A638" s="7" t="s">
        <v>57</v>
      </c>
      <c r="B638">
        <v>12</v>
      </c>
      <c r="C638">
        <v>3</v>
      </c>
      <c r="D638">
        <v>4</v>
      </c>
      <c r="E638">
        <v>0</v>
      </c>
      <c r="F638" s="7" t="s">
        <v>67</v>
      </c>
      <c r="G638">
        <v>12982</v>
      </c>
      <c r="H638">
        <v>1062244668</v>
      </c>
      <c r="I638">
        <v>5736</v>
      </c>
      <c r="J638">
        <v>0.50943398475646973</v>
      </c>
      <c r="K638">
        <v>0.85185188055038452</v>
      </c>
      <c r="L638">
        <v>0.4444444477558136</v>
      </c>
      <c r="M638">
        <v>0.91111111111111109</v>
      </c>
      <c r="N638">
        <v>0.96296296296296291</v>
      </c>
      <c r="O638">
        <v>1</v>
      </c>
      <c r="P638">
        <v>5743</v>
      </c>
      <c r="Q638">
        <v>292667855</v>
      </c>
      <c r="R638">
        <v>12678</v>
      </c>
      <c r="S638">
        <v>2</v>
      </c>
      <c r="T638">
        <v>75</v>
      </c>
      <c r="U638">
        <v>0.93333333333333335</v>
      </c>
      <c r="V638">
        <v>0.96296296296296291</v>
      </c>
      <c r="W638">
        <v>1</v>
      </c>
      <c r="X638">
        <v>5690</v>
      </c>
      <c r="Y638">
        <v>301065054</v>
      </c>
      <c r="Z638">
        <v>12999</v>
      </c>
      <c r="AA638">
        <v>2</v>
      </c>
      <c r="AB638">
        <v>76</v>
      </c>
    </row>
    <row r="639" spans="1:28" hidden="1" x14ac:dyDescent="0.25">
      <c r="A639" s="7" t="s">
        <v>57</v>
      </c>
      <c r="B639">
        <v>12</v>
      </c>
      <c r="C639">
        <v>3</v>
      </c>
      <c r="D639">
        <v>4</v>
      </c>
      <c r="E639">
        <v>0</v>
      </c>
      <c r="F639" s="7" t="s">
        <v>67</v>
      </c>
      <c r="G639">
        <v>12982</v>
      </c>
      <c r="H639">
        <v>966270822</v>
      </c>
      <c r="I639">
        <v>5193</v>
      </c>
      <c r="J639">
        <v>0.39622640609741211</v>
      </c>
      <c r="K639">
        <v>0.66666668653488159</v>
      </c>
      <c r="L639">
        <v>0.4444444477558136</v>
      </c>
      <c r="M639">
        <v>0.91111111111111109</v>
      </c>
      <c r="N639">
        <v>0.96296296296296291</v>
      </c>
      <c r="O639">
        <v>1</v>
      </c>
      <c r="P639">
        <v>5742</v>
      </c>
      <c r="Q639">
        <v>295185185</v>
      </c>
      <c r="R639">
        <v>12678</v>
      </c>
      <c r="S639">
        <v>2</v>
      </c>
      <c r="T639">
        <v>75</v>
      </c>
      <c r="U639">
        <v>0.88888888888888884</v>
      </c>
      <c r="V639">
        <v>0.96296296296296291</v>
      </c>
      <c r="W639">
        <v>1</v>
      </c>
      <c r="X639">
        <v>5652</v>
      </c>
      <c r="Y639">
        <v>277623585</v>
      </c>
      <c r="Z639">
        <v>12999</v>
      </c>
      <c r="AA639">
        <v>2</v>
      </c>
      <c r="AB639">
        <v>76</v>
      </c>
    </row>
    <row r="640" spans="1:28" hidden="1" x14ac:dyDescent="0.25">
      <c r="A640" s="7" t="s">
        <v>57</v>
      </c>
      <c r="B640">
        <v>12</v>
      </c>
      <c r="C640">
        <v>3</v>
      </c>
      <c r="D640">
        <v>4</v>
      </c>
      <c r="E640">
        <v>0</v>
      </c>
      <c r="F640" s="7" t="s">
        <v>68</v>
      </c>
      <c r="G640">
        <v>10162</v>
      </c>
      <c r="H640">
        <v>1179024126</v>
      </c>
      <c r="I640">
        <v>7918</v>
      </c>
      <c r="J640">
        <v>0.31132075190544128</v>
      </c>
      <c r="K640">
        <v>0.85185188055038452</v>
      </c>
      <c r="L640">
        <v>0.31111112236976624</v>
      </c>
      <c r="M640">
        <v>0.93333333333333335</v>
      </c>
      <c r="N640">
        <v>0.96296296296296291</v>
      </c>
      <c r="O640">
        <v>1</v>
      </c>
      <c r="P640">
        <v>5707</v>
      </c>
      <c r="Q640">
        <v>58634801</v>
      </c>
      <c r="R640">
        <v>9969</v>
      </c>
      <c r="S640">
        <v>2</v>
      </c>
      <c r="T640">
        <v>66</v>
      </c>
      <c r="U640">
        <v>0.93333333333333335</v>
      </c>
      <c r="V640">
        <v>0.96296296296296291</v>
      </c>
      <c r="W640">
        <v>1</v>
      </c>
      <c r="X640">
        <v>5876</v>
      </c>
      <c r="Y640">
        <v>61624951</v>
      </c>
      <c r="Z640">
        <v>10254</v>
      </c>
      <c r="AA640">
        <v>2</v>
      </c>
      <c r="AB640">
        <v>67</v>
      </c>
    </row>
    <row r="641" spans="1:28" hidden="1" x14ac:dyDescent="0.25">
      <c r="A641" s="7" t="s">
        <v>57</v>
      </c>
      <c r="B641">
        <v>12</v>
      </c>
      <c r="C641">
        <v>3</v>
      </c>
      <c r="D641">
        <v>4</v>
      </c>
      <c r="E641">
        <v>0</v>
      </c>
      <c r="F641" s="7" t="s">
        <v>68</v>
      </c>
      <c r="G641">
        <v>10162</v>
      </c>
      <c r="H641">
        <v>780996619</v>
      </c>
      <c r="I641">
        <v>5257</v>
      </c>
      <c r="J641">
        <v>0.31132075190544128</v>
      </c>
      <c r="K641">
        <v>0.66666668653488159</v>
      </c>
      <c r="L641">
        <v>0.31111112236976624</v>
      </c>
      <c r="M641">
        <v>0.93333333333333335</v>
      </c>
      <c r="N641">
        <v>0.96296296296296291</v>
      </c>
      <c r="O641">
        <v>1</v>
      </c>
      <c r="P641">
        <v>5716</v>
      </c>
      <c r="Q641">
        <v>61964411</v>
      </c>
      <c r="R641">
        <v>9969</v>
      </c>
      <c r="S641">
        <v>2</v>
      </c>
      <c r="T641">
        <v>66</v>
      </c>
      <c r="U641">
        <v>0.91111111111111109</v>
      </c>
      <c r="V641">
        <v>0.96296296296296291</v>
      </c>
      <c r="W641">
        <v>1</v>
      </c>
      <c r="X641">
        <v>5701</v>
      </c>
      <c r="Y641">
        <v>68498752</v>
      </c>
      <c r="Z641">
        <v>10254</v>
      </c>
      <c r="AA641">
        <v>2</v>
      </c>
      <c r="AB641">
        <v>67</v>
      </c>
    </row>
    <row r="642" spans="1:28" hidden="1" x14ac:dyDescent="0.25">
      <c r="A642" s="7" t="s">
        <v>57</v>
      </c>
      <c r="B642">
        <v>12</v>
      </c>
      <c r="C642">
        <v>3</v>
      </c>
      <c r="D642">
        <v>4</v>
      </c>
      <c r="E642">
        <v>0</v>
      </c>
      <c r="F642" s="7" t="s">
        <v>68</v>
      </c>
      <c r="G642">
        <v>10162</v>
      </c>
      <c r="H642">
        <v>817071847</v>
      </c>
      <c r="I642">
        <v>5409</v>
      </c>
      <c r="J642">
        <v>0.35849055647850037</v>
      </c>
      <c r="K642">
        <v>0.77777779102325439</v>
      </c>
      <c r="L642">
        <v>0.37777778506278992</v>
      </c>
      <c r="M642">
        <v>0.88888888888888884</v>
      </c>
      <c r="N642">
        <v>0.96296296296296291</v>
      </c>
      <c r="O642">
        <v>1</v>
      </c>
      <c r="P642">
        <v>5872</v>
      </c>
      <c r="Q642">
        <v>67009339</v>
      </c>
      <c r="R642">
        <v>9969</v>
      </c>
      <c r="S642">
        <v>2</v>
      </c>
      <c r="T642">
        <v>66</v>
      </c>
      <c r="U642">
        <v>0.91111111111111109</v>
      </c>
      <c r="V642">
        <v>0.96296296296296291</v>
      </c>
      <c r="W642">
        <v>1</v>
      </c>
      <c r="X642">
        <v>5647</v>
      </c>
      <c r="Y642">
        <v>65647091</v>
      </c>
      <c r="Z642">
        <v>10254</v>
      </c>
      <c r="AA642">
        <v>2</v>
      </c>
      <c r="AB642">
        <v>67</v>
      </c>
    </row>
    <row r="643" spans="1:28" hidden="1" x14ac:dyDescent="0.25">
      <c r="A643" s="7" t="s">
        <v>57</v>
      </c>
      <c r="B643">
        <v>12</v>
      </c>
      <c r="C643">
        <v>3</v>
      </c>
      <c r="D643">
        <v>4</v>
      </c>
      <c r="E643">
        <v>0</v>
      </c>
      <c r="F643" s="7" t="s">
        <v>68</v>
      </c>
      <c r="G643">
        <v>10162</v>
      </c>
      <c r="H643">
        <v>999674733</v>
      </c>
      <c r="I643">
        <v>6929</v>
      </c>
      <c r="J643">
        <v>0.55660378932952881</v>
      </c>
      <c r="K643">
        <v>0.70370370149612427</v>
      </c>
      <c r="L643">
        <v>0.37777778506278992</v>
      </c>
      <c r="M643">
        <v>0.88888888888888884</v>
      </c>
      <c r="N643">
        <v>0.96296296296296291</v>
      </c>
      <c r="O643">
        <v>1</v>
      </c>
      <c r="P643">
        <v>5786</v>
      </c>
      <c r="Q643">
        <v>62120172</v>
      </c>
      <c r="R643">
        <v>9969</v>
      </c>
      <c r="S643">
        <v>2</v>
      </c>
      <c r="T643">
        <v>66</v>
      </c>
      <c r="U643">
        <v>0.93333333333333335</v>
      </c>
      <c r="V643">
        <v>0.96296296296296291</v>
      </c>
      <c r="W643">
        <v>1</v>
      </c>
      <c r="X643">
        <v>5769</v>
      </c>
      <c r="Y643">
        <v>61976500</v>
      </c>
      <c r="Z643">
        <v>10254</v>
      </c>
      <c r="AA643">
        <v>2</v>
      </c>
      <c r="AB643">
        <v>67</v>
      </c>
    </row>
    <row r="644" spans="1:28" hidden="1" x14ac:dyDescent="0.25">
      <c r="A644" s="7" t="s">
        <v>57</v>
      </c>
      <c r="B644">
        <v>12</v>
      </c>
      <c r="C644">
        <v>3</v>
      </c>
      <c r="D644">
        <v>4</v>
      </c>
      <c r="E644">
        <v>0</v>
      </c>
      <c r="F644" s="7" t="s">
        <v>68</v>
      </c>
      <c r="G644">
        <v>10162</v>
      </c>
      <c r="H644">
        <v>755822917</v>
      </c>
      <c r="I644">
        <v>5249</v>
      </c>
      <c r="J644">
        <v>0.5</v>
      </c>
      <c r="K644">
        <v>0.70370370149612427</v>
      </c>
      <c r="L644">
        <v>0.46666666865348816</v>
      </c>
      <c r="M644">
        <v>0.93333333333333335</v>
      </c>
      <c r="N644">
        <v>0.96296296296296291</v>
      </c>
      <c r="O644">
        <v>1</v>
      </c>
      <c r="P644">
        <v>5855</v>
      </c>
      <c r="Q644">
        <v>61729827</v>
      </c>
      <c r="R644">
        <v>9969</v>
      </c>
      <c r="S644">
        <v>2</v>
      </c>
      <c r="T644">
        <v>66</v>
      </c>
      <c r="U644">
        <v>0.91111111111111109</v>
      </c>
      <c r="V644">
        <v>0.92592592592592593</v>
      </c>
      <c r="W644">
        <v>1</v>
      </c>
      <c r="X644">
        <v>7056</v>
      </c>
      <c r="Y644">
        <v>77046781</v>
      </c>
      <c r="Z644">
        <v>10254</v>
      </c>
      <c r="AA644">
        <v>2</v>
      </c>
      <c r="AB644">
        <v>67</v>
      </c>
    </row>
    <row r="645" spans="1:28" hidden="1" x14ac:dyDescent="0.25">
      <c r="A645" s="7" t="s">
        <v>57</v>
      </c>
      <c r="B645">
        <v>12</v>
      </c>
      <c r="C645">
        <v>3</v>
      </c>
      <c r="D645">
        <v>4</v>
      </c>
      <c r="E645">
        <v>0</v>
      </c>
      <c r="F645" s="7" t="s">
        <v>69</v>
      </c>
      <c r="G645">
        <v>12257</v>
      </c>
      <c r="H645">
        <v>877804736</v>
      </c>
      <c r="I645">
        <v>5020</v>
      </c>
      <c r="J645">
        <v>0.38679245114326477</v>
      </c>
      <c r="K645">
        <v>0.62962961196899414</v>
      </c>
      <c r="L645">
        <v>0.31111112236976624</v>
      </c>
      <c r="M645">
        <v>0.91111111111111109</v>
      </c>
      <c r="N645">
        <v>0.96296296296296291</v>
      </c>
      <c r="O645">
        <v>1</v>
      </c>
      <c r="P645">
        <v>5726</v>
      </c>
      <c r="Q645">
        <v>301721185</v>
      </c>
      <c r="R645">
        <v>12048</v>
      </c>
      <c r="S645">
        <v>2</v>
      </c>
      <c r="T645">
        <v>73</v>
      </c>
      <c r="U645">
        <v>0.88888888888888884</v>
      </c>
      <c r="V645">
        <v>0.92592592592592593</v>
      </c>
      <c r="W645">
        <v>1</v>
      </c>
      <c r="X645">
        <v>6951</v>
      </c>
      <c r="Y645">
        <v>371614652</v>
      </c>
      <c r="Z645">
        <v>12361</v>
      </c>
      <c r="AA645">
        <v>2</v>
      </c>
      <c r="AB645">
        <v>74</v>
      </c>
    </row>
    <row r="646" spans="1:28" hidden="1" x14ac:dyDescent="0.25">
      <c r="A646" s="7" t="s">
        <v>57</v>
      </c>
      <c r="B646">
        <v>12</v>
      </c>
      <c r="C646">
        <v>3</v>
      </c>
      <c r="D646">
        <v>4</v>
      </c>
      <c r="E646">
        <v>0</v>
      </c>
      <c r="F646" s="7" t="s">
        <v>69</v>
      </c>
      <c r="G646">
        <v>12257</v>
      </c>
      <c r="H646">
        <v>971093105</v>
      </c>
      <c r="I646">
        <v>5738</v>
      </c>
      <c r="J646">
        <v>0.54716980457305908</v>
      </c>
      <c r="K646">
        <v>0.55555558204650879</v>
      </c>
      <c r="L646">
        <v>0.4444444477558136</v>
      </c>
      <c r="M646">
        <v>0.93333333333333335</v>
      </c>
      <c r="N646">
        <v>0.96296296296296291</v>
      </c>
      <c r="O646">
        <v>1</v>
      </c>
      <c r="P646">
        <v>5686</v>
      </c>
      <c r="Q646">
        <v>270251772</v>
      </c>
      <c r="R646">
        <v>12048</v>
      </c>
      <c r="S646">
        <v>2</v>
      </c>
      <c r="T646">
        <v>73</v>
      </c>
      <c r="U646">
        <v>0.91111111111111109</v>
      </c>
      <c r="V646">
        <v>0.96296296296296291</v>
      </c>
      <c r="W646">
        <v>1</v>
      </c>
      <c r="X646">
        <v>5623</v>
      </c>
      <c r="Y646">
        <v>283031789</v>
      </c>
      <c r="Z646">
        <v>12361</v>
      </c>
      <c r="AA646">
        <v>2</v>
      </c>
      <c r="AB646">
        <v>74</v>
      </c>
    </row>
    <row r="647" spans="1:28" hidden="1" x14ac:dyDescent="0.25">
      <c r="A647" s="7" t="s">
        <v>57</v>
      </c>
      <c r="B647">
        <v>12</v>
      </c>
      <c r="C647">
        <v>3</v>
      </c>
      <c r="D647">
        <v>4</v>
      </c>
      <c r="E647">
        <v>0</v>
      </c>
      <c r="F647" s="7" t="s">
        <v>69</v>
      </c>
      <c r="G647">
        <v>12257</v>
      </c>
      <c r="H647">
        <v>859765203</v>
      </c>
      <c r="I647">
        <v>5203</v>
      </c>
      <c r="J647">
        <v>0.41509434580802917</v>
      </c>
      <c r="K647">
        <v>0.81481480598449707</v>
      </c>
      <c r="L647">
        <v>0.48888888955116272</v>
      </c>
      <c r="M647">
        <v>0.9555555555555556</v>
      </c>
      <c r="N647">
        <v>0.96296296296296291</v>
      </c>
      <c r="O647">
        <v>1</v>
      </c>
      <c r="P647">
        <v>5778</v>
      </c>
      <c r="Q647">
        <v>287909490</v>
      </c>
      <c r="R647">
        <v>12048</v>
      </c>
      <c r="S647">
        <v>2</v>
      </c>
      <c r="T647">
        <v>73</v>
      </c>
      <c r="U647">
        <v>0.93333333333333335</v>
      </c>
      <c r="V647">
        <v>0.96296296296296291</v>
      </c>
      <c r="W647">
        <v>1</v>
      </c>
      <c r="X647">
        <v>5708</v>
      </c>
      <c r="Y647">
        <v>303050599</v>
      </c>
      <c r="Z647">
        <v>12361</v>
      </c>
      <c r="AA647">
        <v>2</v>
      </c>
      <c r="AB647">
        <v>74</v>
      </c>
    </row>
    <row r="648" spans="1:28" hidden="1" x14ac:dyDescent="0.25">
      <c r="A648" s="7" t="s">
        <v>57</v>
      </c>
      <c r="B648">
        <v>12</v>
      </c>
      <c r="C648">
        <v>3</v>
      </c>
      <c r="D648">
        <v>4</v>
      </c>
      <c r="E648">
        <v>0</v>
      </c>
      <c r="F648" s="7" t="s">
        <v>69</v>
      </c>
      <c r="G648">
        <v>12257</v>
      </c>
      <c r="H648">
        <v>876848103</v>
      </c>
      <c r="I648">
        <v>5280</v>
      </c>
      <c r="J648">
        <v>0.4716981053352356</v>
      </c>
      <c r="K648">
        <v>0.70370370149612427</v>
      </c>
      <c r="L648">
        <v>0.26666668057441711</v>
      </c>
      <c r="M648">
        <v>0.93333333333333335</v>
      </c>
      <c r="N648">
        <v>0.96296296296296291</v>
      </c>
      <c r="O648">
        <v>1</v>
      </c>
      <c r="P648">
        <v>5758</v>
      </c>
      <c r="Q648">
        <v>289741177</v>
      </c>
      <c r="R648">
        <v>12048</v>
      </c>
      <c r="S648">
        <v>2</v>
      </c>
      <c r="T648">
        <v>73</v>
      </c>
      <c r="U648">
        <v>0.91111111111111109</v>
      </c>
      <c r="V648">
        <v>0.96296296296296291</v>
      </c>
      <c r="W648">
        <v>1</v>
      </c>
      <c r="X648">
        <v>5729</v>
      </c>
      <c r="Y648">
        <v>297841124</v>
      </c>
      <c r="Z648">
        <v>12361</v>
      </c>
      <c r="AA648">
        <v>2</v>
      </c>
      <c r="AB648">
        <v>74</v>
      </c>
    </row>
    <row r="649" spans="1:28" hidden="1" x14ac:dyDescent="0.25">
      <c r="A649" s="7" t="s">
        <v>57</v>
      </c>
      <c r="B649">
        <v>12</v>
      </c>
      <c r="C649">
        <v>3</v>
      </c>
      <c r="D649">
        <v>4</v>
      </c>
      <c r="E649">
        <v>0</v>
      </c>
      <c r="F649" s="7" t="s">
        <v>69</v>
      </c>
      <c r="G649">
        <v>12257</v>
      </c>
      <c r="H649">
        <v>834756985</v>
      </c>
      <c r="I649">
        <v>5087</v>
      </c>
      <c r="J649">
        <v>0.2641509473323822</v>
      </c>
      <c r="K649">
        <v>0.70370370149612427</v>
      </c>
      <c r="L649">
        <v>0.24444444477558136</v>
      </c>
      <c r="M649">
        <v>0.93333333333333335</v>
      </c>
      <c r="N649">
        <v>0.96296296296296291</v>
      </c>
      <c r="O649">
        <v>1</v>
      </c>
      <c r="P649">
        <v>5857</v>
      </c>
      <c r="Q649">
        <v>311265116</v>
      </c>
      <c r="R649">
        <v>12048</v>
      </c>
      <c r="S649">
        <v>2</v>
      </c>
      <c r="T649">
        <v>73</v>
      </c>
      <c r="U649">
        <v>0.93333333333333335</v>
      </c>
      <c r="V649">
        <v>0.96296296296296291</v>
      </c>
      <c r="W649">
        <v>1</v>
      </c>
      <c r="X649">
        <v>5767</v>
      </c>
      <c r="Y649">
        <v>286939648</v>
      </c>
      <c r="Z649">
        <v>12361</v>
      </c>
      <c r="AA649">
        <v>2</v>
      </c>
      <c r="AB649">
        <v>74</v>
      </c>
    </row>
    <row r="650" spans="1:28" hidden="1" x14ac:dyDescent="0.25">
      <c r="A650" s="7" t="s">
        <v>57</v>
      </c>
      <c r="B650">
        <v>12</v>
      </c>
      <c r="C650">
        <v>3</v>
      </c>
      <c r="D650">
        <v>4</v>
      </c>
      <c r="E650">
        <v>0</v>
      </c>
      <c r="F650" s="7" t="s">
        <v>70</v>
      </c>
      <c r="G650">
        <v>14352</v>
      </c>
      <c r="H650">
        <v>820769194</v>
      </c>
      <c r="I650">
        <v>5011</v>
      </c>
      <c r="J650">
        <v>0.48113209009170532</v>
      </c>
      <c r="K650">
        <v>0.66666668653488159</v>
      </c>
      <c r="L650">
        <v>0.48888888955116272</v>
      </c>
      <c r="M650">
        <v>0.91111111111111109</v>
      </c>
      <c r="N650">
        <v>0.96296296296296291</v>
      </c>
      <c r="O650">
        <v>1</v>
      </c>
      <c r="P650">
        <v>5682</v>
      </c>
      <c r="Q650">
        <v>280186984</v>
      </c>
      <c r="R650">
        <v>14323</v>
      </c>
      <c r="S650">
        <v>2</v>
      </c>
      <c r="T650">
        <v>80</v>
      </c>
      <c r="U650">
        <v>0.91111111111111109</v>
      </c>
      <c r="V650">
        <v>0.96296296296296291</v>
      </c>
      <c r="W650">
        <v>1</v>
      </c>
      <c r="X650">
        <v>5660</v>
      </c>
      <c r="Y650">
        <v>265229052</v>
      </c>
      <c r="Z650">
        <v>14664</v>
      </c>
      <c r="AA650">
        <v>2</v>
      </c>
      <c r="AB650">
        <v>81</v>
      </c>
    </row>
    <row r="651" spans="1:28" hidden="1" x14ac:dyDescent="0.25">
      <c r="A651" s="7" t="s">
        <v>57</v>
      </c>
      <c r="B651">
        <v>12</v>
      </c>
      <c r="C651">
        <v>3</v>
      </c>
      <c r="D651">
        <v>4</v>
      </c>
      <c r="E651">
        <v>0</v>
      </c>
      <c r="F651" s="7" t="s">
        <v>70</v>
      </c>
      <c r="G651">
        <v>14352</v>
      </c>
      <c r="H651">
        <v>822740907</v>
      </c>
      <c r="I651">
        <v>5006</v>
      </c>
      <c r="J651">
        <v>0.54716980457305908</v>
      </c>
      <c r="K651">
        <v>0.62962961196899414</v>
      </c>
      <c r="L651">
        <v>0.62222224473953247</v>
      </c>
      <c r="M651">
        <v>0.91111111111111109</v>
      </c>
      <c r="N651">
        <v>0.96296296296296291</v>
      </c>
      <c r="O651">
        <v>1</v>
      </c>
      <c r="P651">
        <v>5646</v>
      </c>
      <c r="Q651">
        <v>298521360</v>
      </c>
      <c r="R651">
        <v>14323</v>
      </c>
      <c r="S651">
        <v>2</v>
      </c>
      <c r="T651">
        <v>80</v>
      </c>
      <c r="U651">
        <v>0.93333333333333335</v>
      </c>
      <c r="V651">
        <v>0.96296296296296291</v>
      </c>
      <c r="W651">
        <v>1</v>
      </c>
      <c r="X651">
        <v>5628</v>
      </c>
      <c r="Y651">
        <v>290776706</v>
      </c>
      <c r="Z651">
        <v>14664</v>
      </c>
      <c r="AA651">
        <v>2</v>
      </c>
      <c r="AB651">
        <v>81</v>
      </c>
    </row>
    <row r="652" spans="1:28" hidden="1" x14ac:dyDescent="0.25">
      <c r="A652" s="7" t="s">
        <v>57</v>
      </c>
      <c r="B652">
        <v>12</v>
      </c>
      <c r="C652">
        <v>3</v>
      </c>
      <c r="D652">
        <v>4</v>
      </c>
      <c r="E652">
        <v>0</v>
      </c>
      <c r="F652" s="7" t="s">
        <v>70</v>
      </c>
      <c r="G652">
        <v>14352</v>
      </c>
      <c r="H652">
        <v>1041803711</v>
      </c>
      <c r="I652">
        <v>5727</v>
      </c>
      <c r="J652">
        <v>0.69811320304870605</v>
      </c>
      <c r="K652">
        <v>0.74074071645736694</v>
      </c>
      <c r="L652">
        <v>0.66666668653488159</v>
      </c>
      <c r="M652">
        <v>0.9555555555555556</v>
      </c>
      <c r="N652">
        <v>0.96296296296296291</v>
      </c>
      <c r="O652">
        <v>1</v>
      </c>
      <c r="P652">
        <v>5662</v>
      </c>
      <c r="Q652">
        <v>310452747</v>
      </c>
      <c r="R652">
        <v>14323</v>
      </c>
      <c r="S652">
        <v>2</v>
      </c>
      <c r="T652">
        <v>80</v>
      </c>
      <c r="U652">
        <v>0.93333333333333335</v>
      </c>
      <c r="V652">
        <v>0.96296296296296291</v>
      </c>
      <c r="W652">
        <v>1</v>
      </c>
      <c r="X652">
        <v>5646</v>
      </c>
      <c r="Y652">
        <v>296471789</v>
      </c>
      <c r="Z652">
        <v>14664</v>
      </c>
      <c r="AA652">
        <v>2</v>
      </c>
      <c r="AB652">
        <v>81</v>
      </c>
    </row>
    <row r="653" spans="1:28" hidden="1" x14ac:dyDescent="0.25">
      <c r="A653" s="7" t="s">
        <v>57</v>
      </c>
      <c r="B653">
        <v>12</v>
      </c>
      <c r="C653">
        <v>3</v>
      </c>
      <c r="D653">
        <v>4</v>
      </c>
      <c r="E653">
        <v>0</v>
      </c>
      <c r="F653" s="7" t="s">
        <v>70</v>
      </c>
      <c r="G653">
        <v>14352</v>
      </c>
      <c r="H653">
        <v>1242492901</v>
      </c>
      <c r="I653">
        <v>6619</v>
      </c>
      <c r="J653">
        <v>0.2641509473323822</v>
      </c>
      <c r="K653">
        <v>0.74074071645736694</v>
      </c>
      <c r="L653">
        <v>0.46666666865348816</v>
      </c>
      <c r="M653">
        <v>0.93333333333333335</v>
      </c>
      <c r="N653">
        <v>0.96296296296296291</v>
      </c>
      <c r="O653">
        <v>1</v>
      </c>
      <c r="P653">
        <v>5750</v>
      </c>
      <c r="Q653">
        <v>276142390</v>
      </c>
      <c r="R653">
        <v>14323</v>
      </c>
      <c r="S653">
        <v>2</v>
      </c>
      <c r="T653">
        <v>80</v>
      </c>
      <c r="U653">
        <v>0.93333333333333335</v>
      </c>
      <c r="V653">
        <v>0.96296296296296291</v>
      </c>
      <c r="W653">
        <v>1</v>
      </c>
      <c r="X653">
        <v>5744</v>
      </c>
      <c r="Y653">
        <v>303784189</v>
      </c>
      <c r="Z653">
        <v>14664</v>
      </c>
      <c r="AA653">
        <v>2</v>
      </c>
      <c r="AB653">
        <v>81</v>
      </c>
    </row>
    <row r="654" spans="1:28" hidden="1" x14ac:dyDescent="0.25">
      <c r="A654" s="7" t="s">
        <v>57</v>
      </c>
      <c r="B654">
        <v>12</v>
      </c>
      <c r="C654">
        <v>3</v>
      </c>
      <c r="D654">
        <v>4</v>
      </c>
      <c r="E654">
        <v>0</v>
      </c>
      <c r="F654" s="7" t="s">
        <v>70</v>
      </c>
      <c r="G654">
        <v>14352</v>
      </c>
      <c r="H654">
        <v>1126886457</v>
      </c>
      <c r="I654">
        <v>6021</v>
      </c>
      <c r="J654">
        <v>0.30188679695129395</v>
      </c>
      <c r="K654">
        <v>0.74074071645736694</v>
      </c>
      <c r="L654">
        <v>0.3333333432674408</v>
      </c>
      <c r="M654">
        <v>0.91111111111111109</v>
      </c>
      <c r="N654">
        <v>0.96296296296296291</v>
      </c>
      <c r="O654">
        <v>1</v>
      </c>
      <c r="P654">
        <v>5635</v>
      </c>
      <c r="Q654">
        <v>270448783</v>
      </c>
      <c r="R654">
        <v>14323</v>
      </c>
      <c r="S654">
        <v>2</v>
      </c>
      <c r="T654">
        <v>80</v>
      </c>
      <c r="U654">
        <v>0.91111111111111109</v>
      </c>
      <c r="V654">
        <v>0.96296296296296291</v>
      </c>
      <c r="W654">
        <v>1</v>
      </c>
      <c r="X654">
        <v>5606</v>
      </c>
      <c r="Y654">
        <v>286346522</v>
      </c>
      <c r="Z654">
        <v>14664</v>
      </c>
      <c r="AA654">
        <v>2</v>
      </c>
      <c r="AB654">
        <v>81</v>
      </c>
    </row>
    <row r="655" spans="1:28" hidden="1" x14ac:dyDescent="0.25">
      <c r="A655" s="7" t="s">
        <v>57</v>
      </c>
      <c r="B655">
        <v>12</v>
      </c>
      <c r="C655">
        <v>3</v>
      </c>
      <c r="D655">
        <v>4</v>
      </c>
      <c r="E655">
        <v>0</v>
      </c>
      <c r="F655" s="7" t="s">
        <v>72</v>
      </c>
      <c r="G655">
        <v>11152</v>
      </c>
      <c r="H655">
        <v>838055008</v>
      </c>
      <c r="I655">
        <v>5151</v>
      </c>
      <c r="J655">
        <v>0.37735849618911743</v>
      </c>
      <c r="K655">
        <v>0.81481480598449707</v>
      </c>
      <c r="L655">
        <v>0.20000000298023224</v>
      </c>
      <c r="M655">
        <v>0.9555555555555556</v>
      </c>
      <c r="N655">
        <v>0.96296296296296291</v>
      </c>
      <c r="O655">
        <v>1</v>
      </c>
      <c r="P655">
        <v>5812</v>
      </c>
      <c r="Q655">
        <v>70725830</v>
      </c>
      <c r="R655">
        <v>11133</v>
      </c>
      <c r="S655">
        <v>2</v>
      </c>
      <c r="T655">
        <v>70</v>
      </c>
      <c r="U655">
        <v>0.93333333333333335</v>
      </c>
      <c r="V655">
        <v>0.96296296296296291</v>
      </c>
      <c r="W655">
        <v>1</v>
      </c>
      <c r="X655">
        <v>5726</v>
      </c>
      <c r="Y655">
        <v>301081173</v>
      </c>
      <c r="Z655">
        <v>11434</v>
      </c>
      <c r="AA655">
        <v>2</v>
      </c>
      <c r="AB655">
        <v>71</v>
      </c>
    </row>
    <row r="656" spans="1:28" hidden="1" x14ac:dyDescent="0.25">
      <c r="A656" s="7" t="s">
        <v>57</v>
      </c>
      <c r="B656">
        <v>12</v>
      </c>
      <c r="C656">
        <v>3</v>
      </c>
      <c r="D656">
        <v>4</v>
      </c>
      <c r="E656">
        <v>0</v>
      </c>
      <c r="F656" s="7" t="s">
        <v>72</v>
      </c>
      <c r="G656">
        <v>11152</v>
      </c>
      <c r="H656">
        <v>1447740034</v>
      </c>
      <c r="I656">
        <v>8813</v>
      </c>
      <c r="J656">
        <v>0.50943398475646973</v>
      </c>
      <c r="K656">
        <v>0.70370370149612427</v>
      </c>
      <c r="L656">
        <v>0.46666666865348816</v>
      </c>
      <c r="M656">
        <v>0.91111111111111109</v>
      </c>
      <c r="N656">
        <v>0.96296296296296291</v>
      </c>
      <c r="O656">
        <v>1</v>
      </c>
      <c r="P656">
        <v>5650</v>
      </c>
      <c r="Q656">
        <v>71013094</v>
      </c>
      <c r="R656">
        <v>11133</v>
      </c>
      <c r="S656">
        <v>2</v>
      </c>
      <c r="T656">
        <v>70</v>
      </c>
      <c r="U656">
        <v>0.91111111111111109</v>
      </c>
      <c r="V656">
        <v>0.96296296296296291</v>
      </c>
      <c r="W656">
        <v>1</v>
      </c>
      <c r="X656">
        <v>5692</v>
      </c>
      <c r="Y656">
        <v>302458413</v>
      </c>
      <c r="Z656">
        <v>11434</v>
      </c>
      <c r="AA656">
        <v>2</v>
      </c>
      <c r="AB656">
        <v>71</v>
      </c>
    </row>
    <row r="657" spans="1:28" hidden="1" x14ac:dyDescent="0.25">
      <c r="A657" s="7" t="s">
        <v>57</v>
      </c>
      <c r="B657">
        <v>12</v>
      </c>
      <c r="C657">
        <v>3</v>
      </c>
      <c r="D657">
        <v>4</v>
      </c>
      <c r="E657">
        <v>0</v>
      </c>
      <c r="F657" s="7" t="s">
        <v>72</v>
      </c>
      <c r="G657">
        <v>11152</v>
      </c>
      <c r="H657">
        <v>865650662</v>
      </c>
      <c r="I657">
        <v>5190</v>
      </c>
      <c r="J657">
        <v>0.36792454123497009</v>
      </c>
      <c r="K657">
        <v>0.81481480598449707</v>
      </c>
      <c r="L657">
        <v>0.31111112236976624</v>
      </c>
      <c r="M657">
        <v>0.91111111111111109</v>
      </c>
      <c r="N657">
        <v>0.96296296296296291</v>
      </c>
      <c r="O657">
        <v>1</v>
      </c>
      <c r="P657">
        <v>5724</v>
      </c>
      <c r="Q657">
        <v>69239634</v>
      </c>
      <c r="R657">
        <v>11133</v>
      </c>
      <c r="S657">
        <v>2</v>
      </c>
      <c r="T657">
        <v>70</v>
      </c>
      <c r="U657">
        <v>0.93333333333333335</v>
      </c>
      <c r="V657">
        <v>0.96296296296296291</v>
      </c>
      <c r="W657">
        <v>1</v>
      </c>
      <c r="X657">
        <v>5646</v>
      </c>
      <c r="Y657">
        <v>281447720</v>
      </c>
      <c r="Z657">
        <v>11434</v>
      </c>
      <c r="AA657">
        <v>2</v>
      </c>
      <c r="AB657">
        <v>71</v>
      </c>
    </row>
    <row r="658" spans="1:28" hidden="1" x14ac:dyDescent="0.25">
      <c r="A658" s="7" t="s">
        <v>57</v>
      </c>
      <c r="B658">
        <v>12</v>
      </c>
      <c r="C658">
        <v>3</v>
      </c>
      <c r="D658">
        <v>4</v>
      </c>
      <c r="E658">
        <v>0</v>
      </c>
      <c r="F658" s="7" t="s">
        <v>72</v>
      </c>
      <c r="G658">
        <v>11152</v>
      </c>
      <c r="H658">
        <v>1472910827</v>
      </c>
      <c r="I658">
        <v>8943</v>
      </c>
      <c r="J658">
        <v>0.72641509771347046</v>
      </c>
      <c r="K658">
        <v>0.74074071645736694</v>
      </c>
      <c r="L658">
        <v>0.80000001192092896</v>
      </c>
      <c r="M658">
        <v>0.91111111111111109</v>
      </c>
      <c r="N658">
        <v>0.96296296296296291</v>
      </c>
      <c r="O658">
        <v>1</v>
      </c>
      <c r="P658">
        <v>5788</v>
      </c>
      <c r="Q658">
        <v>74749092</v>
      </c>
      <c r="R658">
        <v>11133</v>
      </c>
      <c r="S658">
        <v>2</v>
      </c>
      <c r="T658">
        <v>70</v>
      </c>
      <c r="U658">
        <v>0.93333333333333335</v>
      </c>
      <c r="V658">
        <v>0.96296296296296291</v>
      </c>
      <c r="W658">
        <v>1</v>
      </c>
      <c r="X658">
        <v>5826</v>
      </c>
      <c r="Y658">
        <v>306733508</v>
      </c>
      <c r="Z658">
        <v>11434</v>
      </c>
      <c r="AA658">
        <v>2</v>
      </c>
      <c r="AB658">
        <v>71</v>
      </c>
    </row>
    <row r="659" spans="1:28" hidden="1" x14ac:dyDescent="0.25">
      <c r="A659" s="7" t="s">
        <v>57</v>
      </c>
      <c r="B659">
        <v>12</v>
      </c>
      <c r="C659">
        <v>3</v>
      </c>
      <c r="D659">
        <v>4</v>
      </c>
      <c r="E659">
        <v>0</v>
      </c>
      <c r="F659" s="7" t="s">
        <v>72</v>
      </c>
      <c r="G659">
        <v>11152</v>
      </c>
      <c r="H659">
        <v>1288249566</v>
      </c>
      <c r="I659">
        <v>7742</v>
      </c>
      <c r="J659">
        <v>0.54716980457305908</v>
      </c>
      <c r="K659">
        <v>0.74074071645736694</v>
      </c>
      <c r="L659">
        <v>0.51111114025115967</v>
      </c>
      <c r="M659">
        <v>0.93333333333333335</v>
      </c>
      <c r="N659">
        <v>0.96296296296296291</v>
      </c>
      <c r="O659">
        <v>1</v>
      </c>
      <c r="P659">
        <v>5691</v>
      </c>
      <c r="Q659">
        <v>73769079</v>
      </c>
      <c r="R659">
        <v>11133</v>
      </c>
      <c r="S659">
        <v>2</v>
      </c>
      <c r="T659">
        <v>70</v>
      </c>
      <c r="U659">
        <v>0.91111111111111109</v>
      </c>
      <c r="V659">
        <v>0.96296296296296291</v>
      </c>
      <c r="W659">
        <v>1</v>
      </c>
      <c r="X659">
        <v>5709</v>
      </c>
      <c r="Y659">
        <v>342192294</v>
      </c>
      <c r="Z659">
        <v>11434</v>
      </c>
      <c r="AA659">
        <v>2</v>
      </c>
      <c r="AB659">
        <v>71</v>
      </c>
    </row>
    <row r="660" spans="1:28" hidden="1" x14ac:dyDescent="0.25">
      <c r="A660" s="7" t="s">
        <v>57</v>
      </c>
      <c r="B660">
        <v>12</v>
      </c>
      <c r="C660">
        <v>3</v>
      </c>
      <c r="D660">
        <v>4</v>
      </c>
      <c r="E660">
        <v>0</v>
      </c>
      <c r="F660" s="7" t="s">
        <v>73</v>
      </c>
      <c r="G660">
        <v>13437</v>
      </c>
      <c r="H660">
        <v>972850718</v>
      </c>
      <c r="I660">
        <v>5437</v>
      </c>
      <c r="J660">
        <v>0.36792454123497009</v>
      </c>
      <c r="K660">
        <v>0.62962961196899414</v>
      </c>
      <c r="L660">
        <v>0.40000000596046448</v>
      </c>
      <c r="M660">
        <v>0.91111111111111109</v>
      </c>
      <c r="N660">
        <v>0.96296296296296291</v>
      </c>
      <c r="O660">
        <v>1</v>
      </c>
      <c r="P660">
        <v>5747</v>
      </c>
      <c r="Q660">
        <v>301478244</v>
      </c>
      <c r="R660">
        <v>13324</v>
      </c>
      <c r="S660">
        <v>2</v>
      </c>
      <c r="T660">
        <v>77</v>
      </c>
      <c r="U660">
        <v>0.93333333333333335</v>
      </c>
      <c r="V660">
        <v>0.92592592592592593</v>
      </c>
      <c r="W660">
        <v>1</v>
      </c>
      <c r="X660">
        <v>6744</v>
      </c>
      <c r="Y660">
        <v>345076583</v>
      </c>
      <c r="Z660">
        <v>13653</v>
      </c>
      <c r="AA660">
        <v>2</v>
      </c>
      <c r="AB660">
        <v>78</v>
      </c>
    </row>
    <row r="661" spans="1:28" hidden="1" x14ac:dyDescent="0.25">
      <c r="A661" s="7" t="s">
        <v>28</v>
      </c>
      <c r="B661">
        <v>8</v>
      </c>
      <c r="C661">
        <v>3</v>
      </c>
      <c r="D661">
        <v>2</v>
      </c>
      <c r="E661">
        <v>0</v>
      </c>
      <c r="F661" s="7" t="s">
        <v>32</v>
      </c>
      <c r="G661">
        <v>15431</v>
      </c>
      <c r="H661">
        <v>241553873</v>
      </c>
      <c r="I661">
        <v>1221</v>
      </c>
      <c r="J661">
        <v>1</v>
      </c>
      <c r="K661">
        <v>0.97674417495727539</v>
      </c>
      <c r="L661">
        <v>0.92307692766189575</v>
      </c>
      <c r="M661">
        <v>0.93706293706293708</v>
      </c>
      <c r="N661">
        <v>0.98837209302325579</v>
      </c>
      <c r="O661">
        <v>1</v>
      </c>
      <c r="P661">
        <v>4680</v>
      </c>
      <c r="Q661">
        <v>16400959486</v>
      </c>
      <c r="R661">
        <v>15249</v>
      </c>
      <c r="S661">
        <v>2</v>
      </c>
      <c r="T661">
        <v>79</v>
      </c>
      <c r="U661">
        <v>0.95104895104895104</v>
      </c>
      <c r="V661">
        <v>0.97674418604651159</v>
      </c>
      <c r="W661">
        <v>1</v>
      </c>
      <c r="X661">
        <v>4276</v>
      </c>
      <c r="Y661">
        <v>14150755118</v>
      </c>
      <c r="Z661">
        <v>15602</v>
      </c>
      <c r="AA661">
        <v>2</v>
      </c>
      <c r="AB661">
        <v>80</v>
      </c>
    </row>
    <row r="662" spans="1:28" hidden="1" x14ac:dyDescent="0.25">
      <c r="A662" s="7" t="s">
        <v>57</v>
      </c>
      <c r="B662">
        <v>20</v>
      </c>
      <c r="C662">
        <v>9</v>
      </c>
      <c r="D662">
        <v>5</v>
      </c>
      <c r="E662">
        <v>0</v>
      </c>
      <c r="F662" s="7" t="s">
        <v>69</v>
      </c>
      <c r="G662">
        <v>18044</v>
      </c>
      <c r="H662">
        <v>982281345</v>
      </c>
      <c r="I662">
        <v>5027</v>
      </c>
      <c r="J662">
        <v>0.20754717290401459</v>
      </c>
      <c r="K662">
        <v>0.55555558204650879</v>
      </c>
      <c r="L662">
        <v>0.26666668057441711</v>
      </c>
      <c r="M662">
        <v>0.93333333333333335</v>
      </c>
      <c r="N662">
        <v>0.92592592592592593</v>
      </c>
      <c r="O662">
        <v>1</v>
      </c>
      <c r="P662">
        <v>8081</v>
      </c>
      <c r="Q662">
        <v>1311559937</v>
      </c>
      <c r="R662">
        <v>17913</v>
      </c>
      <c r="S662">
        <v>2</v>
      </c>
      <c r="T662">
        <v>90</v>
      </c>
      <c r="U662">
        <v>0.93333333333333335</v>
      </c>
      <c r="V662">
        <v>0.92592592592592593</v>
      </c>
      <c r="W662">
        <v>1</v>
      </c>
      <c r="X662">
        <v>18655</v>
      </c>
      <c r="Y662">
        <v>2631686902</v>
      </c>
      <c r="Z662">
        <v>18294</v>
      </c>
      <c r="AA662">
        <v>2</v>
      </c>
      <c r="AB662">
        <v>91</v>
      </c>
    </row>
    <row r="663" spans="1:28" hidden="1" x14ac:dyDescent="0.25">
      <c r="A663" s="7" t="s">
        <v>57</v>
      </c>
      <c r="B663">
        <v>20</v>
      </c>
      <c r="C663">
        <v>9</v>
      </c>
      <c r="D663">
        <v>5</v>
      </c>
      <c r="E663">
        <v>0</v>
      </c>
      <c r="F663" s="7" t="s">
        <v>69</v>
      </c>
      <c r="G663">
        <v>18044</v>
      </c>
      <c r="H663">
        <v>1033457561</v>
      </c>
      <c r="I663">
        <v>5100</v>
      </c>
      <c r="J663">
        <v>0.37735849618911743</v>
      </c>
      <c r="K663">
        <v>0.74074071645736694</v>
      </c>
      <c r="L663">
        <v>0.24444444477558136</v>
      </c>
      <c r="M663">
        <v>0.93333333333333335</v>
      </c>
      <c r="N663">
        <v>0.92592592592592593</v>
      </c>
      <c r="O663">
        <v>1</v>
      </c>
      <c r="P663">
        <v>16026</v>
      </c>
      <c r="Q663">
        <v>3147490202</v>
      </c>
      <c r="R663">
        <v>17913</v>
      </c>
      <c r="S663">
        <v>2</v>
      </c>
      <c r="T663">
        <v>90</v>
      </c>
      <c r="U663">
        <v>0.91111111111111109</v>
      </c>
      <c r="V663">
        <v>0.92592592592592593</v>
      </c>
      <c r="W663">
        <v>1</v>
      </c>
      <c r="X663">
        <v>16901</v>
      </c>
      <c r="Y663">
        <v>2277259706</v>
      </c>
      <c r="Z663">
        <v>18294</v>
      </c>
      <c r="AA663">
        <v>2</v>
      </c>
      <c r="AB663">
        <v>91</v>
      </c>
    </row>
    <row r="664" spans="1:28" hidden="1" x14ac:dyDescent="0.25">
      <c r="A664" s="7" t="s">
        <v>57</v>
      </c>
      <c r="B664">
        <v>20</v>
      </c>
      <c r="C664">
        <v>9</v>
      </c>
      <c r="D664">
        <v>5</v>
      </c>
      <c r="E664">
        <v>0</v>
      </c>
      <c r="F664" s="7" t="s">
        <v>70</v>
      </c>
      <c r="G664">
        <v>21129</v>
      </c>
      <c r="H664">
        <v>1247054262</v>
      </c>
      <c r="I664">
        <v>5701</v>
      </c>
      <c r="J664">
        <v>0.21698112785816193</v>
      </c>
      <c r="K664">
        <v>0.81481480598449707</v>
      </c>
      <c r="L664">
        <v>0.31111112236976624</v>
      </c>
      <c r="M664">
        <v>0.91111111111111109</v>
      </c>
      <c r="N664">
        <v>0.92592592592592593</v>
      </c>
      <c r="O664">
        <v>1</v>
      </c>
      <c r="P664">
        <v>20918</v>
      </c>
      <c r="Q664">
        <v>4381445333</v>
      </c>
      <c r="R664">
        <v>21073</v>
      </c>
      <c r="S664">
        <v>2</v>
      </c>
      <c r="T664">
        <v>98</v>
      </c>
      <c r="U664">
        <v>0.93333333333333335</v>
      </c>
      <c r="V664">
        <v>0.92592592592592593</v>
      </c>
      <c r="W664">
        <v>1</v>
      </c>
      <c r="X664">
        <v>29168</v>
      </c>
      <c r="Y664">
        <v>4702963572</v>
      </c>
      <c r="Z664">
        <v>21486</v>
      </c>
      <c r="AA664">
        <v>2</v>
      </c>
      <c r="AB664">
        <v>99</v>
      </c>
    </row>
    <row r="665" spans="1:28" hidden="1" x14ac:dyDescent="0.25">
      <c r="A665" s="7" t="s">
        <v>57</v>
      </c>
      <c r="B665">
        <v>20</v>
      </c>
      <c r="C665">
        <v>9</v>
      </c>
      <c r="D665">
        <v>5</v>
      </c>
      <c r="E665">
        <v>0</v>
      </c>
      <c r="F665" s="7" t="s">
        <v>70</v>
      </c>
      <c r="G665">
        <v>21129</v>
      </c>
      <c r="H665">
        <v>1110609010</v>
      </c>
      <c r="I665">
        <v>5080</v>
      </c>
      <c r="J665">
        <v>0.25471699237823486</v>
      </c>
      <c r="K665">
        <v>0.66666668653488159</v>
      </c>
      <c r="L665">
        <v>0.28888890147209167</v>
      </c>
      <c r="M665">
        <v>0.93333333333333335</v>
      </c>
      <c r="N665">
        <v>0.92592592592592593</v>
      </c>
      <c r="O665">
        <v>1</v>
      </c>
      <c r="P665">
        <v>11887</v>
      </c>
      <c r="Q665">
        <v>2599998449</v>
      </c>
      <c r="R665">
        <v>21073</v>
      </c>
      <c r="S665">
        <v>2</v>
      </c>
      <c r="T665">
        <v>98</v>
      </c>
      <c r="U665">
        <v>0.93333333333333335</v>
      </c>
      <c r="V665">
        <v>0.96296296296296291</v>
      </c>
      <c r="W665">
        <v>1</v>
      </c>
      <c r="X665">
        <v>5147</v>
      </c>
      <c r="Y665">
        <v>678797839</v>
      </c>
      <c r="Z665">
        <v>21486</v>
      </c>
      <c r="AA665">
        <v>2</v>
      </c>
      <c r="AB665">
        <v>99</v>
      </c>
    </row>
    <row r="666" spans="1:28" hidden="1" x14ac:dyDescent="0.25">
      <c r="A666" s="7" t="s">
        <v>57</v>
      </c>
      <c r="B666">
        <v>20</v>
      </c>
      <c r="C666">
        <v>9</v>
      </c>
      <c r="D666">
        <v>5</v>
      </c>
      <c r="E666">
        <v>0</v>
      </c>
      <c r="F666" s="7" t="s">
        <v>70</v>
      </c>
      <c r="G666">
        <v>21129</v>
      </c>
      <c r="H666">
        <v>1442227475</v>
      </c>
      <c r="I666">
        <v>6565</v>
      </c>
      <c r="J666">
        <v>0.40566039085388184</v>
      </c>
      <c r="K666">
        <v>0.59259259700775146</v>
      </c>
      <c r="L666">
        <v>0.26666668057441711</v>
      </c>
      <c r="M666">
        <v>0.93333333333333335</v>
      </c>
      <c r="N666">
        <v>0.92592592592592593</v>
      </c>
      <c r="O666">
        <v>1</v>
      </c>
      <c r="P666">
        <v>18020</v>
      </c>
      <c r="Q666">
        <v>4022238558</v>
      </c>
      <c r="R666">
        <v>21073</v>
      </c>
      <c r="S666">
        <v>2</v>
      </c>
      <c r="T666">
        <v>98</v>
      </c>
      <c r="U666">
        <v>0.93333333333333335</v>
      </c>
      <c r="V666">
        <v>0.92592592592592593</v>
      </c>
      <c r="W666">
        <v>1</v>
      </c>
      <c r="X666">
        <v>15205</v>
      </c>
      <c r="Y666">
        <v>2419856442</v>
      </c>
      <c r="Z666">
        <v>21486</v>
      </c>
      <c r="AA666">
        <v>2</v>
      </c>
      <c r="AB666">
        <v>99</v>
      </c>
    </row>
    <row r="667" spans="1:28" hidden="1" x14ac:dyDescent="0.25">
      <c r="A667" s="7" t="s">
        <v>57</v>
      </c>
      <c r="B667">
        <v>12</v>
      </c>
      <c r="C667">
        <v>3</v>
      </c>
      <c r="D667">
        <v>4</v>
      </c>
      <c r="E667">
        <v>0</v>
      </c>
      <c r="F667" s="7" t="s">
        <v>73</v>
      </c>
      <c r="G667">
        <v>13437</v>
      </c>
      <c r="H667">
        <v>992167390</v>
      </c>
      <c r="I667">
        <v>6016</v>
      </c>
      <c r="J667">
        <v>0.58490568399429321</v>
      </c>
      <c r="K667">
        <v>0.62962961196899414</v>
      </c>
      <c r="L667">
        <v>0.57777780294418335</v>
      </c>
      <c r="M667">
        <v>0.9555555555555556</v>
      </c>
      <c r="N667">
        <v>1</v>
      </c>
      <c r="O667">
        <v>1</v>
      </c>
      <c r="P667">
        <v>5784</v>
      </c>
      <c r="Q667">
        <v>265511752</v>
      </c>
      <c r="R667">
        <v>13324</v>
      </c>
      <c r="S667">
        <v>2</v>
      </c>
      <c r="T667">
        <v>77</v>
      </c>
      <c r="U667">
        <v>0.9555555555555556</v>
      </c>
      <c r="V667">
        <v>1</v>
      </c>
      <c r="W667">
        <v>1</v>
      </c>
      <c r="X667">
        <v>13768</v>
      </c>
      <c r="Y667">
        <v>601678925</v>
      </c>
      <c r="Z667">
        <v>13653</v>
      </c>
      <c r="AA667">
        <v>2</v>
      </c>
      <c r="AB667">
        <v>78</v>
      </c>
    </row>
    <row r="668" spans="1:28" hidden="1" x14ac:dyDescent="0.25">
      <c r="A668" s="7" t="s">
        <v>57</v>
      </c>
      <c r="B668">
        <v>12</v>
      </c>
      <c r="C668">
        <v>3</v>
      </c>
      <c r="D668">
        <v>4</v>
      </c>
      <c r="E668">
        <v>0</v>
      </c>
      <c r="F668" s="7" t="s">
        <v>73</v>
      </c>
      <c r="G668">
        <v>13437</v>
      </c>
      <c r="H668">
        <v>924027351</v>
      </c>
      <c r="I668">
        <v>5459</v>
      </c>
      <c r="J668">
        <v>0.33018869161605835</v>
      </c>
      <c r="K668">
        <v>0.66666668653488159</v>
      </c>
      <c r="L668">
        <v>0.35555556416511536</v>
      </c>
      <c r="M668">
        <v>0.9555555555555556</v>
      </c>
      <c r="N668">
        <v>1</v>
      </c>
      <c r="O668">
        <v>1</v>
      </c>
      <c r="P668">
        <v>6574</v>
      </c>
      <c r="Q668">
        <v>342393677</v>
      </c>
      <c r="R668">
        <v>13324</v>
      </c>
      <c r="S668">
        <v>2</v>
      </c>
      <c r="T668">
        <v>77</v>
      </c>
      <c r="U668">
        <v>0.9555555555555556</v>
      </c>
      <c r="V668">
        <v>1</v>
      </c>
      <c r="W668">
        <v>1</v>
      </c>
      <c r="X668">
        <v>5125</v>
      </c>
      <c r="Y668">
        <v>253878083</v>
      </c>
      <c r="Z668">
        <v>13653</v>
      </c>
      <c r="AA668">
        <v>2</v>
      </c>
      <c r="AB668">
        <v>78</v>
      </c>
    </row>
    <row r="669" spans="1:28" hidden="1" x14ac:dyDescent="0.25">
      <c r="A669" s="7" t="s">
        <v>57</v>
      </c>
      <c r="B669">
        <v>12</v>
      </c>
      <c r="C669">
        <v>3</v>
      </c>
      <c r="D669">
        <v>4</v>
      </c>
      <c r="E669">
        <v>0</v>
      </c>
      <c r="F669" s="7" t="s">
        <v>73</v>
      </c>
      <c r="G669">
        <v>13437</v>
      </c>
      <c r="H669">
        <v>867391462</v>
      </c>
      <c r="I669">
        <v>5081</v>
      </c>
      <c r="J669">
        <v>0.48113209009170532</v>
      </c>
      <c r="K669">
        <v>0.77777779102325439</v>
      </c>
      <c r="L669">
        <v>0.46666666865348816</v>
      </c>
      <c r="M669">
        <v>0.93333333333333335</v>
      </c>
      <c r="N669">
        <v>1</v>
      </c>
      <c r="O669">
        <v>1</v>
      </c>
      <c r="P669">
        <v>11059</v>
      </c>
      <c r="Q669">
        <v>539920375</v>
      </c>
      <c r="R669">
        <v>13324</v>
      </c>
      <c r="S669">
        <v>2</v>
      </c>
      <c r="T669">
        <v>77</v>
      </c>
      <c r="U669">
        <v>0.9555555555555556</v>
      </c>
      <c r="V669">
        <v>1</v>
      </c>
      <c r="W669">
        <v>1</v>
      </c>
      <c r="X669">
        <v>4936</v>
      </c>
      <c r="Y669">
        <v>232072790</v>
      </c>
      <c r="Z669">
        <v>13653</v>
      </c>
      <c r="AA669">
        <v>2</v>
      </c>
      <c r="AB669">
        <v>78</v>
      </c>
    </row>
    <row r="670" spans="1:28" hidden="1" x14ac:dyDescent="0.25">
      <c r="A670" s="7" t="s">
        <v>57</v>
      </c>
      <c r="B670">
        <v>12</v>
      </c>
      <c r="C670">
        <v>3</v>
      </c>
      <c r="D670">
        <v>4</v>
      </c>
      <c r="E670">
        <v>0</v>
      </c>
      <c r="F670" s="7" t="s">
        <v>73</v>
      </c>
      <c r="G670">
        <v>13437</v>
      </c>
      <c r="H670">
        <v>867070927</v>
      </c>
      <c r="I670">
        <v>5026</v>
      </c>
      <c r="J670">
        <v>0.54716980457305908</v>
      </c>
      <c r="K670">
        <v>0.81481480598449707</v>
      </c>
      <c r="L670">
        <v>0.55555558204650879</v>
      </c>
      <c r="M670">
        <v>0.91111111111111109</v>
      </c>
      <c r="N670">
        <v>1</v>
      </c>
      <c r="O670">
        <v>1</v>
      </c>
      <c r="P670">
        <v>8992</v>
      </c>
      <c r="Q670">
        <v>429544875</v>
      </c>
      <c r="R670">
        <v>13324</v>
      </c>
      <c r="S670">
        <v>2</v>
      </c>
      <c r="T670">
        <v>77</v>
      </c>
      <c r="U670">
        <v>0.93333333333333335</v>
      </c>
      <c r="V670">
        <v>1</v>
      </c>
      <c r="W670">
        <v>1</v>
      </c>
      <c r="X670">
        <v>8531</v>
      </c>
      <c r="Y670">
        <v>398170942</v>
      </c>
      <c r="Z670">
        <v>13653</v>
      </c>
      <c r="AA670">
        <v>2</v>
      </c>
      <c r="AB670">
        <v>78</v>
      </c>
    </row>
    <row r="671" spans="1:28" hidden="1" x14ac:dyDescent="0.25">
      <c r="A671" s="7" t="s">
        <v>57</v>
      </c>
      <c r="B671">
        <v>12</v>
      </c>
      <c r="C671">
        <v>3</v>
      </c>
      <c r="D671">
        <v>4</v>
      </c>
      <c r="E671">
        <v>0</v>
      </c>
      <c r="F671" s="7" t="s">
        <v>74</v>
      </c>
      <c r="G671">
        <v>15722</v>
      </c>
      <c r="H671">
        <v>1355507592</v>
      </c>
      <c r="I671">
        <v>7356</v>
      </c>
      <c r="J671">
        <v>0.81132078170776367</v>
      </c>
      <c r="K671">
        <v>0.8888888955116272</v>
      </c>
      <c r="L671">
        <v>0.71111112833023071</v>
      </c>
      <c r="M671">
        <v>0.93333333333333335</v>
      </c>
      <c r="N671">
        <v>1</v>
      </c>
      <c r="O671">
        <v>1</v>
      </c>
      <c r="P671">
        <v>11033</v>
      </c>
      <c r="Q671">
        <v>596825280</v>
      </c>
      <c r="R671">
        <v>15711</v>
      </c>
      <c r="S671">
        <v>2</v>
      </c>
      <c r="T671">
        <v>84</v>
      </c>
      <c r="U671">
        <v>0.9555555555555556</v>
      </c>
      <c r="V671">
        <v>1</v>
      </c>
      <c r="W671">
        <v>1</v>
      </c>
      <c r="X671">
        <v>5597</v>
      </c>
      <c r="Y671">
        <v>307103927</v>
      </c>
      <c r="Z671">
        <v>16068</v>
      </c>
      <c r="AA671">
        <v>2</v>
      </c>
      <c r="AB671">
        <v>85</v>
      </c>
    </row>
    <row r="672" spans="1:28" hidden="1" x14ac:dyDescent="0.25">
      <c r="A672" s="7" t="s">
        <v>57</v>
      </c>
      <c r="B672">
        <v>12</v>
      </c>
      <c r="C672">
        <v>3</v>
      </c>
      <c r="D672">
        <v>4</v>
      </c>
      <c r="E672">
        <v>0</v>
      </c>
      <c r="F672" s="7" t="s">
        <v>74</v>
      </c>
      <c r="G672">
        <v>15722</v>
      </c>
      <c r="H672">
        <v>1479770883</v>
      </c>
      <c r="I672">
        <v>8193</v>
      </c>
      <c r="J672">
        <v>0.45283019542694092</v>
      </c>
      <c r="K672">
        <v>0.74074071645736694</v>
      </c>
      <c r="L672">
        <v>0.31111112236976624</v>
      </c>
      <c r="M672">
        <v>0.9555555555555556</v>
      </c>
      <c r="N672">
        <v>1</v>
      </c>
      <c r="O672">
        <v>1</v>
      </c>
      <c r="P672">
        <v>5396</v>
      </c>
      <c r="Q672">
        <v>286358919</v>
      </c>
      <c r="R672">
        <v>15711</v>
      </c>
      <c r="S672">
        <v>2</v>
      </c>
      <c r="T672">
        <v>84</v>
      </c>
      <c r="U672">
        <v>0.9555555555555556</v>
      </c>
      <c r="V672">
        <v>1</v>
      </c>
      <c r="W672">
        <v>1</v>
      </c>
      <c r="X672">
        <v>4504</v>
      </c>
      <c r="Y672">
        <v>226319306</v>
      </c>
      <c r="Z672">
        <v>16068</v>
      </c>
      <c r="AA672">
        <v>2</v>
      </c>
      <c r="AB672">
        <v>85</v>
      </c>
    </row>
    <row r="673" spans="1:28" hidden="1" x14ac:dyDescent="0.25">
      <c r="A673" s="7" t="s">
        <v>57</v>
      </c>
      <c r="B673">
        <v>12</v>
      </c>
      <c r="C673">
        <v>3</v>
      </c>
      <c r="D673">
        <v>4</v>
      </c>
      <c r="E673">
        <v>0</v>
      </c>
      <c r="F673" s="7" t="s">
        <v>74</v>
      </c>
      <c r="G673">
        <v>15722</v>
      </c>
      <c r="H673">
        <v>956252920</v>
      </c>
      <c r="I673">
        <v>5284</v>
      </c>
      <c r="J673">
        <v>0.46226415038108826</v>
      </c>
      <c r="K673">
        <v>0.70370370149612427</v>
      </c>
      <c r="L673">
        <v>0.51111114025115967</v>
      </c>
      <c r="M673">
        <v>0.9555555555555556</v>
      </c>
      <c r="N673">
        <v>1</v>
      </c>
      <c r="O673">
        <v>1</v>
      </c>
      <c r="P673">
        <v>5069</v>
      </c>
      <c r="Q673">
        <v>243043866</v>
      </c>
      <c r="R673">
        <v>15711</v>
      </c>
      <c r="S673">
        <v>2</v>
      </c>
      <c r="T673">
        <v>84</v>
      </c>
      <c r="U673">
        <v>0.9555555555555556</v>
      </c>
      <c r="V673">
        <v>1</v>
      </c>
      <c r="W673">
        <v>1</v>
      </c>
      <c r="X673">
        <v>5345</v>
      </c>
      <c r="Y673">
        <v>266428793</v>
      </c>
      <c r="Z673">
        <v>16068</v>
      </c>
      <c r="AA673">
        <v>2</v>
      </c>
      <c r="AB673">
        <v>85</v>
      </c>
    </row>
    <row r="674" spans="1:28" hidden="1" x14ac:dyDescent="0.25">
      <c r="A674" s="7" t="s">
        <v>57</v>
      </c>
      <c r="B674">
        <v>12</v>
      </c>
      <c r="C674">
        <v>3</v>
      </c>
      <c r="D674">
        <v>4</v>
      </c>
      <c r="E674">
        <v>0</v>
      </c>
      <c r="F674" s="7" t="s">
        <v>74</v>
      </c>
      <c r="G674">
        <v>15722</v>
      </c>
      <c r="H674">
        <v>1590360249</v>
      </c>
      <c r="I674">
        <v>8757</v>
      </c>
      <c r="J674">
        <v>0.45283019542694092</v>
      </c>
      <c r="K674">
        <v>0.74074071645736694</v>
      </c>
      <c r="L674">
        <v>0.53333336114883423</v>
      </c>
      <c r="M674">
        <v>0.93333333333333335</v>
      </c>
      <c r="N674">
        <v>1</v>
      </c>
      <c r="O674">
        <v>0.99056603773584906</v>
      </c>
      <c r="P674">
        <v>7893</v>
      </c>
      <c r="Q674">
        <v>376332992</v>
      </c>
      <c r="R674">
        <v>15711</v>
      </c>
      <c r="S674">
        <v>2</v>
      </c>
      <c r="T674">
        <v>84</v>
      </c>
      <c r="U674">
        <v>0.9555555555555556</v>
      </c>
      <c r="V674">
        <v>1</v>
      </c>
      <c r="W674">
        <v>1</v>
      </c>
      <c r="X674">
        <v>6469</v>
      </c>
      <c r="Y674">
        <v>326665959</v>
      </c>
      <c r="Z674">
        <v>16068</v>
      </c>
      <c r="AA674">
        <v>2</v>
      </c>
      <c r="AB674">
        <v>85</v>
      </c>
    </row>
    <row r="675" spans="1:28" hidden="1" x14ac:dyDescent="0.25">
      <c r="A675" s="7" t="s">
        <v>57</v>
      </c>
      <c r="B675">
        <v>12</v>
      </c>
      <c r="C675">
        <v>3</v>
      </c>
      <c r="D675">
        <v>4</v>
      </c>
      <c r="E675">
        <v>0</v>
      </c>
      <c r="F675" s="7" t="s">
        <v>74</v>
      </c>
      <c r="G675">
        <v>15722</v>
      </c>
      <c r="H675">
        <v>925094440</v>
      </c>
      <c r="I675">
        <v>5022</v>
      </c>
      <c r="J675">
        <v>0.39622640609741211</v>
      </c>
      <c r="K675">
        <v>0.77777779102325439</v>
      </c>
      <c r="L675">
        <v>0.42222222685813904</v>
      </c>
      <c r="M675">
        <v>0.93333333333333335</v>
      </c>
      <c r="N675">
        <v>1</v>
      </c>
      <c r="O675">
        <v>1</v>
      </c>
      <c r="P675">
        <v>7744</v>
      </c>
      <c r="Q675">
        <v>392924033</v>
      </c>
      <c r="R675">
        <v>15711</v>
      </c>
      <c r="S675">
        <v>2</v>
      </c>
      <c r="T675">
        <v>84</v>
      </c>
      <c r="U675">
        <v>0.9555555555555556</v>
      </c>
      <c r="V675">
        <v>1</v>
      </c>
      <c r="W675">
        <v>1</v>
      </c>
      <c r="X675">
        <v>6232</v>
      </c>
      <c r="Y675">
        <v>299968480</v>
      </c>
      <c r="Z675">
        <v>16068</v>
      </c>
      <c r="AA675">
        <v>2</v>
      </c>
      <c r="AB675">
        <v>85</v>
      </c>
    </row>
    <row r="676" spans="1:28" hidden="1" x14ac:dyDescent="0.25">
      <c r="A676" s="7" t="s">
        <v>57</v>
      </c>
      <c r="B676">
        <v>14</v>
      </c>
      <c r="C676">
        <v>3</v>
      </c>
      <c r="D676">
        <v>5</v>
      </c>
      <c r="E676">
        <v>0</v>
      </c>
      <c r="F676" s="7" t="s">
        <v>76</v>
      </c>
      <c r="G676">
        <v>3180</v>
      </c>
      <c r="H676">
        <v>62473683</v>
      </c>
      <c r="I676">
        <v>701</v>
      </c>
      <c r="J676">
        <v>0.88679248094558716</v>
      </c>
      <c r="K676">
        <v>1</v>
      </c>
      <c r="L676">
        <v>0.84444445371627808</v>
      </c>
      <c r="M676">
        <v>0.91111111111111109</v>
      </c>
      <c r="N676">
        <v>1</v>
      </c>
      <c r="O676">
        <v>0.94339622641509435</v>
      </c>
      <c r="P676">
        <v>8332</v>
      </c>
      <c r="Q676">
        <v>90208292</v>
      </c>
      <c r="R676">
        <v>3118</v>
      </c>
      <c r="S676">
        <v>2</v>
      </c>
      <c r="T676">
        <v>35</v>
      </c>
      <c r="U676">
        <v>0.91111111111111109</v>
      </c>
      <c r="V676">
        <v>1</v>
      </c>
      <c r="W676">
        <v>1</v>
      </c>
      <c r="X676">
        <v>11749</v>
      </c>
      <c r="Y676">
        <v>123768815</v>
      </c>
      <c r="Z676">
        <v>3279</v>
      </c>
      <c r="AA676">
        <v>2</v>
      </c>
      <c r="AB676">
        <v>36</v>
      </c>
    </row>
    <row r="677" spans="1:28" hidden="1" x14ac:dyDescent="0.25">
      <c r="A677" s="7" t="s">
        <v>57</v>
      </c>
      <c r="B677">
        <v>14</v>
      </c>
      <c r="C677">
        <v>3</v>
      </c>
      <c r="D677">
        <v>5</v>
      </c>
      <c r="E677">
        <v>0</v>
      </c>
      <c r="F677" s="7" t="s">
        <v>76</v>
      </c>
      <c r="G677">
        <v>3180</v>
      </c>
      <c r="H677">
        <v>493583536</v>
      </c>
      <c r="I677">
        <v>5479</v>
      </c>
      <c r="J677">
        <v>0.74528300762176514</v>
      </c>
      <c r="K677">
        <v>0.85185188055038452</v>
      </c>
      <c r="L677">
        <v>0.82222223281860352</v>
      </c>
      <c r="M677">
        <v>0.9555555555555556</v>
      </c>
      <c r="N677">
        <v>1</v>
      </c>
      <c r="O677">
        <v>1</v>
      </c>
      <c r="P677">
        <v>7522</v>
      </c>
      <c r="Q677">
        <v>79261366</v>
      </c>
      <c r="R677">
        <v>3118</v>
      </c>
      <c r="S677">
        <v>2</v>
      </c>
      <c r="T677">
        <v>35</v>
      </c>
      <c r="U677">
        <v>0.91111111111111109</v>
      </c>
      <c r="V677">
        <v>0.96296296296296291</v>
      </c>
      <c r="W677">
        <v>1</v>
      </c>
      <c r="X677">
        <v>27542</v>
      </c>
      <c r="Y677">
        <v>321011325</v>
      </c>
      <c r="Z677">
        <v>3279</v>
      </c>
      <c r="AA677">
        <v>2</v>
      </c>
      <c r="AB677">
        <v>36</v>
      </c>
    </row>
    <row r="678" spans="1:28" hidden="1" x14ac:dyDescent="0.25">
      <c r="A678" s="7" t="s">
        <v>57</v>
      </c>
      <c r="B678">
        <v>14</v>
      </c>
      <c r="C678">
        <v>3</v>
      </c>
      <c r="D678">
        <v>5</v>
      </c>
      <c r="E678">
        <v>0</v>
      </c>
      <c r="F678" s="7" t="s">
        <v>76</v>
      </c>
      <c r="G678">
        <v>3180</v>
      </c>
      <c r="H678">
        <v>708886225</v>
      </c>
      <c r="I678">
        <v>7989</v>
      </c>
      <c r="J678">
        <v>0.84905660152435303</v>
      </c>
      <c r="K678">
        <v>0.81481480598449707</v>
      </c>
      <c r="L678">
        <v>0.82222223281860352</v>
      </c>
      <c r="M678">
        <v>0.93333333333333335</v>
      </c>
      <c r="N678">
        <v>0.96296296296296291</v>
      </c>
      <c r="O678">
        <v>1</v>
      </c>
      <c r="P678">
        <v>10374</v>
      </c>
      <c r="Q678">
        <v>109860068</v>
      </c>
      <c r="R678">
        <v>3118</v>
      </c>
      <c r="S678">
        <v>2</v>
      </c>
      <c r="T678">
        <v>35</v>
      </c>
      <c r="U678">
        <v>0.9555555555555556</v>
      </c>
      <c r="V678">
        <v>1</v>
      </c>
      <c r="W678">
        <v>1</v>
      </c>
      <c r="X678">
        <v>8472</v>
      </c>
      <c r="Y678">
        <v>89163725</v>
      </c>
      <c r="Z678">
        <v>3279</v>
      </c>
      <c r="AA678">
        <v>2</v>
      </c>
      <c r="AB678">
        <v>36</v>
      </c>
    </row>
    <row r="679" spans="1:28" hidden="1" x14ac:dyDescent="0.25">
      <c r="A679" s="7" t="s">
        <v>57</v>
      </c>
      <c r="B679">
        <v>14</v>
      </c>
      <c r="C679">
        <v>3</v>
      </c>
      <c r="D679">
        <v>5</v>
      </c>
      <c r="E679">
        <v>0</v>
      </c>
      <c r="F679" s="7" t="s">
        <v>76</v>
      </c>
      <c r="G679">
        <v>3180</v>
      </c>
      <c r="H679">
        <v>499821741</v>
      </c>
      <c r="I679">
        <v>5676</v>
      </c>
      <c r="J679">
        <v>0.46226415038108826</v>
      </c>
      <c r="K679">
        <v>0.85185188055038452</v>
      </c>
      <c r="L679">
        <v>0.51111114025115967</v>
      </c>
      <c r="M679">
        <v>0.9555555555555556</v>
      </c>
      <c r="N679">
        <v>0.96296296296296291</v>
      </c>
      <c r="O679">
        <v>1</v>
      </c>
      <c r="P679">
        <v>16780</v>
      </c>
      <c r="Q679">
        <v>179160601</v>
      </c>
      <c r="R679">
        <v>3118</v>
      </c>
      <c r="S679">
        <v>2</v>
      </c>
      <c r="T679">
        <v>35</v>
      </c>
      <c r="U679">
        <v>0.9555555555555556</v>
      </c>
      <c r="V679">
        <v>0.96296296296296291</v>
      </c>
      <c r="W679">
        <v>1</v>
      </c>
      <c r="X679">
        <v>15972</v>
      </c>
      <c r="Y679">
        <v>171418115</v>
      </c>
      <c r="Z679">
        <v>3279</v>
      </c>
      <c r="AA679">
        <v>2</v>
      </c>
      <c r="AB679">
        <v>36</v>
      </c>
    </row>
    <row r="680" spans="1:28" hidden="1" x14ac:dyDescent="0.25">
      <c r="A680" s="7" t="s">
        <v>57</v>
      </c>
      <c r="B680">
        <v>14</v>
      </c>
      <c r="C680">
        <v>3</v>
      </c>
      <c r="D680">
        <v>5</v>
      </c>
      <c r="E680">
        <v>0</v>
      </c>
      <c r="F680" s="7" t="s">
        <v>76</v>
      </c>
      <c r="G680">
        <v>3180</v>
      </c>
      <c r="H680">
        <v>474580390</v>
      </c>
      <c r="I680">
        <v>5482</v>
      </c>
      <c r="J680">
        <v>0.57547169923782349</v>
      </c>
      <c r="K680">
        <v>0.96296298503875732</v>
      </c>
      <c r="L680">
        <v>0.53333336114883423</v>
      </c>
      <c r="M680">
        <v>0.9555555555555556</v>
      </c>
      <c r="N680">
        <v>1</v>
      </c>
      <c r="O680">
        <v>1</v>
      </c>
      <c r="P680">
        <v>8201</v>
      </c>
      <c r="Q680">
        <v>87367160</v>
      </c>
      <c r="R680">
        <v>3118</v>
      </c>
      <c r="S680">
        <v>2</v>
      </c>
      <c r="T680">
        <v>35</v>
      </c>
      <c r="U680">
        <v>0.9555555555555556</v>
      </c>
      <c r="V680">
        <v>1</v>
      </c>
      <c r="W680">
        <v>1</v>
      </c>
      <c r="X680">
        <v>7909</v>
      </c>
      <c r="Y680">
        <v>84374519</v>
      </c>
      <c r="Z680">
        <v>3279</v>
      </c>
      <c r="AA680">
        <v>2</v>
      </c>
      <c r="AB680">
        <v>36</v>
      </c>
    </row>
    <row r="681" spans="1:28" hidden="1" x14ac:dyDescent="0.25">
      <c r="A681" s="7" t="s">
        <v>57</v>
      </c>
      <c r="B681">
        <v>14</v>
      </c>
      <c r="C681">
        <v>3</v>
      </c>
      <c r="D681">
        <v>5</v>
      </c>
      <c r="E681">
        <v>0</v>
      </c>
      <c r="F681" s="7" t="s">
        <v>61</v>
      </c>
      <c r="G681">
        <v>4945</v>
      </c>
      <c r="H681">
        <v>495645233</v>
      </c>
      <c r="I681">
        <v>5091</v>
      </c>
      <c r="J681">
        <v>0.77358490228652954</v>
      </c>
      <c r="K681">
        <v>0.8888888955116272</v>
      </c>
      <c r="L681">
        <v>0.68888890743255615</v>
      </c>
      <c r="M681">
        <v>0.9555555555555556</v>
      </c>
      <c r="N681">
        <v>1</v>
      </c>
      <c r="O681">
        <v>1</v>
      </c>
      <c r="P681">
        <v>6781</v>
      </c>
      <c r="Q681">
        <v>73089566</v>
      </c>
      <c r="R681">
        <v>4908</v>
      </c>
      <c r="S681">
        <v>2</v>
      </c>
      <c r="T681">
        <v>45</v>
      </c>
      <c r="U681">
        <v>0.9555555555555556</v>
      </c>
      <c r="V681">
        <v>1</v>
      </c>
      <c r="W681">
        <v>1</v>
      </c>
      <c r="X681">
        <v>5575</v>
      </c>
      <c r="Y681">
        <v>59904773</v>
      </c>
      <c r="Z681">
        <v>5109</v>
      </c>
      <c r="AA681">
        <v>2</v>
      </c>
      <c r="AB681">
        <v>46</v>
      </c>
    </row>
    <row r="682" spans="1:28" hidden="1" x14ac:dyDescent="0.25">
      <c r="A682" s="7" t="s">
        <v>57</v>
      </c>
      <c r="B682">
        <v>14</v>
      </c>
      <c r="C682">
        <v>3</v>
      </c>
      <c r="D682">
        <v>5</v>
      </c>
      <c r="E682">
        <v>0</v>
      </c>
      <c r="F682" s="7" t="s">
        <v>61</v>
      </c>
      <c r="G682">
        <v>4945</v>
      </c>
      <c r="H682">
        <v>497042127</v>
      </c>
      <c r="I682">
        <v>5185</v>
      </c>
      <c r="J682">
        <v>0.33962264657020569</v>
      </c>
      <c r="K682">
        <v>0.96296298503875732</v>
      </c>
      <c r="L682">
        <v>0.53333336114883423</v>
      </c>
      <c r="M682">
        <v>0.9555555555555556</v>
      </c>
      <c r="N682">
        <v>1</v>
      </c>
      <c r="O682">
        <v>1</v>
      </c>
      <c r="P682">
        <v>7165</v>
      </c>
      <c r="Q682">
        <v>75247767</v>
      </c>
      <c r="R682">
        <v>4908</v>
      </c>
      <c r="S682">
        <v>2</v>
      </c>
      <c r="T682">
        <v>45</v>
      </c>
      <c r="U682">
        <v>0.9555555555555556</v>
      </c>
      <c r="V682">
        <v>1</v>
      </c>
      <c r="W682">
        <v>1</v>
      </c>
      <c r="X682">
        <v>6072</v>
      </c>
      <c r="Y682">
        <v>64818042</v>
      </c>
      <c r="Z682">
        <v>5109</v>
      </c>
      <c r="AA682">
        <v>2</v>
      </c>
      <c r="AB682">
        <v>46</v>
      </c>
    </row>
    <row r="683" spans="1:28" hidden="1" x14ac:dyDescent="0.25">
      <c r="A683" s="7" t="s">
        <v>57</v>
      </c>
      <c r="B683">
        <v>14</v>
      </c>
      <c r="C683">
        <v>3</v>
      </c>
      <c r="D683">
        <v>5</v>
      </c>
      <c r="E683">
        <v>0</v>
      </c>
      <c r="F683" s="7" t="s">
        <v>61</v>
      </c>
      <c r="G683">
        <v>4945</v>
      </c>
      <c r="H683">
        <v>511103605</v>
      </c>
      <c r="I683">
        <v>5273</v>
      </c>
      <c r="J683">
        <v>0.67924529314041138</v>
      </c>
      <c r="K683">
        <v>0.92592591047286987</v>
      </c>
      <c r="L683">
        <v>0.64444446563720703</v>
      </c>
      <c r="M683">
        <v>0.93333333333333335</v>
      </c>
      <c r="N683">
        <v>0.96296296296296291</v>
      </c>
      <c r="O683">
        <v>1</v>
      </c>
      <c r="P683">
        <v>9925</v>
      </c>
      <c r="Q683">
        <v>107153038</v>
      </c>
      <c r="R683">
        <v>4908</v>
      </c>
      <c r="S683">
        <v>2</v>
      </c>
      <c r="T683">
        <v>45</v>
      </c>
      <c r="U683">
        <v>0.9555555555555556</v>
      </c>
      <c r="V683">
        <v>1</v>
      </c>
      <c r="W683">
        <v>1</v>
      </c>
      <c r="X683">
        <v>7318</v>
      </c>
      <c r="Y683">
        <v>80008789</v>
      </c>
      <c r="Z683">
        <v>5109</v>
      </c>
      <c r="AA683">
        <v>2</v>
      </c>
      <c r="AB683">
        <v>46</v>
      </c>
    </row>
    <row r="684" spans="1:28" hidden="1" x14ac:dyDescent="0.25">
      <c r="A684" s="7" t="s">
        <v>57</v>
      </c>
      <c r="B684">
        <v>14</v>
      </c>
      <c r="C684">
        <v>3</v>
      </c>
      <c r="D684">
        <v>5</v>
      </c>
      <c r="E684">
        <v>0</v>
      </c>
      <c r="F684" s="7" t="s">
        <v>61</v>
      </c>
      <c r="G684">
        <v>4945</v>
      </c>
      <c r="H684">
        <v>820147412</v>
      </c>
      <c r="I684">
        <v>8559</v>
      </c>
      <c r="J684">
        <v>0.75471699237823486</v>
      </c>
      <c r="K684">
        <v>0.85185188055038452</v>
      </c>
      <c r="L684">
        <v>0.71111112833023071</v>
      </c>
      <c r="M684">
        <v>0.9555555555555556</v>
      </c>
      <c r="N684">
        <v>0.96296296296296291</v>
      </c>
      <c r="O684">
        <v>1</v>
      </c>
      <c r="P684">
        <v>14301</v>
      </c>
      <c r="Q684">
        <v>151951976</v>
      </c>
      <c r="R684">
        <v>4908</v>
      </c>
      <c r="S684">
        <v>2</v>
      </c>
      <c r="T684">
        <v>45</v>
      </c>
      <c r="U684">
        <v>0.9555555555555556</v>
      </c>
      <c r="V684">
        <v>1</v>
      </c>
      <c r="W684">
        <v>1</v>
      </c>
      <c r="X684">
        <v>6449</v>
      </c>
      <c r="Y684">
        <v>66900314</v>
      </c>
      <c r="Z684">
        <v>5109</v>
      </c>
      <c r="AA684">
        <v>2</v>
      </c>
      <c r="AB684">
        <v>46</v>
      </c>
    </row>
    <row r="685" spans="1:28" hidden="1" x14ac:dyDescent="0.25">
      <c r="A685" s="7" t="s">
        <v>57</v>
      </c>
      <c r="B685">
        <v>14</v>
      </c>
      <c r="C685">
        <v>3</v>
      </c>
      <c r="D685">
        <v>5</v>
      </c>
      <c r="E685">
        <v>0</v>
      </c>
      <c r="F685" s="7" t="s">
        <v>61</v>
      </c>
      <c r="G685">
        <v>4945</v>
      </c>
      <c r="H685">
        <v>479717097</v>
      </c>
      <c r="I685">
        <v>5044</v>
      </c>
      <c r="J685">
        <v>0.60377359390258789</v>
      </c>
      <c r="K685">
        <v>0.74074071645736694</v>
      </c>
      <c r="L685">
        <v>0.64444446563720703</v>
      </c>
      <c r="M685">
        <v>0.9555555555555556</v>
      </c>
      <c r="N685">
        <v>1</v>
      </c>
      <c r="O685">
        <v>1</v>
      </c>
      <c r="P685">
        <v>6086</v>
      </c>
      <c r="Q685">
        <v>63921105</v>
      </c>
      <c r="R685">
        <v>4908</v>
      </c>
      <c r="S685">
        <v>2</v>
      </c>
      <c r="T685">
        <v>45</v>
      </c>
      <c r="U685">
        <v>0.9555555555555556</v>
      </c>
      <c r="V685">
        <v>1</v>
      </c>
      <c r="W685">
        <v>1</v>
      </c>
      <c r="X685">
        <v>7548</v>
      </c>
      <c r="Y685">
        <v>79273063</v>
      </c>
      <c r="Z685">
        <v>5109</v>
      </c>
      <c r="AA685">
        <v>2</v>
      </c>
      <c r="AB685">
        <v>46</v>
      </c>
    </row>
    <row r="686" spans="1:28" hidden="1" x14ac:dyDescent="0.25">
      <c r="A686" s="7" t="s">
        <v>57</v>
      </c>
      <c r="B686">
        <v>14</v>
      </c>
      <c r="C686">
        <v>3</v>
      </c>
      <c r="D686">
        <v>5</v>
      </c>
      <c r="E686">
        <v>0</v>
      </c>
      <c r="F686" s="7" t="s">
        <v>71</v>
      </c>
      <c r="G686">
        <v>6710</v>
      </c>
      <c r="H686">
        <v>533263527</v>
      </c>
      <c r="I686">
        <v>5061</v>
      </c>
      <c r="J686">
        <v>0.75471699237823486</v>
      </c>
      <c r="K686">
        <v>0.92592591047286987</v>
      </c>
      <c r="L686">
        <v>0.73333334922790527</v>
      </c>
      <c r="M686">
        <v>0.9555555555555556</v>
      </c>
      <c r="N686">
        <v>1</v>
      </c>
      <c r="O686">
        <v>1</v>
      </c>
      <c r="P686">
        <v>5723</v>
      </c>
      <c r="Q686">
        <v>63454140</v>
      </c>
      <c r="R686">
        <v>6628</v>
      </c>
      <c r="S686">
        <v>2</v>
      </c>
      <c r="T686">
        <v>53</v>
      </c>
      <c r="U686">
        <v>0.93333333333333335</v>
      </c>
      <c r="V686">
        <v>1</v>
      </c>
      <c r="W686">
        <v>1</v>
      </c>
      <c r="X686">
        <v>9374</v>
      </c>
      <c r="Y686">
        <v>105377737</v>
      </c>
      <c r="Z686">
        <v>6861</v>
      </c>
      <c r="AA686">
        <v>2</v>
      </c>
      <c r="AB686">
        <v>54</v>
      </c>
    </row>
    <row r="687" spans="1:28" hidden="1" x14ac:dyDescent="0.25">
      <c r="A687" s="7" t="s">
        <v>57</v>
      </c>
      <c r="B687">
        <v>14</v>
      </c>
      <c r="C687">
        <v>3</v>
      </c>
      <c r="D687">
        <v>5</v>
      </c>
      <c r="E687">
        <v>0</v>
      </c>
      <c r="F687" s="7" t="s">
        <v>71</v>
      </c>
      <c r="G687">
        <v>6710</v>
      </c>
      <c r="H687">
        <v>543553597</v>
      </c>
      <c r="I687">
        <v>5100</v>
      </c>
      <c r="J687">
        <v>0.72641509771347046</v>
      </c>
      <c r="K687">
        <v>0.96296298503875732</v>
      </c>
      <c r="L687">
        <v>0.64444446563720703</v>
      </c>
      <c r="M687">
        <v>0.9555555555555556</v>
      </c>
      <c r="N687">
        <v>1</v>
      </c>
      <c r="O687">
        <v>1</v>
      </c>
      <c r="P687">
        <v>6287</v>
      </c>
      <c r="Q687">
        <v>68775623</v>
      </c>
      <c r="R687">
        <v>6628</v>
      </c>
      <c r="S687">
        <v>2</v>
      </c>
      <c r="T687">
        <v>53</v>
      </c>
      <c r="U687">
        <v>0.93333333333333335</v>
      </c>
      <c r="V687">
        <v>1</v>
      </c>
      <c r="W687">
        <v>1</v>
      </c>
      <c r="X687">
        <v>9585</v>
      </c>
      <c r="Y687">
        <v>104338506</v>
      </c>
      <c r="Z687">
        <v>6861</v>
      </c>
      <c r="AA687">
        <v>2</v>
      </c>
      <c r="AB687">
        <v>54</v>
      </c>
    </row>
    <row r="688" spans="1:28" hidden="1" x14ac:dyDescent="0.25">
      <c r="A688" s="7" t="s">
        <v>57</v>
      </c>
      <c r="B688">
        <v>14</v>
      </c>
      <c r="C688">
        <v>3</v>
      </c>
      <c r="D688">
        <v>5</v>
      </c>
      <c r="E688">
        <v>0</v>
      </c>
      <c r="F688" s="7" t="s">
        <v>71</v>
      </c>
      <c r="G688">
        <v>6710</v>
      </c>
      <c r="H688">
        <v>572918253</v>
      </c>
      <c r="I688">
        <v>5417</v>
      </c>
      <c r="J688">
        <v>0.5283018946647644</v>
      </c>
      <c r="K688">
        <v>0.8888888955116272</v>
      </c>
      <c r="L688">
        <v>0.57777780294418335</v>
      </c>
      <c r="M688">
        <v>0.9555555555555556</v>
      </c>
      <c r="N688">
        <v>1</v>
      </c>
      <c r="O688">
        <v>1</v>
      </c>
      <c r="P688">
        <v>9568</v>
      </c>
      <c r="Q688">
        <v>102899777</v>
      </c>
      <c r="R688">
        <v>6628</v>
      </c>
      <c r="S688">
        <v>2</v>
      </c>
      <c r="T688">
        <v>53</v>
      </c>
      <c r="U688">
        <v>0.91111111111111109</v>
      </c>
      <c r="V688">
        <v>1</v>
      </c>
      <c r="W688">
        <v>1</v>
      </c>
      <c r="X688">
        <v>9802</v>
      </c>
      <c r="Y688">
        <v>105576535</v>
      </c>
      <c r="Z688">
        <v>6861</v>
      </c>
      <c r="AA688">
        <v>2</v>
      </c>
      <c r="AB688">
        <v>54</v>
      </c>
    </row>
    <row r="689" spans="1:28" hidden="1" x14ac:dyDescent="0.25">
      <c r="A689" s="7" t="s">
        <v>57</v>
      </c>
      <c r="B689">
        <v>14</v>
      </c>
      <c r="C689">
        <v>3</v>
      </c>
      <c r="D689">
        <v>5</v>
      </c>
      <c r="E689">
        <v>0</v>
      </c>
      <c r="F689" s="7" t="s">
        <v>71</v>
      </c>
      <c r="G689">
        <v>6710</v>
      </c>
      <c r="H689">
        <v>671094774</v>
      </c>
      <c r="I689">
        <v>6304</v>
      </c>
      <c r="J689">
        <v>0.82075470685958862</v>
      </c>
      <c r="K689">
        <v>0.92592591047286987</v>
      </c>
      <c r="L689">
        <v>0.71111112833023071</v>
      </c>
      <c r="M689">
        <v>0.9555555555555556</v>
      </c>
      <c r="N689">
        <v>1</v>
      </c>
      <c r="O689">
        <v>1</v>
      </c>
      <c r="P689">
        <v>5733</v>
      </c>
      <c r="Q689">
        <v>63578476</v>
      </c>
      <c r="R689">
        <v>6628</v>
      </c>
      <c r="S689">
        <v>2</v>
      </c>
      <c r="T689">
        <v>53</v>
      </c>
      <c r="U689">
        <v>0.9555555555555556</v>
      </c>
      <c r="V689">
        <v>1</v>
      </c>
      <c r="W689">
        <v>1</v>
      </c>
      <c r="X689">
        <v>6227</v>
      </c>
      <c r="Y689">
        <v>67987826</v>
      </c>
      <c r="Z689">
        <v>6861</v>
      </c>
      <c r="AA689">
        <v>2</v>
      </c>
      <c r="AB689">
        <v>54</v>
      </c>
    </row>
    <row r="690" spans="1:28" hidden="1" x14ac:dyDescent="0.25">
      <c r="A690" s="7" t="s">
        <v>57</v>
      </c>
      <c r="B690">
        <v>14</v>
      </c>
      <c r="C690">
        <v>3</v>
      </c>
      <c r="D690">
        <v>5</v>
      </c>
      <c r="E690">
        <v>0</v>
      </c>
      <c r="F690" s="7" t="s">
        <v>71</v>
      </c>
      <c r="G690">
        <v>6710</v>
      </c>
      <c r="H690">
        <v>606057771</v>
      </c>
      <c r="I690">
        <v>5715</v>
      </c>
      <c r="J690">
        <v>0.48113209009170532</v>
      </c>
      <c r="K690">
        <v>0.92592591047286987</v>
      </c>
      <c r="L690">
        <v>0.4444444477558136</v>
      </c>
      <c r="M690">
        <v>0.9555555555555556</v>
      </c>
      <c r="N690">
        <v>1</v>
      </c>
      <c r="O690">
        <v>1</v>
      </c>
      <c r="P690">
        <v>6488</v>
      </c>
      <c r="Q690">
        <v>72034412</v>
      </c>
      <c r="R690">
        <v>6628</v>
      </c>
      <c r="S690">
        <v>2</v>
      </c>
      <c r="T690">
        <v>53</v>
      </c>
      <c r="U690">
        <v>0.9555555555555556</v>
      </c>
      <c r="V690">
        <v>1</v>
      </c>
      <c r="W690">
        <v>1</v>
      </c>
      <c r="X690">
        <v>5596</v>
      </c>
      <c r="Y690">
        <v>61479256</v>
      </c>
      <c r="Z690">
        <v>6861</v>
      </c>
      <c r="AA690">
        <v>2</v>
      </c>
      <c r="AB690">
        <v>54</v>
      </c>
    </row>
    <row r="691" spans="1:28" hidden="1" x14ac:dyDescent="0.25">
      <c r="A691" s="7" t="s">
        <v>57</v>
      </c>
      <c r="B691">
        <v>14</v>
      </c>
      <c r="C691">
        <v>3</v>
      </c>
      <c r="D691">
        <v>5</v>
      </c>
      <c r="E691">
        <v>0</v>
      </c>
      <c r="F691" s="7" t="s">
        <v>75</v>
      </c>
      <c r="G691">
        <v>8475</v>
      </c>
      <c r="H691">
        <v>642354620</v>
      </c>
      <c r="I691">
        <v>5663</v>
      </c>
      <c r="J691">
        <v>0.32075470685958862</v>
      </c>
      <c r="K691">
        <v>0.85185188055038452</v>
      </c>
      <c r="L691">
        <v>0.3333333432674408</v>
      </c>
      <c r="M691">
        <v>0.9555555555555556</v>
      </c>
      <c r="N691">
        <v>1</v>
      </c>
      <c r="O691">
        <v>1</v>
      </c>
      <c r="P691">
        <v>6177</v>
      </c>
      <c r="Q691">
        <v>69849756</v>
      </c>
      <c r="R691">
        <v>8343</v>
      </c>
      <c r="S691">
        <v>2</v>
      </c>
      <c r="T691">
        <v>60</v>
      </c>
      <c r="U691">
        <v>0.9555555555555556</v>
      </c>
      <c r="V691">
        <v>1</v>
      </c>
      <c r="W691">
        <v>1</v>
      </c>
      <c r="X691">
        <v>6437</v>
      </c>
      <c r="Y691">
        <v>72704411</v>
      </c>
      <c r="Z691">
        <v>8604</v>
      </c>
      <c r="AA691">
        <v>2</v>
      </c>
      <c r="AB691">
        <v>61</v>
      </c>
    </row>
    <row r="692" spans="1:28" hidden="1" x14ac:dyDescent="0.25">
      <c r="A692" s="7" t="s">
        <v>57</v>
      </c>
      <c r="B692">
        <v>14</v>
      </c>
      <c r="C692">
        <v>3</v>
      </c>
      <c r="D692">
        <v>5</v>
      </c>
      <c r="E692">
        <v>0</v>
      </c>
      <c r="F692" s="7" t="s">
        <v>75</v>
      </c>
      <c r="G692">
        <v>8475</v>
      </c>
      <c r="H692">
        <v>781211222</v>
      </c>
      <c r="I692">
        <v>6963</v>
      </c>
      <c r="J692">
        <v>0.5</v>
      </c>
      <c r="K692">
        <v>0.85185188055038452</v>
      </c>
      <c r="L692">
        <v>0.57777780294418335</v>
      </c>
      <c r="M692">
        <v>0.93333333333333335</v>
      </c>
      <c r="N692">
        <v>1</v>
      </c>
      <c r="O692">
        <v>1</v>
      </c>
      <c r="P692">
        <v>7779</v>
      </c>
      <c r="Q692">
        <v>86015154</v>
      </c>
      <c r="R692">
        <v>8343</v>
      </c>
      <c r="S692">
        <v>2</v>
      </c>
      <c r="T692">
        <v>60</v>
      </c>
      <c r="U692">
        <v>0.93333333333333335</v>
      </c>
      <c r="V692">
        <v>1</v>
      </c>
      <c r="W692">
        <v>1</v>
      </c>
      <c r="X692">
        <v>9131</v>
      </c>
      <c r="Y692">
        <v>98047196</v>
      </c>
      <c r="Z692">
        <v>8604</v>
      </c>
      <c r="AA692">
        <v>2</v>
      </c>
      <c r="AB692">
        <v>61</v>
      </c>
    </row>
    <row r="693" spans="1:28" hidden="1" x14ac:dyDescent="0.25">
      <c r="A693" s="7" t="s">
        <v>57</v>
      </c>
      <c r="B693">
        <v>14</v>
      </c>
      <c r="C693">
        <v>3</v>
      </c>
      <c r="D693">
        <v>5</v>
      </c>
      <c r="E693">
        <v>0</v>
      </c>
      <c r="F693" s="7" t="s">
        <v>75</v>
      </c>
      <c r="G693">
        <v>8475</v>
      </c>
      <c r="H693">
        <v>578585448</v>
      </c>
      <c r="I693">
        <v>5084</v>
      </c>
      <c r="J693">
        <v>0.4716981053352356</v>
      </c>
      <c r="K693">
        <v>0.77777779102325439</v>
      </c>
      <c r="L693">
        <v>0.4444444477558136</v>
      </c>
      <c r="M693">
        <v>0.9555555555555556</v>
      </c>
      <c r="N693">
        <v>1</v>
      </c>
      <c r="O693">
        <v>1</v>
      </c>
      <c r="P693">
        <v>5437</v>
      </c>
      <c r="Q693">
        <v>60479738</v>
      </c>
      <c r="R693">
        <v>8343</v>
      </c>
      <c r="S693">
        <v>2</v>
      </c>
      <c r="T693">
        <v>60</v>
      </c>
      <c r="U693">
        <v>0.9555555555555556</v>
      </c>
      <c r="V693">
        <v>1</v>
      </c>
      <c r="W693">
        <v>1</v>
      </c>
      <c r="X693">
        <v>7215</v>
      </c>
      <c r="Y693">
        <v>77834758</v>
      </c>
      <c r="Z693">
        <v>8604</v>
      </c>
      <c r="AA693">
        <v>2</v>
      </c>
      <c r="AB693">
        <v>61</v>
      </c>
    </row>
    <row r="694" spans="1:28" hidden="1" x14ac:dyDescent="0.25">
      <c r="A694" s="7" t="s">
        <v>57</v>
      </c>
      <c r="B694">
        <v>14</v>
      </c>
      <c r="C694">
        <v>3</v>
      </c>
      <c r="D694">
        <v>5</v>
      </c>
      <c r="E694">
        <v>0</v>
      </c>
      <c r="F694" s="7" t="s">
        <v>75</v>
      </c>
      <c r="G694">
        <v>8475</v>
      </c>
      <c r="H694">
        <v>837382551</v>
      </c>
      <c r="I694">
        <v>7112</v>
      </c>
      <c r="J694">
        <v>0.80188679695129395</v>
      </c>
      <c r="K694">
        <v>0.92592591047286987</v>
      </c>
      <c r="L694">
        <v>0.91111111640930176</v>
      </c>
      <c r="M694">
        <v>0.9555555555555556</v>
      </c>
      <c r="N694">
        <v>1</v>
      </c>
      <c r="O694">
        <v>1</v>
      </c>
      <c r="P694">
        <v>6963</v>
      </c>
      <c r="Q694">
        <v>75268943</v>
      </c>
      <c r="R694">
        <v>8343</v>
      </c>
      <c r="S694">
        <v>2</v>
      </c>
      <c r="T694">
        <v>60</v>
      </c>
      <c r="U694">
        <v>0.93333333333333335</v>
      </c>
      <c r="V694">
        <v>1</v>
      </c>
      <c r="W694">
        <v>1</v>
      </c>
      <c r="X694">
        <v>20213</v>
      </c>
      <c r="Y694">
        <v>268542701</v>
      </c>
      <c r="Z694">
        <v>8604</v>
      </c>
      <c r="AA694">
        <v>2</v>
      </c>
      <c r="AB694">
        <v>61</v>
      </c>
    </row>
    <row r="695" spans="1:28" hidden="1" x14ac:dyDescent="0.25">
      <c r="A695" s="7" t="s">
        <v>57</v>
      </c>
      <c r="B695">
        <v>14</v>
      </c>
      <c r="C695">
        <v>3</v>
      </c>
      <c r="D695">
        <v>5</v>
      </c>
      <c r="E695">
        <v>0</v>
      </c>
      <c r="F695" s="7" t="s">
        <v>75</v>
      </c>
      <c r="G695">
        <v>8475</v>
      </c>
      <c r="H695">
        <v>576358402</v>
      </c>
      <c r="I695">
        <v>5087</v>
      </c>
      <c r="J695">
        <v>0.59433960914611816</v>
      </c>
      <c r="K695">
        <v>0.8888888955116272</v>
      </c>
      <c r="L695">
        <v>0.64444446563720703</v>
      </c>
      <c r="M695">
        <v>0.9555555555555556</v>
      </c>
      <c r="N695">
        <v>1</v>
      </c>
      <c r="O695">
        <v>1</v>
      </c>
      <c r="P695">
        <v>6847</v>
      </c>
      <c r="Q695">
        <v>74940964</v>
      </c>
      <c r="R695">
        <v>8343</v>
      </c>
      <c r="S695">
        <v>2</v>
      </c>
      <c r="T695">
        <v>60</v>
      </c>
      <c r="U695">
        <v>0.93333333333333335</v>
      </c>
      <c r="V695">
        <v>1</v>
      </c>
      <c r="W695">
        <v>1</v>
      </c>
      <c r="X695">
        <v>8806</v>
      </c>
      <c r="Y695">
        <v>99618760</v>
      </c>
      <c r="Z695">
        <v>8604</v>
      </c>
      <c r="AA695">
        <v>2</v>
      </c>
      <c r="AB695">
        <v>61</v>
      </c>
    </row>
    <row r="696" spans="1:28" hidden="1" x14ac:dyDescent="0.25">
      <c r="A696" s="7" t="s">
        <v>57</v>
      </c>
      <c r="B696">
        <v>14</v>
      </c>
      <c r="C696">
        <v>3</v>
      </c>
      <c r="D696">
        <v>5</v>
      </c>
      <c r="E696">
        <v>0</v>
      </c>
      <c r="F696" s="7" t="s">
        <v>58</v>
      </c>
      <c r="G696">
        <v>8323</v>
      </c>
      <c r="H696">
        <v>814460959</v>
      </c>
      <c r="I696">
        <v>5034</v>
      </c>
      <c r="J696">
        <v>0.58490568399429321</v>
      </c>
      <c r="K696">
        <v>0.74074071645736694</v>
      </c>
      <c r="L696">
        <v>0.46666666865348816</v>
      </c>
      <c r="M696">
        <v>0.9555555555555556</v>
      </c>
      <c r="N696">
        <v>1</v>
      </c>
      <c r="O696">
        <v>1</v>
      </c>
      <c r="P696">
        <v>6343</v>
      </c>
      <c r="Q696">
        <v>70437383</v>
      </c>
      <c r="R696">
        <v>8086</v>
      </c>
      <c r="S696">
        <v>2</v>
      </c>
      <c r="T696">
        <v>59</v>
      </c>
      <c r="U696">
        <v>0.9555555555555556</v>
      </c>
      <c r="V696">
        <v>1</v>
      </c>
      <c r="W696">
        <v>1</v>
      </c>
      <c r="X696">
        <v>5562</v>
      </c>
      <c r="Y696">
        <v>63305017</v>
      </c>
      <c r="Z696">
        <v>8343</v>
      </c>
      <c r="AA696">
        <v>2</v>
      </c>
      <c r="AB696">
        <v>60</v>
      </c>
    </row>
    <row r="697" spans="1:28" hidden="1" x14ac:dyDescent="0.25">
      <c r="A697" s="7" t="s">
        <v>57</v>
      </c>
      <c r="B697">
        <v>14</v>
      </c>
      <c r="C697">
        <v>3</v>
      </c>
      <c r="D697">
        <v>5</v>
      </c>
      <c r="E697">
        <v>0</v>
      </c>
      <c r="F697" s="7" t="s">
        <v>58</v>
      </c>
      <c r="G697">
        <v>8323</v>
      </c>
      <c r="H697">
        <v>841771990</v>
      </c>
      <c r="I697">
        <v>5006</v>
      </c>
      <c r="J697">
        <v>0.60377359390258789</v>
      </c>
      <c r="K697">
        <v>0.66666668653488159</v>
      </c>
      <c r="L697">
        <v>0.4444444477558136</v>
      </c>
      <c r="M697">
        <v>0.93333333333333335</v>
      </c>
      <c r="N697">
        <v>1</v>
      </c>
      <c r="O697">
        <v>1</v>
      </c>
      <c r="P697">
        <v>8568</v>
      </c>
      <c r="Q697">
        <v>98417418</v>
      </c>
      <c r="R697">
        <v>8086</v>
      </c>
      <c r="S697">
        <v>2</v>
      </c>
      <c r="T697">
        <v>59</v>
      </c>
      <c r="U697">
        <v>0.91111111111111109</v>
      </c>
      <c r="V697">
        <v>1</v>
      </c>
      <c r="W697">
        <v>1</v>
      </c>
      <c r="X697">
        <v>9658</v>
      </c>
      <c r="Y697">
        <v>107730575</v>
      </c>
      <c r="Z697">
        <v>8343</v>
      </c>
      <c r="AA697">
        <v>2</v>
      </c>
      <c r="AB697">
        <v>60</v>
      </c>
    </row>
    <row r="698" spans="1:28" hidden="1" x14ac:dyDescent="0.25">
      <c r="A698" s="7" t="s">
        <v>57</v>
      </c>
      <c r="B698">
        <v>14</v>
      </c>
      <c r="C698">
        <v>3</v>
      </c>
      <c r="D698">
        <v>5</v>
      </c>
      <c r="E698">
        <v>0</v>
      </c>
      <c r="F698" s="7" t="s">
        <v>58</v>
      </c>
      <c r="G698">
        <v>8323</v>
      </c>
      <c r="H698">
        <v>895037429</v>
      </c>
      <c r="I698">
        <v>5321</v>
      </c>
      <c r="J698">
        <v>0.51886790990829468</v>
      </c>
      <c r="K698">
        <v>0.74074071645736694</v>
      </c>
      <c r="L698">
        <v>0.53333336114883423</v>
      </c>
      <c r="M698">
        <v>0.9555555555555556</v>
      </c>
      <c r="N698">
        <v>1</v>
      </c>
      <c r="O698">
        <v>1</v>
      </c>
      <c r="P698">
        <v>5630</v>
      </c>
      <c r="Q698">
        <v>63362688</v>
      </c>
      <c r="R698">
        <v>8086</v>
      </c>
      <c r="S698">
        <v>2</v>
      </c>
      <c r="T698">
        <v>59</v>
      </c>
      <c r="U698">
        <v>0.9555555555555556</v>
      </c>
      <c r="V698">
        <v>1</v>
      </c>
      <c r="W698">
        <v>1</v>
      </c>
      <c r="X698">
        <v>7059</v>
      </c>
      <c r="Y698">
        <v>79854784</v>
      </c>
      <c r="Z698">
        <v>8343</v>
      </c>
      <c r="AA698">
        <v>2</v>
      </c>
      <c r="AB698">
        <v>60</v>
      </c>
    </row>
    <row r="699" spans="1:28" hidden="1" x14ac:dyDescent="0.25">
      <c r="A699" s="7" t="s">
        <v>57</v>
      </c>
      <c r="B699">
        <v>14</v>
      </c>
      <c r="C699">
        <v>3</v>
      </c>
      <c r="D699">
        <v>5</v>
      </c>
      <c r="E699">
        <v>0</v>
      </c>
      <c r="F699" s="7" t="s">
        <v>58</v>
      </c>
      <c r="G699">
        <v>8323</v>
      </c>
      <c r="H699">
        <v>842059048</v>
      </c>
      <c r="I699">
        <v>5006</v>
      </c>
      <c r="J699">
        <v>0.33962264657020569</v>
      </c>
      <c r="K699">
        <v>0.66666668653488159</v>
      </c>
      <c r="L699">
        <v>0.3333333432674408</v>
      </c>
      <c r="M699">
        <v>0.93333333333333335</v>
      </c>
      <c r="N699">
        <v>1</v>
      </c>
      <c r="O699">
        <v>1</v>
      </c>
      <c r="P699">
        <v>8568</v>
      </c>
      <c r="Q699">
        <v>93837614</v>
      </c>
      <c r="R699">
        <v>8086</v>
      </c>
      <c r="S699">
        <v>2</v>
      </c>
      <c r="T699">
        <v>59</v>
      </c>
      <c r="U699">
        <v>0.91111111111111109</v>
      </c>
      <c r="V699">
        <v>1</v>
      </c>
      <c r="W699">
        <v>1</v>
      </c>
      <c r="X699">
        <v>9658</v>
      </c>
      <c r="Y699">
        <v>106006640</v>
      </c>
      <c r="Z699">
        <v>8343</v>
      </c>
      <c r="AA699">
        <v>2</v>
      </c>
      <c r="AB699">
        <v>60</v>
      </c>
    </row>
    <row r="700" spans="1:28" hidden="1" x14ac:dyDescent="0.25">
      <c r="A700" s="7" t="s">
        <v>57</v>
      </c>
      <c r="B700">
        <v>14</v>
      </c>
      <c r="C700">
        <v>3</v>
      </c>
      <c r="D700">
        <v>5</v>
      </c>
      <c r="E700">
        <v>0</v>
      </c>
      <c r="F700" s="7" t="s">
        <v>58</v>
      </c>
      <c r="G700">
        <v>8323</v>
      </c>
      <c r="H700">
        <v>839480809</v>
      </c>
      <c r="I700">
        <v>5192</v>
      </c>
      <c r="J700">
        <v>0.24528302252292633</v>
      </c>
      <c r="K700">
        <v>0.8888888955116272</v>
      </c>
      <c r="L700">
        <v>0.24444444477558136</v>
      </c>
      <c r="M700">
        <v>0.9555555555555556</v>
      </c>
      <c r="N700">
        <v>1</v>
      </c>
      <c r="O700">
        <v>1</v>
      </c>
      <c r="P700">
        <v>5889</v>
      </c>
      <c r="Q700">
        <v>64584798</v>
      </c>
      <c r="R700">
        <v>8086</v>
      </c>
      <c r="S700">
        <v>2</v>
      </c>
      <c r="T700">
        <v>59</v>
      </c>
      <c r="U700">
        <v>0.9555555555555556</v>
      </c>
      <c r="V700">
        <v>1</v>
      </c>
      <c r="W700">
        <v>1</v>
      </c>
      <c r="X700">
        <v>5890</v>
      </c>
      <c r="Y700">
        <v>65423483</v>
      </c>
      <c r="Z700">
        <v>8343</v>
      </c>
      <c r="AA700">
        <v>2</v>
      </c>
      <c r="AB700">
        <v>60</v>
      </c>
    </row>
    <row r="701" spans="1:28" hidden="1" x14ac:dyDescent="0.25">
      <c r="A701" s="7" t="s">
        <v>57</v>
      </c>
      <c r="B701">
        <v>14</v>
      </c>
      <c r="C701">
        <v>3</v>
      </c>
      <c r="D701">
        <v>5</v>
      </c>
      <c r="E701">
        <v>0</v>
      </c>
      <c r="F701" s="7" t="s">
        <v>59</v>
      </c>
      <c r="G701">
        <v>10088</v>
      </c>
      <c r="H701">
        <v>1965505562</v>
      </c>
      <c r="I701">
        <v>11385</v>
      </c>
      <c r="J701">
        <v>0.33018869161605835</v>
      </c>
      <c r="K701">
        <v>0.55555558204650879</v>
      </c>
      <c r="L701">
        <v>0.31111112236976624</v>
      </c>
      <c r="M701">
        <v>0.93333333333333335</v>
      </c>
      <c r="N701">
        <v>1</v>
      </c>
      <c r="O701">
        <v>0.96226415094339623</v>
      </c>
      <c r="P701">
        <v>9518</v>
      </c>
      <c r="Q701">
        <v>107486407</v>
      </c>
      <c r="R701">
        <v>9969</v>
      </c>
      <c r="S701">
        <v>2</v>
      </c>
      <c r="T701">
        <v>66</v>
      </c>
      <c r="U701">
        <v>0.9555555555555556</v>
      </c>
      <c r="V701">
        <v>1</v>
      </c>
      <c r="W701">
        <v>1</v>
      </c>
      <c r="X701">
        <v>6051</v>
      </c>
      <c r="Y701">
        <v>67270134</v>
      </c>
      <c r="Z701">
        <v>10254</v>
      </c>
      <c r="AA701">
        <v>2</v>
      </c>
      <c r="AB701">
        <v>67</v>
      </c>
    </row>
    <row r="702" spans="1:28" hidden="1" x14ac:dyDescent="0.25">
      <c r="A702" s="7" t="s">
        <v>57</v>
      </c>
      <c r="B702">
        <v>14</v>
      </c>
      <c r="C702">
        <v>3</v>
      </c>
      <c r="D702">
        <v>5</v>
      </c>
      <c r="E702">
        <v>0</v>
      </c>
      <c r="F702" s="7" t="s">
        <v>59</v>
      </c>
      <c r="G702">
        <v>10088</v>
      </c>
      <c r="H702">
        <v>859864017</v>
      </c>
      <c r="I702">
        <v>5021</v>
      </c>
      <c r="J702">
        <v>0.55660378932952881</v>
      </c>
      <c r="K702">
        <v>0.66666668653488159</v>
      </c>
      <c r="L702">
        <v>0.28888890147209167</v>
      </c>
      <c r="M702">
        <v>0.93333333333333335</v>
      </c>
      <c r="N702">
        <v>1</v>
      </c>
      <c r="O702">
        <v>1</v>
      </c>
      <c r="P702">
        <v>9638</v>
      </c>
      <c r="Q702">
        <v>109255313</v>
      </c>
      <c r="R702">
        <v>9969</v>
      </c>
      <c r="S702">
        <v>2</v>
      </c>
      <c r="T702">
        <v>66</v>
      </c>
      <c r="U702">
        <v>0.93333333333333335</v>
      </c>
      <c r="V702">
        <v>1</v>
      </c>
      <c r="W702">
        <v>1</v>
      </c>
      <c r="X702">
        <v>9100</v>
      </c>
      <c r="Y702">
        <v>100466935</v>
      </c>
      <c r="Z702">
        <v>10254</v>
      </c>
      <c r="AA702">
        <v>2</v>
      </c>
      <c r="AB702">
        <v>67</v>
      </c>
    </row>
    <row r="703" spans="1:28" hidden="1" x14ac:dyDescent="0.25">
      <c r="A703" s="7" t="s">
        <v>57</v>
      </c>
      <c r="B703">
        <v>14</v>
      </c>
      <c r="C703">
        <v>3</v>
      </c>
      <c r="D703">
        <v>5</v>
      </c>
      <c r="E703">
        <v>0</v>
      </c>
      <c r="F703" s="7" t="s">
        <v>59</v>
      </c>
      <c r="G703">
        <v>10088</v>
      </c>
      <c r="H703">
        <v>877536578</v>
      </c>
      <c r="I703">
        <v>5099</v>
      </c>
      <c r="J703">
        <v>0.28301885724067688</v>
      </c>
      <c r="K703">
        <v>0.66666668653488159</v>
      </c>
      <c r="L703">
        <v>0.2222222238779068</v>
      </c>
      <c r="M703">
        <v>0.93333333333333335</v>
      </c>
      <c r="N703">
        <v>1</v>
      </c>
      <c r="O703">
        <v>1</v>
      </c>
      <c r="P703">
        <v>7850</v>
      </c>
      <c r="Q703">
        <v>88417317</v>
      </c>
      <c r="R703">
        <v>9969</v>
      </c>
      <c r="S703">
        <v>2</v>
      </c>
      <c r="T703">
        <v>66</v>
      </c>
      <c r="U703">
        <v>0.91111111111111109</v>
      </c>
      <c r="V703">
        <v>0.96296296296296291</v>
      </c>
      <c r="W703">
        <v>1</v>
      </c>
      <c r="X703">
        <v>14105</v>
      </c>
      <c r="Y703">
        <v>162978134</v>
      </c>
      <c r="Z703">
        <v>10254</v>
      </c>
      <c r="AA703">
        <v>2</v>
      </c>
      <c r="AB703">
        <v>67</v>
      </c>
    </row>
    <row r="704" spans="1:28" hidden="1" x14ac:dyDescent="0.25">
      <c r="A704" s="7" t="s">
        <v>57</v>
      </c>
      <c r="B704">
        <v>14</v>
      </c>
      <c r="C704">
        <v>3</v>
      </c>
      <c r="D704">
        <v>5</v>
      </c>
      <c r="E704">
        <v>0</v>
      </c>
      <c r="F704" s="7" t="s">
        <v>59</v>
      </c>
      <c r="G704">
        <v>10088</v>
      </c>
      <c r="H704">
        <v>864451316</v>
      </c>
      <c r="I704">
        <v>5049</v>
      </c>
      <c r="J704">
        <v>0.44339624047279358</v>
      </c>
      <c r="K704">
        <v>0.74074071645736694</v>
      </c>
      <c r="L704">
        <v>0.48888888955116272</v>
      </c>
      <c r="M704">
        <v>0.93333333333333335</v>
      </c>
      <c r="N704">
        <v>1</v>
      </c>
      <c r="O704">
        <v>1</v>
      </c>
      <c r="P704">
        <v>9252</v>
      </c>
      <c r="Q704">
        <v>102487783</v>
      </c>
      <c r="R704">
        <v>9969</v>
      </c>
      <c r="S704">
        <v>2</v>
      </c>
      <c r="T704">
        <v>66</v>
      </c>
      <c r="U704">
        <v>0.9555555555555556</v>
      </c>
      <c r="V704">
        <v>1</v>
      </c>
      <c r="W704">
        <v>1</v>
      </c>
      <c r="X704">
        <v>5679</v>
      </c>
      <c r="Y704">
        <v>64787093</v>
      </c>
      <c r="Z704">
        <v>10254</v>
      </c>
      <c r="AA704">
        <v>2</v>
      </c>
      <c r="AB704">
        <v>67</v>
      </c>
    </row>
    <row r="705" spans="1:28" hidden="1" x14ac:dyDescent="0.25">
      <c r="A705" s="7" t="s">
        <v>28</v>
      </c>
      <c r="B705">
        <v>8</v>
      </c>
      <c r="C705">
        <v>3</v>
      </c>
      <c r="D705">
        <v>2</v>
      </c>
      <c r="E705">
        <v>0</v>
      </c>
      <c r="F705" s="7" t="s">
        <v>32</v>
      </c>
      <c r="G705">
        <v>15431</v>
      </c>
      <c r="H705">
        <v>127079781</v>
      </c>
      <c r="I705">
        <v>759</v>
      </c>
      <c r="J705">
        <v>0.98529410362243652</v>
      </c>
      <c r="K705">
        <v>1</v>
      </c>
      <c r="L705">
        <v>0.93706291913986206</v>
      </c>
      <c r="M705">
        <v>0.92307692307692313</v>
      </c>
      <c r="N705">
        <v>1</v>
      </c>
      <c r="O705">
        <v>0.92647058823529416</v>
      </c>
      <c r="P705">
        <v>12</v>
      </c>
      <c r="Q705">
        <v>8452859</v>
      </c>
      <c r="R705">
        <v>15249</v>
      </c>
      <c r="S705">
        <v>2</v>
      </c>
      <c r="T705">
        <v>79</v>
      </c>
      <c r="U705">
        <v>0.92307692307692313</v>
      </c>
      <c r="V705">
        <v>1</v>
      </c>
      <c r="W705">
        <v>0.92352941176470593</v>
      </c>
      <c r="X705">
        <v>10</v>
      </c>
      <c r="Y705">
        <v>4343845</v>
      </c>
      <c r="Z705">
        <v>15602</v>
      </c>
      <c r="AA705">
        <v>2</v>
      </c>
      <c r="AB705">
        <v>80</v>
      </c>
    </row>
    <row r="706" spans="1:28" hidden="1" x14ac:dyDescent="0.25">
      <c r="A706" s="7" t="s">
        <v>28</v>
      </c>
      <c r="B706">
        <v>8</v>
      </c>
      <c r="C706">
        <v>3</v>
      </c>
      <c r="D706">
        <v>2</v>
      </c>
      <c r="E706">
        <v>0</v>
      </c>
      <c r="F706" s="7" t="s">
        <v>32</v>
      </c>
      <c r="G706">
        <v>15431</v>
      </c>
      <c r="H706">
        <v>20568915855</v>
      </c>
      <c r="I706">
        <v>100000</v>
      </c>
      <c r="J706">
        <v>1</v>
      </c>
      <c r="K706">
        <v>0.9883720874786377</v>
      </c>
      <c r="L706">
        <v>0.88811188936233521</v>
      </c>
      <c r="M706">
        <v>0.92307692307692313</v>
      </c>
      <c r="N706">
        <v>1</v>
      </c>
      <c r="O706">
        <v>0.93529411764705883</v>
      </c>
      <c r="P706">
        <v>10</v>
      </c>
      <c r="Q706">
        <v>30696598</v>
      </c>
      <c r="R706">
        <v>15249</v>
      </c>
      <c r="S706">
        <v>2</v>
      </c>
      <c r="T706">
        <v>79</v>
      </c>
      <c r="U706">
        <v>0.92307692307692313</v>
      </c>
      <c r="V706">
        <v>1</v>
      </c>
      <c r="W706">
        <v>0.92941176470588238</v>
      </c>
      <c r="X706">
        <v>12</v>
      </c>
      <c r="Y706">
        <v>32333509</v>
      </c>
      <c r="Z706">
        <v>15602</v>
      </c>
      <c r="AA706">
        <v>2</v>
      </c>
      <c r="AB706">
        <v>80</v>
      </c>
    </row>
    <row r="707" spans="1:28" hidden="1" x14ac:dyDescent="0.25">
      <c r="A707" s="7" t="s">
        <v>28</v>
      </c>
      <c r="B707">
        <v>8</v>
      </c>
      <c r="C707">
        <v>3</v>
      </c>
      <c r="D707">
        <v>2</v>
      </c>
      <c r="E707">
        <v>0</v>
      </c>
      <c r="F707" s="7" t="s">
        <v>32</v>
      </c>
      <c r="G707">
        <v>15431</v>
      </c>
      <c r="H707">
        <v>80111392</v>
      </c>
      <c r="I707">
        <v>397</v>
      </c>
      <c r="J707">
        <v>0.9735293984413147</v>
      </c>
      <c r="K707">
        <v>1</v>
      </c>
      <c r="L707">
        <v>0.93706291913986206</v>
      </c>
      <c r="M707">
        <v>0.92307692307692313</v>
      </c>
      <c r="N707">
        <v>1</v>
      </c>
      <c r="O707">
        <v>0.93235294117647061</v>
      </c>
      <c r="P707">
        <v>12</v>
      </c>
      <c r="Q707">
        <v>55610293</v>
      </c>
      <c r="R707">
        <v>15249</v>
      </c>
      <c r="S707">
        <v>2</v>
      </c>
      <c r="T707">
        <v>79</v>
      </c>
      <c r="U707">
        <v>0.92307692307692313</v>
      </c>
      <c r="V707">
        <v>1</v>
      </c>
      <c r="W707">
        <v>0.92941176470588238</v>
      </c>
      <c r="X707">
        <v>12</v>
      </c>
      <c r="Y707">
        <v>51408398</v>
      </c>
      <c r="Z707">
        <v>15602</v>
      </c>
      <c r="AA707">
        <v>2</v>
      </c>
      <c r="AB707">
        <v>80</v>
      </c>
    </row>
    <row r="708" spans="1:28" hidden="1" x14ac:dyDescent="0.25">
      <c r="A708" s="7" t="s">
        <v>28</v>
      </c>
      <c r="B708">
        <v>8</v>
      </c>
      <c r="C708">
        <v>3</v>
      </c>
      <c r="D708">
        <v>2</v>
      </c>
      <c r="E708">
        <v>0</v>
      </c>
      <c r="F708" s="7" t="s">
        <v>32</v>
      </c>
      <c r="G708">
        <v>15431</v>
      </c>
      <c r="H708">
        <v>174266874</v>
      </c>
      <c r="I708">
        <v>839</v>
      </c>
      <c r="J708">
        <v>0.98529410362243652</v>
      </c>
      <c r="K708">
        <v>1</v>
      </c>
      <c r="L708">
        <v>0.94405591487884521</v>
      </c>
      <c r="M708">
        <v>0.92307692307692313</v>
      </c>
      <c r="N708">
        <v>1</v>
      </c>
      <c r="O708">
        <v>0.93529411764705883</v>
      </c>
      <c r="P708">
        <v>10</v>
      </c>
      <c r="Q708">
        <v>58707173</v>
      </c>
      <c r="R708">
        <v>15249</v>
      </c>
      <c r="S708">
        <v>2</v>
      </c>
      <c r="T708">
        <v>79</v>
      </c>
      <c r="U708">
        <v>0.92307692307692313</v>
      </c>
      <c r="V708">
        <v>1</v>
      </c>
      <c r="W708">
        <v>0.92941176470588238</v>
      </c>
      <c r="X708">
        <v>15</v>
      </c>
      <c r="Y708">
        <v>49299954</v>
      </c>
      <c r="Z708">
        <v>15602</v>
      </c>
      <c r="AA708">
        <v>2</v>
      </c>
      <c r="AB708">
        <v>80</v>
      </c>
    </row>
    <row r="709" spans="1:28" hidden="1" x14ac:dyDescent="0.25">
      <c r="A709" s="7" t="s">
        <v>28</v>
      </c>
      <c r="B709">
        <v>8</v>
      </c>
      <c r="C709">
        <v>3</v>
      </c>
      <c r="D709">
        <v>2</v>
      </c>
      <c r="E709">
        <v>0</v>
      </c>
      <c r="F709" s="7" t="s">
        <v>33</v>
      </c>
      <c r="G709">
        <v>17516</v>
      </c>
      <c r="H709">
        <v>125841110</v>
      </c>
      <c r="I709">
        <v>563</v>
      </c>
      <c r="J709">
        <v>0.99117648601531982</v>
      </c>
      <c r="K709">
        <v>1</v>
      </c>
      <c r="L709">
        <v>0.96503496170043945</v>
      </c>
      <c r="M709">
        <v>0.92307692307692313</v>
      </c>
      <c r="N709">
        <v>1</v>
      </c>
      <c r="O709">
        <v>0.93823529411764706</v>
      </c>
      <c r="P709">
        <v>10</v>
      </c>
      <c r="Q709">
        <v>40413371</v>
      </c>
      <c r="R709">
        <v>17427</v>
      </c>
      <c r="S709">
        <v>2</v>
      </c>
      <c r="T709">
        <v>85</v>
      </c>
      <c r="U709">
        <v>0.90909090909090906</v>
      </c>
      <c r="V709">
        <v>1</v>
      </c>
      <c r="W709">
        <v>0.91470588235294115</v>
      </c>
      <c r="X709">
        <v>10</v>
      </c>
      <c r="Y709">
        <v>37056571</v>
      </c>
      <c r="Z709">
        <v>17804</v>
      </c>
      <c r="AA709">
        <v>2</v>
      </c>
      <c r="AB709">
        <v>86</v>
      </c>
    </row>
    <row r="710" spans="1:28" hidden="1" x14ac:dyDescent="0.25">
      <c r="A710" s="7" t="s">
        <v>28</v>
      </c>
      <c r="B710">
        <v>8</v>
      </c>
      <c r="C710">
        <v>3</v>
      </c>
      <c r="D710">
        <v>2</v>
      </c>
      <c r="E710">
        <v>0</v>
      </c>
      <c r="F710" s="7" t="s">
        <v>33</v>
      </c>
      <c r="G710">
        <v>17516</v>
      </c>
      <c r="H710">
        <v>122922846</v>
      </c>
      <c r="I710">
        <v>536</v>
      </c>
      <c r="J710">
        <v>0.98823529481887817</v>
      </c>
      <c r="K710">
        <v>1</v>
      </c>
      <c r="L710">
        <v>0.9580419659614563</v>
      </c>
      <c r="M710">
        <v>0.92307692307692313</v>
      </c>
      <c r="N710">
        <v>1</v>
      </c>
      <c r="O710">
        <v>0.93235294117647061</v>
      </c>
      <c r="P710">
        <v>10</v>
      </c>
      <c r="Q710">
        <v>24609937</v>
      </c>
      <c r="R710">
        <v>17427</v>
      </c>
      <c r="S710">
        <v>2</v>
      </c>
      <c r="T710">
        <v>85</v>
      </c>
      <c r="U710">
        <v>0.90909090909090906</v>
      </c>
      <c r="V710">
        <v>1</v>
      </c>
      <c r="W710">
        <v>0.91470588235294115</v>
      </c>
      <c r="X710">
        <v>9</v>
      </c>
      <c r="Y710">
        <v>29525151</v>
      </c>
      <c r="Z710">
        <v>17804</v>
      </c>
      <c r="AA710">
        <v>2</v>
      </c>
      <c r="AB710">
        <v>86</v>
      </c>
    </row>
    <row r="711" spans="1:28" hidden="1" x14ac:dyDescent="0.25">
      <c r="A711" s="7" t="s">
        <v>28</v>
      </c>
      <c r="B711">
        <v>8</v>
      </c>
      <c r="C711">
        <v>3</v>
      </c>
      <c r="D711">
        <v>2</v>
      </c>
      <c r="E711">
        <v>0</v>
      </c>
      <c r="F711" s="7" t="s">
        <v>33</v>
      </c>
      <c r="G711">
        <v>17516</v>
      </c>
      <c r="H711">
        <v>66342119</v>
      </c>
      <c r="I711">
        <v>294</v>
      </c>
      <c r="J711">
        <v>0.97647058963775635</v>
      </c>
      <c r="K711">
        <v>1</v>
      </c>
      <c r="L711">
        <v>0.97902095317840576</v>
      </c>
      <c r="M711">
        <v>0.92307692307692313</v>
      </c>
      <c r="N711">
        <v>1</v>
      </c>
      <c r="O711">
        <v>0.93235294117647061</v>
      </c>
      <c r="P711">
        <v>13</v>
      </c>
      <c r="Q711">
        <v>31878137</v>
      </c>
      <c r="R711">
        <v>17427</v>
      </c>
      <c r="S711">
        <v>2</v>
      </c>
      <c r="T711">
        <v>85</v>
      </c>
      <c r="U711">
        <v>0.92307692307692313</v>
      </c>
      <c r="V711">
        <v>1</v>
      </c>
      <c r="W711">
        <v>0.92647058823529416</v>
      </c>
      <c r="X711">
        <v>10</v>
      </c>
      <c r="Y711">
        <v>53445086</v>
      </c>
      <c r="Z711">
        <v>17804</v>
      </c>
      <c r="AA711">
        <v>2</v>
      </c>
      <c r="AB711">
        <v>86</v>
      </c>
    </row>
    <row r="712" spans="1:28" hidden="1" x14ac:dyDescent="0.25">
      <c r="A712" s="7" t="s">
        <v>28</v>
      </c>
      <c r="B712">
        <v>8</v>
      </c>
      <c r="C712">
        <v>3</v>
      </c>
      <c r="D712">
        <v>2</v>
      </c>
      <c r="E712">
        <v>0</v>
      </c>
      <c r="F712" s="7" t="s">
        <v>33</v>
      </c>
      <c r="G712">
        <v>17516</v>
      </c>
      <c r="H712">
        <v>215895587</v>
      </c>
      <c r="I712">
        <v>955</v>
      </c>
      <c r="J712">
        <v>0.979411780834198</v>
      </c>
      <c r="K712">
        <v>1</v>
      </c>
      <c r="L712">
        <v>0.93706291913986206</v>
      </c>
      <c r="M712">
        <v>0.92307692307692313</v>
      </c>
      <c r="N712">
        <v>1</v>
      </c>
      <c r="O712">
        <v>0.93529411764705883</v>
      </c>
      <c r="P712">
        <v>11</v>
      </c>
      <c r="Q712">
        <v>26769321</v>
      </c>
      <c r="R712">
        <v>17427</v>
      </c>
      <c r="S712">
        <v>2</v>
      </c>
      <c r="T712">
        <v>85</v>
      </c>
      <c r="U712">
        <v>0.92307692307692313</v>
      </c>
      <c r="V712">
        <v>1</v>
      </c>
      <c r="W712">
        <v>0.92647058823529416</v>
      </c>
      <c r="X712">
        <v>13</v>
      </c>
      <c r="Y712">
        <v>50966985</v>
      </c>
      <c r="Z712">
        <v>17804</v>
      </c>
      <c r="AA712">
        <v>2</v>
      </c>
      <c r="AB712">
        <v>86</v>
      </c>
    </row>
    <row r="713" spans="1:28" hidden="1" x14ac:dyDescent="0.25">
      <c r="A713" s="7" t="s">
        <v>28</v>
      </c>
      <c r="B713">
        <v>8</v>
      </c>
      <c r="C713">
        <v>3</v>
      </c>
      <c r="D713">
        <v>2</v>
      </c>
      <c r="E713">
        <v>0</v>
      </c>
      <c r="F713" s="7" t="s">
        <v>33</v>
      </c>
      <c r="G713">
        <v>17516</v>
      </c>
      <c r="H713">
        <v>53882158</v>
      </c>
      <c r="I713">
        <v>243</v>
      </c>
      <c r="J713">
        <v>0.96470588445663452</v>
      </c>
      <c r="K713">
        <v>1</v>
      </c>
      <c r="L713">
        <v>0.95104897022247314</v>
      </c>
      <c r="M713">
        <v>0.91608391608391604</v>
      </c>
      <c r="N713">
        <v>1</v>
      </c>
      <c r="O713">
        <v>0.92941176470588238</v>
      </c>
      <c r="P713">
        <v>10</v>
      </c>
      <c r="Q713">
        <v>45423438</v>
      </c>
      <c r="R713">
        <v>17427</v>
      </c>
      <c r="S713">
        <v>2</v>
      </c>
      <c r="T713">
        <v>85</v>
      </c>
      <c r="U713">
        <v>0.92307692307692313</v>
      </c>
      <c r="V713">
        <v>1</v>
      </c>
      <c r="W713">
        <v>0.92647058823529416</v>
      </c>
      <c r="X713">
        <v>14</v>
      </c>
      <c r="Y713">
        <v>53442513</v>
      </c>
      <c r="Z713">
        <v>17804</v>
      </c>
      <c r="AA713">
        <v>2</v>
      </c>
      <c r="AB713">
        <v>86</v>
      </c>
    </row>
    <row r="714" spans="1:28" hidden="1" x14ac:dyDescent="0.25">
      <c r="A714" s="7" t="s">
        <v>28</v>
      </c>
      <c r="B714">
        <v>8</v>
      </c>
      <c r="C714">
        <v>3</v>
      </c>
      <c r="D714">
        <v>2</v>
      </c>
      <c r="E714">
        <v>0</v>
      </c>
      <c r="F714" s="7" t="s">
        <v>34</v>
      </c>
      <c r="G714">
        <v>19601</v>
      </c>
      <c r="H714">
        <v>138525864</v>
      </c>
      <c r="I714">
        <v>555</v>
      </c>
      <c r="J714">
        <v>0.97647058963775635</v>
      </c>
      <c r="K714">
        <v>1</v>
      </c>
      <c r="L714">
        <v>0.9580419659614563</v>
      </c>
      <c r="M714">
        <v>0.92307692307692313</v>
      </c>
      <c r="N714">
        <v>1</v>
      </c>
      <c r="O714">
        <v>0.92352941176470593</v>
      </c>
      <c r="P714">
        <v>10</v>
      </c>
      <c r="Q714">
        <v>45376446</v>
      </c>
      <c r="R714">
        <v>19352</v>
      </c>
      <c r="S714">
        <v>2</v>
      </c>
      <c r="T714">
        <v>90</v>
      </c>
      <c r="U714">
        <v>0.93006993006993011</v>
      </c>
      <c r="V714">
        <v>1</v>
      </c>
      <c r="W714">
        <v>0.93529411764705883</v>
      </c>
      <c r="X714">
        <v>13</v>
      </c>
      <c r="Y714">
        <v>44399992</v>
      </c>
      <c r="Z714">
        <v>19749</v>
      </c>
      <c r="AA714">
        <v>2</v>
      </c>
      <c r="AB714">
        <v>91</v>
      </c>
    </row>
    <row r="715" spans="1:28" hidden="1" x14ac:dyDescent="0.25">
      <c r="A715" s="7" t="s">
        <v>28</v>
      </c>
      <c r="B715">
        <v>8</v>
      </c>
      <c r="C715">
        <v>3</v>
      </c>
      <c r="D715">
        <v>2</v>
      </c>
      <c r="E715">
        <v>0</v>
      </c>
      <c r="F715" s="7" t="s">
        <v>34</v>
      </c>
      <c r="G715">
        <v>19601</v>
      </c>
      <c r="H715">
        <v>94100297</v>
      </c>
      <c r="I715">
        <v>377</v>
      </c>
      <c r="J715">
        <v>0.979411780834198</v>
      </c>
      <c r="K715">
        <v>1</v>
      </c>
      <c r="L715">
        <v>0.9580419659614563</v>
      </c>
      <c r="M715">
        <v>0.93006993006993011</v>
      </c>
      <c r="N715">
        <v>1</v>
      </c>
      <c r="O715">
        <v>0.93529411764705883</v>
      </c>
      <c r="P715">
        <v>15</v>
      </c>
      <c r="Q715">
        <v>82874245</v>
      </c>
      <c r="R715">
        <v>19352</v>
      </c>
      <c r="S715">
        <v>2</v>
      </c>
      <c r="T715">
        <v>90</v>
      </c>
      <c r="U715">
        <v>0.91608391608391604</v>
      </c>
      <c r="V715">
        <v>1</v>
      </c>
      <c r="W715">
        <v>0.92941176470588238</v>
      </c>
      <c r="X715">
        <v>12</v>
      </c>
      <c r="Y715">
        <v>48454417</v>
      </c>
      <c r="Z715">
        <v>19749</v>
      </c>
      <c r="AA715">
        <v>2</v>
      </c>
      <c r="AB715">
        <v>91</v>
      </c>
    </row>
    <row r="716" spans="1:28" hidden="1" x14ac:dyDescent="0.25">
      <c r="A716" s="7" t="s">
        <v>28</v>
      </c>
      <c r="B716">
        <v>8</v>
      </c>
      <c r="C716">
        <v>3</v>
      </c>
      <c r="D716">
        <v>2</v>
      </c>
      <c r="E716">
        <v>0</v>
      </c>
      <c r="F716" s="7" t="s">
        <v>34</v>
      </c>
      <c r="G716">
        <v>19601</v>
      </c>
      <c r="H716">
        <v>211415433</v>
      </c>
      <c r="I716">
        <v>839</v>
      </c>
      <c r="J716">
        <v>1</v>
      </c>
      <c r="K716">
        <v>0.9883720874786377</v>
      </c>
      <c r="L716">
        <v>0.90209788084030151</v>
      </c>
      <c r="M716">
        <v>0.90909090909090906</v>
      </c>
      <c r="N716">
        <v>1</v>
      </c>
      <c r="O716">
        <v>0.9205882352941176</v>
      </c>
      <c r="P716">
        <v>11</v>
      </c>
      <c r="Q716">
        <v>53841683</v>
      </c>
      <c r="R716">
        <v>19352</v>
      </c>
      <c r="S716">
        <v>2</v>
      </c>
      <c r="T716">
        <v>90</v>
      </c>
      <c r="U716">
        <v>0.92307692307692313</v>
      </c>
      <c r="V716">
        <v>1</v>
      </c>
      <c r="W716">
        <v>0.93823529411764706</v>
      </c>
      <c r="X716">
        <v>9</v>
      </c>
      <c r="Y716">
        <v>32144371</v>
      </c>
      <c r="Z716">
        <v>19749</v>
      </c>
      <c r="AA716">
        <v>2</v>
      </c>
      <c r="AB716">
        <v>91</v>
      </c>
    </row>
    <row r="717" spans="1:28" hidden="1" x14ac:dyDescent="0.25">
      <c r="A717" s="7" t="s">
        <v>28</v>
      </c>
      <c r="B717">
        <v>8</v>
      </c>
      <c r="C717">
        <v>3</v>
      </c>
      <c r="D717">
        <v>2</v>
      </c>
      <c r="E717">
        <v>0</v>
      </c>
      <c r="F717" s="7" t="s">
        <v>34</v>
      </c>
      <c r="G717">
        <v>19601</v>
      </c>
      <c r="H717">
        <v>66877873</v>
      </c>
      <c r="I717">
        <v>267</v>
      </c>
      <c r="J717">
        <v>0.96176469326019287</v>
      </c>
      <c r="K717">
        <v>1</v>
      </c>
      <c r="L717">
        <v>0.94405591487884521</v>
      </c>
      <c r="M717">
        <v>0.92307692307692313</v>
      </c>
      <c r="N717">
        <v>1</v>
      </c>
      <c r="O717">
        <v>0.93235294117647061</v>
      </c>
      <c r="P717">
        <v>12</v>
      </c>
      <c r="Q717">
        <v>59933980</v>
      </c>
      <c r="R717">
        <v>19352</v>
      </c>
      <c r="S717">
        <v>2</v>
      </c>
      <c r="T717">
        <v>90</v>
      </c>
      <c r="U717">
        <v>0.92307692307692313</v>
      </c>
      <c r="V717">
        <v>1</v>
      </c>
      <c r="W717">
        <v>0.93529411764705883</v>
      </c>
      <c r="X717">
        <v>10</v>
      </c>
      <c r="Y717">
        <v>47714073</v>
      </c>
      <c r="Z717">
        <v>19749</v>
      </c>
      <c r="AA717">
        <v>2</v>
      </c>
      <c r="AB717">
        <v>91</v>
      </c>
    </row>
    <row r="718" spans="1:28" hidden="1" x14ac:dyDescent="0.25">
      <c r="A718" s="7" t="s">
        <v>28</v>
      </c>
      <c r="B718">
        <v>8</v>
      </c>
      <c r="C718">
        <v>3</v>
      </c>
      <c r="D718">
        <v>2</v>
      </c>
      <c r="E718">
        <v>0</v>
      </c>
      <c r="F718" s="7" t="s">
        <v>34</v>
      </c>
      <c r="G718">
        <v>19601</v>
      </c>
      <c r="H718">
        <v>1597258665</v>
      </c>
      <c r="I718">
        <v>6086</v>
      </c>
      <c r="J718">
        <v>1</v>
      </c>
      <c r="K718">
        <v>0.9883720874786377</v>
      </c>
      <c r="L718">
        <v>0.90909093618392944</v>
      </c>
      <c r="M718">
        <v>0.92307692307692313</v>
      </c>
      <c r="N718">
        <v>1</v>
      </c>
      <c r="O718">
        <v>0.93529411764705883</v>
      </c>
      <c r="P718">
        <v>10</v>
      </c>
      <c r="Q718">
        <v>45690742</v>
      </c>
      <c r="R718">
        <v>19352</v>
      </c>
      <c r="S718">
        <v>2</v>
      </c>
      <c r="T718">
        <v>90</v>
      </c>
      <c r="U718">
        <v>0.92307692307692313</v>
      </c>
      <c r="V718">
        <v>1</v>
      </c>
      <c r="W718">
        <v>0.93529411764705883</v>
      </c>
      <c r="X718">
        <v>9</v>
      </c>
      <c r="Y718">
        <v>38329229</v>
      </c>
      <c r="Z718">
        <v>19749</v>
      </c>
      <c r="AA718">
        <v>2</v>
      </c>
      <c r="AB718">
        <v>91</v>
      </c>
    </row>
    <row r="719" spans="1:28" hidden="1" x14ac:dyDescent="0.25">
      <c r="A719" s="7" t="s">
        <v>28</v>
      </c>
      <c r="B719">
        <v>8</v>
      </c>
      <c r="C719">
        <v>3</v>
      </c>
      <c r="D719">
        <v>2</v>
      </c>
      <c r="E719">
        <v>0</v>
      </c>
      <c r="F719" s="7" t="s">
        <v>35</v>
      </c>
      <c r="G719">
        <v>21686</v>
      </c>
      <c r="H719">
        <v>101395301</v>
      </c>
      <c r="I719">
        <v>355</v>
      </c>
      <c r="J719">
        <v>0.94117647409439087</v>
      </c>
      <c r="K719">
        <v>1</v>
      </c>
      <c r="L719">
        <v>0.93006992340087891</v>
      </c>
      <c r="M719">
        <v>0.90909090909090906</v>
      </c>
      <c r="N719">
        <v>1</v>
      </c>
      <c r="O719">
        <v>0.9205882352941176</v>
      </c>
      <c r="P719">
        <v>8</v>
      </c>
      <c r="Q719">
        <v>43469960</v>
      </c>
      <c r="R719">
        <v>21377</v>
      </c>
      <c r="S719">
        <v>2</v>
      </c>
      <c r="T719">
        <v>95</v>
      </c>
      <c r="U719">
        <v>0.92307692307692313</v>
      </c>
      <c r="V719">
        <v>1</v>
      </c>
      <c r="W719">
        <v>0.93235294117647061</v>
      </c>
      <c r="X719">
        <v>11</v>
      </c>
      <c r="Y719">
        <v>52589035</v>
      </c>
      <c r="Z719">
        <v>21794</v>
      </c>
      <c r="AA719">
        <v>2</v>
      </c>
      <c r="AB719">
        <v>96</v>
      </c>
    </row>
    <row r="720" spans="1:28" hidden="1" x14ac:dyDescent="0.25">
      <c r="A720" s="7" t="s">
        <v>28</v>
      </c>
      <c r="B720">
        <v>8</v>
      </c>
      <c r="C720">
        <v>3</v>
      </c>
      <c r="D720">
        <v>2</v>
      </c>
      <c r="E720">
        <v>0</v>
      </c>
      <c r="F720" s="7" t="s">
        <v>35</v>
      </c>
      <c r="G720">
        <v>21686</v>
      </c>
      <c r="H720">
        <v>203155579</v>
      </c>
      <c r="I720">
        <v>748</v>
      </c>
      <c r="J720">
        <v>0.979411780834198</v>
      </c>
      <c r="K720">
        <v>1</v>
      </c>
      <c r="L720">
        <v>0.97202795743942261</v>
      </c>
      <c r="M720">
        <v>0.92307692307692313</v>
      </c>
      <c r="N720">
        <v>1</v>
      </c>
      <c r="O720">
        <v>0.93823529411764706</v>
      </c>
      <c r="P720">
        <v>10</v>
      </c>
      <c r="Q720">
        <v>44494555</v>
      </c>
      <c r="R720">
        <v>21377</v>
      </c>
      <c r="S720">
        <v>2</v>
      </c>
      <c r="T720">
        <v>95</v>
      </c>
      <c r="U720">
        <v>0.92307692307692313</v>
      </c>
      <c r="V720">
        <v>1</v>
      </c>
      <c r="W720">
        <v>0.92941176470588238</v>
      </c>
      <c r="X720">
        <v>11</v>
      </c>
      <c r="Y720">
        <v>34573000</v>
      </c>
      <c r="Z720">
        <v>21794</v>
      </c>
      <c r="AA720">
        <v>2</v>
      </c>
      <c r="AB720">
        <v>96</v>
      </c>
    </row>
    <row r="721" spans="1:28" hidden="1" x14ac:dyDescent="0.25">
      <c r="A721" s="7" t="s">
        <v>28</v>
      </c>
      <c r="B721">
        <v>8</v>
      </c>
      <c r="C721">
        <v>3</v>
      </c>
      <c r="D721">
        <v>2</v>
      </c>
      <c r="E721">
        <v>0</v>
      </c>
      <c r="F721" s="7" t="s">
        <v>35</v>
      </c>
      <c r="G721">
        <v>21686</v>
      </c>
      <c r="H721">
        <v>179903504</v>
      </c>
      <c r="I721">
        <v>681</v>
      </c>
      <c r="J721">
        <v>0.96764707565307617</v>
      </c>
      <c r="K721">
        <v>1</v>
      </c>
      <c r="L721">
        <v>0.97202795743942261</v>
      </c>
      <c r="M721">
        <v>0.90909090909090906</v>
      </c>
      <c r="N721">
        <v>1</v>
      </c>
      <c r="O721">
        <v>0.9205882352941176</v>
      </c>
      <c r="P721">
        <v>10</v>
      </c>
      <c r="Q721">
        <v>46062092</v>
      </c>
      <c r="R721">
        <v>21377</v>
      </c>
      <c r="S721">
        <v>2</v>
      </c>
      <c r="T721">
        <v>95</v>
      </c>
      <c r="U721">
        <v>0.93006993006993011</v>
      </c>
      <c r="V721">
        <v>1</v>
      </c>
      <c r="W721">
        <v>0.93823529411764706</v>
      </c>
      <c r="X721">
        <v>14</v>
      </c>
      <c r="Y721">
        <v>71035453</v>
      </c>
      <c r="Z721">
        <v>21794</v>
      </c>
      <c r="AA721">
        <v>2</v>
      </c>
      <c r="AB721">
        <v>96</v>
      </c>
    </row>
    <row r="722" spans="1:28" hidden="1" x14ac:dyDescent="0.25">
      <c r="A722" s="7" t="s">
        <v>28</v>
      </c>
      <c r="B722">
        <v>8</v>
      </c>
      <c r="C722">
        <v>3</v>
      </c>
      <c r="D722">
        <v>2</v>
      </c>
      <c r="E722">
        <v>0</v>
      </c>
      <c r="F722" s="7" t="s">
        <v>35</v>
      </c>
      <c r="G722">
        <v>21686</v>
      </c>
      <c r="H722">
        <v>213861971</v>
      </c>
      <c r="I722">
        <v>804</v>
      </c>
      <c r="J722">
        <v>0.98823529481887817</v>
      </c>
      <c r="K722">
        <v>1</v>
      </c>
      <c r="L722">
        <v>0.95104897022247314</v>
      </c>
      <c r="M722">
        <v>0.92307692307692313</v>
      </c>
      <c r="N722">
        <v>1</v>
      </c>
      <c r="O722">
        <v>0.92647058823529416</v>
      </c>
      <c r="P722">
        <v>9</v>
      </c>
      <c r="Q722">
        <v>37867566</v>
      </c>
      <c r="R722">
        <v>21377</v>
      </c>
      <c r="S722">
        <v>2</v>
      </c>
      <c r="T722">
        <v>95</v>
      </c>
      <c r="U722">
        <v>0.93006993006993011</v>
      </c>
      <c r="V722">
        <v>1</v>
      </c>
      <c r="W722">
        <v>0.94117647058823528</v>
      </c>
      <c r="X722">
        <v>12</v>
      </c>
      <c r="Y722">
        <v>55348506</v>
      </c>
      <c r="Z722">
        <v>21794</v>
      </c>
      <c r="AA722">
        <v>2</v>
      </c>
      <c r="AB722">
        <v>96</v>
      </c>
    </row>
    <row r="723" spans="1:28" hidden="1" x14ac:dyDescent="0.25">
      <c r="A723" s="7" t="s">
        <v>28</v>
      </c>
      <c r="B723">
        <v>8</v>
      </c>
      <c r="C723">
        <v>3</v>
      </c>
      <c r="D723">
        <v>2</v>
      </c>
      <c r="E723">
        <v>0</v>
      </c>
      <c r="F723" s="7" t="s">
        <v>35</v>
      </c>
      <c r="G723">
        <v>21686</v>
      </c>
      <c r="H723">
        <v>180218627</v>
      </c>
      <c r="I723">
        <v>673</v>
      </c>
      <c r="J723">
        <v>0.97058820724487305</v>
      </c>
      <c r="K723">
        <v>1</v>
      </c>
      <c r="L723">
        <v>0.97202795743942261</v>
      </c>
      <c r="M723">
        <v>0.91608391608391604</v>
      </c>
      <c r="N723">
        <v>1</v>
      </c>
      <c r="O723">
        <v>0.9205882352941176</v>
      </c>
      <c r="P723">
        <v>11</v>
      </c>
      <c r="Q723">
        <v>28129541</v>
      </c>
      <c r="R723">
        <v>21377</v>
      </c>
      <c r="S723">
        <v>2</v>
      </c>
      <c r="T723">
        <v>95</v>
      </c>
      <c r="U723">
        <v>0.92307692307692313</v>
      </c>
      <c r="V723">
        <v>1</v>
      </c>
      <c r="W723">
        <v>0.93235294117647061</v>
      </c>
      <c r="X723">
        <v>12</v>
      </c>
      <c r="Y723">
        <v>65365971</v>
      </c>
      <c r="Z723">
        <v>21794</v>
      </c>
      <c r="AA723">
        <v>2</v>
      </c>
      <c r="AB723">
        <v>96</v>
      </c>
    </row>
    <row r="724" spans="1:28" hidden="1" x14ac:dyDescent="0.25">
      <c r="A724" s="7" t="s">
        <v>28</v>
      </c>
      <c r="B724">
        <v>8</v>
      </c>
      <c r="C724">
        <v>3</v>
      </c>
      <c r="D724">
        <v>2</v>
      </c>
      <c r="E724">
        <v>0</v>
      </c>
      <c r="F724" s="7" t="s">
        <v>36</v>
      </c>
      <c r="G724">
        <v>23771</v>
      </c>
      <c r="H724">
        <v>217128144</v>
      </c>
      <c r="I724">
        <v>755</v>
      </c>
      <c r="J724">
        <v>0.98823529481887817</v>
      </c>
      <c r="K724">
        <v>1</v>
      </c>
      <c r="L724">
        <v>0.95104897022247314</v>
      </c>
      <c r="M724">
        <v>0.93006993006993011</v>
      </c>
      <c r="N724">
        <v>1</v>
      </c>
      <c r="O724">
        <v>0.93823529411764706</v>
      </c>
      <c r="P724">
        <v>13</v>
      </c>
      <c r="Q724">
        <v>101303263</v>
      </c>
      <c r="R724">
        <v>23502</v>
      </c>
      <c r="S724">
        <v>2</v>
      </c>
      <c r="T724">
        <v>100</v>
      </c>
      <c r="U724">
        <v>0.92307692307692313</v>
      </c>
      <c r="V724">
        <v>1</v>
      </c>
      <c r="W724">
        <v>0.93823529411764706</v>
      </c>
      <c r="X724">
        <v>10</v>
      </c>
      <c r="Y724">
        <v>38983862</v>
      </c>
      <c r="Z724">
        <v>23939</v>
      </c>
      <c r="AA724">
        <v>2</v>
      </c>
      <c r="AB724">
        <v>101</v>
      </c>
    </row>
    <row r="725" spans="1:28" hidden="1" x14ac:dyDescent="0.25">
      <c r="A725" s="7" t="s">
        <v>28</v>
      </c>
      <c r="B725">
        <v>8</v>
      </c>
      <c r="C725">
        <v>3</v>
      </c>
      <c r="D725">
        <v>2</v>
      </c>
      <c r="E725">
        <v>0</v>
      </c>
      <c r="F725" s="7" t="s">
        <v>36</v>
      </c>
      <c r="G725">
        <v>23771</v>
      </c>
      <c r="H725">
        <v>49927141</v>
      </c>
      <c r="I725">
        <v>171</v>
      </c>
      <c r="J725">
        <v>0.94411766529083252</v>
      </c>
      <c r="K725">
        <v>1</v>
      </c>
      <c r="L725">
        <v>0.95104897022247314</v>
      </c>
      <c r="M725">
        <v>0.92307692307692313</v>
      </c>
      <c r="N725">
        <v>1</v>
      </c>
      <c r="O725">
        <v>0.93529411764705883</v>
      </c>
      <c r="P725">
        <v>10</v>
      </c>
      <c r="Q725">
        <v>40032181</v>
      </c>
      <c r="R725">
        <v>23502</v>
      </c>
      <c r="S725">
        <v>2</v>
      </c>
      <c r="T725">
        <v>100</v>
      </c>
      <c r="U725">
        <v>0.93006993006993011</v>
      </c>
      <c r="V725">
        <v>1</v>
      </c>
      <c r="W725">
        <v>0.94117647058823528</v>
      </c>
      <c r="X725">
        <v>11</v>
      </c>
      <c r="Y725">
        <v>65200440</v>
      </c>
      <c r="Z725">
        <v>23939</v>
      </c>
      <c r="AA725">
        <v>2</v>
      </c>
      <c r="AB725">
        <v>101</v>
      </c>
    </row>
    <row r="726" spans="1:28" hidden="1" x14ac:dyDescent="0.25">
      <c r="A726" s="7" t="s">
        <v>28</v>
      </c>
      <c r="B726">
        <v>8</v>
      </c>
      <c r="C726">
        <v>3</v>
      </c>
      <c r="D726">
        <v>2</v>
      </c>
      <c r="E726">
        <v>0</v>
      </c>
      <c r="F726" s="7" t="s">
        <v>36</v>
      </c>
      <c r="G726">
        <v>23771</v>
      </c>
      <c r="H726">
        <v>474572683</v>
      </c>
      <c r="I726">
        <v>1667</v>
      </c>
      <c r="J726">
        <v>1</v>
      </c>
      <c r="K726">
        <v>0.9883720874786377</v>
      </c>
      <c r="L726">
        <v>0.89510488510131836</v>
      </c>
      <c r="M726">
        <v>0.92307692307692313</v>
      </c>
      <c r="N726">
        <v>1</v>
      </c>
      <c r="O726">
        <v>0.93823529411764706</v>
      </c>
      <c r="P726">
        <v>10</v>
      </c>
      <c r="Q726">
        <v>49076871</v>
      </c>
      <c r="R726">
        <v>23502</v>
      </c>
      <c r="S726">
        <v>2</v>
      </c>
      <c r="T726">
        <v>100</v>
      </c>
      <c r="U726">
        <v>0.90909090909090906</v>
      </c>
      <c r="V726">
        <v>1</v>
      </c>
      <c r="W726">
        <v>0.92941176470588238</v>
      </c>
      <c r="X726">
        <v>8</v>
      </c>
      <c r="Y726">
        <v>50484699</v>
      </c>
      <c r="Z726">
        <v>23939</v>
      </c>
      <c r="AA726">
        <v>2</v>
      </c>
      <c r="AB726">
        <v>101</v>
      </c>
    </row>
    <row r="727" spans="1:28" hidden="1" x14ac:dyDescent="0.25">
      <c r="A727" s="7" t="s">
        <v>28</v>
      </c>
      <c r="B727">
        <v>8</v>
      </c>
      <c r="C727">
        <v>3</v>
      </c>
      <c r="D727">
        <v>2</v>
      </c>
      <c r="E727">
        <v>0</v>
      </c>
      <c r="F727" s="7" t="s">
        <v>36</v>
      </c>
      <c r="G727">
        <v>23771</v>
      </c>
      <c r="H727">
        <v>140442442</v>
      </c>
      <c r="I727">
        <v>504</v>
      </c>
      <c r="J727">
        <v>0.96764707565307617</v>
      </c>
      <c r="K727">
        <v>1</v>
      </c>
      <c r="L727">
        <v>0.96503496170043945</v>
      </c>
      <c r="M727">
        <v>0.93706293706293708</v>
      </c>
      <c r="N727">
        <v>1</v>
      </c>
      <c r="O727">
        <v>0.94411764705882351</v>
      </c>
      <c r="P727">
        <v>12</v>
      </c>
      <c r="Q727">
        <v>62395695</v>
      </c>
      <c r="R727">
        <v>23502</v>
      </c>
      <c r="S727">
        <v>2</v>
      </c>
      <c r="T727">
        <v>100</v>
      </c>
      <c r="U727">
        <v>0.90909090909090906</v>
      </c>
      <c r="V727">
        <v>1</v>
      </c>
      <c r="W727">
        <v>0.9205882352941176</v>
      </c>
      <c r="X727">
        <v>11</v>
      </c>
      <c r="Y727">
        <v>33382853</v>
      </c>
      <c r="Z727">
        <v>23939</v>
      </c>
      <c r="AA727">
        <v>2</v>
      </c>
      <c r="AB727">
        <v>101</v>
      </c>
    </row>
    <row r="728" spans="1:28" hidden="1" x14ac:dyDescent="0.25">
      <c r="A728" s="7" t="s">
        <v>28</v>
      </c>
      <c r="B728">
        <v>8</v>
      </c>
      <c r="C728">
        <v>3</v>
      </c>
      <c r="D728">
        <v>2</v>
      </c>
      <c r="E728">
        <v>0</v>
      </c>
      <c r="F728" s="7" t="s">
        <v>36</v>
      </c>
      <c r="G728">
        <v>23771</v>
      </c>
      <c r="H728">
        <v>94697448</v>
      </c>
      <c r="I728">
        <v>337</v>
      </c>
      <c r="J728">
        <v>0.97647058963775635</v>
      </c>
      <c r="K728">
        <v>1</v>
      </c>
      <c r="L728">
        <v>0.9580419659614563</v>
      </c>
      <c r="M728">
        <v>0.97202797202797198</v>
      </c>
      <c r="N728">
        <v>1</v>
      </c>
      <c r="O728">
        <v>1</v>
      </c>
      <c r="P728">
        <v>541</v>
      </c>
      <c r="Q728">
        <v>6707430267</v>
      </c>
      <c r="R728">
        <v>23502</v>
      </c>
      <c r="S728">
        <v>2</v>
      </c>
      <c r="T728">
        <v>100</v>
      </c>
      <c r="U728">
        <v>0.93006993006993011</v>
      </c>
      <c r="V728">
        <v>1</v>
      </c>
      <c r="W728">
        <v>0.93529411764705883</v>
      </c>
      <c r="X728">
        <v>12</v>
      </c>
      <c r="Y728">
        <v>58368006</v>
      </c>
      <c r="Z728">
        <v>23939</v>
      </c>
      <c r="AA728">
        <v>2</v>
      </c>
      <c r="AB728">
        <v>101</v>
      </c>
    </row>
    <row r="729" spans="1:28" hidden="1" x14ac:dyDescent="0.25">
      <c r="A729" s="7" t="s">
        <v>28</v>
      </c>
      <c r="B729">
        <v>8</v>
      </c>
      <c r="C729">
        <v>3</v>
      </c>
      <c r="D729">
        <v>2</v>
      </c>
      <c r="E729">
        <v>0</v>
      </c>
      <c r="F729" s="7" t="s">
        <v>37</v>
      </c>
      <c r="G729">
        <v>25856</v>
      </c>
      <c r="H729">
        <v>108281955</v>
      </c>
      <c r="I729">
        <v>318</v>
      </c>
      <c r="J729">
        <v>0.96470588445663452</v>
      </c>
      <c r="K729">
        <v>1</v>
      </c>
      <c r="L729">
        <v>0.93006992340087891</v>
      </c>
      <c r="M729">
        <v>0.92307692307692313</v>
      </c>
      <c r="N729">
        <v>1</v>
      </c>
      <c r="O729">
        <v>0.92352941176470593</v>
      </c>
      <c r="P729">
        <v>10</v>
      </c>
      <c r="Q729">
        <v>45967684</v>
      </c>
      <c r="R729">
        <v>25727</v>
      </c>
      <c r="S729">
        <v>2</v>
      </c>
      <c r="T729">
        <v>105</v>
      </c>
      <c r="U729">
        <v>0.92307692307692313</v>
      </c>
      <c r="V729">
        <v>1</v>
      </c>
      <c r="W729">
        <v>0.92352941176470593</v>
      </c>
      <c r="X729">
        <v>9</v>
      </c>
      <c r="Y729">
        <v>37240546</v>
      </c>
      <c r="Z729">
        <v>26184</v>
      </c>
      <c r="AA729">
        <v>2</v>
      </c>
      <c r="AB729">
        <v>106</v>
      </c>
    </row>
    <row r="730" spans="1:28" hidden="1" x14ac:dyDescent="0.25">
      <c r="A730" s="7" t="s">
        <v>28</v>
      </c>
      <c r="B730">
        <v>8</v>
      </c>
      <c r="C730">
        <v>3</v>
      </c>
      <c r="D730">
        <v>2</v>
      </c>
      <c r="E730">
        <v>0</v>
      </c>
      <c r="F730" s="7" t="s">
        <v>37</v>
      </c>
      <c r="G730">
        <v>25856</v>
      </c>
      <c r="H730">
        <v>68795975</v>
      </c>
      <c r="I730">
        <v>200</v>
      </c>
      <c r="J730">
        <v>0.95882350206375122</v>
      </c>
      <c r="K730">
        <v>1</v>
      </c>
      <c r="L730">
        <v>0.9580419659614563</v>
      </c>
      <c r="M730">
        <v>0.90909090909090906</v>
      </c>
      <c r="N730">
        <v>1</v>
      </c>
      <c r="O730">
        <v>0.9205882352941176</v>
      </c>
      <c r="P730">
        <v>9</v>
      </c>
      <c r="Q730">
        <v>42728782</v>
      </c>
      <c r="R730">
        <v>25727</v>
      </c>
      <c r="S730">
        <v>2</v>
      </c>
      <c r="T730">
        <v>105</v>
      </c>
      <c r="U730">
        <v>0.92307692307692313</v>
      </c>
      <c r="V730">
        <v>1</v>
      </c>
      <c r="W730">
        <v>0.92941176470588238</v>
      </c>
      <c r="X730">
        <v>11</v>
      </c>
      <c r="Y730">
        <v>44103914</v>
      </c>
      <c r="Z730">
        <v>26184</v>
      </c>
      <c r="AA730">
        <v>2</v>
      </c>
      <c r="AB730">
        <v>106</v>
      </c>
    </row>
    <row r="731" spans="1:28" hidden="1" x14ac:dyDescent="0.25">
      <c r="A731" s="7" t="s">
        <v>28</v>
      </c>
      <c r="B731">
        <v>16</v>
      </c>
      <c r="C731">
        <v>9</v>
      </c>
      <c r="D731">
        <v>3</v>
      </c>
      <c r="E731">
        <v>0</v>
      </c>
      <c r="F731" s="7" t="s">
        <v>42</v>
      </c>
      <c r="G731">
        <v>40982</v>
      </c>
      <c r="H731">
        <v>87785379</v>
      </c>
      <c r="I731">
        <v>201</v>
      </c>
      <c r="J731">
        <v>1</v>
      </c>
      <c r="K731">
        <v>0.9883720874786377</v>
      </c>
      <c r="L731">
        <v>0.93706291913986206</v>
      </c>
      <c r="M731">
        <v>0.97902097902097907</v>
      </c>
      <c r="N731">
        <v>1</v>
      </c>
      <c r="O731">
        <v>0.95588235294117652</v>
      </c>
      <c r="P731">
        <v>498</v>
      </c>
      <c r="Q731">
        <v>2696681470</v>
      </c>
      <c r="R731">
        <v>40604</v>
      </c>
      <c r="S731">
        <v>2</v>
      </c>
      <c r="T731">
        <v>134</v>
      </c>
      <c r="U731">
        <v>0.97902097902097907</v>
      </c>
      <c r="V731">
        <v>1</v>
      </c>
      <c r="W731">
        <v>0.99117647058823533</v>
      </c>
      <c r="X731">
        <v>637</v>
      </c>
      <c r="Y731">
        <v>3409531570</v>
      </c>
      <c r="Z731">
        <v>41177</v>
      </c>
      <c r="AA731">
        <v>2</v>
      </c>
      <c r="AB731">
        <v>135</v>
      </c>
    </row>
    <row r="732" spans="1:28" hidden="1" x14ac:dyDescent="0.25">
      <c r="A732" s="7" t="s">
        <v>28</v>
      </c>
      <c r="B732">
        <v>16</v>
      </c>
      <c r="C732">
        <v>9</v>
      </c>
      <c r="D732">
        <v>3</v>
      </c>
      <c r="E732">
        <v>0</v>
      </c>
      <c r="F732" s="7" t="s">
        <v>42</v>
      </c>
      <c r="G732">
        <v>40982</v>
      </c>
      <c r="H732">
        <v>66653749</v>
      </c>
      <c r="I732">
        <v>160</v>
      </c>
      <c r="J732">
        <v>0.99117648601531982</v>
      </c>
      <c r="K732">
        <v>1</v>
      </c>
      <c r="L732">
        <v>0.95104897022247314</v>
      </c>
      <c r="M732">
        <v>0.97902097902097907</v>
      </c>
      <c r="N732">
        <v>1</v>
      </c>
      <c r="O732">
        <v>1</v>
      </c>
      <c r="P732">
        <v>734</v>
      </c>
      <c r="Q732">
        <v>4025494995</v>
      </c>
      <c r="R732">
        <v>40604</v>
      </c>
      <c r="S732">
        <v>2</v>
      </c>
      <c r="T732">
        <v>134</v>
      </c>
      <c r="U732">
        <v>0.97202797202797198</v>
      </c>
      <c r="V732">
        <v>1</v>
      </c>
      <c r="W732">
        <v>0.97941176470588232</v>
      </c>
      <c r="X732">
        <v>197</v>
      </c>
      <c r="Y732">
        <v>821977040</v>
      </c>
      <c r="Z732">
        <v>41177</v>
      </c>
      <c r="AA732">
        <v>2</v>
      </c>
      <c r="AB732">
        <v>135</v>
      </c>
    </row>
    <row r="733" spans="1:28" hidden="1" x14ac:dyDescent="0.25">
      <c r="A733" s="7" t="s">
        <v>28</v>
      </c>
      <c r="B733">
        <v>16</v>
      </c>
      <c r="C733">
        <v>9</v>
      </c>
      <c r="D733">
        <v>3</v>
      </c>
      <c r="E733">
        <v>0</v>
      </c>
      <c r="F733" s="7" t="s">
        <v>42</v>
      </c>
      <c r="G733">
        <v>40982</v>
      </c>
      <c r="H733">
        <v>63102483</v>
      </c>
      <c r="I733">
        <v>151</v>
      </c>
      <c r="J733">
        <v>1</v>
      </c>
      <c r="K733">
        <v>0.9883720874786377</v>
      </c>
      <c r="L733">
        <v>0.94405591487884521</v>
      </c>
      <c r="M733">
        <v>0.97902097902097907</v>
      </c>
      <c r="N733">
        <v>1</v>
      </c>
      <c r="O733">
        <v>0.96470588235294119</v>
      </c>
      <c r="P733">
        <v>85</v>
      </c>
      <c r="Q733">
        <v>151524958</v>
      </c>
      <c r="R733">
        <v>40604</v>
      </c>
      <c r="S733">
        <v>2</v>
      </c>
      <c r="T733">
        <v>134</v>
      </c>
      <c r="U733">
        <v>0.97202797202797198</v>
      </c>
      <c r="V733">
        <v>1</v>
      </c>
      <c r="W733">
        <v>1</v>
      </c>
      <c r="X733">
        <v>250</v>
      </c>
      <c r="Y733">
        <v>1069251828</v>
      </c>
      <c r="Z733">
        <v>41177</v>
      </c>
      <c r="AA733">
        <v>2</v>
      </c>
      <c r="AB733">
        <v>135</v>
      </c>
    </row>
    <row r="734" spans="1:28" hidden="1" x14ac:dyDescent="0.25">
      <c r="A734" s="7" t="s">
        <v>28</v>
      </c>
      <c r="B734">
        <v>16</v>
      </c>
      <c r="C734">
        <v>9</v>
      </c>
      <c r="D734">
        <v>3</v>
      </c>
      <c r="E734">
        <v>0</v>
      </c>
      <c r="F734" s="7" t="s">
        <v>42</v>
      </c>
      <c r="G734">
        <v>40982</v>
      </c>
      <c r="H734">
        <v>61100552</v>
      </c>
      <c r="I734">
        <v>144</v>
      </c>
      <c r="J734">
        <v>0.96764707565307617</v>
      </c>
      <c r="K734">
        <v>1</v>
      </c>
      <c r="L734">
        <v>0.9580419659614563</v>
      </c>
      <c r="M734">
        <v>0.97902097902097907</v>
      </c>
      <c r="N734">
        <v>1</v>
      </c>
      <c r="O734">
        <v>1</v>
      </c>
      <c r="P734">
        <v>772</v>
      </c>
      <c r="Q734">
        <v>4266222833</v>
      </c>
      <c r="R734">
        <v>40604</v>
      </c>
      <c r="S734">
        <v>2</v>
      </c>
      <c r="T734">
        <v>134</v>
      </c>
      <c r="U734">
        <v>0.97202797202797198</v>
      </c>
      <c r="V734">
        <v>1</v>
      </c>
      <c r="W734">
        <v>0.9882352941176471</v>
      </c>
      <c r="X734">
        <v>300</v>
      </c>
      <c r="Y734">
        <v>1527834826</v>
      </c>
      <c r="Z734">
        <v>41177</v>
      </c>
      <c r="AA734">
        <v>2</v>
      </c>
      <c r="AB734">
        <v>135</v>
      </c>
    </row>
    <row r="735" spans="1:28" hidden="1" x14ac:dyDescent="0.25">
      <c r="A735" s="7" t="s">
        <v>28</v>
      </c>
      <c r="B735">
        <v>16</v>
      </c>
      <c r="C735">
        <v>9</v>
      </c>
      <c r="D735">
        <v>3</v>
      </c>
      <c r="E735">
        <v>0</v>
      </c>
      <c r="F735" s="7" t="s">
        <v>43</v>
      </c>
      <c r="G735">
        <v>44507</v>
      </c>
      <c r="H735">
        <v>62180171</v>
      </c>
      <c r="I735">
        <v>138</v>
      </c>
      <c r="J735">
        <v>1</v>
      </c>
      <c r="K735">
        <v>0.97674417495727539</v>
      </c>
      <c r="L735">
        <v>0.95104897022247314</v>
      </c>
      <c r="M735">
        <v>0.97202797202797198</v>
      </c>
      <c r="N735">
        <v>1</v>
      </c>
      <c r="O735">
        <v>1</v>
      </c>
      <c r="P735">
        <v>813</v>
      </c>
      <c r="Q735">
        <v>4576880968</v>
      </c>
      <c r="R735">
        <v>44102</v>
      </c>
      <c r="S735">
        <v>2</v>
      </c>
      <c r="T735">
        <v>140</v>
      </c>
      <c r="U735">
        <v>0.98601398601398604</v>
      </c>
      <c r="V735">
        <v>1</v>
      </c>
      <c r="W735">
        <v>0.98529411764705888</v>
      </c>
      <c r="X735">
        <v>276</v>
      </c>
      <c r="Y735">
        <v>1382426747</v>
      </c>
      <c r="Z735">
        <v>44699</v>
      </c>
      <c r="AA735">
        <v>2</v>
      </c>
      <c r="AB735">
        <v>141</v>
      </c>
    </row>
    <row r="736" spans="1:28" hidden="1" x14ac:dyDescent="0.25">
      <c r="A736" s="7" t="s">
        <v>57</v>
      </c>
      <c r="B736">
        <v>20</v>
      </c>
      <c r="C736">
        <v>9</v>
      </c>
      <c r="D736">
        <v>5</v>
      </c>
      <c r="E736">
        <v>0</v>
      </c>
      <c r="F736" s="7" t="s">
        <v>70</v>
      </c>
      <c r="G736">
        <v>21129</v>
      </c>
      <c r="H736">
        <v>498413826</v>
      </c>
      <c r="I736">
        <v>4026</v>
      </c>
      <c r="J736">
        <v>0.42452830076217651</v>
      </c>
      <c r="K736">
        <v>0.66666668653488159</v>
      </c>
      <c r="L736">
        <v>0.48888888955116272</v>
      </c>
      <c r="M736">
        <v>0.82222222222222219</v>
      </c>
      <c r="N736">
        <v>1</v>
      </c>
      <c r="O736">
        <v>0.94339622641509435</v>
      </c>
      <c r="P736">
        <v>51</v>
      </c>
      <c r="Q736">
        <v>13348819</v>
      </c>
      <c r="R736">
        <v>21073</v>
      </c>
      <c r="S736">
        <v>2</v>
      </c>
      <c r="T736">
        <v>98</v>
      </c>
      <c r="U736">
        <v>0.93333333333333335</v>
      </c>
      <c r="V736">
        <v>0.96296296296296291</v>
      </c>
      <c r="W736">
        <v>1</v>
      </c>
      <c r="X736">
        <v>4082</v>
      </c>
      <c r="Y736">
        <v>257121270</v>
      </c>
      <c r="Z736">
        <v>21486</v>
      </c>
      <c r="AA736">
        <v>2</v>
      </c>
      <c r="AB736">
        <v>99</v>
      </c>
    </row>
    <row r="737" spans="1:28" hidden="1" x14ac:dyDescent="0.25">
      <c r="A737" s="7" t="s">
        <v>57</v>
      </c>
      <c r="B737">
        <v>20</v>
      </c>
      <c r="C737">
        <v>9</v>
      </c>
      <c r="D737">
        <v>5</v>
      </c>
      <c r="E737">
        <v>0</v>
      </c>
      <c r="F737" s="7" t="s">
        <v>70</v>
      </c>
      <c r="G737">
        <v>21129</v>
      </c>
      <c r="H737">
        <v>543389125</v>
      </c>
      <c r="I737">
        <v>4065</v>
      </c>
      <c r="J737">
        <v>0.29245284199714661</v>
      </c>
      <c r="K737">
        <v>0.74074071645736694</v>
      </c>
      <c r="L737">
        <v>0.2222222238779068</v>
      </c>
      <c r="M737">
        <v>0.84444444444444444</v>
      </c>
      <c r="N737">
        <v>1</v>
      </c>
      <c r="O737">
        <v>0.93396226415094341</v>
      </c>
      <c r="P737">
        <v>44</v>
      </c>
      <c r="Q737">
        <v>14767446</v>
      </c>
      <c r="R737">
        <v>21073</v>
      </c>
      <c r="S737">
        <v>2</v>
      </c>
      <c r="T737">
        <v>98</v>
      </c>
      <c r="U737">
        <v>0.93333333333333335</v>
      </c>
      <c r="V737">
        <v>0.96296296296296291</v>
      </c>
      <c r="W737">
        <v>1</v>
      </c>
      <c r="X737">
        <v>4111</v>
      </c>
      <c r="Y737">
        <v>770664126</v>
      </c>
      <c r="Z737">
        <v>21486</v>
      </c>
      <c r="AA737">
        <v>2</v>
      </c>
      <c r="AB737">
        <v>99</v>
      </c>
    </row>
    <row r="738" spans="1:28" hidden="1" x14ac:dyDescent="0.25">
      <c r="A738" s="7" t="s">
        <v>57</v>
      </c>
      <c r="B738">
        <v>20</v>
      </c>
      <c r="C738">
        <v>9</v>
      </c>
      <c r="D738">
        <v>5</v>
      </c>
      <c r="E738">
        <v>0</v>
      </c>
      <c r="F738" s="7" t="s">
        <v>72</v>
      </c>
      <c r="G738">
        <v>16417</v>
      </c>
      <c r="H738">
        <v>476974526</v>
      </c>
      <c r="I738">
        <v>4035</v>
      </c>
      <c r="J738">
        <v>0.20754717290401459</v>
      </c>
      <c r="K738">
        <v>0.66666668653488159</v>
      </c>
      <c r="L738">
        <v>0.28888890147209167</v>
      </c>
      <c r="M738">
        <v>0.93333333333333335</v>
      </c>
      <c r="N738">
        <v>0.96296296296296291</v>
      </c>
      <c r="O738">
        <v>1</v>
      </c>
      <c r="P738">
        <v>4082</v>
      </c>
      <c r="Q738">
        <v>802854580</v>
      </c>
      <c r="R738">
        <v>16068</v>
      </c>
      <c r="S738">
        <v>2</v>
      </c>
      <c r="T738">
        <v>85</v>
      </c>
      <c r="U738">
        <v>0.84444444444444444</v>
      </c>
      <c r="V738">
        <v>1</v>
      </c>
      <c r="W738">
        <v>0.93396226415094341</v>
      </c>
      <c r="X738">
        <v>46</v>
      </c>
      <c r="Y738">
        <v>1199450</v>
      </c>
      <c r="Z738">
        <v>16429</v>
      </c>
      <c r="AA738">
        <v>2</v>
      </c>
      <c r="AB738">
        <v>86</v>
      </c>
    </row>
    <row r="739" spans="1:28" hidden="1" x14ac:dyDescent="0.25">
      <c r="A739" s="7" t="s">
        <v>57</v>
      </c>
      <c r="B739">
        <v>20</v>
      </c>
      <c r="C739">
        <v>9</v>
      </c>
      <c r="D739">
        <v>5</v>
      </c>
      <c r="E739">
        <v>0</v>
      </c>
      <c r="F739" s="7" t="s">
        <v>72</v>
      </c>
      <c r="G739">
        <v>16417</v>
      </c>
      <c r="H739">
        <v>482322319</v>
      </c>
      <c r="I739">
        <v>4071</v>
      </c>
      <c r="J739">
        <v>0.15094339847564697</v>
      </c>
      <c r="K739">
        <v>0.74074071645736694</v>
      </c>
      <c r="L739">
        <v>0.35555556416511536</v>
      </c>
      <c r="M739">
        <v>0.84444444444444444</v>
      </c>
      <c r="N739">
        <v>1</v>
      </c>
      <c r="O739">
        <v>0.92452830188679247</v>
      </c>
      <c r="P739">
        <v>45</v>
      </c>
      <c r="Q739">
        <v>11626555</v>
      </c>
      <c r="R739">
        <v>16068</v>
      </c>
      <c r="S739">
        <v>2</v>
      </c>
      <c r="T739">
        <v>85</v>
      </c>
      <c r="U739">
        <v>0.8</v>
      </c>
      <c r="V739">
        <v>1</v>
      </c>
      <c r="W739">
        <v>0.92452830188679247</v>
      </c>
      <c r="X739">
        <v>46</v>
      </c>
      <c r="Y739">
        <v>13035337</v>
      </c>
      <c r="Z739">
        <v>16429</v>
      </c>
      <c r="AA739">
        <v>2</v>
      </c>
      <c r="AB739">
        <v>86</v>
      </c>
    </row>
    <row r="740" spans="1:28" hidden="1" x14ac:dyDescent="0.25">
      <c r="A740" s="7" t="s">
        <v>57</v>
      </c>
      <c r="B740">
        <v>20</v>
      </c>
      <c r="C740">
        <v>9</v>
      </c>
      <c r="D740">
        <v>5</v>
      </c>
      <c r="E740">
        <v>0</v>
      </c>
      <c r="F740" s="7" t="s">
        <v>72</v>
      </c>
      <c r="G740">
        <v>16417</v>
      </c>
      <c r="H740">
        <v>493141948</v>
      </c>
      <c r="I740">
        <v>4109</v>
      </c>
      <c r="J740">
        <v>0.2641509473323822</v>
      </c>
      <c r="K740">
        <v>0.74074071645736694</v>
      </c>
      <c r="L740">
        <v>0.40000000596046448</v>
      </c>
      <c r="M740">
        <v>0.93333333333333335</v>
      </c>
      <c r="N740">
        <v>0.96296296296296291</v>
      </c>
      <c r="O740">
        <v>1</v>
      </c>
      <c r="P740">
        <v>4097</v>
      </c>
      <c r="Q740">
        <v>1084789155</v>
      </c>
      <c r="R740">
        <v>16068</v>
      </c>
      <c r="S740">
        <v>2</v>
      </c>
      <c r="T740">
        <v>85</v>
      </c>
      <c r="U740">
        <v>0.8</v>
      </c>
      <c r="V740">
        <v>1</v>
      </c>
      <c r="W740">
        <v>0.93396226415094341</v>
      </c>
      <c r="X740">
        <v>49</v>
      </c>
      <c r="Y740">
        <v>11859500</v>
      </c>
      <c r="Z740">
        <v>16429</v>
      </c>
      <c r="AA740">
        <v>2</v>
      </c>
      <c r="AB740">
        <v>86</v>
      </c>
    </row>
    <row r="741" spans="1:28" hidden="1" x14ac:dyDescent="0.25">
      <c r="A741" s="7" t="s">
        <v>57</v>
      </c>
      <c r="B741">
        <v>20</v>
      </c>
      <c r="C741">
        <v>9</v>
      </c>
      <c r="D741">
        <v>5</v>
      </c>
      <c r="E741">
        <v>0</v>
      </c>
      <c r="F741" s="7" t="s">
        <v>72</v>
      </c>
      <c r="G741">
        <v>16417</v>
      </c>
      <c r="H741">
        <v>601074445</v>
      </c>
      <c r="I741">
        <v>5344</v>
      </c>
      <c r="J741">
        <v>0.30188679695129395</v>
      </c>
      <c r="K741">
        <v>0.70370370149612427</v>
      </c>
      <c r="L741">
        <v>0.3333333432674408</v>
      </c>
      <c r="M741">
        <v>0.93333333333333335</v>
      </c>
      <c r="N741">
        <v>0.96296296296296291</v>
      </c>
      <c r="O741">
        <v>1</v>
      </c>
      <c r="P741">
        <v>4096</v>
      </c>
      <c r="Q741">
        <v>1126743436</v>
      </c>
      <c r="R741">
        <v>16068</v>
      </c>
      <c r="S741">
        <v>2</v>
      </c>
      <c r="T741">
        <v>85</v>
      </c>
      <c r="U741">
        <v>0.8</v>
      </c>
      <c r="V741">
        <v>1</v>
      </c>
      <c r="W741">
        <v>0.92452830188679247</v>
      </c>
      <c r="X741">
        <v>48</v>
      </c>
      <c r="Y741">
        <v>9432549</v>
      </c>
      <c r="Z741">
        <v>16429</v>
      </c>
      <c r="AA741">
        <v>2</v>
      </c>
      <c r="AB741">
        <v>86</v>
      </c>
    </row>
    <row r="742" spans="1:28" hidden="1" x14ac:dyDescent="0.25">
      <c r="A742" s="7" t="s">
        <v>57</v>
      </c>
      <c r="B742">
        <v>20</v>
      </c>
      <c r="C742">
        <v>9</v>
      </c>
      <c r="D742">
        <v>5</v>
      </c>
      <c r="E742">
        <v>0</v>
      </c>
      <c r="F742" s="7" t="s">
        <v>72</v>
      </c>
      <c r="G742">
        <v>16417</v>
      </c>
      <c r="H742">
        <v>441758386</v>
      </c>
      <c r="I742">
        <v>4003</v>
      </c>
      <c r="J742">
        <v>0.40566039085388184</v>
      </c>
      <c r="K742">
        <v>0.66666668653488159</v>
      </c>
      <c r="L742">
        <v>0.48888888955116272</v>
      </c>
      <c r="M742">
        <v>0.93333333333333335</v>
      </c>
      <c r="N742">
        <v>0.96296296296296291</v>
      </c>
      <c r="O742">
        <v>1</v>
      </c>
      <c r="P742">
        <v>4082</v>
      </c>
      <c r="Q742">
        <v>915263887</v>
      </c>
      <c r="R742">
        <v>16068</v>
      </c>
      <c r="S742">
        <v>2</v>
      </c>
      <c r="T742">
        <v>85</v>
      </c>
      <c r="U742">
        <v>0.8</v>
      </c>
      <c r="V742">
        <v>1</v>
      </c>
      <c r="W742">
        <v>0.93396226415094341</v>
      </c>
      <c r="X742">
        <v>58</v>
      </c>
      <c r="Y742">
        <v>1360907</v>
      </c>
      <c r="Z742">
        <v>16429</v>
      </c>
      <c r="AA742">
        <v>2</v>
      </c>
      <c r="AB742">
        <v>86</v>
      </c>
    </row>
    <row r="743" spans="1:28" hidden="1" x14ac:dyDescent="0.25">
      <c r="A743" s="7" t="s">
        <v>57</v>
      </c>
      <c r="B743">
        <v>20</v>
      </c>
      <c r="C743">
        <v>9</v>
      </c>
      <c r="D743">
        <v>5</v>
      </c>
      <c r="E743">
        <v>0</v>
      </c>
      <c r="F743" s="7" t="s">
        <v>73</v>
      </c>
      <c r="G743">
        <v>19782</v>
      </c>
      <c r="H743">
        <v>496122064</v>
      </c>
      <c r="I743">
        <v>4074</v>
      </c>
      <c r="J743">
        <v>0.22641509771347046</v>
      </c>
      <c r="K743">
        <v>0.81481480598449707</v>
      </c>
      <c r="L743">
        <v>0.37777778506278992</v>
      </c>
      <c r="M743">
        <v>0.8</v>
      </c>
      <c r="N743">
        <v>1</v>
      </c>
      <c r="O743">
        <v>0.93396226415094341</v>
      </c>
      <c r="P743">
        <v>60</v>
      </c>
      <c r="Q743">
        <v>25442453</v>
      </c>
      <c r="R743">
        <v>19461</v>
      </c>
      <c r="S743">
        <v>2</v>
      </c>
      <c r="T743">
        <v>94</v>
      </c>
      <c r="U743">
        <v>0.8</v>
      </c>
      <c r="V743">
        <v>1</v>
      </c>
      <c r="W743">
        <v>0.93396226415094341</v>
      </c>
      <c r="X743">
        <v>47</v>
      </c>
      <c r="Y743">
        <v>13872638</v>
      </c>
      <c r="Z743">
        <v>19858</v>
      </c>
      <c r="AA743">
        <v>2</v>
      </c>
      <c r="AB743">
        <v>95</v>
      </c>
    </row>
    <row r="744" spans="1:28" hidden="1" x14ac:dyDescent="0.25">
      <c r="A744" s="7" t="s">
        <v>57</v>
      </c>
      <c r="B744">
        <v>20</v>
      </c>
      <c r="C744">
        <v>9</v>
      </c>
      <c r="D744">
        <v>5</v>
      </c>
      <c r="E744">
        <v>0</v>
      </c>
      <c r="F744" s="7" t="s">
        <v>73</v>
      </c>
      <c r="G744">
        <v>19782</v>
      </c>
      <c r="H744">
        <v>500886520</v>
      </c>
      <c r="I744">
        <v>4028</v>
      </c>
      <c r="J744">
        <v>0.30188679695129395</v>
      </c>
      <c r="K744">
        <v>0.55555558204650879</v>
      </c>
      <c r="L744">
        <v>0.46666666865348816</v>
      </c>
      <c r="M744">
        <v>0.84444444444444444</v>
      </c>
      <c r="N744">
        <v>1</v>
      </c>
      <c r="O744">
        <v>0.93396226415094341</v>
      </c>
      <c r="P744">
        <v>44</v>
      </c>
      <c r="Q744">
        <v>13547320</v>
      </c>
      <c r="R744">
        <v>19461</v>
      </c>
      <c r="S744">
        <v>2</v>
      </c>
      <c r="T744">
        <v>94</v>
      </c>
      <c r="U744">
        <v>0.8</v>
      </c>
      <c r="V744">
        <v>1</v>
      </c>
      <c r="W744">
        <v>0.93396226415094341</v>
      </c>
      <c r="X744">
        <v>40</v>
      </c>
      <c r="Y744">
        <v>10109701</v>
      </c>
      <c r="Z744">
        <v>19858</v>
      </c>
      <c r="AA744">
        <v>2</v>
      </c>
      <c r="AB744">
        <v>95</v>
      </c>
    </row>
    <row r="745" spans="1:28" hidden="1" x14ac:dyDescent="0.25">
      <c r="A745" s="7" t="s">
        <v>57</v>
      </c>
      <c r="B745">
        <v>20</v>
      </c>
      <c r="C745">
        <v>9</v>
      </c>
      <c r="D745">
        <v>5</v>
      </c>
      <c r="E745">
        <v>0</v>
      </c>
      <c r="F745" s="7" t="s">
        <v>73</v>
      </c>
      <c r="G745">
        <v>19782</v>
      </c>
      <c r="H745">
        <v>497397056</v>
      </c>
      <c r="I745">
        <v>4063</v>
      </c>
      <c r="J745">
        <v>0.35849055647850037</v>
      </c>
      <c r="K745">
        <v>0.66666668653488159</v>
      </c>
      <c r="L745">
        <v>0.42222222685813904</v>
      </c>
      <c r="M745">
        <v>0.93333333333333335</v>
      </c>
      <c r="N745">
        <v>0.96296296296296291</v>
      </c>
      <c r="O745">
        <v>1</v>
      </c>
      <c r="P745">
        <v>4085</v>
      </c>
      <c r="Q745">
        <v>1376202618</v>
      </c>
      <c r="R745">
        <v>19461</v>
      </c>
      <c r="S745">
        <v>2</v>
      </c>
      <c r="T745">
        <v>94</v>
      </c>
      <c r="U745">
        <v>0.82222222222222219</v>
      </c>
      <c r="V745">
        <v>1</v>
      </c>
      <c r="W745">
        <v>0.93396226415094341</v>
      </c>
      <c r="X745">
        <v>51</v>
      </c>
      <c r="Y745">
        <v>7231553</v>
      </c>
      <c r="Z745">
        <v>19858</v>
      </c>
      <c r="AA745">
        <v>2</v>
      </c>
      <c r="AB745">
        <v>95</v>
      </c>
    </row>
    <row r="746" spans="1:28" hidden="1" x14ac:dyDescent="0.25">
      <c r="A746" s="7" t="s">
        <v>28</v>
      </c>
      <c r="B746">
        <v>8</v>
      </c>
      <c r="C746">
        <v>3</v>
      </c>
      <c r="D746">
        <v>2</v>
      </c>
      <c r="E746">
        <v>0</v>
      </c>
      <c r="F746" s="7" t="s">
        <v>37</v>
      </c>
      <c r="G746">
        <v>25856</v>
      </c>
      <c r="H746">
        <v>32343055818</v>
      </c>
      <c r="I746">
        <v>100000</v>
      </c>
      <c r="J746">
        <v>1</v>
      </c>
      <c r="K746">
        <v>0.9883720874786377</v>
      </c>
      <c r="L746">
        <v>0.9580419659614563</v>
      </c>
      <c r="M746">
        <v>0.94405594405594406</v>
      </c>
      <c r="N746">
        <v>1</v>
      </c>
      <c r="O746">
        <v>0.96470588235294119</v>
      </c>
      <c r="P746">
        <v>44</v>
      </c>
      <c r="Q746">
        <v>233057531</v>
      </c>
      <c r="R746">
        <v>25727</v>
      </c>
      <c r="S746">
        <v>2</v>
      </c>
      <c r="T746">
        <v>105</v>
      </c>
      <c r="U746">
        <v>0.94405594405594406</v>
      </c>
      <c r="V746">
        <v>1</v>
      </c>
      <c r="W746">
        <v>0.97058823529411764</v>
      </c>
      <c r="X746">
        <v>104</v>
      </c>
      <c r="Y746">
        <v>799877630</v>
      </c>
      <c r="Z746">
        <v>26184</v>
      </c>
      <c r="AA746">
        <v>2</v>
      </c>
      <c r="AB746">
        <v>106</v>
      </c>
    </row>
    <row r="747" spans="1:28" hidden="1" x14ac:dyDescent="0.25">
      <c r="A747" s="7" t="s">
        <v>28</v>
      </c>
      <c r="B747">
        <v>16</v>
      </c>
      <c r="C747">
        <v>9</v>
      </c>
      <c r="D747">
        <v>3</v>
      </c>
      <c r="E747">
        <v>0</v>
      </c>
      <c r="F747" s="7" t="s">
        <v>43</v>
      </c>
      <c r="G747">
        <v>44507</v>
      </c>
      <c r="H747">
        <v>61414104</v>
      </c>
      <c r="I747">
        <v>129</v>
      </c>
      <c r="J747">
        <v>1</v>
      </c>
      <c r="K747">
        <v>0.96511626243591309</v>
      </c>
      <c r="L747">
        <v>0.93706291913986206</v>
      </c>
      <c r="M747">
        <v>0.93706293706293708</v>
      </c>
      <c r="N747">
        <v>0.96511627906976749</v>
      </c>
      <c r="O747">
        <v>1</v>
      </c>
      <c r="P747">
        <v>2400</v>
      </c>
      <c r="Q747">
        <v>12455593836</v>
      </c>
      <c r="R747">
        <v>44102</v>
      </c>
      <c r="S747">
        <v>2</v>
      </c>
      <c r="T747">
        <v>140</v>
      </c>
      <c r="U747">
        <v>0.93706293706293708</v>
      </c>
      <c r="V747">
        <v>0.96511627906976749</v>
      </c>
      <c r="W747">
        <v>1</v>
      </c>
      <c r="X747">
        <v>2068</v>
      </c>
      <c r="Y747">
        <v>11550949033</v>
      </c>
      <c r="Z747">
        <v>44699</v>
      </c>
      <c r="AA747">
        <v>2</v>
      </c>
      <c r="AB747">
        <v>141</v>
      </c>
    </row>
    <row r="748" spans="1:28" hidden="1" x14ac:dyDescent="0.25">
      <c r="A748" s="7" t="s">
        <v>28</v>
      </c>
      <c r="B748">
        <v>10</v>
      </c>
      <c r="C748">
        <v>5</v>
      </c>
      <c r="D748">
        <v>2</v>
      </c>
      <c r="E748">
        <v>0</v>
      </c>
      <c r="F748" s="7" t="s">
        <v>41</v>
      </c>
      <c r="G748">
        <v>42386</v>
      </c>
      <c r="H748">
        <v>96855395</v>
      </c>
      <c r="I748">
        <v>194</v>
      </c>
      <c r="J748">
        <v>1</v>
      </c>
      <c r="K748">
        <v>0.95348834991455078</v>
      </c>
      <c r="L748">
        <v>0.97202795743942261</v>
      </c>
      <c r="M748">
        <v>0.95104895104895104</v>
      </c>
      <c r="N748">
        <v>0.97674418604651159</v>
      </c>
      <c r="O748">
        <v>1</v>
      </c>
      <c r="P748">
        <v>1539</v>
      </c>
      <c r="Q748">
        <v>19400546794</v>
      </c>
      <c r="R748">
        <v>42335</v>
      </c>
      <c r="S748">
        <v>2</v>
      </c>
      <c r="T748">
        <v>137</v>
      </c>
      <c r="U748">
        <v>0.95104895104895104</v>
      </c>
      <c r="V748">
        <v>0.97674418604651159</v>
      </c>
      <c r="W748">
        <v>1</v>
      </c>
      <c r="X748">
        <v>1520</v>
      </c>
      <c r="Y748">
        <v>20398178933</v>
      </c>
      <c r="Z748">
        <v>42920</v>
      </c>
      <c r="AA748">
        <v>2</v>
      </c>
      <c r="AB748">
        <v>138</v>
      </c>
    </row>
    <row r="749" spans="1:28" hidden="1" x14ac:dyDescent="0.25">
      <c r="A749" s="7" t="s">
        <v>57</v>
      </c>
      <c r="B749">
        <v>14</v>
      </c>
      <c r="C749">
        <v>3</v>
      </c>
      <c r="D749">
        <v>5</v>
      </c>
      <c r="E749">
        <v>0</v>
      </c>
      <c r="F749" s="7" t="s">
        <v>59</v>
      </c>
      <c r="G749">
        <v>10088</v>
      </c>
      <c r="H749">
        <v>815510197</v>
      </c>
      <c r="I749">
        <v>5067</v>
      </c>
      <c r="J749">
        <v>0.42452830076217651</v>
      </c>
      <c r="K749">
        <v>0.85185188055038452</v>
      </c>
      <c r="L749">
        <v>0.3333333432674408</v>
      </c>
      <c r="M749">
        <v>0.93333333333333335</v>
      </c>
      <c r="N749">
        <v>0.92592592592592593</v>
      </c>
      <c r="O749">
        <v>1</v>
      </c>
      <c r="P749">
        <v>7663</v>
      </c>
      <c r="Q749">
        <v>87269001</v>
      </c>
      <c r="R749">
        <v>9969</v>
      </c>
      <c r="S749">
        <v>2</v>
      </c>
      <c r="T749">
        <v>66</v>
      </c>
      <c r="U749">
        <v>0.93333333333333335</v>
      </c>
      <c r="V749">
        <v>0.92592592592592593</v>
      </c>
      <c r="W749">
        <v>1</v>
      </c>
      <c r="X749">
        <v>7509</v>
      </c>
      <c r="Y749">
        <v>85661397</v>
      </c>
      <c r="Z749">
        <v>10254</v>
      </c>
      <c r="AA749">
        <v>2</v>
      </c>
      <c r="AB749">
        <v>67</v>
      </c>
    </row>
    <row r="750" spans="1:28" hidden="1" x14ac:dyDescent="0.25">
      <c r="A750" s="7" t="s">
        <v>57</v>
      </c>
      <c r="B750">
        <v>14</v>
      </c>
      <c r="C750">
        <v>3</v>
      </c>
      <c r="D750">
        <v>5</v>
      </c>
      <c r="E750">
        <v>0</v>
      </c>
      <c r="F750" s="7" t="s">
        <v>60</v>
      </c>
      <c r="G750">
        <v>11853</v>
      </c>
      <c r="H750">
        <v>1153061439</v>
      </c>
      <c r="I750">
        <v>6607</v>
      </c>
      <c r="J750">
        <v>0.4716981053352356</v>
      </c>
      <c r="K750">
        <v>0.77777779102325439</v>
      </c>
      <c r="L750">
        <v>0.40000000596046448</v>
      </c>
      <c r="M750">
        <v>0.93333333333333335</v>
      </c>
      <c r="N750">
        <v>0.92592592592592593</v>
      </c>
      <c r="O750">
        <v>1</v>
      </c>
      <c r="P750">
        <v>11477</v>
      </c>
      <c r="Q750">
        <v>588933888</v>
      </c>
      <c r="R750">
        <v>11739</v>
      </c>
      <c r="S750">
        <v>2</v>
      </c>
      <c r="T750">
        <v>72</v>
      </c>
      <c r="U750">
        <v>0.93333333333333335</v>
      </c>
      <c r="V750">
        <v>0.92592592592592593</v>
      </c>
      <c r="W750">
        <v>1</v>
      </c>
      <c r="X750">
        <v>8075</v>
      </c>
      <c r="Y750">
        <v>391434212</v>
      </c>
      <c r="Z750">
        <v>12048</v>
      </c>
      <c r="AA750">
        <v>2</v>
      </c>
      <c r="AB750">
        <v>73</v>
      </c>
    </row>
    <row r="751" spans="1:28" hidden="1" x14ac:dyDescent="0.25">
      <c r="A751" s="7" t="s">
        <v>57</v>
      </c>
      <c r="B751">
        <v>14</v>
      </c>
      <c r="C751">
        <v>3</v>
      </c>
      <c r="D751">
        <v>5</v>
      </c>
      <c r="E751">
        <v>0</v>
      </c>
      <c r="F751" s="7" t="s">
        <v>60</v>
      </c>
      <c r="G751">
        <v>11853</v>
      </c>
      <c r="H751">
        <v>894769872</v>
      </c>
      <c r="I751">
        <v>5158</v>
      </c>
      <c r="J751">
        <v>0.66981130838394165</v>
      </c>
      <c r="K751">
        <v>0.74074071645736694</v>
      </c>
      <c r="L751">
        <v>0.62222224473953247</v>
      </c>
      <c r="M751">
        <v>0.93333333333333335</v>
      </c>
      <c r="N751">
        <v>0.92592592592592593</v>
      </c>
      <c r="O751">
        <v>1</v>
      </c>
      <c r="P751">
        <v>12254</v>
      </c>
      <c r="Q751">
        <v>621708728</v>
      </c>
      <c r="R751">
        <v>11739</v>
      </c>
      <c r="S751">
        <v>2</v>
      </c>
      <c r="T751">
        <v>72</v>
      </c>
      <c r="U751">
        <v>0.93333333333333335</v>
      </c>
      <c r="V751">
        <v>0.92592592592592593</v>
      </c>
      <c r="W751">
        <v>1</v>
      </c>
      <c r="X751">
        <v>13417</v>
      </c>
      <c r="Y751">
        <v>652869489</v>
      </c>
      <c r="Z751">
        <v>12048</v>
      </c>
      <c r="AA751">
        <v>2</v>
      </c>
      <c r="AB751">
        <v>73</v>
      </c>
    </row>
    <row r="752" spans="1:28" hidden="1" x14ac:dyDescent="0.25">
      <c r="A752" s="7" t="s">
        <v>57</v>
      </c>
      <c r="B752">
        <v>14</v>
      </c>
      <c r="C752">
        <v>3</v>
      </c>
      <c r="D752">
        <v>5</v>
      </c>
      <c r="E752">
        <v>0</v>
      </c>
      <c r="F752" s="7" t="s">
        <v>60</v>
      </c>
      <c r="G752">
        <v>11853</v>
      </c>
      <c r="H752">
        <v>922091098</v>
      </c>
      <c r="I752">
        <v>5306</v>
      </c>
      <c r="J752">
        <v>0.14150942862033844</v>
      </c>
      <c r="K752">
        <v>0.77777779102325439</v>
      </c>
      <c r="L752">
        <v>0.15555556118488312</v>
      </c>
      <c r="M752">
        <v>0.93333333333333335</v>
      </c>
      <c r="N752">
        <v>0.96296296296296291</v>
      </c>
      <c r="O752">
        <v>1</v>
      </c>
      <c r="P752">
        <v>13532</v>
      </c>
      <c r="Q752">
        <v>625315935</v>
      </c>
      <c r="R752">
        <v>11739</v>
      </c>
      <c r="S752">
        <v>2</v>
      </c>
      <c r="T752">
        <v>72</v>
      </c>
      <c r="U752">
        <v>0.93333333333333335</v>
      </c>
      <c r="V752">
        <v>0.92592592592592593</v>
      </c>
      <c r="W752">
        <v>1</v>
      </c>
      <c r="X752">
        <v>10628</v>
      </c>
      <c r="Y752">
        <v>516294187</v>
      </c>
      <c r="Z752">
        <v>12048</v>
      </c>
      <c r="AA752">
        <v>2</v>
      </c>
      <c r="AB752">
        <v>73</v>
      </c>
    </row>
    <row r="753" spans="1:28" hidden="1" x14ac:dyDescent="0.25">
      <c r="A753" s="7" t="s">
        <v>57</v>
      </c>
      <c r="B753">
        <v>14</v>
      </c>
      <c r="C753">
        <v>3</v>
      </c>
      <c r="D753">
        <v>5</v>
      </c>
      <c r="E753">
        <v>0</v>
      </c>
      <c r="F753" s="7" t="s">
        <v>60</v>
      </c>
      <c r="G753">
        <v>11853</v>
      </c>
      <c r="H753">
        <v>848717707</v>
      </c>
      <c r="I753">
        <v>5048</v>
      </c>
      <c r="J753">
        <v>0.39622640609741211</v>
      </c>
      <c r="K753">
        <v>0.85185188055038452</v>
      </c>
      <c r="L753">
        <v>0.31111112236976624</v>
      </c>
      <c r="M753">
        <v>0.93333333333333335</v>
      </c>
      <c r="N753">
        <v>0.92592592592592593</v>
      </c>
      <c r="O753">
        <v>1</v>
      </c>
      <c r="P753">
        <v>13191</v>
      </c>
      <c r="Q753">
        <v>628572456</v>
      </c>
      <c r="R753">
        <v>11739</v>
      </c>
      <c r="S753">
        <v>2</v>
      </c>
      <c r="T753">
        <v>72</v>
      </c>
      <c r="U753">
        <v>0.93333333333333335</v>
      </c>
      <c r="V753">
        <v>0.92592592592592593</v>
      </c>
      <c r="W753">
        <v>1</v>
      </c>
      <c r="X753">
        <v>11362</v>
      </c>
      <c r="Y753">
        <v>563072025</v>
      </c>
      <c r="Z753">
        <v>12048</v>
      </c>
      <c r="AA753">
        <v>2</v>
      </c>
      <c r="AB753">
        <v>73</v>
      </c>
    </row>
    <row r="754" spans="1:28" hidden="1" x14ac:dyDescent="0.25">
      <c r="A754" s="7" t="s">
        <v>57</v>
      </c>
      <c r="B754">
        <v>14</v>
      </c>
      <c r="C754">
        <v>3</v>
      </c>
      <c r="D754">
        <v>5</v>
      </c>
      <c r="E754">
        <v>0</v>
      </c>
      <c r="F754" s="7" t="s">
        <v>60</v>
      </c>
      <c r="G754">
        <v>11853</v>
      </c>
      <c r="H754">
        <v>879827420</v>
      </c>
      <c r="I754">
        <v>5314</v>
      </c>
      <c r="J754">
        <v>0.21698112785816193</v>
      </c>
      <c r="K754">
        <v>0.77777779102325439</v>
      </c>
      <c r="L754">
        <v>0.2222222238779068</v>
      </c>
      <c r="M754">
        <v>0.93333333333333335</v>
      </c>
      <c r="N754">
        <v>0.92592592592592593</v>
      </c>
      <c r="O754">
        <v>1</v>
      </c>
      <c r="P754">
        <v>12519</v>
      </c>
      <c r="Q754">
        <v>612649404</v>
      </c>
      <c r="R754">
        <v>11739</v>
      </c>
      <c r="S754">
        <v>2</v>
      </c>
      <c r="T754">
        <v>72</v>
      </c>
      <c r="U754">
        <v>0.91111111111111109</v>
      </c>
      <c r="V754">
        <v>0.92592592592592593</v>
      </c>
      <c r="W754">
        <v>1</v>
      </c>
      <c r="X754">
        <v>8489</v>
      </c>
      <c r="Y754">
        <v>406870162</v>
      </c>
      <c r="Z754">
        <v>12048</v>
      </c>
      <c r="AA754">
        <v>2</v>
      </c>
      <c r="AB754">
        <v>73</v>
      </c>
    </row>
    <row r="755" spans="1:28" hidden="1" x14ac:dyDescent="0.25">
      <c r="A755" s="7" t="s">
        <v>57</v>
      </c>
      <c r="B755">
        <v>14</v>
      </c>
      <c r="C755">
        <v>3</v>
      </c>
      <c r="D755">
        <v>5</v>
      </c>
      <c r="E755">
        <v>0</v>
      </c>
      <c r="F755" s="7" t="s">
        <v>62</v>
      </c>
      <c r="G755">
        <v>9469</v>
      </c>
      <c r="H755">
        <v>815354228</v>
      </c>
      <c r="I755">
        <v>5269</v>
      </c>
      <c r="J755">
        <v>0.39622640609741211</v>
      </c>
      <c r="K755">
        <v>0.70370370149612427</v>
      </c>
      <c r="L755">
        <v>0.35555556416511536</v>
      </c>
      <c r="M755">
        <v>0.93333333333333335</v>
      </c>
      <c r="N755">
        <v>0.96296296296296291</v>
      </c>
      <c r="O755">
        <v>1</v>
      </c>
      <c r="P755">
        <v>14830</v>
      </c>
      <c r="Q755">
        <v>161367815</v>
      </c>
      <c r="R755">
        <v>9411</v>
      </c>
      <c r="S755">
        <v>2</v>
      </c>
      <c r="T755">
        <v>64</v>
      </c>
      <c r="U755">
        <v>0.93333333333333335</v>
      </c>
      <c r="V755">
        <v>0.92592592592592593</v>
      </c>
      <c r="W755">
        <v>1</v>
      </c>
      <c r="X755">
        <v>7717</v>
      </c>
      <c r="Y755">
        <v>80413309</v>
      </c>
      <c r="Z755">
        <v>9688</v>
      </c>
      <c r="AA755">
        <v>2</v>
      </c>
      <c r="AB755">
        <v>65</v>
      </c>
    </row>
    <row r="756" spans="1:28" hidden="1" x14ac:dyDescent="0.25">
      <c r="A756" s="7" t="s">
        <v>57</v>
      </c>
      <c r="B756">
        <v>14</v>
      </c>
      <c r="C756">
        <v>3</v>
      </c>
      <c r="D756">
        <v>5</v>
      </c>
      <c r="E756">
        <v>0</v>
      </c>
      <c r="F756" s="7" t="s">
        <v>62</v>
      </c>
      <c r="G756">
        <v>9469</v>
      </c>
      <c r="H756">
        <v>774270921</v>
      </c>
      <c r="I756">
        <v>5057</v>
      </c>
      <c r="J756">
        <v>0.36792454123497009</v>
      </c>
      <c r="K756">
        <v>0.55555558204650879</v>
      </c>
      <c r="L756">
        <v>0.20000000298023224</v>
      </c>
      <c r="M756">
        <v>0.93333333333333335</v>
      </c>
      <c r="N756">
        <v>0.92592592592592593</v>
      </c>
      <c r="O756">
        <v>1</v>
      </c>
      <c r="P756">
        <v>14401</v>
      </c>
      <c r="Q756">
        <v>155389970</v>
      </c>
      <c r="R756">
        <v>9411</v>
      </c>
      <c r="S756">
        <v>2</v>
      </c>
      <c r="T756">
        <v>64</v>
      </c>
      <c r="U756">
        <v>0.93333333333333335</v>
      </c>
      <c r="V756">
        <v>0.92592592592592593</v>
      </c>
      <c r="W756">
        <v>1</v>
      </c>
      <c r="X756">
        <v>12150</v>
      </c>
      <c r="Y756">
        <v>129316466</v>
      </c>
      <c r="Z756">
        <v>9688</v>
      </c>
      <c r="AA756">
        <v>2</v>
      </c>
      <c r="AB756">
        <v>65</v>
      </c>
    </row>
    <row r="757" spans="1:28" hidden="1" x14ac:dyDescent="0.25">
      <c r="A757" s="7" t="s">
        <v>57</v>
      </c>
      <c r="B757">
        <v>14</v>
      </c>
      <c r="C757">
        <v>3</v>
      </c>
      <c r="D757">
        <v>5</v>
      </c>
      <c r="E757">
        <v>0</v>
      </c>
      <c r="F757" s="7" t="s">
        <v>62</v>
      </c>
      <c r="G757">
        <v>9469</v>
      </c>
      <c r="H757">
        <v>769754215</v>
      </c>
      <c r="I757">
        <v>5007</v>
      </c>
      <c r="J757">
        <v>0.31132075190544128</v>
      </c>
      <c r="K757">
        <v>0.74074071645736694</v>
      </c>
      <c r="L757">
        <v>0.35555556416511536</v>
      </c>
      <c r="M757">
        <v>0.93333333333333335</v>
      </c>
      <c r="N757">
        <v>0.92592592592592593</v>
      </c>
      <c r="O757">
        <v>1</v>
      </c>
      <c r="P757">
        <v>7911</v>
      </c>
      <c r="Q757">
        <v>89065191</v>
      </c>
      <c r="R757">
        <v>9411</v>
      </c>
      <c r="S757">
        <v>2</v>
      </c>
      <c r="T757">
        <v>64</v>
      </c>
      <c r="U757">
        <v>0.93333333333333335</v>
      </c>
      <c r="V757">
        <v>0.92592592592592593</v>
      </c>
      <c r="W757">
        <v>1</v>
      </c>
      <c r="X757">
        <v>7723</v>
      </c>
      <c r="Y757">
        <v>87585786</v>
      </c>
      <c r="Z757">
        <v>9688</v>
      </c>
      <c r="AA757">
        <v>2</v>
      </c>
      <c r="AB757">
        <v>65</v>
      </c>
    </row>
    <row r="758" spans="1:28" hidden="1" x14ac:dyDescent="0.25">
      <c r="A758" s="7" t="s">
        <v>57</v>
      </c>
      <c r="B758">
        <v>14</v>
      </c>
      <c r="C758">
        <v>3</v>
      </c>
      <c r="D758">
        <v>5</v>
      </c>
      <c r="E758">
        <v>0</v>
      </c>
      <c r="F758" s="7" t="s">
        <v>62</v>
      </c>
      <c r="G758">
        <v>9469</v>
      </c>
      <c r="H758">
        <v>828968558</v>
      </c>
      <c r="I758">
        <v>5226</v>
      </c>
      <c r="J758">
        <v>0.19811320304870605</v>
      </c>
      <c r="K758">
        <v>0.81481480598449707</v>
      </c>
      <c r="L758">
        <v>0.24444444477558136</v>
      </c>
      <c r="M758">
        <v>0.93333333333333335</v>
      </c>
      <c r="N758">
        <v>0.96296296296296291</v>
      </c>
      <c r="O758">
        <v>1</v>
      </c>
      <c r="P758">
        <v>21039</v>
      </c>
      <c r="Q758">
        <v>290424930</v>
      </c>
      <c r="R758">
        <v>9411</v>
      </c>
      <c r="S758">
        <v>2</v>
      </c>
      <c r="T758">
        <v>64</v>
      </c>
      <c r="U758">
        <v>0.93333333333333335</v>
      </c>
      <c r="V758">
        <v>0.92592592592592593</v>
      </c>
      <c r="W758">
        <v>1</v>
      </c>
      <c r="X758">
        <v>13702</v>
      </c>
      <c r="Y758">
        <v>162996860</v>
      </c>
      <c r="Z758">
        <v>9688</v>
      </c>
      <c r="AA758">
        <v>2</v>
      </c>
      <c r="AB758">
        <v>65</v>
      </c>
    </row>
    <row r="759" spans="1:28" hidden="1" x14ac:dyDescent="0.25">
      <c r="A759" s="7" t="s">
        <v>57</v>
      </c>
      <c r="B759">
        <v>14</v>
      </c>
      <c r="C759">
        <v>3</v>
      </c>
      <c r="D759">
        <v>5</v>
      </c>
      <c r="E759">
        <v>0</v>
      </c>
      <c r="F759" s="7" t="s">
        <v>62</v>
      </c>
      <c r="G759">
        <v>9469</v>
      </c>
      <c r="H759">
        <v>889712516</v>
      </c>
      <c r="I759">
        <v>5340</v>
      </c>
      <c r="J759">
        <v>0.56603771448135376</v>
      </c>
      <c r="K759">
        <v>0.62962961196899414</v>
      </c>
      <c r="L759">
        <v>0.37777778506278992</v>
      </c>
      <c r="M759">
        <v>0.93333333333333335</v>
      </c>
      <c r="N759">
        <v>0.92592592592592593</v>
      </c>
      <c r="O759">
        <v>1</v>
      </c>
      <c r="P759">
        <v>12905</v>
      </c>
      <c r="Q759">
        <v>144083567</v>
      </c>
      <c r="R759">
        <v>9411</v>
      </c>
      <c r="S759">
        <v>2</v>
      </c>
      <c r="T759">
        <v>64</v>
      </c>
      <c r="U759">
        <v>0.93333333333333335</v>
      </c>
      <c r="V759">
        <v>0.92592592592592593</v>
      </c>
      <c r="W759">
        <v>1</v>
      </c>
      <c r="X759">
        <v>13298</v>
      </c>
      <c r="Y759">
        <v>140561442</v>
      </c>
      <c r="Z759">
        <v>9688</v>
      </c>
      <c r="AA759">
        <v>2</v>
      </c>
      <c r="AB759">
        <v>65</v>
      </c>
    </row>
    <row r="760" spans="1:28" hidden="1" x14ac:dyDescent="0.25">
      <c r="A760" s="7" t="s">
        <v>57</v>
      </c>
      <c r="B760">
        <v>14</v>
      </c>
      <c r="C760">
        <v>3</v>
      </c>
      <c r="D760">
        <v>5</v>
      </c>
      <c r="E760">
        <v>0</v>
      </c>
      <c r="F760" s="7" t="s">
        <v>63</v>
      </c>
      <c r="G760">
        <v>11454</v>
      </c>
      <c r="H760">
        <v>1069901883</v>
      </c>
      <c r="I760">
        <v>6635</v>
      </c>
      <c r="J760">
        <v>0.36792454123497009</v>
      </c>
      <c r="K760">
        <v>0.66666668653488159</v>
      </c>
      <c r="L760">
        <v>0.37777778506278992</v>
      </c>
      <c r="M760">
        <v>0.91111111111111109</v>
      </c>
      <c r="N760">
        <v>0.92592592592592593</v>
      </c>
      <c r="O760">
        <v>1</v>
      </c>
      <c r="P760">
        <v>10195</v>
      </c>
      <c r="Q760">
        <v>472982935</v>
      </c>
      <c r="R760">
        <v>11434</v>
      </c>
      <c r="S760">
        <v>2</v>
      </c>
      <c r="T760">
        <v>71</v>
      </c>
      <c r="U760">
        <v>0.93333333333333335</v>
      </c>
      <c r="V760">
        <v>0.88888888888888884</v>
      </c>
      <c r="W760">
        <v>1</v>
      </c>
      <c r="X760">
        <v>9923</v>
      </c>
      <c r="Y760">
        <v>473365047</v>
      </c>
      <c r="Z760">
        <v>11739</v>
      </c>
      <c r="AA760">
        <v>2</v>
      </c>
      <c r="AB760">
        <v>72</v>
      </c>
    </row>
    <row r="761" spans="1:28" hidden="1" x14ac:dyDescent="0.25">
      <c r="A761" s="7" t="s">
        <v>57</v>
      </c>
      <c r="B761">
        <v>14</v>
      </c>
      <c r="C761">
        <v>3</v>
      </c>
      <c r="D761">
        <v>5</v>
      </c>
      <c r="E761">
        <v>0</v>
      </c>
      <c r="F761" s="7" t="s">
        <v>63</v>
      </c>
      <c r="G761">
        <v>11454</v>
      </c>
      <c r="H761">
        <v>1023565002</v>
      </c>
      <c r="I761">
        <v>5831</v>
      </c>
      <c r="J761">
        <v>0.46226415038108826</v>
      </c>
      <c r="K761">
        <v>0.51851850748062134</v>
      </c>
      <c r="L761">
        <v>0.40000000596046448</v>
      </c>
      <c r="M761">
        <v>0.93333333333333335</v>
      </c>
      <c r="N761">
        <v>0.92592592592592593</v>
      </c>
      <c r="O761">
        <v>1</v>
      </c>
      <c r="P761">
        <v>10777</v>
      </c>
      <c r="Q761">
        <v>525769784</v>
      </c>
      <c r="R761">
        <v>11434</v>
      </c>
      <c r="S761">
        <v>2</v>
      </c>
      <c r="T761">
        <v>71</v>
      </c>
      <c r="U761">
        <v>0.93333333333333335</v>
      </c>
      <c r="V761">
        <v>0.92592592592592593</v>
      </c>
      <c r="W761">
        <v>1</v>
      </c>
      <c r="X761">
        <v>12884</v>
      </c>
      <c r="Y761">
        <v>610184876</v>
      </c>
      <c r="Z761">
        <v>11739</v>
      </c>
      <c r="AA761">
        <v>2</v>
      </c>
      <c r="AB761">
        <v>72</v>
      </c>
    </row>
    <row r="762" spans="1:28" hidden="1" x14ac:dyDescent="0.25">
      <c r="A762" s="7" t="s">
        <v>57</v>
      </c>
      <c r="B762">
        <v>14</v>
      </c>
      <c r="C762">
        <v>3</v>
      </c>
      <c r="D762">
        <v>5</v>
      </c>
      <c r="E762">
        <v>0</v>
      </c>
      <c r="F762" s="7" t="s">
        <v>63</v>
      </c>
      <c r="G762">
        <v>11454</v>
      </c>
      <c r="H762">
        <v>812361466</v>
      </c>
      <c r="I762">
        <v>5029</v>
      </c>
      <c r="J762">
        <v>0.48113209009170532</v>
      </c>
      <c r="K762">
        <v>0.62962961196899414</v>
      </c>
      <c r="L762">
        <v>0.42222222685813904</v>
      </c>
      <c r="M762">
        <v>0.93333333333333335</v>
      </c>
      <c r="N762">
        <v>0.92592592592592593</v>
      </c>
      <c r="O762">
        <v>1</v>
      </c>
      <c r="P762">
        <v>10649</v>
      </c>
      <c r="Q762">
        <v>503635048</v>
      </c>
      <c r="R762">
        <v>11434</v>
      </c>
      <c r="S762">
        <v>2</v>
      </c>
      <c r="T762">
        <v>71</v>
      </c>
      <c r="U762">
        <v>0.91111111111111109</v>
      </c>
      <c r="V762">
        <v>0.96296296296296291</v>
      </c>
      <c r="W762">
        <v>1</v>
      </c>
      <c r="X762">
        <v>13512</v>
      </c>
      <c r="Y762">
        <v>625113658</v>
      </c>
      <c r="Z762">
        <v>11739</v>
      </c>
      <c r="AA762">
        <v>2</v>
      </c>
      <c r="AB762">
        <v>72</v>
      </c>
    </row>
    <row r="763" spans="1:28" hidden="1" x14ac:dyDescent="0.25">
      <c r="A763" s="7" t="s">
        <v>57</v>
      </c>
      <c r="B763">
        <v>14</v>
      </c>
      <c r="C763">
        <v>3</v>
      </c>
      <c r="D763">
        <v>5</v>
      </c>
      <c r="E763">
        <v>0</v>
      </c>
      <c r="F763" s="7" t="s">
        <v>63</v>
      </c>
      <c r="G763">
        <v>11454</v>
      </c>
      <c r="H763">
        <v>856055506</v>
      </c>
      <c r="I763">
        <v>5326</v>
      </c>
      <c r="J763">
        <v>0.48113209009170532</v>
      </c>
      <c r="K763">
        <v>0.51851850748062134</v>
      </c>
      <c r="L763">
        <v>0.48888888955116272</v>
      </c>
      <c r="M763">
        <v>0.9555555555555556</v>
      </c>
      <c r="N763">
        <v>0.88888888888888884</v>
      </c>
      <c r="O763">
        <v>1</v>
      </c>
      <c r="P763">
        <v>8638</v>
      </c>
      <c r="Q763">
        <v>433103054</v>
      </c>
      <c r="R763">
        <v>11434</v>
      </c>
      <c r="S763">
        <v>2</v>
      </c>
      <c r="T763">
        <v>71</v>
      </c>
      <c r="U763">
        <v>0.91111111111111109</v>
      </c>
      <c r="V763">
        <v>0.92592592592592593</v>
      </c>
      <c r="W763">
        <v>1</v>
      </c>
      <c r="X763">
        <v>11932</v>
      </c>
      <c r="Y763">
        <v>516435960</v>
      </c>
      <c r="Z763">
        <v>11739</v>
      </c>
      <c r="AA763">
        <v>2</v>
      </c>
      <c r="AB763">
        <v>72</v>
      </c>
    </row>
    <row r="764" spans="1:28" hidden="1" x14ac:dyDescent="0.25">
      <c r="A764" s="7" t="s">
        <v>57</v>
      </c>
      <c r="B764">
        <v>14</v>
      </c>
      <c r="C764">
        <v>3</v>
      </c>
      <c r="D764">
        <v>5</v>
      </c>
      <c r="E764">
        <v>0</v>
      </c>
      <c r="F764" s="7" t="s">
        <v>63</v>
      </c>
      <c r="G764">
        <v>11454</v>
      </c>
      <c r="H764">
        <v>1491132253</v>
      </c>
      <c r="I764">
        <v>9386</v>
      </c>
      <c r="J764">
        <v>0.33962264657020569</v>
      </c>
      <c r="K764">
        <v>0.59259259700775146</v>
      </c>
      <c r="L764">
        <v>0.3333333432674408</v>
      </c>
      <c r="M764">
        <v>0.91111111111111109</v>
      </c>
      <c r="N764">
        <v>0.92592592592592593</v>
      </c>
      <c r="O764">
        <v>1</v>
      </c>
      <c r="P764">
        <v>13886</v>
      </c>
      <c r="Q764">
        <v>693586423</v>
      </c>
      <c r="R764">
        <v>11434</v>
      </c>
      <c r="S764">
        <v>2</v>
      </c>
      <c r="T764">
        <v>71</v>
      </c>
      <c r="U764">
        <v>0.93333333333333335</v>
      </c>
      <c r="V764">
        <v>0.92592592592592593</v>
      </c>
      <c r="W764">
        <v>1</v>
      </c>
      <c r="X764">
        <v>7818</v>
      </c>
      <c r="Y764">
        <v>364881294</v>
      </c>
      <c r="Z764">
        <v>11739</v>
      </c>
      <c r="AA764">
        <v>2</v>
      </c>
      <c r="AB764">
        <v>72</v>
      </c>
    </row>
    <row r="765" spans="1:28" hidden="1" x14ac:dyDescent="0.25">
      <c r="A765" s="7" t="s">
        <v>57</v>
      </c>
      <c r="B765">
        <v>14</v>
      </c>
      <c r="C765">
        <v>3</v>
      </c>
      <c r="D765">
        <v>5</v>
      </c>
      <c r="E765">
        <v>0</v>
      </c>
      <c r="F765" s="7" t="s">
        <v>64</v>
      </c>
      <c r="G765">
        <v>13439</v>
      </c>
      <c r="H765">
        <v>1131781676</v>
      </c>
      <c r="I765">
        <v>6437</v>
      </c>
      <c r="J765">
        <v>0.48113209009170532</v>
      </c>
      <c r="K765">
        <v>0.81481480598449707</v>
      </c>
      <c r="L765">
        <v>0.46666666865348816</v>
      </c>
      <c r="M765">
        <v>0.91111111111111109</v>
      </c>
      <c r="N765">
        <v>0.92592592592592593</v>
      </c>
      <c r="O765">
        <v>1</v>
      </c>
      <c r="P765">
        <v>11065</v>
      </c>
      <c r="Q765">
        <v>551610598</v>
      </c>
      <c r="R765">
        <v>13324</v>
      </c>
      <c r="S765">
        <v>2</v>
      </c>
      <c r="T765">
        <v>77</v>
      </c>
      <c r="U765">
        <v>0.93333333333333335</v>
      </c>
      <c r="V765">
        <v>0.92592592592592593</v>
      </c>
      <c r="W765">
        <v>1</v>
      </c>
      <c r="X765">
        <v>10779</v>
      </c>
      <c r="Y765">
        <v>547423993</v>
      </c>
      <c r="Z765">
        <v>13653</v>
      </c>
      <c r="AA765">
        <v>2</v>
      </c>
      <c r="AB765">
        <v>78</v>
      </c>
    </row>
    <row r="766" spans="1:28" hidden="1" x14ac:dyDescent="0.25">
      <c r="A766" s="7" t="s">
        <v>57</v>
      </c>
      <c r="B766">
        <v>14</v>
      </c>
      <c r="C766">
        <v>3</v>
      </c>
      <c r="D766">
        <v>5</v>
      </c>
      <c r="E766">
        <v>0</v>
      </c>
      <c r="F766" s="7" t="s">
        <v>64</v>
      </c>
      <c r="G766">
        <v>13439</v>
      </c>
      <c r="H766">
        <v>907583743</v>
      </c>
      <c r="I766">
        <v>5119</v>
      </c>
      <c r="J766">
        <v>0.16037735342979431</v>
      </c>
      <c r="K766">
        <v>0.77777779102325439</v>
      </c>
      <c r="L766">
        <v>0.15555556118488312</v>
      </c>
      <c r="M766">
        <v>0.91111111111111109</v>
      </c>
      <c r="N766">
        <v>0.92592592592592593</v>
      </c>
      <c r="O766">
        <v>1</v>
      </c>
      <c r="P766">
        <v>7379</v>
      </c>
      <c r="Q766">
        <v>376380992</v>
      </c>
      <c r="R766">
        <v>13324</v>
      </c>
      <c r="S766">
        <v>2</v>
      </c>
      <c r="T766">
        <v>77</v>
      </c>
      <c r="U766">
        <v>0.93333333333333335</v>
      </c>
      <c r="V766">
        <v>0.92592592592592593</v>
      </c>
      <c r="W766">
        <v>1</v>
      </c>
      <c r="X766">
        <v>13177</v>
      </c>
      <c r="Y766">
        <v>674816616</v>
      </c>
      <c r="Z766">
        <v>13653</v>
      </c>
      <c r="AA766">
        <v>2</v>
      </c>
      <c r="AB766">
        <v>78</v>
      </c>
    </row>
    <row r="767" spans="1:28" hidden="1" x14ac:dyDescent="0.25">
      <c r="A767" s="7" t="s">
        <v>57</v>
      </c>
      <c r="B767">
        <v>14</v>
      </c>
      <c r="C767">
        <v>3</v>
      </c>
      <c r="D767">
        <v>5</v>
      </c>
      <c r="E767">
        <v>0</v>
      </c>
      <c r="F767" s="7" t="s">
        <v>64</v>
      </c>
      <c r="G767">
        <v>13439</v>
      </c>
      <c r="H767">
        <v>1018082928</v>
      </c>
      <c r="I767">
        <v>5567</v>
      </c>
      <c r="J767">
        <v>0.63207548856735229</v>
      </c>
      <c r="K767">
        <v>0.77777779102325439</v>
      </c>
      <c r="L767">
        <v>0.57777780294418335</v>
      </c>
      <c r="M767">
        <v>0.93333333333333335</v>
      </c>
      <c r="N767">
        <v>0.92592592592592593</v>
      </c>
      <c r="O767">
        <v>1</v>
      </c>
      <c r="P767">
        <v>7542</v>
      </c>
      <c r="Q767">
        <v>369422465</v>
      </c>
      <c r="R767">
        <v>13324</v>
      </c>
      <c r="S767">
        <v>2</v>
      </c>
      <c r="T767">
        <v>77</v>
      </c>
      <c r="U767">
        <v>0.93333333333333335</v>
      </c>
      <c r="V767">
        <v>0.92592592592592593</v>
      </c>
      <c r="W767">
        <v>1</v>
      </c>
      <c r="X767">
        <v>7346</v>
      </c>
      <c r="Y767">
        <v>361224062</v>
      </c>
      <c r="Z767">
        <v>13653</v>
      </c>
      <c r="AA767">
        <v>2</v>
      </c>
      <c r="AB767">
        <v>78</v>
      </c>
    </row>
    <row r="768" spans="1:28" hidden="1" x14ac:dyDescent="0.25">
      <c r="A768" s="7" t="s">
        <v>57</v>
      </c>
      <c r="B768">
        <v>14</v>
      </c>
      <c r="C768">
        <v>3</v>
      </c>
      <c r="D768">
        <v>5</v>
      </c>
      <c r="E768">
        <v>0</v>
      </c>
      <c r="F768" s="7" t="s">
        <v>64</v>
      </c>
      <c r="G768">
        <v>13439</v>
      </c>
      <c r="H768">
        <v>909802821</v>
      </c>
      <c r="I768">
        <v>5148</v>
      </c>
      <c r="J768">
        <v>0.33018869161605835</v>
      </c>
      <c r="K768">
        <v>0.77777779102325439</v>
      </c>
      <c r="L768">
        <v>0.42222222685813904</v>
      </c>
      <c r="M768">
        <v>0.93333333333333335</v>
      </c>
      <c r="N768">
        <v>0.96296296296296291</v>
      </c>
      <c r="O768">
        <v>1</v>
      </c>
      <c r="P768">
        <v>13898</v>
      </c>
      <c r="Q768">
        <v>669733829</v>
      </c>
      <c r="R768">
        <v>13324</v>
      </c>
      <c r="S768">
        <v>2</v>
      </c>
      <c r="T768">
        <v>77</v>
      </c>
      <c r="U768">
        <v>0.93333333333333335</v>
      </c>
      <c r="V768">
        <v>0.92592592592592593</v>
      </c>
      <c r="W768">
        <v>1</v>
      </c>
      <c r="X768">
        <v>7360</v>
      </c>
      <c r="Y768">
        <v>345355880</v>
      </c>
      <c r="Z768">
        <v>13653</v>
      </c>
      <c r="AA768">
        <v>2</v>
      </c>
      <c r="AB768">
        <v>78</v>
      </c>
    </row>
    <row r="769" spans="1:28" hidden="1" x14ac:dyDescent="0.25">
      <c r="A769" s="7" t="s">
        <v>57</v>
      </c>
      <c r="B769">
        <v>14</v>
      </c>
      <c r="C769">
        <v>3</v>
      </c>
      <c r="D769">
        <v>5</v>
      </c>
      <c r="E769">
        <v>0</v>
      </c>
      <c r="F769" s="7" t="s">
        <v>64</v>
      </c>
      <c r="G769">
        <v>13439</v>
      </c>
      <c r="H769">
        <v>903525689</v>
      </c>
      <c r="I769">
        <v>5374</v>
      </c>
      <c r="J769">
        <v>0.66981130838394165</v>
      </c>
      <c r="K769">
        <v>0.77777779102325439</v>
      </c>
      <c r="L769">
        <v>0.66666668653488159</v>
      </c>
      <c r="M769">
        <v>0.93333333333333335</v>
      </c>
      <c r="N769">
        <v>0.92592592592592593</v>
      </c>
      <c r="O769">
        <v>1</v>
      </c>
      <c r="P769">
        <v>13396</v>
      </c>
      <c r="Q769">
        <v>614181478</v>
      </c>
      <c r="R769">
        <v>13324</v>
      </c>
      <c r="S769">
        <v>2</v>
      </c>
      <c r="T769">
        <v>77</v>
      </c>
      <c r="U769">
        <v>0.93333333333333335</v>
      </c>
      <c r="V769">
        <v>0.92592592592592593</v>
      </c>
      <c r="W769">
        <v>1</v>
      </c>
      <c r="X769">
        <v>13812</v>
      </c>
      <c r="Y769">
        <v>656999771</v>
      </c>
      <c r="Z769">
        <v>13653</v>
      </c>
      <c r="AA769">
        <v>2</v>
      </c>
      <c r="AB769">
        <v>78</v>
      </c>
    </row>
    <row r="770" spans="1:28" hidden="1" x14ac:dyDescent="0.25">
      <c r="A770" s="7" t="s">
        <v>57</v>
      </c>
      <c r="B770">
        <v>14</v>
      </c>
      <c r="C770">
        <v>3</v>
      </c>
      <c r="D770">
        <v>5</v>
      </c>
      <c r="E770">
        <v>0</v>
      </c>
      <c r="F770" s="7" t="s">
        <v>65</v>
      </c>
      <c r="G770">
        <v>10615</v>
      </c>
      <c r="H770">
        <v>805148246</v>
      </c>
      <c r="I770">
        <v>5147</v>
      </c>
      <c r="J770">
        <v>0.48113209009170532</v>
      </c>
      <c r="K770">
        <v>0.85185188055038452</v>
      </c>
      <c r="L770">
        <v>0.35555556416511536</v>
      </c>
      <c r="M770">
        <v>0.93333333333333335</v>
      </c>
      <c r="N770">
        <v>0.92592592592592593</v>
      </c>
      <c r="O770">
        <v>1</v>
      </c>
      <c r="P770">
        <v>11672</v>
      </c>
      <c r="Q770">
        <v>139491446</v>
      </c>
      <c r="R770">
        <v>10543</v>
      </c>
      <c r="S770">
        <v>2</v>
      </c>
      <c r="T770">
        <v>68</v>
      </c>
      <c r="U770">
        <v>0.93333333333333335</v>
      </c>
      <c r="V770">
        <v>0.92592592592592593</v>
      </c>
      <c r="W770">
        <v>1</v>
      </c>
      <c r="X770">
        <v>13836</v>
      </c>
      <c r="Y770">
        <v>159558386</v>
      </c>
      <c r="Z770">
        <v>10836</v>
      </c>
      <c r="AA770">
        <v>2</v>
      </c>
      <c r="AB770">
        <v>69</v>
      </c>
    </row>
    <row r="771" spans="1:28" hidden="1" x14ac:dyDescent="0.25">
      <c r="A771" s="7" t="s">
        <v>57</v>
      </c>
      <c r="B771">
        <v>14</v>
      </c>
      <c r="C771">
        <v>3</v>
      </c>
      <c r="D771">
        <v>5</v>
      </c>
      <c r="E771">
        <v>0</v>
      </c>
      <c r="F771" s="7" t="s">
        <v>65</v>
      </c>
      <c r="G771">
        <v>10615</v>
      </c>
      <c r="H771">
        <v>1171072540</v>
      </c>
      <c r="I771">
        <v>7020</v>
      </c>
      <c r="J771">
        <v>0.2641509473323822</v>
      </c>
      <c r="K771">
        <v>0.70370370149612427</v>
      </c>
      <c r="L771">
        <v>0.3333333432674408</v>
      </c>
      <c r="M771">
        <v>0.93333333333333335</v>
      </c>
      <c r="N771">
        <v>0.92592592592592593</v>
      </c>
      <c r="O771">
        <v>1</v>
      </c>
      <c r="P771">
        <v>7619</v>
      </c>
      <c r="Q771">
        <v>89890111</v>
      </c>
      <c r="R771">
        <v>10543</v>
      </c>
      <c r="S771">
        <v>2</v>
      </c>
      <c r="T771">
        <v>68</v>
      </c>
      <c r="U771">
        <v>0.93333333333333335</v>
      </c>
      <c r="V771">
        <v>0.92592592592592593</v>
      </c>
      <c r="W771">
        <v>1</v>
      </c>
      <c r="X771">
        <v>11010</v>
      </c>
      <c r="Y771">
        <v>132424886</v>
      </c>
      <c r="Z771">
        <v>10836</v>
      </c>
      <c r="AA771">
        <v>2</v>
      </c>
      <c r="AB771">
        <v>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E2780-FD6A-48E5-9EDA-B19F94F8815E}">
  <dimension ref="A1:AJ41"/>
  <sheetViews>
    <sheetView tabSelected="1" workbookViewId="0">
      <selection activeCell="L2" sqref="L2:L5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</cols>
  <sheetData>
    <row r="1" spans="1:36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6" t="s">
        <v>27</v>
      </c>
      <c r="AD1" t="s">
        <v>77</v>
      </c>
      <c r="AE1" t="str">
        <f>Tabela2[[#Headers],[kan_train_acc]]</f>
        <v>kan_train_acc</v>
      </c>
      <c r="AF1" t="str">
        <f>Tabela2[[#Headers],[kan_val_acc]]</f>
        <v>kan_val_acc</v>
      </c>
      <c r="AG1" t="str">
        <f>Tabela2[[#Headers],[kan_test_acc]]</f>
        <v>kan_test_acc</v>
      </c>
      <c r="AH1" t="str">
        <f>Tabela2[[#Headers],[mlp_test_acc]]</f>
        <v>mlp_test_acc</v>
      </c>
      <c r="AI1" t="str">
        <f>Tabela2[[#Headers],[mlp_val_acc]]</f>
        <v>mlp_val_acc</v>
      </c>
      <c r="AJ1" t="str">
        <f>Tabela2[[#Headers],[mlp_train_acc]]</f>
        <v>mlp_train_acc</v>
      </c>
    </row>
    <row r="2" spans="1:36" x14ac:dyDescent="0.25">
      <c r="A2" t="s">
        <v>44</v>
      </c>
      <c r="B2">
        <v>8</v>
      </c>
      <c r="C2">
        <v>3</v>
      </c>
      <c r="D2">
        <v>2</v>
      </c>
      <c r="E2">
        <v>0</v>
      </c>
      <c r="F2" t="s">
        <v>45</v>
      </c>
      <c r="G2">
        <v>1213</v>
      </c>
      <c r="H2">
        <v>30444456.800000001</v>
      </c>
      <c r="I2">
        <v>1000000</v>
      </c>
      <c r="J2">
        <v>0.9617977619171143</v>
      </c>
      <c r="K2">
        <v>1</v>
      </c>
      <c r="L2">
        <v>0.96842104196548462</v>
      </c>
      <c r="M2">
        <v>0.94736842105263153</v>
      </c>
      <c r="N2">
        <v>1</v>
      </c>
      <c r="O2">
        <v>0.91910112359550566</v>
      </c>
      <c r="P2">
        <v>277.8</v>
      </c>
      <c r="Q2">
        <v>2970185.8</v>
      </c>
      <c r="R2">
        <v>1191</v>
      </c>
      <c r="S2">
        <v>2</v>
      </c>
      <c r="T2">
        <v>22</v>
      </c>
      <c r="U2">
        <v>0.96842105263157896</v>
      </c>
      <c r="V2">
        <v>1</v>
      </c>
      <c r="W2">
        <v>0.94157303370786516</v>
      </c>
      <c r="X2">
        <v>316</v>
      </c>
      <c r="Y2">
        <v>3555178.4</v>
      </c>
      <c r="Z2">
        <v>1291</v>
      </c>
      <c r="AA2">
        <v>2</v>
      </c>
      <c r="AB2">
        <v>23</v>
      </c>
      <c r="AD2">
        <f>Tabela2[[#This Row],[kan_params]]</f>
        <v>1213</v>
      </c>
      <c r="AE2">
        <f>Tabela2[[#This Row],[kan_train_acc]]</f>
        <v>0.9617977619171143</v>
      </c>
      <c r="AF2">
        <f>Tabela2[[#This Row],[kan_val_acc]]</f>
        <v>1</v>
      </c>
      <c r="AG2">
        <f>Tabela2[[#This Row],[kan_test_acc]]</f>
        <v>0.96842104196548462</v>
      </c>
      <c r="AH2">
        <f>Tabela2[[#This Row],[mlp_test_acc]]</f>
        <v>0.94736842105263153</v>
      </c>
      <c r="AI2">
        <f>Tabela2[[#This Row],[mlp_val_acc]]</f>
        <v>1</v>
      </c>
      <c r="AJ2">
        <f>Tabela2[[#This Row],[mlp_train_acc]]</f>
        <v>0.91910112359550566</v>
      </c>
    </row>
    <row r="3" spans="1:36" x14ac:dyDescent="0.25">
      <c r="A3" t="s">
        <v>44</v>
      </c>
      <c r="B3">
        <v>8</v>
      </c>
      <c r="C3">
        <v>3</v>
      </c>
      <c r="D3">
        <v>2</v>
      </c>
      <c r="E3">
        <v>0</v>
      </c>
      <c r="F3" t="s">
        <v>52</v>
      </c>
      <c r="G3">
        <v>793</v>
      </c>
      <c r="H3">
        <v>10561649.800000001</v>
      </c>
      <c r="I3">
        <v>1000000</v>
      </c>
      <c r="J3">
        <v>0.95056180953979497</v>
      </c>
      <c r="K3">
        <v>1</v>
      </c>
      <c r="L3">
        <v>0.96315789222717285</v>
      </c>
      <c r="M3">
        <v>0.95789473684210524</v>
      </c>
      <c r="N3">
        <v>1</v>
      </c>
      <c r="O3">
        <v>0.93258426966292141</v>
      </c>
      <c r="P3">
        <v>435.4</v>
      </c>
      <c r="Q3">
        <v>4638912.2</v>
      </c>
      <c r="R3">
        <v>751</v>
      </c>
      <c r="S3">
        <v>2</v>
      </c>
      <c r="T3">
        <v>17</v>
      </c>
      <c r="U3">
        <v>0.96842105263157896</v>
      </c>
      <c r="V3">
        <v>1</v>
      </c>
      <c r="W3">
        <v>0.94831460674157297</v>
      </c>
      <c r="X3">
        <v>393.8</v>
      </c>
      <c r="Y3">
        <v>4557504.2</v>
      </c>
      <c r="Z3">
        <v>831</v>
      </c>
      <c r="AA3">
        <v>2</v>
      </c>
      <c r="AB3">
        <v>18</v>
      </c>
      <c r="AD3">
        <f>Tabela2[[#This Row],[kan_params]]</f>
        <v>793</v>
      </c>
      <c r="AE3">
        <f>Tabela2[[#This Row],[kan_train_acc]]</f>
        <v>0.95056180953979497</v>
      </c>
      <c r="AF3">
        <f>Tabela2[[#This Row],[kan_val_acc]]</f>
        <v>1</v>
      </c>
      <c r="AG3">
        <f>Tabela2[[#This Row],[kan_test_acc]]</f>
        <v>0.96315789222717285</v>
      </c>
      <c r="AH3">
        <f>Tabela2[[#This Row],[mlp_test_acc]]</f>
        <v>0.95789473684210524</v>
      </c>
      <c r="AI3">
        <f>Tabela2[[#This Row],[mlp_val_acc]]</f>
        <v>1</v>
      </c>
      <c r="AJ3">
        <f>Tabela2[[#This Row],[mlp_train_acc]]</f>
        <v>0.93258426966292141</v>
      </c>
    </row>
    <row r="4" spans="1:36" x14ac:dyDescent="0.25">
      <c r="A4" t="s">
        <v>44</v>
      </c>
      <c r="B4">
        <v>8</v>
      </c>
      <c r="C4">
        <v>3</v>
      </c>
      <c r="D4">
        <v>2</v>
      </c>
      <c r="E4">
        <v>0</v>
      </c>
      <c r="F4" t="s">
        <v>50</v>
      </c>
      <c r="G4">
        <v>583</v>
      </c>
      <c r="H4">
        <v>15108310.199999999</v>
      </c>
      <c r="I4">
        <v>1000000</v>
      </c>
      <c r="J4">
        <v>0.96629214286804199</v>
      </c>
      <c r="K4">
        <v>1</v>
      </c>
      <c r="L4">
        <v>0.95789474248886108</v>
      </c>
      <c r="M4">
        <v>0.95789473684210524</v>
      </c>
      <c r="N4">
        <v>1</v>
      </c>
      <c r="O4">
        <v>0.94157303370786516</v>
      </c>
      <c r="P4">
        <v>448.4</v>
      </c>
      <c r="Q4">
        <v>4509800.5999999996</v>
      </c>
      <c r="R4">
        <v>535</v>
      </c>
      <c r="S4">
        <v>2</v>
      </c>
      <c r="T4">
        <v>14</v>
      </c>
      <c r="U4">
        <v>0.96842105263157896</v>
      </c>
      <c r="V4">
        <v>1</v>
      </c>
      <c r="W4">
        <v>0.95056179775280891</v>
      </c>
      <c r="X4">
        <v>612.20000000000005</v>
      </c>
      <c r="Y4">
        <v>6674409.2000000002</v>
      </c>
      <c r="Z4">
        <v>603</v>
      </c>
      <c r="AA4">
        <v>2</v>
      </c>
      <c r="AB4">
        <v>15</v>
      </c>
      <c r="AD4">
        <f>Tabela2[[#This Row],[kan_params]]</f>
        <v>583</v>
      </c>
      <c r="AE4">
        <f>Tabela2[[#This Row],[kan_train_acc]]</f>
        <v>0.96629214286804199</v>
      </c>
      <c r="AF4">
        <f>Tabela2[[#This Row],[kan_val_acc]]</f>
        <v>1</v>
      </c>
      <c r="AG4">
        <f>Tabela2[[#This Row],[kan_test_acc]]</f>
        <v>0.95789474248886108</v>
      </c>
      <c r="AH4">
        <f>Tabela2[[#This Row],[mlp_test_acc]]</f>
        <v>0.95789473684210524</v>
      </c>
      <c r="AI4">
        <f>Tabela2[[#This Row],[mlp_val_acc]]</f>
        <v>1</v>
      </c>
      <c r="AJ4">
        <f>Tabela2[[#This Row],[mlp_train_acc]]</f>
        <v>0.94157303370786516</v>
      </c>
    </row>
    <row r="5" spans="1:36" x14ac:dyDescent="0.25">
      <c r="A5" t="s">
        <v>44</v>
      </c>
      <c r="B5">
        <v>8</v>
      </c>
      <c r="C5">
        <v>3</v>
      </c>
      <c r="D5">
        <v>2</v>
      </c>
      <c r="E5">
        <v>0</v>
      </c>
      <c r="F5" t="s">
        <v>46</v>
      </c>
      <c r="G5">
        <v>2063</v>
      </c>
      <c r="H5">
        <v>17469356</v>
      </c>
      <c r="I5">
        <v>1000000</v>
      </c>
      <c r="J5">
        <v>0.9573033809661865</v>
      </c>
      <c r="K5">
        <v>1</v>
      </c>
      <c r="L5">
        <v>0.95263159275054932</v>
      </c>
      <c r="M5">
        <v>0.95789473684210524</v>
      </c>
      <c r="N5">
        <v>1</v>
      </c>
      <c r="O5">
        <v>0.93258426966292129</v>
      </c>
      <c r="P5">
        <v>260.8</v>
      </c>
      <c r="Q5">
        <v>2764791.2</v>
      </c>
      <c r="R5">
        <v>1975</v>
      </c>
      <c r="S5">
        <v>2</v>
      </c>
      <c r="T5">
        <v>29</v>
      </c>
      <c r="U5">
        <v>0.94736842105263153</v>
      </c>
      <c r="V5">
        <v>1</v>
      </c>
      <c r="W5">
        <v>0.93258426966292129</v>
      </c>
      <c r="X5">
        <v>267.60000000000002</v>
      </c>
      <c r="Y5">
        <v>2876711.4</v>
      </c>
      <c r="Z5">
        <v>2103</v>
      </c>
      <c r="AA5">
        <v>2</v>
      </c>
      <c r="AB5">
        <v>30</v>
      </c>
      <c r="AD5">
        <f>Tabela2[[#This Row],[kan_params]]</f>
        <v>2063</v>
      </c>
      <c r="AE5">
        <f>Tabela2[[#This Row],[kan_train_acc]]</f>
        <v>0.9573033809661865</v>
      </c>
      <c r="AF5">
        <f>Tabela2[[#This Row],[kan_val_acc]]</f>
        <v>1</v>
      </c>
      <c r="AG5">
        <f>Tabela2[[#This Row],[kan_test_acc]]</f>
        <v>0.95263159275054932</v>
      </c>
      <c r="AH5">
        <f>Tabela2[[#This Row],[mlp_test_acc]]</f>
        <v>0.95789473684210524</v>
      </c>
      <c r="AI5">
        <f>Tabela2[[#This Row],[mlp_val_acc]]</f>
        <v>1</v>
      </c>
      <c r="AJ5">
        <f>Tabela2[[#This Row],[mlp_train_acc]]</f>
        <v>0.93258426966292129</v>
      </c>
    </row>
    <row r="6" spans="1:36" x14ac:dyDescent="0.25">
      <c r="A6" t="s">
        <v>44</v>
      </c>
      <c r="B6">
        <v>8</v>
      </c>
      <c r="C6">
        <v>3</v>
      </c>
      <c r="D6">
        <v>2</v>
      </c>
      <c r="E6">
        <v>0</v>
      </c>
      <c r="F6" t="s">
        <v>48</v>
      </c>
      <c r="G6">
        <v>2403</v>
      </c>
      <c r="H6">
        <v>19790787.199999999</v>
      </c>
      <c r="I6">
        <v>1000000</v>
      </c>
      <c r="J6">
        <v>0.94382023811340332</v>
      </c>
      <c r="K6">
        <v>1</v>
      </c>
      <c r="L6">
        <v>0.95263159275054932</v>
      </c>
      <c r="M6">
        <v>0.95789473684210524</v>
      </c>
      <c r="N6">
        <v>1</v>
      </c>
      <c r="O6">
        <v>0.94157303370786516</v>
      </c>
      <c r="P6">
        <v>255.4</v>
      </c>
      <c r="Q6">
        <v>2823055.6</v>
      </c>
      <c r="R6">
        <v>2371</v>
      </c>
      <c r="S6">
        <v>2</v>
      </c>
      <c r="T6">
        <v>32</v>
      </c>
      <c r="U6">
        <v>0.95789473684210524</v>
      </c>
      <c r="V6">
        <v>1</v>
      </c>
      <c r="W6">
        <v>0.94831460674157297</v>
      </c>
      <c r="X6">
        <v>238.4</v>
      </c>
      <c r="Y6">
        <v>2517803.2000000002</v>
      </c>
      <c r="Z6">
        <v>2511</v>
      </c>
      <c r="AA6">
        <v>2</v>
      </c>
      <c r="AB6">
        <v>33</v>
      </c>
      <c r="AD6">
        <f>Tabela2[[#This Row],[kan_params]]</f>
        <v>2403</v>
      </c>
      <c r="AE6">
        <f>Tabela2[[#This Row],[kan_train_acc]]</f>
        <v>0.94382023811340332</v>
      </c>
      <c r="AF6">
        <f>Tabela2[[#This Row],[kan_val_acc]]</f>
        <v>1</v>
      </c>
      <c r="AG6">
        <f>Tabela2[[#This Row],[kan_test_acc]]</f>
        <v>0.95263159275054932</v>
      </c>
      <c r="AH6">
        <f>Tabela2[[#This Row],[mlp_test_acc]]</f>
        <v>0.95789473684210524</v>
      </c>
      <c r="AI6">
        <f>Tabela2[[#This Row],[mlp_val_acc]]</f>
        <v>1</v>
      </c>
      <c r="AJ6">
        <f>Tabela2[[#This Row],[mlp_train_acc]]</f>
        <v>0.94157303370786516</v>
      </c>
    </row>
    <row r="7" spans="1:36" x14ac:dyDescent="0.25">
      <c r="A7" t="s">
        <v>44</v>
      </c>
      <c r="B7">
        <v>8</v>
      </c>
      <c r="C7">
        <v>3</v>
      </c>
      <c r="D7">
        <v>2</v>
      </c>
      <c r="E7">
        <v>0</v>
      </c>
      <c r="F7" t="s">
        <v>47</v>
      </c>
      <c r="G7">
        <v>1423</v>
      </c>
      <c r="H7">
        <v>17732081.399999999</v>
      </c>
      <c r="I7">
        <v>1000000</v>
      </c>
      <c r="J7">
        <v>0.94382023811340332</v>
      </c>
      <c r="K7">
        <v>1</v>
      </c>
      <c r="L7">
        <v>0.95263158082962041</v>
      </c>
      <c r="M7">
        <v>0.95789473684210524</v>
      </c>
      <c r="N7">
        <v>1</v>
      </c>
      <c r="O7">
        <v>0.93932584269662922</v>
      </c>
      <c r="P7">
        <v>266.8</v>
      </c>
      <c r="Q7">
        <v>2916297.6</v>
      </c>
      <c r="R7">
        <v>1395</v>
      </c>
      <c r="S7">
        <v>2</v>
      </c>
      <c r="T7">
        <v>24</v>
      </c>
      <c r="U7">
        <v>0.9631578947368421</v>
      </c>
      <c r="V7">
        <v>1</v>
      </c>
      <c r="W7">
        <v>0.9438202247191011</v>
      </c>
      <c r="X7">
        <v>311.8</v>
      </c>
      <c r="Y7">
        <v>3299296.2</v>
      </c>
      <c r="Z7">
        <v>1503</v>
      </c>
      <c r="AA7">
        <v>2</v>
      </c>
      <c r="AB7">
        <v>25</v>
      </c>
      <c r="AD7">
        <f>Tabela2[[#This Row],[kan_params]]</f>
        <v>1423</v>
      </c>
      <c r="AE7">
        <f>Tabela2[[#This Row],[kan_train_acc]]</f>
        <v>0.94382023811340332</v>
      </c>
      <c r="AF7">
        <f>Tabela2[[#This Row],[kan_val_acc]]</f>
        <v>1</v>
      </c>
      <c r="AG7">
        <f>Tabela2[[#This Row],[kan_test_acc]]</f>
        <v>0.95263158082962041</v>
      </c>
      <c r="AH7">
        <f>Tabela2[[#This Row],[mlp_test_acc]]</f>
        <v>0.95789473684210524</v>
      </c>
      <c r="AI7">
        <f>Tabela2[[#This Row],[mlp_val_acc]]</f>
        <v>1</v>
      </c>
      <c r="AJ7">
        <f>Tabela2[[#This Row],[mlp_train_acc]]</f>
        <v>0.93932584269662922</v>
      </c>
    </row>
    <row r="8" spans="1:36" x14ac:dyDescent="0.25">
      <c r="A8" t="s">
        <v>44</v>
      </c>
      <c r="B8">
        <v>10</v>
      </c>
      <c r="C8">
        <v>3</v>
      </c>
      <c r="D8">
        <v>3</v>
      </c>
      <c r="E8">
        <v>0</v>
      </c>
      <c r="F8" t="s">
        <v>49</v>
      </c>
      <c r="G8">
        <v>342</v>
      </c>
      <c r="H8">
        <v>8267977.2000000002</v>
      </c>
      <c r="I8">
        <v>1000000</v>
      </c>
      <c r="J8">
        <v>0.95280898809432979</v>
      </c>
      <c r="K8">
        <v>1</v>
      </c>
      <c r="L8">
        <v>0.95263156890869138</v>
      </c>
      <c r="M8">
        <v>0.93684210526315792</v>
      </c>
      <c r="N8">
        <v>1</v>
      </c>
      <c r="O8">
        <v>0.90112359550561805</v>
      </c>
      <c r="P8">
        <v>447.2</v>
      </c>
      <c r="Q8">
        <v>4154727.8</v>
      </c>
      <c r="R8">
        <v>303</v>
      </c>
      <c r="S8">
        <v>2</v>
      </c>
      <c r="T8">
        <v>10</v>
      </c>
      <c r="U8">
        <v>0.96842105263157896</v>
      </c>
      <c r="V8">
        <v>1</v>
      </c>
      <c r="W8">
        <v>0.96179775280898872</v>
      </c>
      <c r="X8">
        <v>634.4</v>
      </c>
      <c r="Y8">
        <v>6273902.5999999996</v>
      </c>
      <c r="Z8">
        <v>355</v>
      </c>
      <c r="AA8">
        <v>2</v>
      </c>
      <c r="AB8">
        <v>11</v>
      </c>
      <c r="AD8">
        <f>Tabela2[[#This Row],[kan_params]]</f>
        <v>342</v>
      </c>
      <c r="AE8">
        <f>Tabela2[[#This Row],[kan_train_acc]]</f>
        <v>0.95280898809432979</v>
      </c>
      <c r="AF8">
        <f>Tabela2[[#This Row],[kan_val_acc]]</f>
        <v>1</v>
      </c>
      <c r="AG8">
        <f>Tabela2[[#This Row],[kan_test_acc]]</f>
        <v>0.95263156890869138</v>
      </c>
      <c r="AH8">
        <f>Tabela2[[#This Row],[mlp_test_acc]]</f>
        <v>0.93684210526315792</v>
      </c>
      <c r="AI8">
        <f>Tabela2[[#This Row],[mlp_val_acc]]</f>
        <v>1</v>
      </c>
      <c r="AJ8">
        <f>Tabela2[[#This Row],[mlp_train_acc]]</f>
        <v>0.90112359550561805</v>
      </c>
    </row>
    <row r="9" spans="1:36" x14ac:dyDescent="0.25">
      <c r="A9" t="s">
        <v>44</v>
      </c>
      <c r="B9">
        <v>8</v>
      </c>
      <c r="C9">
        <v>3</v>
      </c>
      <c r="D9">
        <v>2</v>
      </c>
      <c r="E9">
        <v>0</v>
      </c>
      <c r="F9" t="s">
        <v>49</v>
      </c>
      <c r="G9">
        <v>279</v>
      </c>
      <c r="H9">
        <v>17087425.199999999</v>
      </c>
      <c r="I9">
        <v>1000000</v>
      </c>
      <c r="J9">
        <v>0.95505619049072266</v>
      </c>
      <c r="K9">
        <v>1</v>
      </c>
      <c r="L9">
        <v>0.94736843109130864</v>
      </c>
      <c r="M9">
        <v>0.96842105263157896</v>
      </c>
      <c r="N9">
        <v>1</v>
      </c>
      <c r="O9">
        <v>0.95280898876404496</v>
      </c>
      <c r="P9">
        <v>764.8</v>
      </c>
      <c r="Q9">
        <v>7476150.7999999998</v>
      </c>
      <c r="R9">
        <v>255</v>
      </c>
      <c r="S9">
        <v>2</v>
      </c>
      <c r="T9">
        <v>9</v>
      </c>
      <c r="U9">
        <v>0.94736842105263153</v>
      </c>
      <c r="V9">
        <v>1</v>
      </c>
      <c r="W9">
        <v>0.92359550561797754</v>
      </c>
      <c r="X9">
        <v>698.6</v>
      </c>
      <c r="Y9">
        <v>6320154.4000000004</v>
      </c>
      <c r="Z9">
        <v>303</v>
      </c>
      <c r="AA9">
        <v>2</v>
      </c>
      <c r="AB9">
        <v>10</v>
      </c>
      <c r="AD9">
        <f>Tabela2[[#This Row],[kan_params]]</f>
        <v>279</v>
      </c>
      <c r="AE9">
        <f>Tabela2[[#This Row],[kan_train_acc]]</f>
        <v>0.95505619049072266</v>
      </c>
      <c r="AF9">
        <f>Tabela2[[#This Row],[kan_val_acc]]</f>
        <v>1</v>
      </c>
      <c r="AG9">
        <f>Tabela2[[#This Row],[kan_test_acc]]</f>
        <v>0.94736843109130864</v>
      </c>
      <c r="AH9">
        <f>Tabela2[[#This Row],[mlp_test_acc]]</f>
        <v>0.96842105263157896</v>
      </c>
      <c r="AI9">
        <f>Tabela2[[#This Row],[mlp_val_acc]]</f>
        <v>1</v>
      </c>
      <c r="AJ9">
        <f>Tabela2[[#This Row],[mlp_train_acc]]</f>
        <v>0.95280898876404496</v>
      </c>
    </row>
    <row r="10" spans="1:36" x14ac:dyDescent="0.25">
      <c r="A10" t="s">
        <v>44</v>
      </c>
      <c r="B10">
        <v>10</v>
      </c>
      <c r="C10">
        <v>3</v>
      </c>
      <c r="D10">
        <v>3</v>
      </c>
      <c r="E10">
        <v>0</v>
      </c>
      <c r="F10" t="s">
        <v>54</v>
      </c>
      <c r="G10">
        <v>907</v>
      </c>
      <c r="H10">
        <v>11652255.4</v>
      </c>
      <c r="I10">
        <v>1000000</v>
      </c>
      <c r="J10">
        <v>0.9573033809661865</v>
      </c>
      <c r="K10">
        <v>1</v>
      </c>
      <c r="L10">
        <v>0.94736841917037962</v>
      </c>
      <c r="M10">
        <v>0.95263157894736838</v>
      </c>
      <c r="N10">
        <v>1</v>
      </c>
      <c r="O10">
        <v>0.93483146067415734</v>
      </c>
      <c r="P10">
        <v>373.2</v>
      </c>
      <c r="Q10">
        <v>4055682.2</v>
      </c>
      <c r="R10">
        <v>831</v>
      </c>
      <c r="S10">
        <v>2</v>
      </c>
      <c r="T10">
        <v>18</v>
      </c>
      <c r="U10">
        <v>0.94736842105263153</v>
      </c>
      <c r="V10">
        <v>1</v>
      </c>
      <c r="W10">
        <v>0.93707865168539328</v>
      </c>
      <c r="X10">
        <v>358</v>
      </c>
      <c r="Y10">
        <v>3531954.4</v>
      </c>
      <c r="Z10">
        <v>915</v>
      </c>
      <c r="AA10">
        <v>2</v>
      </c>
      <c r="AB10">
        <v>19</v>
      </c>
      <c r="AD10">
        <f>Tabela2[[#This Row],[kan_params]]</f>
        <v>907</v>
      </c>
      <c r="AE10">
        <f>Tabela2[[#This Row],[kan_train_acc]]</f>
        <v>0.9573033809661865</v>
      </c>
      <c r="AF10">
        <f>Tabela2[[#This Row],[kan_val_acc]]</f>
        <v>1</v>
      </c>
      <c r="AG10">
        <f>Tabela2[[#This Row],[kan_test_acc]]</f>
        <v>0.94736841917037962</v>
      </c>
      <c r="AH10">
        <f>Tabela2[[#This Row],[mlp_test_acc]]</f>
        <v>0.95263157894736838</v>
      </c>
      <c r="AI10">
        <f>Tabela2[[#This Row],[mlp_val_acc]]</f>
        <v>1</v>
      </c>
      <c r="AJ10">
        <f>Tabela2[[#This Row],[mlp_train_acc]]</f>
        <v>0.93483146067415734</v>
      </c>
    </row>
    <row r="11" spans="1:36" x14ac:dyDescent="0.25">
      <c r="A11" t="s">
        <v>44</v>
      </c>
      <c r="B11">
        <v>8</v>
      </c>
      <c r="C11">
        <v>3</v>
      </c>
      <c r="D11">
        <v>2</v>
      </c>
      <c r="E11">
        <v>0</v>
      </c>
      <c r="F11" t="s">
        <v>51</v>
      </c>
      <c r="G11">
        <v>1043</v>
      </c>
      <c r="H11">
        <v>13510742.4</v>
      </c>
      <c r="I11">
        <v>1000000</v>
      </c>
      <c r="J11">
        <v>0.93483147621154783</v>
      </c>
      <c r="K11">
        <v>1</v>
      </c>
      <c r="L11">
        <v>0.94210526943206785</v>
      </c>
      <c r="M11">
        <v>0.9631578947368421</v>
      </c>
      <c r="N11">
        <v>1</v>
      </c>
      <c r="O11">
        <v>0.93258426966292129</v>
      </c>
      <c r="P11">
        <v>340.6</v>
      </c>
      <c r="Q11">
        <v>3802729.8</v>
      </c>
      <c r="R11">
        <v>1003</v>
      </c>
      <c r="S11">
        <v>2</v>
      </c>
      <c r="T11">
        <v>20</v>
      </c>
      <c r="U11">
        <v>0.9631578947368421</v>
      </c>
      <c r="V11">
        <v>1</v>
      </c>
      <c r="W11">
        <v>0.9438202247191011</v>
      </c>
      <c r="X11">
        <v>338.8</v>
      </c>
      <c r="Y11">
        <v>4161679.6</v>
      </c>
      <c r="Z11">
        <v>1095</v>
      </c>
      <c r="AA11">
        <v>2</v>
      </c>
      <c r="AB11">
        <v>21</v>
      </c>
      <c r="AD11">
        <f>Tabela2[[#This Row],[kan_params]]</f>
        <v>1043</v>
      </c>
      <c r="AE11">
        <f>Tabela2[[#This Row],[kan_train_acc]]</f>
        <v>0.93483147621154783</v>
      </c>
      <c r="AF11">
        <f>Tabela2[[#This Row],[kan_val_acc]]</f>
        <v>1</v>
      </c>
      <c r="AG11">
        <f>Tabela2[[#This Row],[kan_test_acc]]</f>
        <v>0.94210526943206785</v>
      </c>
      <c r="AH11">
        <f>Tabela2[[#This Row],[mlp_test_acc]]</f>
        <v>0.9631578947368421</v>
      </c>
      <c r="AI11">
        <f>Tabela2[[#This Row],[mlp_val_acc]]</f>
        <v>1</v>
      </c>
      <c r="AJ11">
        <f>Tabela2[[#This Row],[mlp_train_acc]]</f>
        <v>0.93258426966292129</v>
      </c>
    </row>
    <row r="12" spans="1:36" x14ac:dyDescent="0.25">
      <c r="A12" t="s">
        <v>44</v>
      </c>
      <c r="B12">
        <v>8</v>
      </c>
      <c r="C12">
        <v>3</v>
      </c>
      <c r="D12">
        <v>2</v>
      </c>
      <c r="E12">
        <v>0</v>
      </c>
      <c r="F12" t="s">
        <v>56</v>
      </c>
      <c r="G12">
        <v>1723</v>
      </c>
      <c r="H12">
        <v>17424454.600000001</v>
      </c>
      <c r="I12">
        <v>1000000</v>
      </c>
      <c r="J12">
        <v>0.94831461906433101</v>
      </c>
      <c r="K12">
        <v>1</v>
      </c>
      <c r="L12">
        <v>0.94210526943206785</v>
      </c>
      <c r="M12">
        <v>0.95789473684210524</v>
      </c>
      <c r="N12">
        <v>1</v>
      </c>
      <c r="O12">
        <v>0.94157303370786516</v>
      </c>
      <c r="P12">
        <v>305.2</v>
      </c>
      <c r="Q12">
        <v>3200216</v>
      </c>
      <c r="R12">
        <v>1615</v>
      </c>
      <c r="S12">
        <v>2</v>
      </c>
      <c r="T12">
        <v>26</v>
      </c>
      <c r="U12">
        <v>0.95789473684210524</v>
      </c>
      <c r="V12">
        <v>1</v>
      </c>
      <c r="W12">
        <v>0.93932584269662922</v>
      </c>
      <c r="X12">
        <v>266.8</v>
      </c>
      <c r="Y12">
        <v>2627282.4</v>
      </c>
      <c r="Z12">
        <v>1731</v>
      </c>
      <c r="AA12">
        <v>2</v>
      </c>
      <c r="AB12">
        <v>27</v>
      </c>
      <c r="AD12">
        <f>Tabela2[[#This Row],[kan_params]]</f>
        <v>1723</v>
      </c>
      <c r="AE12">
        <f>Tabela2[[#This Row],[kan_train_acc]]</f>
        <v>0.94831461906433101</v>
      </c>
      <c r="AF12">
        <f>Tabela2[[#This Row],[kan_val_acc]]</f>
        <v>1</v>
      </c>
      <c r="AG12">
        <f>Tabela2[[#This Row],[kan_test_acc]]</f>
        <v>0.94210526943206785</v>
      </c>
      <c r="AH12">
        <f>Tabela2[[#This Row],[mlp_test_acc]]</f>
        <v>0.95789473684210524</v>
      </c>
      <c r="AI12">
        <f>Tabela2[[#This Row],[mlp_val_acc]]</f>
        <v>1</v>
      </c>
      <c r="AJ12">
        <f>Tabela2[[#This Row],[mlp_train_acc]]</f>
        <v>0.94157303370786516</v>
      </c>
    </row>
    <row r="13" spans="1:36" x14ac:dyDescent="0.25">
      <c r="A13" t="s">
        <v>44</v>
      </c>
      <c r="B13">
        <v>8</v>
      </c>
      <c r="C13">
        <v>3</v>
      </c>
      <c r="D13">
        <v>2</v>
      </c>
      <c r="E13">
        <v>0</v>
      </c>
      <c r="F13" t="s">
        <v>55</v>
      </c>
      <c r="G13">
        <v>1003</v>
      </c>
      <c r="H13">
        <v>19387268.199999999</v>
      </c>
      <c r="I13">
        <v>1000000</v>
      </c>
      <c r="J13">
        <v>0.93483146429061892</v>
      </c>
      <c r="K13">
        <v>1</v>
      </c>
      <c r="L13">
        <v>0.94210525751113894</v>
      </c>
      <c r="M13">
        <v>0.95789473684210524</v>
      </c>
      <c r="N13">
        <v>1</v>
      </c>
      <c r="O13">
        <v>0.93258426966292129</v>
      </c>
      <c r="P13">
        <v>344.8</v>
      </c>
      <c r="Q13">
        <v>3572751.4</v>
      </c>
      <c r="R13">
        <v>915</v>
      </c>
      <c r="S13">
        <v>2</v>
      </c>
      <c r="T13">
        <v>19</v>
      </c>
      <c r="U13">
        <v>0.96842105263157896</v>
      </c>
      <c r="V13">
        <v>1</v>
      </c>
      <c r="W13">
        <v>0.9438202247191011</v>
      </c>
      <c r="X13">
        <v>357.2</v>
      </c>
      <c r="Y13">
        <v>3520795.8</v>
      </c>
      <c r="Z13">
        <v>1003</v>
      </c>
      <c r="AA13">
        <v>2</v>
      </c>
      <c r="AB13">
        <v>20</v>
      </c>
      <c r="AD13">
        <f>Tabela2[[#This Row],[kan_params]]</f>
        <v>1003</v>
      </c>
      <c r="AE13">
        <f>Tabela2[[#This Row],[kan_train_acc]]</f>
        <v>0.93483146429061892</v>
      </c>
      <c r="AF13">
        <f>Tabela2[[#This Row],[kan_val_acc]]</f>
        <v>1</v>
      </c>
      <c r="AG13">
        <f>Tabela2[[#This Row],[kan_test_acc]]</f>
        <v>0.94210525751113894</v>
      </c>
      <c r="AH13">
        <f>Tabela2[[#This Row],[mlp_test_acc]]</f>
        <v>0.95789473684210524</v>
      </c>
      <c r="AI13">
        <f>Tabela2[[#This Row],[mlp_val_acc]]</f>
        <v>1</v>
      </c>
      <c r="AJ13">
        <f>Tabela2[[#This Row],[mlp_train_acc]]</f>
        <v>0.93258426966292129</v>
      </c>
    </row>
    <row r="14" spans="1:36" x14ac:dyDescent="0.25">
      <c r="A14" t="s">
        <v>44</v>
      </c>
      <c r="B14">
        <v>8</v>
      </c>
      <c r="C14">
        <v>3</v>
      </c>
      <c r="D14">
        <v>2</v>
      </c>
      <c r="E14">
        <v>0</v>
      </c>
      <c r="F14" t="s">
        <v>53</v>
      </c>
      <c r="G14">
        <v>1383</v>
      </c>
      <c r="H14">
        <v>10317271.6</v>
      </c>
      <c r="I14">
        <v>1000000</v>
      </c>
      <c r="J14">
        <v>0.94606742858886717</v>
      </c>
      <c r="K14">
        <v>1</v>
      </c>
      <c r="L14">
        <v>0.94210525751113894</v>
      </c>
      <c r="M14">
        <v>0.95789473684210524</v>
      </c>
      <c r="N14">
        <v>1</v>
      </c>
      <c r="O14">
        <v>0.94157303370786516</v>
      </c>
      <c r="P14">
        <v>344.2</v>
      </c>
      <c r="Q14">
        <v>3410805.4</v>
      </c>
      <c r="R14">
        <v>1291</v>
      </c>
      <c r="S14">
        <v>2</v>
      </c>
      <c r="T14">
        <v>23</v>
      </c>
      <c r="U14">
        <v>0.94736842105263153</v>
      </c>
      <c r="V14">
        <v>1</v>
      </c>
      <c r="W14">
        <v>0.93483146067415734</v>
      </c>
      <c r="X14">
        <v>268.2</v>
      </c>
      <c r="Y14">
        <v>2671360</v>
      </c>
      <c r="Z14">
        <v>1395</v>
      </c>
      <c r="AA14">
        <v>2</v>
      </c>
      <c r="AB14">
        <v>24</v>
      </c>
      <c r="AD14">
        <f>Tabela2[[#This Row],[kan_params]]</f>
        <v>1383</v>
      </c>
      <c r="AE14">
        <f>Tabela2[[#This Row],[kan_train_acc]]</f>
        <v>0.94606742858886717</v>
      </c>
      <c r="AF14">
        <f>Tabela2[[#This Row],[kan_val_acc]]</f>
        <v>1</v>
      </c>
      <c r="AG14">
        <f>Tabela2[[#This Row],[kan_test_acc]]</f>
        <v>0.94210525751113894</v>
      </c>
      <c r="AH14">
        <f>Tabela2[[#This Row],[mlp_test_acc]]</f>
        <v>0.95789473684210524</v>
      </c>
      <c r="AI14">
        <f>Tabela2[[#This Row],[mlp_val_acc]]</f>
        <v>1</v>
      </c>
      <c r="AJ14">
        <f>Tabela2[[#This Row],[mlp_train_acc]]</f>
        <v>0.94157303370786516</v>
      </c>
    </row>
    <row r="15" spans="1:36" x14ac:dyDescent="0.25">
      <c r="A15" t="s">
        <v>44</v>
      </c>
      <c r="B15">
        <v>10</v>
      </c>
      <c r="C15">
        <v>3</v>
      </c>
      <c r="D15">
        <v>3</v>
      </c>
      <c r="E15">
        <v>0</v>
      </c>
      <c r="F15" t="s">
        <v>45</v>
      </c>
      <c r="G15">
        <v>1489</v>
      </c>
      <c r="H15">
        <v>41613295.799999997</v>
      </c>
      <c r="I15">
        <v>1000000</v>
      </c>
      <c r="J15">
        <v>0.91910113096237178</v>
      </c>
      <c r="K15">
        <v>1</v>
      </c>
      <c r="L15">
        <v>0.94210525751113894</v>
      </c>
      <c r="M15">
        <v>0.96842105263157896</v>
      </c>
      <c r="N15">
        <v>1</v>
      </c>
      <c r="O15">
        <v>0.94831460674157309</v>
      </c>
      <c r="P15">
        <v>352.2</v>
      </c>
      <c r="Q15">
        <v>3611565</v>
      </c>
      <c r="R15">
        <v>1395</v>
      </c>
      <c r="S15">
        <v>2</v>
      </c>
      <c r="T15">
        <v>24</v>
      </c>
      <c r="U15">
        <v>0.95263157894736838</v>
      </c>
      <c r="V15">
        <v>1</v>
      </c>
      <c r="W15">
        <v>0.92584269662921348</v>
      </c>
      <c r="X15">
        <v>270.60000000000002</v>
      </c>
      <c r="Y15">
        <v>2757158.2</v>
      </c>
      <c r="Z15">
        <v>1503</v>
      </c>
      <c r="AA15">
        <v>2</v>
      </c>
      <c r="AB15">
        <v>25</v>
      </c>
      <c r="AD15">
        <f>Tabela2[[#This Row],[kan_params]]</f>
        <v>1489</v>
      </c>
      <c r="AE15">
        <f>Tabela2[[#This Row],[kan_train_acc]]</f>
        <v>0.91910113096237178</v>
      </c>
      <c r="AF15">
        <f>Tabela2[[#This Row],[kan_val_acc]]</f>
        <v>1</v>
      </c>
      <c r="AG15">
        <f>Tabela2[[#This Row],[kan_test_acc]]</f>
        <v>0.94210525751113894</v>
      </c>
      <c r="AH15">
        <f>Tabela2[[#This Row],[mlp_test_acc]]</f>
        <v>0.96842105263157896</v>
      </c>
      <c r="AI15">
        <f>Tabela2[[#This Row],[mlp_val_acc]]</f>
        <v>1</v>
      </c>
      <c r="AJ15">
        <f>Tabela2[[#This Row],[mlp_train_acc]]</f>
        <v>0.94831460674157309</v>
      </c>
    </row>
    <row r="16" spans="1:36" x14ac:dyDescent="0.25">
      <c r="A16" t="s">
        <v>44</v>
      </c>
      <c r="B16">
        <v>8</v>
      </c>
      <c r="C16">
        <v>3</v>
      </c>
      <c r="D16">
        <v>2</v>
      </c>
      <c r="E16">
        <v>0</v>
      </c>
      <c r="F16" t="s">
        <v>54</v>
      </c>
      <c r="G16">
        <v>739</v>
      </c>
      <c r="H16">
        <v>9569840.4000000004</v>
      </c>
      <c r="I16">
        <v>1000000</v>
      </c>
      <c r="J16">
        <v>0.93483147621154783</v>
      </c>
      <c r="K16">
        <v>1</v>
      </c>
      <c r="L16">
        <v>0.93684211969375608</v>
      </c>
      <c r="M16">
        <v>0.95789473684210524</v>
      </c>
      <c r="N16">
        <v>1</v>
      </c>
      <c r="O16">
        <v>0.93932584269662922</v>
      </c>
      <c r="P16">
        <v>357.8</v>
      </c>
      <c r="Q16">
        <v>3928962.4</v>
      </c>
      <c r="R16">
        <v>675</v>
      </c>
      <c r="S16">
        <v>2</v>
      </c>
      <c r="T16">
        <v>16</v>
      </c>
      <c r="U16">
        <v>0.95789473684210524</v>
      </c>
      <c r="V16">
        <v>1</v>
      </c>
      <c r="W16">
        <v>0.93932584269662922</v>
      </c>
      <c r="X16">
        <v>357.6</v>
      </c>
      <c r="Y16">
        <v>3344275.4</v>
      </c>
      <c r="Z16">
        <v>751</v>
      </c>
      <c r="AA16">
        <v>2</v>
      </c>
      <c r="AB16">
        <v>17</v>
      </c>
      <c r="AD16">
        <f>Tabela2[[#This Row],[kan_params]]</f>
        <v>739</v>
      </c>
      <c r="AE16">
        <f>Tabela2[[#This Row],[kan_train_acc]]</f>
        <v>0.93483147621154783</v>
      </c>
      <c r="AF16">
        <f>Tabela2[[#This Row],[kan_val_acc]]</f>
        <v>1</v>
      </c>
      <c r="AG16">
        <f>Tabela2[[#This Row],[kan_test_acc]]</f>
        <v>0.93684211969375608</v>
      </c>
      <c r="AH16">
        <f>Tabela2[[#This Row],[mlp_test_acc]]</f>
        <v>0.95789473684210524</v>
      </c>
      <c r="AI16">
        <f>Tabela2[[#This Row],[mlp_val_acc]]</f>
        <v>1</v>
      </c>
      <c r="AJ16">
        <f>Tabela2[[#This Row],[mlp_train_acc]]</f>
        <v>0.93932584269662922</v>
      </c>
    </row>
    <row r="17" spans="1:36" x14ac:dyDescent="0.25">
      <c r="A17" t="s">
        <v>44</v>
      </c>
      <c r="B17">
        <v>10</v>
      </c>
      <c r="C17">
        <v>3</v>
      </c>
      <c r="D17">
        <v>3</v>
      </c>
      <c r="E17">
        <v>0</v>
      </c>
      <c r="F17" t="s">
        <v>48</v>
      </c>
      <c r="G17">
        <v>2952</v>
      </c>
      <c r="H17">
        <v>279275991.60000002</v>
      </c>
      <c r="I17">
        <v>802183.6</v>
      </c>
      <c r="J17">
        <v>0.89887641668319707</v>
      </c>
      <c r="K17">
        <v>0.99130434989929195</v>
      </c>
      <c r="L17">
        <v>0.93684210777282717</v>
      </c>
      <c r="M17">
        <v>0.96842105263157896</v>
      </c>
      <c r="N17">
        <v>1</v>
      </c>
      <c r="O17">
        <v>0.95280898876404496</v>
      </c>
      <c r="P17">
        <v>209.2</v>
      </c>
      <c r="Q17">
        <v>2320661.4</v>
      </c>
      <c r="R17">
        <v>2803</v>
      </c>
      <c r="S17">
        <v>2</v>
      </c>
      <c r="T17">
        <v>35</v>
      </c>
      <c r="U17">
        <v>0.95263157894736838</v>
      </c>
      <c r="V17">
        <v>1</v>
      </c>
      <c r="W17">
        <v>0.93483146067415723</v>
      </c>
      <c r="X17">
        <v>239</v>
      </c>
      <c r="Y17">
        <v>2549968.7999999998</v>
      </c>
      <c r="Z17">
        <v>2955</v>
      </c>
      <c r="AA17">
        <v>2</v>
      </c>
      <c r="AB17">
        <v>36</v>
      </c>
      <c r="AD17">
        <f>Tabela2[[#This Row],[kan_params]]</f>
        <v>2952</v>
      </c>
      <c r="AE17">
        <f>Tabela2[[#This Row],[kan_train_acc]]</f>
        <v>0.89887641668319707</v>
      </c>
      <c r="AF17">
        <f>Tabela2[[#This Row],[kan_val_acc]]</f>
        <v>0.99130434989929195</v>
      </c>
      <c r="AG17">
        <f>Tabela2[[#This Row],[kan_test_acc]]</f>
        <v>0.93684210777282717</v>
      </c>
      <c r="AH17">
        <f>Tabela2[[#This Row],[mlp_test_acc]]</f>
        <v>0.96842105263157896</v>
      </c>
      <c r="AI17">
        <f>Tabela2[[#This Row],[mlp_val_acc]]</f>
        <v>1</v>
      </c>
      <c r="AJ17">
        <f>Tabela2[[#This Row],[mlp_train_acc]]</f>
        <v>0.95280898876404496</v>
      </c>
    </row>
    <row r="18" spans="1:36" x14ac:dyDescent="0.25">
      <c r="A18" t="s">
        <v>44</v>
      </c>
      <c r="B18">
        <v>10</v>
      </c>
      <c r="C18">
        <v>3</v>
      </c>
      <c r="D18">
        <v>3</v>
      </c>
      <c r="E18">
        <v>0</v>
      </c>
      <c r="F18" t="s">
        <v>55</v>
      </c>
      <c r="G18">
        <v>1231</v>
      </c>
      <c r="H18">
        <v>252234740.40000001</v>
      </c>
      <c r="I18">
        <v>802274.4</v>
      </c>
      <c r="J18">
        <v>0.86292135715484619</v>
      </c>
      <c r="K18">
        <v>0.97391303777694704</v>
      </c>
      <c r="L18">
        <v>0.87368421554565434</v>
      </c>
      <c r="M18">
        <v>0.95263157894736838</v>
      </c>
      <c r="N18">
        <v>1</v>
      </c>
      <c r="O18">
        <v>0.92808988764044942</v>
      </c>
      <c r="P18">
        <v>314.60000000000002</v>
      </c>
      <c r="Q18">
        <v>3364818.8</v>
      </c>
      <c r="R18">
        <v>1191</v>
      </c>
      <c r="S18">
        <v>2</v>
      </c>
      <c r="T18">
        <v>22</v>
      </c>
      <c r="U18">
        <v>0.96842105263157896</v>
      </c>
      <c r="V18">
        <v>1</v>
      </c>
      <c r="W18">
        <v>0.95280898876404496</v>
      </c>
      <c r="X18">
        <v>271.2</v>
      </c>
      <c r="Y18">
        <v>2849671.2</v>
      </c>
      <c r="Z18">
        <v>1291</v>
      </c>
      <c r="AA18">
        <v>2</v>
      </c>
      <c r="AB18">
        <v>23</v>
      </c>
      <c r="AD18">
        <f>Tabela2[[#This Row],[kan_params]]</f>
        <v>1231</v>
      </c>
      <c r="AE18">
        <f>Tabela2[[#This Row],[kan_train_acc]]</f>
        <v>0.86292135715484619</v>
      </c>
      <c r="AF18">
        <f>Tabela2[[#This Row],[kan_val_acc]]</f>
        <v>0.97391303777694704</v>
      </c>
      <c r="AG18">
        <f>Tabela2[[#This Row],[kan_test_acc]]</f>
        <v>0.87368421554565434</v>
      </c>
      <c r="AH18">
        <f>Tabela2[[#This Row],[mlp_test_acc]]</f>
        <v>0.95263157894736838</v>
      </c>
      <c r="AI18">
        <f>Tabela2[[#This Row],[mlp_val_acc]]</f>
        <v>1</v>
      </c>
      <c r="AJ18">
        <f>Tabela2[[#This Row],[mlp_train_acc]]</f>
        <v>0.92808988764044942</v>
      </c>
    </row>
    <row r="19" spans="1:36" x14ac:dyDescent="0.25">
      <c r="A19" t="s">
        <v>44</v>
      </c>
      <c r="B19">
        <v>10</v>
      </c>
      <c r="C19">
        <v>3</v>
      </c>
      <c r="D19">
        <v>3</v>
      </c>
      <c r="E19">
        <v>0</v>
      </c>
      <c r="F19" t="s">
        <v>47</v>
      </c>
      <c r="G19">
        <v>1747</v>
      </c>
      <c r="H19">
        <v>458968032.39999998</v>
      </c>
      <c r="I19">
        <v>604149.4</v>
      </c>
      <c r="J19">
        <v>0.79550561904907224</v>
      </c>
      <c r="K19">
        <v>0.97391304969787595</v>
      </c>
      <c r="L19">
        <v>0.82105262279510494</v>
      </c>
      <c r="M19">
        <v>0.9631578947368421</v>
      </c>
      <c r="N19">
        <v>1</v>
      </c>
      <c r="O19">
        <v>0.95056179775280902</v>
      </c>
      <c r="P19">
        <v>310</v>
      </c>
      <c r="Q19">
        <v>3226195.8</v>
      </c>
      <c r="R19">
        <v>1731</v>
      </c>
      <c r="S19">
        <v>2</v>
      </c>
      <c r="T19">
        <v>27</v>
      </c>
      <c r="U19">
        <v>0.94736842105263153</v>
      </c>
      <c r="V19">
        <v>1</v>
      </c>
      <c r="W19">
        <v>0.92359550561797754</v>
      </c>
      <c r="X19">
        <v>229.4</v>
      </c>
      <c r="Y19">
        <v>2461477.4</v>
      </c>
      <c r="Z19">
        <v>1851</v>
      </c>
      <c r="AA19">
        <v>2</v>
      </c>
      <c r="AB19">
        <v>28</v>
      </c>
      <c r="AD19">
        <f>Tabela2[[#This Row],[kan_params]]</f>
        <v>1747</v>
      </c>
      <c r="AE19">
        <f>Tabela2[[#This Row],[kan_train_acc]]</f>
        <v>0.79550561904907224</v>
      </c>
      <c r="AF19">
        <f>Tabela2[[#This Row],[kan_val_acc]]</f>
        <v>0.97391304969787595</v>
      </c>
      <c r="AG19">
        <f>Tabela2[[#This Row],[kan_test_acc]]</f>
        <v>0.82105262279510494</v>
      </c>
      <c r="AH19">
        <f>Tabela2[[#This Row],[mlp_test_acc]]</f>
        <v>0.9631578947368421</v>
      </c>
      <c r="AI19">
        <f>Tabela2[[#This Row],[mlp_val_acc]]</f>
        <v>1</v>
      </c>
      <c r="AJ19">
        <f>Tabela2[[#This Row],[mlp_train_acc]]</f>
        <v>0.95056179775280902</v>
      </c>
    </row>
    <row r="20" spans="1:36" x14ac:dyDescent="0.25">
      <c r="A20" t="s">
        <v>44</v>
      </c>
      <c r="B20">
        <v>10</v>
      </c>
      <c r="C20">
        <v>3</v>
      </c>
      <c r="D20">
        <v>3</v>
      </c>
      <c r="E20">
        <v>0</v>
      </c>
      <c r="F20" t="s">
        <v>51</v>
      </c>
      <c r="G20">
        <v>1280</v>
      </c>
      <c r="H20">
        <v>481334645.39999998</v>
      </c>
      <c r="I20">
        <v>604199</v>
      </c>
      <c r="J20">
        <v>0.76853934526443479</v>
      </c>
      <c r="K20">
        <v>0.95652173757553105</v>
      </c>
      <c r="L20">
        <v>0.80526314973831181</v>
      </c>
      <c r="M20">
        <v>0.95789473684210524</v>
      </c>
      <c r="N20">
        <v>1</v>
      </c>
      <c r="O20">
        <v>0.94606741573033704</v>
      </c>
      <c r="P20">
        <v>316</v>
      </c>
      <c r="Q20">
        <v>3459200.8</v>
      </c>
      <c r="R20">
        <v>1191</v>
      </c>
      <c r="S20">
        <v>2</v>
      </c>
      <c r="T20">
        <v>22</v>
      </c>
      <c r="U20">
        <v>0.9631578947368421</v>
      </c>
      <c r="V20">
        <v>1</v>
      </c>
      <c r="W20">
        <v>0.94606741573033704</v>
      </c>
      <c r="X20">
        <v>305</v>
      </c>
      <c r="Y20">
        <v>3224509.8</v>
      </c>
      <c r="Z20">
        <v>1291</v>
      </c>
      <c r="AA20">
        <v>2</v>
      </c>
      <c r="AB20">
        <v>23</v>
      </c>
      <c r="AD20">
        <f>Tabela2[[#This Row],[kan_params]]</f>
        <v>1280</v>
      </c>
      <c r="AE20">
        <f>Tabela2[[#This Row],[kan_train_acc]]</f>
        <v>0.76853934526443479</v>
      </c>
      <c r="AF20">
        <f>Tabela2[[#This Row],[kan_val_acc]]</f>
        <v>0.95652173757553105</v>
      </c>
      <c r="AG20">
        <f>Tabela2[[#This Row],[kan_test_acc]]</f>
        <v>0.80526314973831181</v>
      </c>
      <c r="AH20">
        <f>Tabela2[[#This Row],[mlp_test_acc]]</f>
        <v>0.95789473684210524</v>
      </c>
      <c r="AI20">
        <f>Tabela2[[#This Row],[mlp_val_acc]]</f>
        <v>1</v>
      </c>
      <c r="AJ20">
        <f>Tabela2[[#This Row],[mlp_train_acc]]</f>
        <v>0.94606741573033704</v>
      </c>
    </row>
    <row r="21" spans="1:36" x14ac:dyDescent="0.25">
      <c r="A21" t="s">
        <v>44</v>
      </c>
      <c r="B21">
        <v>10</v>
      </c>
      <c r="C21">
        <v>3</v>
      </c>
      <c r="D21">
        <v>3</v>
      </c>
      <c r="E21">
        <v>0</v>
      </c>
      <c r="F21" t="s">
        <v>52</v>
      </c>
      <c r="G21">
        <v>973</v>
      </c>
      <c r="H21">
        <v>241602193.19999999</v>
      </c>
      <c r="I21">
        <v>802053.4</v>
      </c>
      <c r="J21">
        <v>0.81348315477371214</v>
      </c>
      <c r="K21">
        <v>0.99130434989929195</v>
      </c>
      <c r="L21">
        <v>0.78947369456291194</v>
      </c>
      <c r="M21">
        <v>0.95263157894736838</v>
      </c>
      <c r="N21">
        <v>1</v>
      </c>
      <c r="O21">
        <v>0.93258426966292129</v>
      </c>
      <c r="P21">
        <v>366.6</v>
      </c>
      <c r="Q21">
        <v>3909209.6</v>
      </c>
      <c r="R21">
        <v>915</v>
      </c>
      <c r="S21">
        <v>2</v>
      </c>
      <c r="T21">
        <v>19</v>
      </c>
      <c r="U21">
        <v>0.95789473684210524</v>
      </c>
      <c r="V21">
        <v>1</v>
      </c>
      <c r="W21">
        <v>0.93707865168539328</v>
      </c>
      <c r="X21">
        <v>401.8</v>
      </c>
      <c r="Y21">
        <v>4252927.5999999996</v>
      </c>
      <c r="Z21">
        <v>1003</v>
      </c>
      <c r="AA21">
        <v>2</v>
      </c>
      <c r="AB21">
        <v>20</v>
      </c>
      <c r="AD21">
        <f>Tabela2[[#This Row],[kan_params]]</f>
        <v>973</v>
      </c>
      <c r="AE21">
        <f>Tabela2[[#This Row],[kan_train_acc]]</f>
        <v>0.81348315477371214</v>
      </c>
      <c r="AF21">
        <f>Tabela2[[#This Row],[kan_val_acc]]</f>
        <v>0.99130434989929195</v>
      </c>
      <c r="AG21">
        <f>Tabela2[[#This Row],[kan_test_acc]]</f>
        <v>0.78947369456291194</v>
      </c>
      <c r="AH21">
        <f>Tabela2[[#This Row],[mlp_test_acc]]</f>
        <v>0.95263157894736838</v>
      </c>
      <c r="AI21">
        <f>Tabela2[[#This Row],[mlp_val_acc]]</f>
        <v>1</v>
      </c>
      <c r="AJ21">
        <f>Tabela2[[#This Row],[mlp_train_acc]]</f>
        <v>0.93258426966292129</v>
      </c>
    </row>
    <row r="22" spans="1:36" x14ac:dyDescent="0.25">
      <c r="A22" t="s">
        <v>44</v>
      </c>
      <c r="B22">
        <v>10</v>
      </c>
      <c r="C22">
        <v>3</v>
      </c>
      <c r="D22">
        <v>3</v>
      </c>
      <c r="E22">
        <v>0</v>
      </c>
      <c r="F22" t="s">
        <v>46</v>
      </c>
      <c r="G22">
        <v>2534</v>
      </c>
      <c r="H22">
        <v>572621407</v>
      </c>
      <c r="I22">
        <v>604786</v>
      </c>
      <c r="J22">
        <v>0.77977528572082522</v>
      </c>
      <c r="K22">
        <v>0.97391304969787595</v>
      </c>
      <c r="L22">
        <v>0.77368419766426089</v>
      </c>
      <c r="M22">
        <v>0.9631578947368421</v>
      </c>
      <c r="N22">
        <v>1</v>
      </c>
      <c r="O22">
        <v>0.94606741573033704</v>
      </c>
      <c r="P22">
        <v>219.6</v>
      </c>
      <c r="Q22">
        <v>2530522</v>
      </c>
      <c r="R22">
        <v>2511</v>
      </c>
      <c r="S22">
        <v>2</v>
      </c>
      <c r="T22">
        <v>33</v>
      </c>
      <c r="U22">
        <v>0.95789473684210524</v>
      </c>
      <c r="V22">
        <v>1</v>
      </c>
      <c r="W22">
        <v>0.9550561797752809</v>
      </c>
      <c r="X22">
        <v>256.39999999999998</v>
      </c>
      <c r="Y22">
        <v>3019149.8</v>
      </c>
      <c r="Z22">
        <v>2655</v>
      </c>
      <c r="AA22">
        <v>2</v>
      </c>
      <c r="AB22">
        <v>34</v>
      </c>
      <c r="AD22">
        <f>Tabela2[[#This Row],[kan_params]]</f>
        <v>2534</v>
      </c>
      <c r="AE22">
        <f>Tabela2[[#This Row],[kan_train_acc]]</f>
        <v>0.77977528572082522</v>
      </c>
      <c r="AF22">
        <f>Tabela2[[#This Row],[kan_val_acc]]</f>
        <v>0.97391304969787595</v>
      </c>
      <c r="AG22">
        <f>Tabela2[[#This Row],[kan_test_acc]]</f>
        <v>0.77368419766426089</v>
      </c>
      <c r="AH22">
        <f>Tabela2[[#This Row],[mlp_test_acc]]</f>
        <v>0.9631578947368421</v>
      </c>
      <c r="AI22">
        <f>Tabela2[[#This Row],[mlp_val_acc]]</f>
        <v>1</v>
      </c>
      <c r="AJ22">
        <f>Tabela2[[#This Row],[mlp_train_acc]]</f>
        <v>0.94606741573033704</v>
      </c>
    </row>
    <row r="23" spans="1:36" x14ac:dyDescent="0.25">
      <c r="A23" t="s">
        <v>44</v>
      </c>
      <c r="B23">
        <v>10</v>
      </c>
      <c r="C23">
        <v>3</v>
      </c>
      <c r="D23">
        <v>3</v>
      </c>
      <c r="E23">
        <v>0</v>
      </c>
      <c r="F23" t="s">
        <v>56</v>
      </c>
      <c r="G23">
        <v>2116</v>
      </c>
      <c r="H23">
        <v>1189337283.5999999</v>
      </c>
      <c r="I23">
        <v>210719.2</v>
      </c>
      <c r="J23">
        <v>0.75280897617340092</v>
      </c>
      <c r="K23">
        <v>0.96521739959716801</v>
      </c>
      <c r="L23">
        <v>0.75789473652839656</v>
      </c>
      <c r="M23">
        <v>0.95263157894736838</v>
      </c>
      <c r="N23">
        <v>1</v>
      </c>
      <c r="O23">
        <v>0.94606741573033704</v>
      </c>
      <c r="P23">
        <v>261.60000000000002</v>
      </c>
      <c r="Q23">
        <v>2950135</v>
      </c>
      <c r="R23">
        <v>2103</v>
      </c>
      <c r="S23">
        <v>2</v>
      </c>
      <c r="T23">
        <v>30</v>
      </c>
      <c r="U23">
        <v>0.95789473684210524</v>
      </c>
      <c r="V23">
        <v>1</v>
      </c>
      <c r="W23">
        <v>0.93932584269662922</v>
      </c>
      <c r="X23">
        <v>280</v>
      </c>
      <c r="Y23">
        <v>2796675.6</v>
      </c>
      <c r="Z23">
        <v>2235</v>
      </c>
      <c r="AA23">
        <v>2</v>
      </c>
      <c r="AB23">
        <v>31</v>
      </c>
      <c r="AD23">
        <f>Tabela2[[#This Row],[kan_params]]</f>
        <v>2116</v>
      </c>
      <c r="AE23">
        <f>Tabela2[[#This Row],[kan_train_acc]]</f>
        <v>0.75280897617340092</v>
      </c>
      <c r="AF23">
        <f>Tabela2[[#This Row],[kan_val_acc]]</f>
        <v>0.96521739959716801</v>
      </c>
      <c r="AG23">
        <f>Tabela2[[#This Row],[kan_test_acc]]</f>
        <v>0.75789473652839656</v>
      </c>
      <c r="AH23">
        <f>Tabela2[[#This Row],[mlp_test_acc]]</f>
        <v>0.95263157894736838</v>
      </c>
      <c r="AI23">
        <f>Tabela2[[#This Row],[mlp_val_acc]]</f>
        <v>1</v>
      </c>
      <c r="AJ23">
        <f>Tabela2[[#This Row],[mlp_train_acc]]</f>
        <v>0.94606741573033704</v>
      </c>
    </row>
    <row r="24" spans="1:36" x14ac:dyDescent="0.25">
      <c r="A24" t="s">
        <v>44</v>
      </c>
      <c r="B24">
        <v>12</v>
      </c>
      <c r="C24">
        <v>3</v>
      </c>
      <c r="D24">
        <v>4</v>
      </c>
      <c r="E24">
        <v>0</v>
      </c>
      <c r="F24" t="s">
        <v>54</v>
      </c>
      <c r="G24">
        <v>1075</v>
      </c>
      <c r="H24">
        <v>219205596.19999999</v>
      </c>
      <c r="I24">
        <v>802025</v>
      </c>
      <c r="J24">
        <v>0.80449439883232121</v>
      </c>
      <c r="K24">
        <v>0.98260869979858401</v>
      </c>
      <c r="L24">
        <v>0.75789473056793211</v>
      </c>
      <c r="M24">
        <v>0.96842105263157896</v>
      </c>
      <c r="N24">
        <v>1</v>
      </c>
      <c r="O24">
        <v>0.94831460674157309</v>
      </c>
      <c r="P24">
        <v>398.8</v>
      </c>
      <c r="Q24">
        <v>4268383.4000000004</v>
      </c>
      <c r="R24">
        <v>1003</v>
      </c>
      <c r="S24">
        <v>2</v>
      </c>
      <c r="T24">
        <v>20</v>
      </c>
      <c r="U24">
        <v>0.95789473684210524</v>
      </c>
      <c r="V24">
        <v>1</v>
      </c>
      <c r="W24">
        <v>0.93707865168539328</v>
      </c>
      <c r="X24">
        <v>358.4</v>
      </c>
      <c r="Y24">
        <v>3834487.8</v>
      </c>
      <c r="Z24">
        <v>1095</v>
      </c>
      <c r="AA24">
        <v>2</v>
      </c>
      <c r="AB24">
        <v>21</v>
      </c>
      <c r="AD24">
        <f>Tabela2[[#This Row],[kan_params]]</f>
        <v>1075</v>
      </c>
      <c r="AE24">
        <f>Tabela2[[#This Row],[kan_train_acc]]</f>
        <v>0.80449439883232121</v>
      </c>
      <c r="AF24">
        <f>Tabela2[[#This Row],[kan_val_acc]]</f>
        <v>0.98260869979858401</v>
      </c>
      <c r="AG24">
        <f>Tabela2[[#This Row],[kan_test_acc]]</f>
        <v>0.75789473056793211</v>
      </c>
      <c r="AH24">
        <f>Tabela2[[#This Row],[mlp_test_acc]]</f>
        <v>0.96842105263157896</v>
      </c>
      <c r="AI24">
        <f>Tabela2[[#This Row],[mlp_val_acc]]</f>
        <v>1</v>
      </c>
      <c r="AJ24">
        <f>Tabela2[[#This Row],[mlp_train_acc]]</f>
        <v>0.94831460674157309</v>
      </c>
    </row>
    <row r="25" spans="1:36" x14ac:dyDescent="0.25">
      <c r="A25" t="s">
        <v>44</v>
      </c>
      <c r="B25">
        <v>14</v>
      </c>
      <c r="C25">
        <v>3</v>
      </c>
      <c r="D25">
        <v>5</v>
      </c>
      <c r="E25">
        <v>0</v>
      </c>
      <c r="F25" t="s">
        <v>54</v>
      </c>
      <c r="G25">
        <v>1243</v>
      </c>
      <c r="H25">
        <v>354220651</v>
      </c>
      <c r="I25">
        <v>5090.8</v>
      </c>
      <c r="J25">
        <v>0.6898876428604126</v>
      </c>
      <c r="K25">
        <v>0.88695652484893794</v>
      </c>
      <c r="L25">
        <v>0.75263158082962034</v>
      </c>
      <c r="M25">
        <v>0.97368421052631582</v>
      </c>
      <c r="N25">
        <v>0.86956521739130432</v>
      </c>
      <c r="O25">
        <v>1</v>
      </c>
      <c r="P25">
        <v>5010.3999999999996</v>
      </c>
      <c r="Q25">
        <v>1613344566.4000001</v>
      </c>
      <c r="R25">
        <v>1191</v>
      </c>
      <c r="S25">
        <v>2</v>
      </c>
      <c r="T25">
        <v>22</v>
      </c>
      <c r="U25">
        <v>0.97368421052631582</v>
      </c>
      <c r="V25">
        <v>0.87826086956521732</v>
      </c>
      <c r="W25">
        <v>1</v>
      </c>
      <c r="X25">
        <v>5010.3999999999996</v>
      </c>
      <c r="Y25">
        <v>1296321155.2</v>
      </c>
      <c r="Z25">
        <v>1291</v>
      </c>
      <c r="AA25">
        <v>2</v>
      </c>
      <c r="AB25">
        <v>23</v>
      </c>
      <c r="AD25">
        <f>Tabela2[[#This Row],[kan_params]]</f>
        <v>1243</v>
      </c>
      <c r="AE25">
        <f>Tabela2[[#This Row],[kan_train_acc]]</f>
        <v>0.6898876428604126</v>
      </c>
      <c r="AF25">
        <f>Tabela2[[#This Row],[kan_val_acc]]</f>
        <v>0.88695652484893794</v>
      </c>
      <c r="AG25">
        <f>Tabela2[[#This Row],[kan_test_acc]]</f>
        <v>0.75263158082962034</v>
      </c>
      <c r="AH25">
        <f>Tabela2[[#This Row],[mlp_test_acc]]</f>
        <v>0.97368421052631582</v>
      </c>
      <c r="AI25">
        <f>Tabela2[[#This Row],[mlp_val_acc]]</f>
        <v>0.86956521739130432</v>
      </c>
      <c r="AJ25">
        <f>Tabela2[[#This Row],[mlp_train_acc]]</f>
        <v>1</v>
      </c>
    </row>
    <row r="26" spans="1:36" x14ac:dyDescent="0.25">
      <c r="A26" t="s">
        <v>44</v>
      </c>
      <c r="B26">
        <v>10</v>
      </c>
      <c r="C26">
        <v>3</v>
      </c>
      <c r="D26">
        <v>3</v>
      </c>
      <c r="E26">
        <v>0</v>
      </c>
      <c r="F26" t="s">
        <v>50</v>
      </c>
      <c r="G26">
        <v>715</v>
      </c>
      <c r="H26">
        <v>664792846.20000005</v>
      </c>
      <c r="I26">
        <v>406717.4</v>
      </c>
      <c r="J26">
        <v>0.73707866668701172</v>
      </c>
      <c r="K26">
        <v>0.97391304969787595</v>
      </c>
      <c r="L26">
        <v>0.74736843109130857</v>
      </c>
      <c r="M26">
        <v>0.96842105263157896</v>
      </c>
      <c r="N26">
        <v>1</v>
      </c>
      <c r="O26">
        <v>0.95955056179775278</v>
      </c>
      <c r="P26">
        <v>370.8</v>
      </c>
      <c r="Q26">
        <v>4046464</v>
      </c>
      <c r="R26">
        <v>675</v>
      </c>
      <c r="S26">
        <v>2</v>
      </c>
      <c r="T26">
        <v>16</v>
      </c>
      <c r="U26">
        <v>0.9631578947368421</v>
      </c>
      <c r="V26">
        <v>1</v>
      </c>
      <c r="W26">
        <v>0.93707865168539328</v>
      </c>
      <c r="X26">
        <v>417.6</v>
      </c>
      <c r="Y26">
        <v>4195244.5999999996</v>
      </c>
      <c r="Z26">
        <v>751</v>
      </c>
      <c r="AA26">
        <v>2</v>
      </c>
      <c r="AB26">
        <v>17</v>
      </c>
      <c r="AD26">
        <f>Tabela2[[#This Row],[kan_params]]</f>
        <v>715</v>
      </c>
      <c r="AE26">
        <f>Tabela2[[#This Row],[kan_train_acc]]</f>
        <v>0.73707866668701172</v>
      </c>
      <c r="AF26">
        <f>Tabela2[[#This Row],[kan_val_acc]]</f>
        <v>0.97391304969787595</v>
      </c>
      <c r="AG26">
        <f>Tabela2[[#This Row],[kan_test_acc]]</f>
        <v>0.74736843109130857</v>
      </c>
      <c r="AH26">
        <f>Tabela2[[#This Row],[mlp_test_acc]]</f>
        <v>0.96842105263157896</v>
      </c>
      <c r="AI26">
        <f>Tabela2[[#This Row],[mlp_val_acc]]</f>
        <v>1</v>
      </c>
      <c r="AJ26">
        <f>Tabela2[[#This Row],[mlp_train_acc]]</f>
        <v>0.95955056179775278</v>
      </c>
    </row>
    <row r="27" spans="1:36" x14ac:dyDescent="0.25">
      <c r="A27" t="s">
        <v>44</v>
      </c>
      <c r="B27">
        <v>10</v>
      </c>
      <c r="C27">
        <v>3</v>
      </c>
      <c r="D27">
        <v>3</v>
      </c>
      <c r="E27">
        <v>0</v>
      </c>
      <c r="F27" t="s">
        <v>53</v>
      </c>
      <c r="G27">
        <v>1698</v>
      </c>
      <c r="H27">
        <v>675969846.79999995</v>
      </c>
      <c r="I27">
        <v>406212</v>
      </c>
      <c r="J27">
        <v>0.74606741666793819</v>
      </c>
      <c r="K27">
        <v>0.96521739959716801</v>
      </c>
      <c r="L27">
        <v>0.70000000596046452</v>
      </c>
      <c r="M27">
        <v>0.9631578947368421</v>
      </c>
      <c r="N27">
        <v>1</v>
      </c>
      <c r="O27">
        <v>0.93483146067415734</v>
      </c>
      <c r="P27">
        <v>290</v>
      </c>
      <c r="Q27">
        <v>3151737.4</v>
      </c>
      <c r="R27">
        <v>1615</v>
      </c>
      <c r="S27">
        <v>2</v>
      </c>
      <c r="T27">
        <v>26</v>
      </c>
      <c r="U27">
        <v>0.95263157894736838</v>
      </c>
      <c r="V27">
        <v>1</v>
      </c>
      <c r="W27">
        <v>0.9438202247191011</v>
      </c>
      <c r="X27">
        <v>247.6</v>
      </c>
      <c r="Y27">
        <v>2741549.2</v>
      </c>
      <c r="Z27">
        <v>1731</v>
      </c>
      <c r="AA27">
        <v>2</v>
      </c>
      <c r="AB27">
        <v>27</v>
      </c>
      <c r="AD27">
        <f>Tabela2[[#This Row],[kan_params]]</f>
        <v>1698</v>
      </c>
      <c r="AE27">
        <f>Tabela2[[#This Row],[kan_train_acc]]</f>
        <v>0.74606741666793819</v>
      </c>
      <c r="AF27">
        <f>Tabela2[[#This Row],[kan_val_acc]]</f>
        <v>0.96521739959716801</v>
      </c>
      <c r="AG27">
        <f>Tabela2[[#This Row],[kan_test_acc]]</f>
        <v>0.70000000596046452</v>
      </c>
      <c r="AH27">
        <f>Tabela2[[#This Row],[mlp_test_acc]]</f>
        <v>0.9631578947368421</v>
      </c>
      <c r="AI27">
        <f>Tabela2[[#This Row],[mlp_val_acc]]</f>
        <v>1</v>
      </c>
      <c r="AJ27">
        <f>Tabela2[[#This Row],[mlp_train_acc]]</f>
        <v>0.93483146067415734</v>
      </c>
    </row>
    <row r="28" spans="1:36" x14ac:dyDescent="0.25">
      <c r="A28" t="s">
        <v>44</v>
      </c>
      <c r="B28">
        <v>14</v>
      </c>
      <c r="C28">
        <v>3</v>
      </c>
      <c r="D28">
        <v>5</v>
      </c>
      <c r="E28">
        <v>0</v>
      </c>
      <c r="F28" t="s">
        <v>49</v>
      </c>
      <c r="G28">
        <v>468</v>
      </c>
      <c r="H28">
        <v>334150864.60000002</v>
      </c>
      <c r="I28">
        <v>5290</v>
      </c>
      <c r="J28">
        <v>0.55056179761886592</v>
      </c>
      <c r="K28">
        <v>0.83478258848190312</v>
      </c>
      <c r="L28">
        <v>0.54210526347160337</v>
      </c>
      <c r="M28">
        <v>0.97368421052631582</v>
      </c>
      <c r="N28">
        <v>0.86956521739130432</v>
      </c>
      <c r="O28">
        <v>1</v>
      </c>
      <c r="P28">
        <v>5012.8</v>
      </c>
      <c r="Q28">
        <v>1394346421.4000001</v>
      </c>
      <c r="R28">
        <v>411</v>
      </c>
      <c r="S28">
        <v>2</v>
      </c>
      <c r="T28">
        <v>12</v>
      </c>
      <c r="U28">
        <v>0.97368421052631582</v>
      </c>
      <c r="V28">
        <v>0.90434782608695652</v>
      </c>
      <c r="W28">
        <v>1</v>
      </c>
      <c r="X28">
        <v>5012.6000000000004</v>
      </c>
      <c r="Y28">
        <v>1072210916.8</v>
      </c>
      <c r="Z28">
        <v>471</v>
      </c>
      <c r="AA28">
        <v>2</v>
      </c>
      <c r="AB28">
        <v>13</v>
      </c>
      <c r="AD28">
        <f>Tabela2[[#This Row],[kan_params]]</f>
        <v>468</v>
      </c>
      <c r="AE28">
        <f>Tabela2[[#This Row],[kan_train_acc]]</f>
        <v>0.55056179761886592</v>
      </c>
      <c r="AF28">
        <f>Tabela2[[#This Row],[kan_val_acc]]</f>
        <v>0.83478258848190312</v>
      </c>
      <c r="AG28">
        <f>Tabela2[[#This Row],[kan_test_acc]]</f>
        <v>0.54210526347160337</v>
      </c>
      <c r="AH28">
        <f>Tabela2[[#This Row],[mlp_test_acc]]</f>
        <v>0.97368421052631582</v>
      </c>
      <c r="AI28">
        <f>Tabela2[[#This Row],[mlp_val_acc]]</f>
        <v>0.86956521739130432</v>
      </c>
      <c r="AJ28">
        <f>Tabela2[[#This Row],[mlp_train_acc]]</f>
        <v>1</v>
      </c>
    </row>
    <row r="29" spans="1:36" x14ac:dyDescent="0.25">
      <c r="A29" t="s">
        <v>44</v>
      </c>
      <c r="B29">
        <v>12</v>
      </c>
      <c r="C29">
        <v>3</v>
      </c>
      <c r="D29">
        <v>4</v>
      </c>
      <c r="E29">
        <v>0</v>
      </c>
      <c r="F29" t="s">
        <v>55</v>
      </c>
      <c r="G29">
        <v>1459</v>
      </c>
      <c r="H29">
        <v>1192739125</v>
      </c>
      <c r="I29">
        <v>10892.2</v>
      </c>
      <c r="J29">
        <v>0.49662921428680418</v>
      </c>
      <c r="K29">
        <v>0.75652173757553098</v>
      </c>
      <c r="L29">
        <v>0.5368421137332916</v>
      </c>
      <c r="M29">
        <v>0.97368421052631582</v>
      </c>
      <c r="N29">
        <v>1</v>
      </c>
      <c r="O29">
        <v>0.94831460674157297</v>
      </c>
      <c r="P29">
        <v>228.8</v>
      </c>
      <c r="Q29">
        <v>2182723.4</v>
      </c>
      <c r="R29">
        <v>1395</v>
      </c>
      <c r="S29">
        <v>2</v>
      </c>
      <c r="T29">
        <v>24</v>
      </c>
      <c r="U29">
        <v>0.97894736842105268</v>
      </c>
      <c r="V29">
        <v>1</v>
      </c>
      <c r="W29">
        <v>0.95955056179775278</v>
      </c>
      <c r="X29">
        <v>324.39999999999998</v>
      </c>
      <c r="Y29">
        <v>2988479</v>
      </c>
      <c r="Z29">
        <v>1503</v>
      </c>
      <c r="AA29">
        <v>2</v>
      </c>
      <c r="AB29">
        <v>25</v>
      </c>
      <c r="AD29">
        <f>Tabela2[[#This Row],[kan_params]]</f>
        <v>1459</v>
      </c>
      <c r="AE29">
        <f>Tabela2[[#This Row],[kan_train_acc]]</f>
        <v>0.49662921428680418</v>
      </c>
      <c r="AF29">
        <f>Tabela2[[#This Row],[kan_val_acc]]</f>
        <v>0.75652173757553098</v>
      </c>
      <c r="AG29">
        <f>Tabela2[[#This Row],[kan_test_acc]]</f>
        <v>0.5368421137332916</v>
      </c>
      <c r="AH29">
        <f>Tabela2[[#This Row],[mlp_test_acc]]</f>
        <v>0.97368421052631582</v>
      </c>
      <c r="AI29">
        <f>Tabela2[[#This Row],[mlp_val_acc]]</f>
        <v>1</v>
      </c>
      <c r="AJ29">
        <f>Tabela2[[#This Row],[mlp_train_acc]]</f>
        <v>0.94831460674157297</v>
      </c>
    </row>
    <row r="30" spans="1:36" x14ac:dyDescent="0.25">
      <c r="A30" t="s">
        <v>44</v>
      </c>
      <c r="B30">
        <v>12</v>
      </c>
      <c r="C30">
        <v>3</v>
      </c>
      <c r="D30">
        <v>4</v>
      </c>
      <c r="E30">
        <v>0</v>
      </c>
      <c r="F30" t="s">
        <v>45</v>
      </c>
      <c r="G30">
        <v>1765</v>
      </c>
      <c r="H30">
        <v>1343690389.5999999</v>
      </c>
      <c r="I30">
        <v>11850.4</v>
      </c>
      <c r="J30">
        <v>0.4696629226207733</v>
      </c>
      <c r="K30">
        <v>0.81739128828048702</v>
      </c>
      <c r="L30">
        <v>0.52105262875556946</v>
      </c>
      <c r="M30">
        <v>0.96842105263157896</v>
      </c>
      <c r="N30">
        <v>1</v>
      </c>
      <c r="O30">
        <v>0.95056179775280902</v>
      </c>
      <c r="P30">
        <v>285.8</v>
      </c>
      <c r="Q30">
        <v>2930270.4</v>
      </c>
      <c r="R30">
        <v>1731</v>
      </c>
      <c r="S30">
        <v>2</v>
      </c>
      <c r="T30">
        <v>27</v>
      </c>
      <c r="U30">
        <v>0.97368421052631582</v>
      </c>
      <c r="V30">
        <v>1</v>
      </c>
      <c r="W30">
        <v>0.95056179775280902</v>
      </c>
      <c r="X30">
        <v>188.6</v>
      </c>
      <c r="Y30">
        <v>1878764.6</v>
      </c>
      <c r="Z30">
        <v>1851</v>
      </c>
      <c r="AA30">
        <v>2</v>
      </c>
      <c r="AB30">
        <v>28</v>
      </c>
      <c r="AD30">
        <f>Tabela2[[#This Row],[kan_params]]</f>
        <v>1765</v>
      </c>
      <c r="AE30">
        <f>Tabela2[[#This Row],[kan_train_acc]]</f>
        <v>0.4696629226207733</v>
      </c>
      <c r="AF30">
        <f>Tabela2[[#This Row],[kan_val_acc]]</f>
        <v>0.81739128828048702</v>
      </c>
      <c r="AG30">
        <f>Tabela2[[#This Row],[kan_test_acc]]</f>
        <v>0.52105262875556946</v>
      </c>
      <c r="AH30">
        <f>Tabela2[[#This Row],[mlp_test_acc]]</f>
        <v>0.96842105263157896</v>
      </c>
      <c r="AI30">
        <f>Tabela2[[#This Row],[mlp_val_acc]]</f>
        <v>1</v>
      </c>
      <c r="AJ30">
        <f>Tabela2[[#This Row],[mlp_train_acc]]</f>
        <v>0.95056179775280902</v>
      </c>
    </row>
    <row r="31" spans="1:36" x14ac:dyDescent="0.25">
      <c r="A31" t="s">
        <v>44</v>
      </c>
      <c r="B31">
        <v>14</v>
      </c>
      <c r="C31">
        <v>3</v>
      </c>
      <c r="D31">
        <v>5</v>
      </c>
      <c r="E31">
        <v>0</v>
      </c>
      <c r="F31" t="s">
        <v>51</v>
      </c>
      <c r="G31">
        <v>1754</v>
      </c>
      <c r="H31">
        <v>686793110</v>
      </c>
      <c r="I31">
        <v>5019</v>
      </c>
      <c r="J31">
        <v>0.41573032736778259</v>
      </c>
      <c r="K31">
        <v>0.95652174949645996</v>
      </c>
      <c r="L31">
        <v>0.5</v>
      </c>
      <c r="M31">
        <v>0.94736842105263153</v>
      </c>
      <c r="N31">
        <v>0.91304347826086951</v>
      </c>
      <c r="O31">
        <v>1</v>
      </c>
      <c r="P31">
        <v>7470</v>
      </c>
      <c r="Q31">
        <v>3240916918</v>
      </c>
      <c r="R31">
        <v>1731</v>
      </c>
      <c r="S31">
        <v>2</v>
      </c>
      <c r="T31">
        <v>27</v>
      </c>
      <c r="U31">
        <v>0.94736842105263153</v>
      </c>
      <c r="V31">
        <v>0.95652173913043481</v>
      </c>
      <c r="W31">
        <v>1</v>
      </c>
      <c r="X31">
        <v>6223</v>
      </c>
      <c r="Y31">
        <v>2200498455</v>
      </c>
      <c r="Z31">
        <v>1851</v>
      </c>
      <c r="AA31">
        <v>2</v>
      </c>
      <c r="AB31">
        <v>28</v>
      </c>
      <c r="AD31">
        <f>Tabela2[[#This Row],[kan_params]]</f>
        <v>1754</v>
      </c>
      <c r="AE31">
        <f>Tabela2[[#This Row],[kan_train_acc]]</f>
        <v>0.41573032736778259</v>
      </c>
      <c r="AF31">
        <f>Tabela2[[#This Row],[kan_val_acc]]</f>
        <v>0.95652174949645996</v>
      </c>
      <c r="AG31">
        <f>Tabela2[[#This Row],[kan_test_acc]]</f>
        <v>0.5</v>
      </c>
      <c r="AH31">
        <f>Tabela2[[#This Row],[mlp_test_acc]]</f>
        <v>0.94736842105263153</v>
      </c>
      <c r="AI31">
        <f>Tabela2[[#This Row],[mlp_val_acc]]</f>
        <v>0.91304347826086951</v>
      </c>
      <c r="AJ31">
        <f>Tabela2[[#This Row],[mlp_train_acc]]</f>
        <v>1</v>
      </c>
    </row>
    <row r="32" spans="1:36" x14ac:dyDescent="0.25">
      <c r="A32" t="s">
        <v>44</v>
      </c>
      <c r="B32">
        <v>12</v>
      </c>
      <c r="C32">
        <v>3</v>
      </c>
      <c r="D32">
        <v>4</v>
      </c>
      <c r="E32">
        <v>0</v>
      </c>
      <c r="F32" t="s">
        <v>46</v>
      </c>
      <c r="G32">
        <v>3005</v>
      </c>
      <c r="H32">
        <v>999024501.60000002</v>
      </c>
      <c r="I32">
        <v>8485</v>
      </c>
      <c r="J32">
        <v>0.4786516845226288</v>
      </c>
      <c r="K32">
        <v>0.79999998807907102</v>
      </c>
      <c r="L32">
        <v>0.49473685622215269</v>
      </c>
      <c r="M32">
        <v>0.97368421052631582</v>
      </c>
      <c r="N32">
        <v>0.90434782608695652</v>
      </c>
      <c r="O32">
        <v>0.99325842696629218</v>
      </c>
      <c r="P32">
        <v>62045.599999999999</v>
      </c>
      <c r="Q32">
        <v>3035821093</v>
      </c>
      <c r="R32">
        <v>2955</v>
      </c>
      <c r="S32">
        <v>2</v>
      </c>
      <c r="T32">
        <v>36</v>
      </c>
      <c r="U32">
        <v>0.97368421052631582</v>
      </c>
      <c r="V32">
        <v>0.90434782608695652</v>
      </c>
      <c r="W32">
        <v>0.99325842696629218</v>
      </c>
      <c r="X32">
        <v>62047</v>
      </c>
      <c r="Y32">
        <v>3130810390.8000002</v>
      </c>
      <c r="Z32">
        <v>3111</v>
      </c>
      <c r="AA32">
        <v>2</v>
      </c>
      <c r="AB32">
        <v>37</v>
      </c>
      <c r="AD32">
        <f>Tabela2[[#This Row],[kan_params]]</f>
        <v>3005</v>
      </c>
      <c r="AE32">
        <f>Tabela2[[#This Row],[kan_train_acc]]</f>
        <v>0.4786516845226288</v>
      </c>
      <c r="AF32">
        <f>Tabela2[[#This Row],[kan_val_acc]]</f>
        <v>0.79999998807907102</v>
      </c>
      <c r="AG32">
        <f>Tabela2[[#This Row],[kan_test_acc]]</f>
        <v>0.49473685622215269</v>
      </c>
      <c r="AH32">
        <f>Tabela2[[#This Row],[mlp_test_acc]]</f>
        <v>0.97368421052631582</v>
      </c>
      <c r="AI32">
        <f>Tabela2[[#This Row],[mlp_val_acc]]</f>
        <v>0.90434782608695652</v>
      </c>
      <c r="AJ32">
        <f>Tabela2[[#This Row],[mlp_train_acc]]</f>
        <v>0.99325842696629218</v>
      </c>
    </row>
    <row r="33" spans="1:36" x14ac:dyDescent="0.25">
      <c r="A33" t="s">
        <v>44</v>
      </c>
      <c r="B33">
        <v>12</v>
      </c>
      <c r="C33">
        <v>3</v>
      </c>
      <c r="D33">
        <v>4</v>
      </c>
      <c r="E33">
        <v>0</v>
      </c>
      <c r="F33" t="s">
        <v>49</v>
      </c>
      <c r="G33">
        <v>405</v>
      </c>
      <c r="H33">
        <v>724896030.39999998</v>
      </c>
      <c r="I33">
        <v>10423</v>
      </c>
      <c r="J33">
        <v>0.47191012203693389</v>
      </c>
      <c r="K33">
        <v>0.91304347515106199</v>
      </c>
      <c r="L33">
        <v>0.46315788328647611</v>
      </c>
      <c r="M33">
        <v>0.95789473684210524</v>
      </c>
      <c r="N33">
        <v>1</v>
      </c>
      <c r="O33">
        <v>0.93033707865168536</v>
      </c>
      <c r="P33">
        <v>518.4</v>
      </c>
      <c r="Q33">
        <v>5426161.7999999998</v>
      </c>
      <c r="R33">
        <v>355</v>
      </c>
      <c r="S33">
        <v>2</v>
      </c>
      <c r="T33">
        <v>11</v>
      </c>
      <c r="U33">
        <v>0.95263157894736838</v>
      </c>
      <c r="V33">
        <v>1</v>
      </c>
      <c r="W33">
        <v>0.93033707865168536</v>
      </c>
      <c r="X33">
        <v>984.4</v>
      </c>
      <c r="Y33">
        <v>10800085.800000001</v>
      </c>
      <c r="Z33">
        <v>411</v>
      </c>
      <c r="AA33">
        <v>2</v>
      </c>
      <c r="AB33">
        <v>12</v>
      </c>
      <c r="AD33">
        <f>Tabela2[[#This Row],[kan_params]]</f>
        <v>405</v>
      </c>
      <c r="AE33">
        <f>Tabela2[[#This Row],[kan_train_acc]]</f>
        <v>0.47191012203693389</v>
      </c>
      <c r="AF33">
        <f>Tabela2[[#This Row],[kan_val_acc]]</f>
        <v>0.91304347515106199</v>
      </c>
      <c r="AG33">
        <f>Tabela2[[#This Row],[kan_test_acc]]</f>
        <v>0.46315788328647611</v>
      </c>
      <c r="AH33">
        <f>Tabela2[[#This Row],[mlp_test_acc]]</f>
        <v>0.95789473684210524</v>
      </c>
      <c r="AI33">
        <f>Tabela2[[#This Row],[mlp_val_acc]]</f>
        <v>1</v>
      </c>
      <c r="AJ33">
        <f>Tabela2[[#This Row],[mlp_train_acc]]</f>
        <v>0.93033707865168536</v>
      </c>
    </row>
    <row r="34" spans="1:36" x14ac:dyDescent="0.25">
      <c r="A34" t="s">
        <v>44</v>
      </c>
      <c r="B34">
        <v>12</v>
      </c>
      <c r="C34">
        <v>3</v>
      </c>
      <c r="D34">
        <v>4</v>
      </c>
      <c r="E34">
        <v>0</v>
      </c>
      <c r="F34" t="s">
        <v>53</v>
      </c>
      <c r="G34">
        <v>2013</v>
      </c>
      <c r="H34">
        <v>1218639863.8</v>
      </c>
      <c r="I34">
        <v>10502</v>
      </c>
      <c r="J34">
        <v>0.42921348810195925</v>
      </c>
      <c r="K34">
        <v>0.79999998807907102</v>
      </c>
      <c r="L34">
        <v>0.45263157486915589</v>
      </c>
      <c r="M34">
        <v>0.96842105263157896</v>
      </c>
      <c r="N34">
        <v>1</v>
      </c>
      <c r="O34">
        <v>0.95056179775280902</v>
      </c>
      <c r="P34">
        <v>182.6</v>
      </c>
      <c r="Q34">
        <v>1772593.2</v>
      </c>
      <c r="R34">
        <v>1975</v>
      </c>
      <c r="S34">
        <v>2</v>
      </c>
      <c r="T34">
        <v>29</v>
      </c>
      <c r="U34">
        <v>0.96842105263157896</v>
      </c>
      <c r="V34">
        <v>1</v>
      </c>
      <c r="W34">
        <v>0.95056179775280902</v>
      </c>
      <c r="X34">
        <v>242.2</v>
      </c>
      <c r="Y34">
        <v>2371597.2000000002</v>
      </c>
      <c r="Z34">
        <v>2103</v>
      </c>
      <c r="AA34">
        <v>2</v>
      </c>
      <c r="AB34">
        <v>30</v>
      </c>
      <c r="AD34">
        <f>Tabela2[[#This Row],[kan_params]]</f>
        <v>2013</v>
      </c>
      <c r="AE34">
        <f>Tabela2[[#This Row],[kan_train_acc]]</f>
        <v>0.42921348810195925</v>
      </c>
      <c r="AF34">
        <f>Tabela2[[#This Row],[kan_val_acc]]</f>
        <v>0.79999998807907102</v>
      </c>
      <c r="AG34">
        <f>Tabela2[[#This Row],[kan_test_acc]]</f>
        <v>0.45263157486915589</v>
      </c>
      <c r="AH34">
        <f>Tabela2[[#This Row],[mlp_test_acc]]</f>
        <v>0.96842105263157896</v>
      </c>
      <c r="AI34">
        <f>Tabela2[[#This Row],[mlp_val_acc]]</f>
        <v>1</v>
      </c>
      <c r="AJ34">
        <f>Tabela2[[#This Row],[mlp_train_acc]]</f>
        <v>0.95056179775280902</v>
      </c>
    </row>
    <row r="35" spans="1:36" x14ac:dyDescent="0.25">
      <c r="A35" t="s">
        <v>44</v>
      </c>
      <c r="B35">
        <v>12</v>
      </c>
      <c r="C35">
        <v>3</v>
      </c>
      <c r="D35">
        <v>4</v>
      </c>
      <c r="E35">
        <v>0</v>
      </c>
      <c r="F35" t="s">
        <v>52</v>
      </c>
      <c r="G35">
        <v>1153</v>
      </c>
      <c r="H35">
        <v>1525536549.4000001</v>
      </c>
      <c r="I35">
        <v>13918</v>
      </c>
      <c r="J35">
        <v>0.43820223808288572</v>
      </c>
      <c r="K35">
        <v>0.85217390060424802</v>
      </c>
      <c r="L35">
        <v>0.43157894909381866</v>
      </c>
      <c r="M35">
        <v>0.98947368421052628</v>
      </c>
      <c r="N35">
        <v>1</v>
      </c>
      <c r="O35">
        <v>0.95730337078651684</v>
      </c>
      <c r="P35">
        <v>469.8</v>
      </c>
      <c r="Q35">
        <v>4719727</v>
      </c>
      <c r="R35">
        <v>1095</v>
      </c>
      <c r="S35">
        <v>2</v>
      </c>
      <c r="T35">
        <v>21</v>
      </c>
      <c r="U35">
        <v>0.98421052631578954</v>
      </c>
      <c r="V35">
        <v>1</v>
      </c>
      <c r="W35">
        <v>0.95280898876404496</v>
      </c>
      <c r="X35">
        <v>297.60000000000002</v>
      </c>
      <c r="Y35">
        <v>2622967.4</v>
      </c>
      <c r="Z35">
        <v>1191</v>
      </c>
      <c r="AA35">
        <v>2</v>
      </c>
      <c r="AB35">
        <v>22</v>
      </c>
      <c r="AD35">
        <f>Tabela2[[#This Row],[kan_params]]</f>
        <v>1153</v>
      </c>
      <c r="AE35">
        <f>Tabela2[[#This Row],[kan_train_acc]]</f>
        <v>0.43820223808288572</v>
      </c>
      <c r="AF35">
        <f>Tabela2[[#This Row],[kan_val_acc]]</f>
        <v>0.85217390060424802</v>
      </c>
      <c r="AG35">
        <f>Tabela2[[#This Row],[kan_test_acc]]</f>
        <v>0.43157894909381866</v>
      </c>
      <c r="AH35">
        <f>Tabela2[[#This Row],[mlp_test_acc]]</f>
        <v>0.98947368421052628</v>
      </c>
      <c r="AI35">
        <f>Tabela2[[#This Row],[mlp_val_acc]]</f>
        <v>1</v>
      </c>
      <c r="AJ35">
        <f>Tabela2[[#This Row],[mlp_train_acc]]</f>
        <v>0.95730337078651684</v>
      </c>
    </row>
    <row r="36" spans="1:36" x14ac:dyDescent="0.25">
      <c r="A36" t="s">
        <v>44</v>
      </c>
      <c r="B36">
        <v>12</v>
      </c>
      <c r="C36">
        <v>3</v>
      </c>
      <c r="D36">
        <v>4</v>
      </c>
      <c r="E36">
        <v>0</v>
      </c>
      <c r="F36" t="s">
        <v>56</v>
      </c>
      <c r="G36">
        <v>2509</v>
      </c>
      <c r="H36">
        <v>1197320289.2</v>
      </c>
      <c r="I36">
        <v>10047.4</v>
      </c>
      <c r="J36">
        <v>0.39775281548500063</v>
      </c>
      <c r="K36">
        <v>0.85217390060424802</v>
      </c>
      <c r="L36">
        <v>0.42631579637527467</v>
      </c>
      <c r="M36">
        <v>0.97894736842105268</v>
      </c>
      <c r="N36">
        <v>1</v>
      </c>
      <c r="O36">
        <v>0.96404494382022476</v>
      </c>
      <c r="P36">
        <v>311</v>
      </c>
      <c r="Q36">
        <v>3007024</v>
      </c>
      <c r="R36">
        <v>2371</v>
      </c>
      <c r="S36">
        <v>2</v>
      </c>
      <c r="T36">
        <v>32</v>
      </c>
      <c r="U36">
        <v>0.97894736842105268</v>
      </c>
      <c r="V36">
        <v>1</v>
      </c>
      <c r="W36">
        <v>0.95955056179775278</v>
      </c>
      <c r="X36">
        <v>255.4</v>
      </c>
      <c r="Y36">
        <v>2616647</v>
      </c>
      <c r="Z36">
        <v>2511</v>
      </c>
      <c r="AA36">
        <v>2</v>
      </c>
      <c r="AB36">
        <v>33</v>
      </c>
      <c r="AD36">
        <f>Tabela2[[#This Row],[kan_params]]</f>
        <v>2509</v>
      </c>
      <c r="AE36">
        <f>Tabela2[[#This Row],[kan_train_acc]]</f>
        <v>0.39775281548500063</v>
      </c>
      <c r="AF36">
        <f>Tabela2[[#This Row],[kan_val_acc]]</f>
        <v>0.85217390060424802</v>
      </c>
      <c r="AG36">
        <f>Tabela2[[#This Row],[kan_test_acc]]</f>
        <v>0.42631579637527467</v>
      </c>
      <c r="AH36">
        <f>Tabela2[[#This Row],[mlp_test_acc]]</f>
        <v>0.97894736842105268</v>
      </c>
      <c r="AI36">
        <f>Tabela2[[#This Row],[mlp_val_acc]]</f>
        <v>1</v>
      </c>
      <c r="AJ36">
        <f>Tabela2[[#This Row],[mlp_train_acc]]</f>
        <v>0.96404494382022476</v>
      </c>
    </row>
    <row r="37" spans="1:36" x14ac:dyDescent="0.25">
      <c r="A37" t="s">
        <v>44</v>
      </c>
      <c r="B37">
        <v>14</v>
      </c>
      <c r="C37">
        <v>3</v>
      </c>
      <c r="D37">
        <v>5</v>
      </c>
      <c r="E37">
        <v>0</v>
      </c>
      <c r="F37" t="s">
        <v>50</v>
      </c>
      <c r="G37">
        <v>979</v>
      </c>
      <c r="H37">
        <v>586554282.60000002</v>
      </c>
      <c r="I37">
        <v>5032.3999999999996</v>
      </c>
      <c r="J37">
        <v>0.35056179165840151</v>
      </c>
      <c r="K37">
        <v>0.80869563817977907</v>
      </c>
      <c r="L37">
        <v>0.4</v>
      </c>
      <c r="M37">
        <v>0.9631578947368421</v>
      </c>
      <c r="N37">
        <v>0.90434782608695652</v>
      </c>
      <c r="O37">
        <v>1</v>
      </c>
      <c r="P37">
        <v>16904.400000000001</v>
      </c>
      <c r="Q37">
        <v>5271633274.8000002</v>
      </c>
      <c r="R37">
        <v>915</v>
      </c>
      <c r="S37">
        <v>2</v>
      </c>
      <c r="T37">
        <v>19</v>
      </c>
      <c r="U37">
        <v>0.93684210526315792</v>
      </c>
      <c r="V37">
        <v>0.90434782608695652</v>
      </c>
      <c r="W37">
        <v>0.99550561797752812</v>
      </c>
      <c r="X37">
        <v>7585.2</v>
      </c>
      <c r="Y37">
        <v>2035685917.5999999</v>
      </c>
      <c r="Z37">
        <v>1003</v>
      </c>
      <c r="AA37">
        <v>2</v>
      </c>
      <c r="AB37">
        <v>20</v>
      </c>
      <c r="AD37">
        <f>Tabela2[[#This Row],[kan_params]]</f>
        <v>979</v>
      </c>
      <c r="AE37">
        <f>Tabela2[[#This Row],[kan_train_acc]]</f>
        <v>0.35056179165840151</v>
      </c>
      <c r="AF37">
        <f>Tabela2[[#This Row],[kan_val_acc]]</f>
        <v>0.80869563817977907</v>
      </c>
      <c r="AG37">
        <f>Tabela2[[#This Row],[kan_test_acc]]</f>
        <v>0.4</v>
      </c>
      <c r="AH37">
        <f>Tabela2[[#This Row],[mlp_test_acc]]</f>
        <v>0.9631578947368421</v>
      </c>
      <c r="AI37">
        <f>Tabela2[[#This Row],[mlp_val_acc]]</f>
        <v>0.90434782608695652</v>
      </c>
      <c r="AJ37">
        <f>Tabela2[[#This Row],[mlp_train_acc]]</f>
        <v>1</v>
      </c>
    </row>
    <row r="38" spans="1:36" x14ac:dyDescent="0.25">
      <c r="A38" t="s">
        <v>44</v>
      </c>
      <c r="B38">
        <v>12</v>
      </c>
      <c r="C38">
        <v>3</v>
      </c>
      <c r="D38">
        <v>4</v>
      </c>
      <c r="E38">
        <v>0</v>
      </c>
      <c r="F38" t="s">
        <v>50</v>
      </c>
      <c r="G38">
        <v>847</v>
      </c>
      <c r="H38">
        <v>1137451672.1666667</v>
      </c>
      <c r="I38">
        <v>10070.5</v>
      </c>
      <c r="J38">
        <v>0.42134831349054974</v>
      </c>
      <c r="K38">
        <v>0.77536232272783912</v>
      </c>
      <c r="L38">
        <v>0.38596491267283756</v>
      </c>
      <c r="M38">
        <v>0.90350877192982459</v>
      </c>
      <c r="N38">
        <v>0.97826086956521741</v>
      </c>
      <c r="O38">
        <v>0.96816479400749067</v>
      </c>
      <c r="P38">
        <v>500122.83333333331</v>
      </c>
      <c r="Q38">
        <v>5315592797.833333</v>
      </c>
      <c r="R38">
        <v>831</v>
      </c>
      <c r="S38">
        <v>2</v>
      </c>
      <c r="T38">
        <v>18</v>
      </c>
      <c r="U38">
        <v>0.89035087719298245</v>
      </c>
      <c r="V38">
        <v>1</v>
      </c>
      <c r="W38">
        <v>0.96441947565543074</v>
      </c>
      <c r="X38">
        <v>223.16666666666666</v>
      </c>
      <c r="Y38">
        <v>2144074</v>
      </c>
      <c r="Z38">
        <v>915</v>
      </c>
      <c r="AA38">
        <v>2</v>
      </c>
      <c r="AB38">
        <v>19</v>
      </c>
      <c r="AD38">
        <f>Tabela2[[#This Row],[kan_params]]</f>
        <v>847</v>
      </c>
      <c r="AE38">
        <f>Tabela2[[#This Row],[kan_train_acc]]</f>
        <v>0.42134831349054974</v>
      </c>
      <c r="AF38">
        <f>Tabela2[[#This Row],[kan_val_acc]]</f>
        <v>0.77536232272783912</v>
      </c>
      <c r="AG38">
        <f>Tabela2[[#This Row],[kan_test_acc]]</f>
        <v>0.38596491267283756</v>
      </c>
      <c r="AH38">
        <f>Tabela2[[#This Row],[mlp_test_acc]]</f>
        <v>0.90350877192982459</v>
      </c>
      <c r="AI38">
        <f>Tabela2[[#This Row],[mlp_val_acc]]</f>
        <v>0.97826086956521741</v>
      </c>
      <c r="AJ38">
        <f>Tabela2[[#This Row],[mlp_train_acc]]</f>
        <v>0.96816479400749067</v>
      </c>
    </row>
    <row r="39" spans="1:36" x14ac:dyDescent="0.25">
      <c r="A39" t="s">
        <v>44</v>
      </c>
      <c r="B39">
        <v>12</v>
      </c>
      <c r="C39">
        <v>3</v>
      </c>
      <c r="D39">
        <v>4</v>
      </c>
      <c r="E39">
        <v>0</v>
      </c>
      <c r="F39" t="s">
        <v>47</v>
      </c>
      <c r="G39">
        <v>2071</v>
      </c>
      <c r="H39">
        <v>1056465499.4285715</v>
      </c>
      <c r="I39">
        <v>10228.142857142857</v>
      </c>
      <c r="J39">
        <v>0.34831460671765463</v>
      </c>
      <c r="K39">
        <v>0.73291925873075214</v>
      </c>
      <c r="L39">
        <v>0.37969924509525299</v>
      </c>
      <c r="M39">
        <v>0.98120300751879697</v>
      </c>
      <c r="N39">
        <v>0.98757763975155277</v>
      </c>
      <c r="O39">
        <v>0.97752808988764051</v>
      </c>
      <c r="P39">
        <v>30266.571428571428</v>
      </c>
      <c r="Q39">
        <v>3036246363.7142859</v>
      </c>
      <c r="R39">
        <v>1975</v>
      </c>
      <c r="S39">
        <v>2</v>
      </c>
      <c r="T39">
        <v>29</v>
      </c>
      <c r="U39">
        <v>0.97368421052631582</v>
      </c>
      <c r="V39">
        <v>0.98757763975155277</v>
      </c>
      <c r="W39">
        <v>0.9823434991974318</v>
      </c>
      <c r="X39">
        <v>28653.571428571428</v>
      </c>
      <c r="Y39">
        <v>2473418671.8571429</v>
      </c>
      <c r="Z39">
        <v>2103</v>
      </c>
      <c r="AA39">
        <v>2</v>
      </c>
      <c r="AB39">
        <v>30</v>
      </c>
      <c r="AD39">
        <f>Tabela2[[#This Row],[kan_params]]</f>
        <v>2071</v>
      </c>
      <c r="AE39">
        <f>Tabela2[[#This Row],[kan_train_acc]]</f>
        <v>0.34831460671765463</v>
      </c>
      <c r="AF39">
        <f>Tabela2[[#This Row],[kan_val_acc]]</f>
        <v>0.73291925873075214</v>
      </c>
      <c r="AG39">
        <f>Tabela2[[#This Row],[kan_test_acc]]</f>
        <v>0.37969924509525299</v>
      </c>
      <c r="AH39">
        <f>Tabela2[[#This Row],[mlp_test_acc]]</f>
        <v>0.98120300751879697</v>
      </c>
      <c r="AI39">
        <f>Tabela2[[#This Row],[mlp_val_acc]]</f>
        <v>0.98757763975155277</v>
      </c>
      <c r="AJ39">
        <f>Tabela2[[#This Row],[mlp_train_acc]]</f>
        <v>0.97752808988764051</v>
      </c>
    </row>
    <row r="40" spans="1:36" x14ac:dyDescent="0.25">
      <c r="A40" t="s">
        <v>44</v>
      </c>
      <c r="B40">
        <v>12</v>
      </c>
      <c r="C40">
        <v>3</v>
      </c>
      <c r="D40">
        <v>4</v>
      </c>
      <c r="E40">
        <v>0</v>
      </c>
      <c r="F40" t="s">
        <v>51</v>
      </c>
      <c r="G40">
        <v>1517</v>
      </c>
      <c r="H40">
        <v>1257106711.8</v>
      </c>
      <c r="I40">
        <v>10889.8</v>
      </c>
      <c r="J40">
        <v>0.37752808630466461</v>
      </c>
      <c r="K40">
        <v>0.75652173757553098</v>
      </c>
      <c r="L40">
        <v>0.32105262875556945</v>
      </c>
      <c r="M40">
        <v>0.95789473684210524</v>
      </c>
      <c r="N40">
        <v>1</v>
      </c>
      <c r="O40">
        <v>0.9550561797752809</v>
      </c>
      <c r="P40">
        <v>254.2</v>
      </c>
      <c r="Q40">
        <v>2491613.2000000002</v>
      </c>
      <c r="R40">
        <v>1503</v>
      </c>
      <c r="S40">
        <v>2</v>
      </c>
      <c r="T40">
        <v>25</v>
      </c>
      <c r="U40">
        <v>0.9631578947368421</v>
      </c>
      <c r="V40">
        <v>1</v>
      </c>
      <c r="W40">
        <v>0.95056179775280902</v>
      </c>
      <c r="X40">
        <v>178.6</v>
      </c>
      <c r="Y40">
        <v>1615088.8</v>
      </c>
      <c r="Z40">
        <v>1615</v>
      </c>
      <c r="AA40">
        <v>2</v>
      </c>
      <c r="AB40">
        <v>26</v>
      </c>
      <c r="AD40">
        <f>Tabela2[[#This Row],[kan_params]]</f>
        <v>1517</v>
      </c>
      <c r="AE40">
        <f>Tabela2[[#This Row],[kan_train_acc]]</f>
        <v>0.37752808630466461</v>
      </c>
      <c r="AF40">
        <f>Tabela2[[#This Row],[kan_val_acc]]</f>
        <v>0.75652173757553098</v>
      </c>
      <c r="AG40">
        <f>Tabela2[[#This Row],[kan_test_acc]]</f>
        <v>0.32105262875556945</v>
      </c>
      <c r="AH40">
        <f>Tabela2[[#This Row],[mlp_test_acc]]</f>
        <v>0.95789473684210524</v>
      </c>
      <c r="AI40">
        <f>Tabela2[[#This Row],[mlp_val_acc]]</f>
        <v>1</v>
      </c>
      <c r="AJ40">
        <f>Tabela2[[#This Row],[mlp_train_acc]]</f>
        <v>0.9550561797752809</v>
      </c>
    </row>
    <row r="41" spans="1:36" x14ac:dyDescent="0.25">
      <c r="A41" t="s">
        <v>44</v>
      </c>
      <c r="B41">
        <v>12</v>
      </c>
      <c r="C41">
        <v>3</v>
      </c>
      <c r="D41">
        <v>4</v>
      </c>
      <c r="E41">
        <v>0</v>
      </c>
      <c r="F41" t="s">
        <v>48</v>
      </c>
      <c r="G41">
        <v>3501</v>
      </c>
      <c r="H41">
        <v>1217829406.8</v>
      </c>
      <c r="I41">
        <v>10632.4</v>
      </c>
      <c r="J41">
        <v>0.32359551191329955</v>
      </c>
      <c r="K41">
        <v>0.79130434989929199</v>
      </c>
      <c r="L41">
        <v>0.31578947305679322</v>
      </c>
      <c r="M41">
        <v>0.93684210526315792</v>
      </c>
      <c r="N41">
        <v>1</v>
      </c>
      <c r="O41">
        <v>0.98651685393258426</v>
      </c>
      <c r="P41">
        <v>195.4</v>
      </c>
      <c r="Q41">
        <v>84725366</v>
      </c>
      <c r="R41">
        <v>3435</v>
      </c>
      <c r="S41">
        <v>2</v>
      </c>
      <c r="T41">
        <v>39</v>
      </c>
      <c r="U41">
        <v>0.96842105263157896</v>
      </c>
      <c r="V41">
        <v>1</v>
      </c>
      <c r="W41">
        <v>0.97752808988764051</v>
      </c>
      <c r="X41">
        <v>1315.2</v>
      </c>
      <c r="Y41">
        <v>670571007</v>
      </c>
      <c r="Z41">
        <v>3603</v>
      </c>
      <c r="AA41">
        <v>2</v>
      </c>
      <c r="AB41">
        <v>40</v>
      </c>
      <c r="AD41">
        <f>Tabela2[[#This Row],[kan_params]]</f>
        <v>3501</v>
      </c>
      <c r="AE41">
        <f>Tabela2[[#This Row],[kan_train_acc]]</f>
        <v>0.32359551191329955</v>
      </c>
      <c r="AF41">
        <f>Tabela2[[#This Row],[kan_val_acc]]</f>
        <v>0.79130434989929199</v>
      </c>
      <c r="AG41">
        <f>Tabela2[[#This Row],[kan_test_acc]]</f>
        <v>0.31578947305679322</v>
      </c>
      <c r="AH41">
        <f>Tabela2[[#This Row],[mlp_test_acc]]</f>
        <v>0.93684210526315792</v>
      </c>
      <c r="AI41">
        <f>Tabela2[[#This Row],[mlp_val_acc]]</f>
        <v>1</v>
      </c>
      <c r="AJ41">
        <f>Tabela2[[#This Row],[mlp_train_acc]]</f>
        <v>0.98651685393258426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A31F0-22B1-4BAE-82C4-46D603977D19}">
  <dimension ref="A1:AJ96"/>
  <sheetViews>
    <sheetView workbookViewId="0">
      <selection activeCell="J11" sqref="J11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bestFit="1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</cols>
  <sheetData>
    <row r="1" spans="1:36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6" t="s">
        <v>27</v>
      </c>
      <c r="AD1" t="s">
        <v>77</v>
      </c>
      <c r="AE1" t="str">
        <f>Tabela3[[#Headers],[kan_train_acc]]</f>
        <v>kan_train_acc</v>
      </c>
      <c r="AF1" t="str">
        <f>Tabela3[[#Headers],[kan_val_acc]]</f>
        <v>kan_val_acc</v>
      </c>
      <c r="AG1" t="str">
        <f>Tabela3[[#Headers],[kan_test_acc]]</f>
        <v>kan_test_acc</v>
      </c>
      <c r="AH1" t="str">
        <f>Tabela3[[#Headers],[mlp_test_acc]]</f>
        <v>mlp_test_acc</v>
      </c>
      <c r="AI1" t="str">
        <f>Tabela3[[#Headers],[mlp_val_acc]]</f>
        <v>mlp_val_acc</v>
      </c>
      <c r="AJ1" t="str">
        <f>Tabela3[[#Headers],[mlp_train_acc]]</f>
        <v>mlp_train_acc</v>
      </c>
    </row>
    <row r="2" spans="1:36" x14ac:dyDescent="0.25">
      <c r="A2" t="s">
        <v>57</v>
      </c>
      <c r="B2">
        <v>8</v>
      </c>
      <c r="C2">
        <v>3</v>
      </c>
      <c r="D2">
        <v>2</v>
      </c>
      <c r="E2">
        <v>0</v>
      </c>
      <c r="F2" t="s">
        <v>58</v>
      </c>
      <c r="G2">
        <v>4930</v>
      </c>
      <c r="H2">
        <v>27258914</v>
      </c>
      <c r="I2">
        <v>217.6</v>
      </c>
      <c r="J2">
        <v>1</v>
      </c>
      <c r="K2">
        <v>0.94074074029922483</v>
      </c>
      <c r="L2">
        <v>0.95111111402511606</v>
      </c>
      <c r="M2">
        <v>0.94666666666666666</v>
      </c>
      <c r="N2">
        <v>0.91111111111111109</v>
      </c>
      <c r="O2">
        <v>1</v>
      </c>
      <c r="P2">
        <v>19408.400000000001</v>
      </c>
      <c r="Q2">
        <v>178224258.59999999</v>
      </c>
      <c r="R2">
        <v>4908</v>
      </c>
      <c r="S2">
        <v>2</v>
      </c>
      <c r="T2">
        <v>45</v>
      </c>
      <c r="U2">
        <v>0.94666666666666666</v>
      </c>
      <c r="V2">
        <v>0.88148148148148142</v>
      </c>
      <c r="W2">
        <v>1</v>
      </c>
      <c r="X2">
        <v>19368.2</v>
      </c>
      <c r="Y2">
        <v>168629073.80000001</v>
      </c>
      <c r="Z2">
        <v>5109</v>
      </c>
      <c r="AA2">
        <v>2</v>
      </c>
      <c r="AB2">
        <v>46</v>
      </c>
      <c r="AD2">
        <f>Tabela3[[#This Row],[kan_params]]</f>
        <v>4930</v>
      </c>
      <c r="AE2">
        <f>Tabela3[[#This Row],[kan_train_acc]]</f>
        <v>1</v>
      </c>
      <c r="AF2">
        <f>Tabela3[[#This Row],[kan_val_acc]]</f>
        <v>0.94074074029922483</v>
      </c>
      <c r="AG2">
        <f>Tabela3[[#This Row],[kan_test_acc]]</f>
        <v>0.95111111402511606</v>
      </c>
      <c r="AH2">
        <f>Tabela3[[#This Row],[mlp_test_acc]]</f>
        <v>0.94666666666666666</v>
      </c>
      <c r="AI2">
        <f>Tabela3[[#This Row],[mlp_val_acc]]</f>
        <v>0.91111111111111109</v>
      </c>
      <c r="AJ2">
        <f>Tabela3[[#This Row],[mlp_train_acc]]</f>
        <v>1</v>
      </c>
    </row>
    <row r="3" spans="1:36" x14ac:dyDescent="0.25">
      <c r="A3" t="s">
        <v>57</v>
      </c>
      <c r="B3">
        <v>8</v>
      </c>
      <c r="C3">
        <v>3</v>
      </c>
      <c r="D3">
        <v>2</v>
      </c>
      <c r="E3">
        <v>0</v>
      </c>
      <c r="F3" t="s">
        <v>59</v>
      </c>
      <c r="G3">
        <v>5975</v>
      </c>
      <c r="H3">
        <v>24018648.199999999</v>
      </c>
      <c r="I3">
        <v>175.4</v>
      </c>
      <c r="J3">
        <v>1</v>
      </c>
      <c r="K3">
        <v>0.95555557012557979</v>
      </c>
      <c r="L3">
        <v>0.98666666746139531</v>
      </c>
      <c r="M3">
        <v>0.9555555555555556</v>
      </c>
      <c r="N3">
        <v>0.91111111111111109</v>
      </c>
      <c r="O3">
        <v>1</v>
      </c>
      <c r="P3">
        <v>20425</v>
      </c>
      <c r="Q3">
        <v>199501742.40000001</v>
      </c>
      <c r="R3">
        <v>5953</v>
      </c>
      <c r="S3">
        <v>2</v>
      </c>
      <c r="T3">
        <v>50</v>
      </c>
      <c r="U3">
        <v>0.95111111111111113</v>
      </c>
      <c r="V3">
        <v>0.90370370370370368</v>
      </c>
      <c r="W3">
        <v>1</v>
      </c>
      <c r="X3">
        <v>19819</v>
      </c>
      <c r="Y3">
        <v>180713965.40000001</v>
      </c>
      <c r="Z3">
        <v>6174</v>
      </c>
      <c r="AA3">
        <v>2</v>
      </c>
      <c r="AB3">
        <v>51</v>
      </c>
      <c r="AD3">
        <f>Tabela3[[#This Row],[kan_params]]</f>
        <v>5975</v>
      </c>
      <c r="AE3">
        <f>Tabela3[[#This Row],[kan_train_acc]]</f>
        <v>1</v>
      </c>
      <c r="AF3">
        <f>Tabela3[[#This Row],[kan_val_acc]]</f>
        <v>0.95555557012557979</v>
      </c>
      <c r="AG3">
        <f>Tabela3[[#This Row],[kan_test_acc]]</f>
        <v>0.98666666746139531</v>
      </c>
      <c r="AH3">
        <f>Tabela3[[#This Row],[mlp_test_acc]]</f>
        <v>0.9555555555555556</v>
      </c>
      <c r="AI3">
        <f>Tabela3[[#This Row],[mlp_val_acc]]</f>
        <v>0.91111111111111109</v>
      </c>
      <c r="AJ3">
        <f>Tabela3[[#This Row],[mlp_train_acc]]</f>
        <v>1</v>
      </c>
    </row>
    <row r="4" spans="1:36" x14ac:dyDescent="0.25">
      <c r="A4" t="s">
        <v>57</v>
      </c>
      <c r="B4">
        <v>8</v>
      </c>
      <c r="C4">
        <v>3</v>
      </c>
      <c r="D4">
        <v>2</v>
      </c>
      <c r="E4">
        <v>0</v>
      </c>
      <c r="F4" t="s">
        <v>60</v>
      </c>
      <c r="G4">
        <v>7020</v>
      </c>
      <c r="H4">
        <v>29777162.199999999</v>
      </c>
      <c r="I4">
        <v>209</v>
      </c>
      <c r="J4">
        <v>1</v>
      </c>
      <c r="K4">
        <v>0.94814815521240237</v>
      </c>
      <c r="L4">
        <v>0.94222222566604619</v>
      </c>
      <c r="M4">
        <v>0.94222222222222229</v>
      </c>
      <c r="N4">
        <v>0.89629629629629626</v>
      </c>
      <c r="O4">
        <v>1</v>
      </c>
      <c r="P4">
        <v>19834.2</v>
      </c>
      <c r="Q4">
        <v>195080714.80000001</v>
      </c>
      <c r="R4">
        <v>6861</v>
      </c>
      <c r="S4">
        <v>2</v>
      </c>
      <c r="T4">
        <v>54</v>
      </c>
      <c r="U4">
        <v>0.9555555555555556</v>
      </c>
      <c r="V4">
        <v>0.93333333333333335</v>
      </c>
      <c r="W4">
        <v>1</v>
      </c>
      <c r="X4">
        <v>19859</v>
      </c>
      <c r="Y4">
        <v>185135837.59999999</v>
      </c>
      <c r="Z4">
        <v>7098</v>
      </c>
      <c r="AA4">
        <v>2</v>
      </c>
      <c r="AB4">
        <v>55</v>
      </c>
      <c r="AD4">
        <f>Tabela3[[#This Row],[kan_params]]</f>
        <v>7020</v>
      </c>
      <c r="AE4">
        <f>Tabela3[[#This Row],[kan_train_acc]]</f>
        <v>1</v>
      </c>
      <c r="AF4">
        <f>Tabela3[[#This Row],[kan_val_acc]]</f>
        <v>0.94814815521240237</v>
      </c>
      <c r="AG4">
        <f>Tabela3[[#This Row],[kan_test_acc]]</f>
        <v>0.94222222566604619</v>
      </c>
      <c r="AH4">
        <f>Tabela3[[#This Row],[mlp_test_acc]]</f>
        <v>0.94222222222222229</v>
      </c>
      <c r="AI4">
        <f>Tabela3[[#This Row],[mlp_val_acc]]</f>
        <v>0.89629629629629626</v>
      </c>
      <c r="AJ4">
        <f>Tabela3[[#This Row],[mlp_train_acc]]</f>
        <v>1</v>
      </c>
    </row>
    <row r="5" spans="1:36" x14ac:dyDescent="0.25">
      <c r="A5" t="s">
        <v>57</v>
      </c>
      <c r="B5">
        <v>8</v>
      </c>
      <c r="C5">
        <v>3</v>
      </c>
      <c r="D5">
        <v>2</v>
      </c>
      <c r="E5">
        <v>0</v>
      </c>
      <c r="F5" t="s">
        <v>61</v>
      </c>
      <c r="G5">
        <v>2929</v>
      </c>
      <c r="H5">
        <v>11984104.199999999</v>
      </c>
      <c r="I5">
        <v>157.19999999999999</v>
      </c>
      <c r="J5">
        <v>1</v>
      </c>
      <c r="K5">
        <v>0.93333332538604741</v>
      </c>
      <c r="L5">
        <v>0.96000000238418581</v>
      </c>
      <c r="M5">
        <v>0.9555555555555556</v>
      </c>
      <c r="N5">
        <v>0.86666666666666659</v>
      </c>
      <c r="O5">
        <v>1</v>
      </c>
      <c r="P5">
        <v>20284.400000000001</v>
      </c>
      <c r="Q5">
        <v>168517270.59999999</v>
      </c>
      <c r="R5">
        <v>2808</v>
      </c>
      <c r="S5">
        <v>2</v>
      </c>
      <c r="T5">
        <v>33</v>
      </c>
      <c r="U5">
        <v>0.94222222222222229</v>
      </c>
      <c r="V5">
        <v>0.88888888888888884</v>
      </c>
      <c r="W5">
        <v>1</v>
      </c>
      <c r="X5">
        <v>21046</v>
      </c>
      <c r="Y5">
        <v>175523836.40000001</v>
      </c>
      <c r="Z5">
        <v>2961</v>
      </c>
      <c r="AA5">
        <v>2</v>
      </c>
      <c r="AB5">
        <v>34</v>
      </c>
      <c r="AD5">
        <f>Tabela3[[#This Row],[kan_params]]</f>
        <v>2929</v>
      </c>
      <c r="AE5">
        <f>Tabela3[[#This Row],[kan_train_acc]]</f>
        <v>1</v>
      </c>
      <c r="AF5">
        <f>Tabela3[[#This Row],[kan_val_acc]]</f>
        <v>0.93333332538604741</v>
      </c>
      <c r="AG5">
        <f>Tabela3[[#This Row],[kan_test_acc]]</f>
        <v>0.96000000238418581</v>
      </c>
      <c r="AH5">
        <f>Tabela3[[#This Row],[mlp_test_acc]]</f>
        <v>0.9555555555555556</v>
      </c>
      <c r="AI5">
        <f>Tabela3[[#This Row],[mlp_val_acc]]</f>
        <v>0.86666666666666659</v>
      </c>
      <c r="AJ5">
        <f>Tabela3[[#This Row],[mlp_train_acc]]</f>
        <v>1</v>
      </c>
    </row>
    <row r="6" spans="1:36" x14ac:dyDescent="0.25">
      <c r="A6" t="s">
        <v>57</v>
      </c>
      <c r="B6">
        <v>8</v>
      </c>
      <c r="C6">
        <v>3</v>
      </c>
      <c r="D6">
        <v>2</v>
      </c>
      <c r="E6">
        <v>0</v>
      </c>
      <c r="F6" t="s">
        <v>62</v>
      </c>
      <c r="G6">
        <v>5608</v>
      </c>
      <c r="H6">
        <v>24301195</v>
      </c>
      <c r="I6">
        <v>184.4</v>
      </c>
      <c r="J6">
        <v>1</v>
      </c>
      <c r="K6">
        <v>0.94074075222015385</v>
      </c>
      <c r="L6">
        <v>0.94222222566604619</v>
      </c>
      <c r="M6">
        <v>0.94666666666666666</v>
      </c>
      <c r="N6">
        <v>0.90370370370370368</v>
      </c>
      <c r="O6">
        <v>1</v>
      </c>
      <c r="P6">
        <v>19903.8</v>
      </c>
      <c r="Q6">
        <v>190842512</v>
      </c>
      <c r="R6">
        <v>5523</v>
      </c>
      <c r="S6">
        <v>2</v>
      </c>
      <c r="T6">
        <v>48</v>
      </c>
      <c r="U6">
        <v>0.93777777777777782</v>
      </c>
      <c r="V6">
        <v>0.90370370370370368</v>
      </c>
      <c r="W6">
        <v>1</v>
      </c>
      <c r="X6">
        <v>19575.400000000001</v>
      </c>
      <c r="Y6">
        <v>171152205</v>
      </c>
      <c r="Z6">
        <v>5736</v>
      </c>
      <c r="AA6">
        <v>2</v>
      </c>
      <c r="AB6">
        <v>49</v>
      </c>
      <c r="AD6">
        <f>Tabela3[[#This Row],[kan_params]]</f>
        <v>5608</v>
      </c>
      <c r="AE6">
        <f>Tabela3[[#This Row],[kan_train_acc]]</f>
        <v>1</v>
      </c>
      <c r="AF6">
        <f>Tabela3[[#This Row],[kan_val_acc]]</f>
        <v>0.94074075222015385</v>
      </c>
      <c r="AG6">
        <f>Tabela3[[#This Row],[kan_test_acc]]</f>
        <v>0.94222222566604619</v>
      </c>
      <c r="AH6">
        <f>Tabela3[[#This Row],[mlp_test_acc]]</f>
        <v>0.94666666666666666</v>
      </c>
      <c r="AI6">
        <f>Tabela3[[#This Row],[mlp_val_acc]]</f>
        <v>0.90370370370370368</v>
      </c>
      <c r="AJ6">
        <f>Tabela3[[#This Row],[mlp_train_acc]]</f>
        <v>1</v>
      </c>
    </row>
    <row r="7" spans="1:36" x14ac:dyDescent="0.25">
      <c r="A7" t="s">
        <v>57</v>
      </c>
      <c r="B7">
        <v>8</v>
      </c>
      <c r="C7">
        <v>3</v>
      </c>
      <c r="D7">
        <v>2</v>
      </c>
      <c r="E7">
        <v>0</v>
      </c>
      <c r="F7" t="s">
        <v>63</v>
      </c>
      <c r="G7">
        <v>6783</v>
      </c>
      <c r="H7">
        <v>39476031.399999999</v>
      </c>
      <c r="I7">
        <v>278.39999999999998</v>
      </c>
      <c r="J7">
        <v>1</v>
      </c>
      <c r="K7">
        <v>0.94814815521240237</v>
      </c>
      <c r="L7">
        <v>0.98222222328186037</v>
      </c>
      <c r="M7">
        <v>0.93777777777777782</v>
      </c>
      <c r="N7">
        <v>0.89629629629629626</v>
      </c>
      <c r="O7">
        <v>1</v>
      </c>
      <c r="P7">
        <v>19108.8</v>
      </c>
      <c r="Q7">
        <v>205373332</v>
      </c>
      <c r="R7">
        <v>6628</v>
      </c>
      <c r="S7">
        <v>2</v>
      </c>
      <c r="T7">
        <v>53</v>
      </c>
      <c r="U7">
        <v>0.94222222222222229</v>
      </c>
      <c r="V7">
        <v>0.91851851851851851</v>
      </c>
      <c r="W7">
        <v>1</v>
      </c>
      <c r="X7">
        <v>18824.8</v>
      </c>
      <c r="Y7">
        <v>168358072.59999999</v>
      </c>
      <c r="Z7">
        <v>6861</v>
      </c>
      <c r="AA7">
        <v>2</v>
      </c>
      <c r="AB7">
        <v>54</v>
      </c>
      <c r="AD7">
        <f>Tabela3[[#This Row],[kan_params]]</f>
        <v>6783</v>
      </c>
      <c r="AE7">
        <f>Tabela3[[#This Row],[kan_train_acc]]</f>
        <v>1</v>
      </c>
      <c r="AF7">
        <f>Tabela3[[#This Row],[kan_val_acc]]</f>
        <v>0.94814815521240237</v>
      </c>
      <c r="AG7">
        <f>Tabela3[[#This Row],[kan_test_acc]]</f>
        <v>0.98222222328186037</v>
      </c>
      <c r="AH7">
        <f>Tabela3[[#This Row],[mlp_test_acc]]</f>
        <v>0.93777777777777782</v>
      </c>
      <c r="AI7">
        <f>Tabela3[[#This Row],[mlp_val_acc]]</f>
        <v>0.89629629629629626</v>
      </c>
      <c r="AJ7">
        <f>Tabela3[[#This Row],[mlp_train_acc]]</f>
        <v>1</v>
      </c>
    </row>
    <row r="8" spans="1:36" x14ac:dyDescent="0.25">
      <c r="A8" t="s">
        <v>57</v>
      </c>
      <c r="B8">
        <v>8</v>
      </c>
      <c r="C8">
        <v>3</v>
      </c>
      <c r="D8">
        <v>2</v>
      </c>
      <c r="E8">
        <v>0</v>
      </c>
      <c r="F8" t="s">
        <v>64</v>
      </c>
      <c r="G8">
        <v>7958</v>
      </c>
      <c r="H8">
        <v>29823008.600000001</v>
      </c>
      <c r="I8">
        <v>194.6</v>
      </c>
      <c r="J8">
        <v>1</v>
      </c>
      <c r="K8">
        <v>0.94814815521240237</v>
      </c>
      <c r="L8">
        <v>0.96444444656372075</v>
      </c>
      <c r="M8">
        <v>0.93777777777777782</v>
      </c>
      <c r="N8">
        <v>0.89629629629629626</v>
      </c>
      <c r="O8">
        <v>1</v>
      </c>
      <c r="P8">
        <v>17790.8</v>
      </c>
      <c r="Q8">
        <v>186781522</v>
      </c>
      <c r="R8">
        <v>7833</v>
      </c>
      <c r="S8">
        <v>2</v>
      </c>
      <c r="T8">
        <v>58</v>
      </c>
      <c r="U8">
        <v>0.94666666666666666</v>
      </c>
      <c r="V8">
        <v>0.91851851851851851</v>
      </c>
      <c r="W8">
        <v>1</v>
      </c>
      <c r="X8">
        <v>19384.400000000001</v>
      </c>
      <c r="Y8">
        <v>182226920</v>
      </c>
      <c r="Z8">
        <v>8086</v>
      </c>
      <c r="AA8">
        <v>2</v>
      </c>
      <c r="AB8">
        <v>59</v>
      </c>
      <c r="AD8">
        <f>Tabela3[[#This Row],[kan_params]]</f>
        <v>7958</v>
      </c>
      <c r="AE8">
        <f>Tabela3[[#This Row],[kan_train_acc]]</f>
        <v>1</v>
      </c>
      <c r="AF8">
        <f>Tabela3[[#This Row],[kan_val_acc]]</f>
        <v>0.94814815521240237</v>
      </c>
      <c r="AG8">
        <f>Tabela3[[#This Row],[kan_test_acc]]</f>
        <v>0.96444444656372075</v>
      </c>
      <c r="AH8">
        <f>Tabela3[[#This Row],[mlp_test_acc]]</f>
        <v>0.93777777777777782</v>
      </c>
      <c r="AI8">
        <f>Tabela3[[#This Row],[mlp_val_acc]]</f>
        <v>0.89629629629629626</v>
      </c>
      <c r="AJ8">
        <f>Tabela3[[#This Row],[mlp_train_acc]]</f>
        <v>1</v>
      </c>
    </row>
    <row r="9" spans="1:36" x14ac:dyDescent="0.25">
      <c r="A9" t="s">
        <v>57</v>
      </c>
      <c r="B9">
        <v>8</v>
      </c>
      <c r="C9">
        <v>3</v>
      </c>
      <c r="D9">
        <v>2</v>
      </c>
      <c r="E9">
        <v>0</v>
      </c>
      <c r="F9" t="s">
        <v>65</v>
      </c>
      <c r="G9">
        <v>6286</v>
      </c>
      <c r="H9">
        <v>41356788</v>
      </c>
      <c r="I9">
        <v>303.2</v>
      </c>
      <c r="J9">
        <v>1</v>
      </c>
      <c r="K9">
        <v>0.94074074029922483</v>
      </c>
      <c r="L9">
        <v>0.96000000238418581</v>
      </c>
      <c r="M9">
        <v>0.95111111111111113</v>
      </c>
      <c r="N9">
        <v>0.94074074074074077</v>
      </c>
      <c r="O9">
        <v>1</v>
      </c>
      <c r="P9">
        <v>19192</v>
      </c>
      <c r="Q9">
        <v>210198955.59999999</v>
      </c>
      <c r="R9">
        <v>6174</v>
      </c>
      <c r="S9">
        <v>2</v>
      </c>
      <c r="T9">
        <v>51</v>
      </c>
      <c r="U9">
        <v>0.93777777777777782</v>
      </c>
      <c r="V9">
        <v>0.91111111111111109</v>
      </c>
      <c r="W9">
        <v>1</v>
      </c>
      <c r="X9">
        <v>18801.2</v>
      </c>
      <c r="Y9">
        <v>173958828.59999999</v>
      </c>
      <c r="Z9">
        <v>6399</v>
      </c>
      <c r="AA9">
        <v>2</v>
      </c>
      <c r="AB9">
        <v>52</v>
      </c>
      <c r="AD9">
        <f>Tabela3[[#This Row],[kan_params]]</f>
        <v>6286</v>
      </c>
      <c r="AE9">
        <f>Tabela3[[#This Row],[kan_train_acc]]</f>
        <v>1</v>
      </c>
      <c r="AF9">
        <f>Tabela3[[#This Row],[kan_val_acc]]</f>
        <v>0.94074074029922483</v>
      </c>
      <c r="AG9">
        <f>Tabela3[[#This Row],[kan_test_acc]]</f>
        <v>0.96000000238418581</v>
      </c>
      <c r="AH9">
        <f>Tabela3[[#This Row],[mlp_test_acc]]</f>
        <v>0.95111111111111113</v>
      </c>
      <c r="AI9">
        <f>Tabela3[[#This Row],[mlp_val_acc]]</f>
        <v>0.94074074074074077</v>
      </c>
      <c r="AJ9">
        <f>Tabela3[[#This Row],[mlp_train_acc]]</f>
        <v>1</v>
      </c>
    </row>
    <row r="10" spans="1:36" x14ac:dyDescent="0.25">
      <c r="A10" t="s">
        <v>57</v>
      </c>
      <c r="B10">
        <v>8</v>
      </c>
      <c r="C10">
        <v>3</v>
      </c>
      <c r="D10">
        <v>2</v>
      </c>
      <c r="E10">
        <v>0</v>
      </c>
      <c r="F10" t="s">
        <v>66</v>
      </c>
      <c r="G10">
        <v>7591</v>
      </c>
      <c r="H10">
        <v>33777184.399999999</v>
      </c>
      <c r="I10">
        <v>226</v>
      </c>
      <c r="J10">
        <v>0.96981132030487061</v>
      </c>
      <c r="K10">
        <v>0.97777779102325435</v>
      </c>
      <c r="L10">
        <v>0.93777778148651125</v>
      </c>
      <c r="M10">
        <v>0.94222222222222229</v>
      </c>
      <c r="N10">
        <v>0.91851851851851851</v>
      </c>
      <c r="O10">
        <v>1</v>
      </c>
      <c r="P10">
        <v>19654.8</v>
      </c>
      <c r="Q10">
        <v>215552131.19999999</v>
      </c>
      <c r="R10">
        <v>7584</v>
      </c>
      <c r="S10">
        <v>2</v>
      </c>
      <c r="T10">
        <v>57</v>
      </c>
      <c r="U10">
        <v>0.94222222222222229</v>
      </c>
      <c r="V10">
        <v>0.91111111111111109</v>
      </c>
      <c r="W10">
        <v>1</v>
      </c>
      <c r="X10">
        <v>19016.599999999999</v>
      </c>
      <c r="Y10">
        <v>182554600.80000001</v>
      </c>
      <c r="Z10">
        <v>7833</v>
      </c>
      <c r="AA10">
        <v>2</v>
      </c>
      <c r="AB10">
        <v>58</v>
      </c>
      <c r="AD10">
        <f>Tabela3[[#This Row],[kan_params]]</f>
        <v>7591</v>
      </c>
      <c r="AE10">
        <f>Tabela3[[#This Row],[kan_train_acc]]</f>
        <v>0.96981132030487061</v>
      </c>
      <c r="AF10">
        <f>Tabela3[[#This Row],[kan_val_acc]]</f>
        <v>0.97777779102325435</v>
      </c>
      <c r="AG10">
        <f>Tabela3[[#This Row],[kan_test_acc]]</f>
        <v>0.93777778148651125</v>
      </c>
      <c r="AH10">
        <f>Tabela3[[#This Row],[mlp_test_acc]]</f>
        <v>0.94222222222222229</v>
      </c>
      <c r="AI10">
        <f>Tabela3[[#This Row],[mlp_val_acc]]</f>
        <v>0.91851851851851851</v>
      </c>
      <c r="AJ10">
        <f>Tabela3[[#This Row],[mlp_train_acc]]</f>
        <v>1</v>
      </c>
    </row>
    <row r="11" spans="1:36" x14ac:dyDescent="0.25">
      <c r="A11" t="s">
        <v>57</v>
      </c>
      <c r="B11">
        <v>8</v>
      </c>
      <c r="C11">
        <v>3</v>
      </c>
      <c r="D11">
        <v>2</v>
      </c>
      <c r="E11">
        <v>0</v>
      </c>
      <c r="F11" t="s">
        <v>67</v>
      </c>
      <c r="G11">
        <v>8896</v>
      </c>
      <c r="H11">
        <v>29261895.199999999</v>
      </c>
      <c r="I11">
        <v>182.6</v>
      </c>
      <c r="J11">
        <v>1</v>
      </c>
      <c r="K11">
        <v>0.95555557012557979</v>
      </c>
      <c r="L11">
        <v>0.95111111402511606</v>
      </c>
      <c r="M11">
        <v>0.94222222222222229</v>
      </c>
      <c r="N11">
        <v>0.91111111111111109</v>
      </c>
      <c r="O11">
        <v>1</v>
      </c>
      <c r="P11">
        <v>17950</v>
      </c>
      <c r="Q11">
        <v>201188012.80000001</v>
      </c>
      <c r="R11">
        <v>8869</v>
      </c>
      <c r="S11">
        <v>2</v>
      </c>
      <c r="T11">
        <v>62</v>
      </c>
      <c r="U11">
        <v>0.94666666666666666</v>
      </c>
      <c r="V11">
        <v>0.90370370370370368</v>
      </c>
      <c r="W11">
        <v>1</v>
      </c>
      <c r="X11">
        <v>18651.400000000001</v>
      </c>
      <c r="Y11">
        <v>179619783.59999999</v>
      </c>
      <c r="Z11">
        <v>9138</v>
      </c>
      <c r="AA11">
        <v>2</v>
      </c>
      <c r="AB11">
        <v>63</v>
      </c>
      <c r="AD11">
        <f>Tabela3[[#This Row],[kan_params]]</f>
        <v>8896</v>
      </c>
      <c r="AE11">
        <f>Tabela3[[#This Row],[kan_train_acc]]</f>
        <v>1</v>
      </c>
      <c r="AF11">
        <f>Tabela3[[#This Row],[kan_val_acc]]</f>
        <v>0.95555557012557979</v>
      </c>
      <c r="AG11">
        <f>Tabela3[[#This Row],[kan_test_acc]]</f>
        <v>0.95111111402511606</v>
      </c>
      <c r="AH11">
        <f>Tabela3[[#This Row],[mlp_test_acc]]</f>
        <v>0.94222222222222229</v>
      </c>
      <c r="AI11">
        <f>Tabela3[[#This Row],[mlp_val_acc]]</f>
        <v>0.91111111111111109</v>
      </c>
      <c r="AJ11">
        <f>Tabela3[[#This Row],[mlp_train_acc]]</f>
        <v>1</v>
      </c>
    </row>
    <row r="12" spans="1:36" x14ac:dyDescent="0.25">
      <c r="A12" t="s">
        <v>57</v>
      </c>
      <c r="B12">
        <v>8</v>
      </c>
      <c r="C12">
        <v>3</v>
      </c>
      <c r="D12">
        <v>2</v>
      </c>
      <c r="E12">
        <v>0</v>
      </c>
      <c r="F12" t="s">
        <v>68</v>
      </c>
      <c r="G12">
        <v>6964</v>
      </c>
      <c r="H12">
        <v>41095230.600000001</v>
      </c>
      <c r="I12">
        <v>284.39999999999998</v>
      </c>
      <c r="J12">
        <v>0.98867924213409419</v>
      </c>
      <c r="K12">
        <v>0.95555555820465088</v>
      </c>
      <c r="L12">
        <v>0.95111111402511606</v>
      </c>
      <c r="M12">
        <v>0.94222222222222229</v>
      </c>
      <c r="N12">
        <v>0.91851851851851851</v>
      </c>
      <c r="O12">
        <v>1</v>
      </c>
      <c r="P12">
        <v>18953.8</v>
      </c>
      <c r="Q12">
        <v>210363010.40000001</v>
      </c>
      <c r="R12">
        <v>6861</v>
      </c>
      <c r="S12">
        <v>2</v>
      </c>
      <c r="T12">
        <v>54</v>
      </c>
      <c r="U12">
        <v>0.94666666666666666</v>
      </c>
      <c r="V12">
        <v>0.88148148148148142</v>
      </c>
      <c r="W12">
        <v>1</v>
      </c>
      <c r="X12">
        <v>20496.400000000001</v>
      </c>
      <c r="Y12">
        <v>216200767.40000001</v>
      </c>
      <c r="Z12">
        <v>7098</v>
      </c>
      <c r="AA12">
        <v>2</v>
      </c>
      <c r="AB12">
        <v>55</v>
      </c>
      <c r="AD12">
        <f>Tabela3[[#This Row],[kan_params]]</f>
        <v>6964</v>
      </c>
      <c r="AE12">
        <f>Tabela3[[#This Row],[kan_train_acc]]</f>
        <v>0.98867924213409419</v>
      </c>
      <c r="AF12">
        <f>Tabela3[[#This Row],[kan_val_acc]]</f>
        <v>0.95555555820465088</v>
      </c>
      <c r="AG12">
        <f>Tabela3[[#This Row],[kan_test_acc]]</f>
        <v>0.95111111402511606</v>
      </c>
      <c r="AH12">
        <f>Tabela3[[#This Row],[mlp_test_acc]]</f>
        <v>0.94222222222222229</v>
      </c>
      <c r="AI12">
        <f>Tabela3[[#This Row],[mlp_val_acc]]</f>
        <v>0.91851851851851851</v>
      </c>
      <c r="AJ12">
        <f>Tabela3[[#This Row],[mlp_train_acc]]</f>
        <v>1</v>
      </c>
    </row>
    <row r="13" spans="1:36" x14ac:dyDescent="0.25">
      <c r="A13" t="s">
        <v>57</v>
      </c>
      <c r="B13">
        <v>8</v>
      </c>
      <c r="C13">
        <v>3</v>
      </c>
      <c r="D13">
        <v>2</v>
      </c>
      <c r="E13">
        <v>0</v>
      </c>
      <c r="F13" t="s">
        <v>69</v>
      </c>
      <c r="G13">
        <v>8399</v>
      </c>
      <c r="H13">
        <v>35865113.600000001</v>
      </c>
      <c r="I13">
        <v>229.8</v>
      </c>
      <c r="J13">
        <v>1</v>
      </c>
      <c r="K13">
        <v>0.95555557012557979</v>
      </c>
      <c r="L13">
        <v>0.96444444656372075</v>
      </c>
      <c r="M13">
        <v>0.94666666666666666</v>
      </c>
      <c r="N13">
        <v>0.92592592592592593</v>
      </c>
      <c r="O13">
        <v>1</v>
      </c>
      <c r="P13">
        <v>18934.400000000001</v>
      </c>
      <c r="Q13">
        <v>211085231.40000001</v>
      </c>
      <c r="R13">
        <v>8343</v>
      </c>
      <c r="S13">
        <v>2</v>
      </c>
      <c r="T13">
        <v>60</v>
      </c>
      <c r="U13">
        <v>0.94222222222222229</v>
      </c>
      <c r="V13">
        <v>0.91111111111111109</v>
      </c>
      <c r="W13">
        <v>1</v>
      </c>
      <c r="X13">
        <v>18967.400000000001</v>
      </c>
      <c r="Y13">
        <v>196854847.40000001</v>
      </c>
      <c r="Z13">
        <v>8604</v>
      </c>
      <c r="AA13">
        <v>2</v>
      </c>
      <c r="AB13">
        <v>61</v>
      </c>
      <c r="AD13">
        <f>Tabela3[[#This Row],[kan_params]]</f>
        <v>8399</v>
      </c>
      <c r="AE13">
        <f>Tabela3[[#This Row],[kan_train_acc]]</f>
        <v>1</v>
      </c>
      <c r="AF13">
        <f>Tabela3[[#This Row],[kan_val_acc]]</f>
        <v>0.95555557012557979</v>
      </c>
      <c r="AG13">
        <f>Tabela3[[#This Row],[kan_test_acc]]</f>
        <v>0.96444444656372075</v>
      </c>
      <c r="AH13">
        <f>Tabela3[[#This Row],[mlp_test_acc]]</f>
        <v>0.94666666666666666</v>
      </c>
      <c r="AI13">
        <f>Tabela3[[#This Row],[mlp_val_acc]]</f>
        <v>0.92592592592592593</v>
      </c>
      <c r="AJ13">
        <f>Tabela3[[#This Row],[mlp_train_acc]]</f>
        <v>1</v>
      </c>
    </row>
    <row r="14" spans="1:36" x14ac:dyDescent="0.25">
      <c r="A14" t="s">
        <v>57</v>
      </c>
      <c r="B14">
        <v>8</v>
      </c>
      <c r="C14">
        <v>3</v>
      </c>
      <c r="D14">
        <v>2</v>
      </c>
      <c r="E14">
        <v>0</v>
      </c>
      <c r="F14" t="s">
        <v>70</v>
      </c>
      <c r="G14">
        <v>9834</v>
      </c>
      <c r="H14">
        <v>31024777.600000001</v>
      </c>
      <c r="I14">
        <v>183.2</v>
      </c>
      <c r="J14">
        <v>0.99245283603668211</v>
      </c>
      <c r="K14">
        <v>0.95555555820465088</v>
      </c>
      <c r="L14">
        <v>0.93777778148651125</v>
      </c>
      <c r="M14">
        <v>0.93777777777777782</v>
      </c>
      <c r="N14">
        <v>0.89629629629629626</v>
      </c>
      <c r="O14">
        <v>1</v>
      </c>
      <c r="P14">
        <v>19082</v>
      </c>
      <c r="Q14">
        <v>221681523.80000001</v>
      </c>
      <c r="R14">
        <v>9688</v>
      </c>
      <c r="S14">
        <v>2</v>
      </c>
      <c r="T14">
        <v>65</v>
      </c>
      <c r="U14">
        <v>0.95111111111111113</v>
      </c>
      <c r="V14">
        <v>0.91851851851851851</v>
      </c>
      <c r="W14">
        <v>1</v>
      </c>
      <c r="X14">
        <v>19044.599999999999</v>
      </c>
      <c r="Y14">
        <v>197881813.40000001</v>
      </c>
      <c r="Z14">
        <v>9969</v>
      </c>
      <c r="AA14">
        <v>2</v>
      </c>
      <c r="AB14">
        <v>66</v>
      </c>
      <c r="AD14">
        <f>Tabela3[[#This Row],[kan_params]]</f>
        <v>9834</v>
      </c>
      <c r="AE14">
        <f>Tabela3[[#This Row],[kan_train_acc]]</f>
        <v>0.99245283603668211</v>
      </c>
      <c r="AF14">
        <f>Tabela3[[#This Row],[kan_val_acc]]</f>
        <v>0.95555555820465088</v>
      </c>
      <c r="AG14">
        <f>Tabela3[[#This Row],[kan_test_acc]]</f>
        <v>0.93777778148651125</v>
      </c>
      <c r="AH14">
        <f>Tabela3[[#This Row],[mlp_test_acc]]</f>
        <v>0.93777777777777782</v>
      </c>
      <c r="AI14">
        <f>Tabela3[[#This Row],[mlp_val_acc]]</f>
        <v>0.89629629629629626</v>
      </c>
      <c r="AJ14">
        <f>Tabela3[[#This Row],[mlp_train_acc]]</f>
        <v>1</v>
      </c>
    </row>
    <row r="15" spans="1:36" x14ac:dyDescent="0.25">
      <c r="A15" t="s">
        <v>57</v>
      </c>
      <c r="B15">
        <v>8</v>
      </c>
      <c r="C15">
        <v>3</v>
      </c>
      <c r="D15">
        <v>2</v>
      </c>
      <c r="E15">
        <v>0</v>
      </c>
      <c r="F15" t="s">
        <v>71</v>
      </c>
      <c r="G15">
        <v>3974</v>
      </c>
      <c r="H15">
        <v>16197735.800000001</v>
      </c>
      <c r="I15">
        <v>190.4</v>
      </c>
      <c r="J15">
        <v>1</v>
      </c>
      <c r="K15">
        <v>0.95555557012557979</v>
      </c>
      <c r="L15">
        <v>0.93777778148651125</v>
      </c>
      <c r="M15">
        <v>0.9555555555555556</v>
      </c>
      <c r="N15">
        <v>0.91111111111111109</v>
      </c>
      <c r="O15">
        <v>1</v>
      </c>
      <c r="P15">
        <v>20518.400000000001</v>
      </c>
      <c r="Q15">
        <v>175252264.80000001</v>
      </c>
      <c r="R15">
        <v>3963</v>
      </c>
      <c r="S15">
        <v>2</v>
      </c>
      <c r="T15">
        <v>40</v>
      </c>
      <c r="U15">
        <v>0.94222222222222229</v>
      </c>
      <c r="V15">
        <v>0.91851851851851851</v>
      </c>
      <c r="W15">
        <v>1</v>
      </c>
      <c r="X15">
        <v>20799</v>
      </c>
      <c r="Y15">
        <v>176459455.59999999</v>
      </c>
      <c r="Z15">
        <v>4144</v>
      </c>
      <c r="AA15">
        <v>2</v>
      </c>
      <c r="AB15">
        <v>41</v>
      </c>
      <c r="AD15">
        <f>Tabela3[[#This Row],[kan_params]]</f>
        <v>3974</v>
      </c>
      <c r="AE15">
        <f>Tabela3[[#This Row],[kan_train_acc]]</f>
        <v>1</v>
      </c>
      <c r="AF15">
        <f>Tabela3[[#This Row],[kan_val_acc]]</f>
        <v>0.95555557012557979</v>
      </c>
      <c r="AG15">
        <f>Tabela3[[#This Row],[kan_test_acc]]</f>
        <v>0.93777778148651125</v>
      </c>
      <c r="AH15">
        <f>Tabela3[[#This Row],[mlp_test_acc]]</f>
        <v>0.9555555555555556</v>
      </c>
      <c r="AI15">
        <f>Tabela3[[#This Row],[mlp_val_acc]]</f>
        <v>0.91111111111111109</v>
      </c>
      <c r="AJ15">
        <f>Tabela3[[#This Row],[mlp_train_acc]]</f>
        <v>1</v>
      </c>
    </row>
    <row r="16" spans="1:36" x14ac:dyDescent="0.25">
      <c r="A16" t="s">
        <v>57</v>
      </c>
      <c r="B16">
        <v>8</v>
      </c>
      <c r="C16">
        <v>3</v>
      </c>
      <c r="D16">
        <v>2</v>
      </c>
      <c r="E16">
        <v>0</v>
      </c>
      <c r="F16" t="s">
        <v>72</v>
      </c>
      <c r="G16">
        <v>7642</v>
      </c>
      <c r="H16">
        <v>39078226.799999997</v>
      </c>
      <c r="I16">
        <v>257.8</v>
      </c>
      <c r="J16">
        <v>0.99245283603668211</v>
      </c>
      <c r="K16">
        <v>0.94074074029922483</v>
      </c>
      <c r="L16">
        <v>0.96888889074325557</v>
      </c>
      <c r="M16">
        <v>0.95111111111111113</v>
      </c>
      <c r="N16">
        <v>0.91851851851851851</v>
      </c>
      <c r="O16">
        <v>1</v>
      </c>
      <c r="P16">
        <v>20346.8</v>
      </c>
      <c r="Q16">
        <v>239746694.19999999</v>
      </c>
      <c r="R16">
        <v>7584</v>
      </c>
      <c r="S16">
        <v>2</v>
      </c>
      <c r="T16">
        <v>57</v>
      </c>
      <c r="U16">
        <v>0.93333333333333335</v>
      </c>
      <c r="V16">
        <v>0.91111111111111109</v>
      </c>
      <c r="W16">
        <v>1</v>
      </c>
      <c r="X16">
        <v>19729.8</v>
      </c>
      <c r="Y16">
        <v>211848812.59999999</v>
      </c>
      <c r="Z16">
        <v>7833</v>
      </c>
      <c r="AA16">
        <v>2</v>
      </c>
      <c r="AB16">
        <v>58</v>
      </c>
      <c r="AD16">
        <f>Tabela3[[#This Row],[kan_params]]</f>
        <v>7642</v>
      </c>
      <c r="AE16">
        <f>Tabela3[[#This Row],[kan_train_acc]]</f>
        <v>0.99245283603668211</v>
      </c>
      <c r="AF16">
        <f>Tabela3[[#This Row],[kan_val_acc]]</f>
        <v>0.94074074029922483</v>
      </c>
      <c r="AG16">
        <f>Tabela3[[#This Row],[kan_test_acc]]</f>
        <v>0.96888889074325557</v>
      </c>
      <c r="AH16">
        <f>Tabela3[[#This Row],[mlp_test_acc]]</f>
        <v>0.95111111111111113</v>
      </c>
      <c r="AI16">
        <f>Tabela3[[#This Row],[mlp_val_acc]]</f>
        <v>0.91851851851851851</v>
      </c>
      <c r="AJ16">
        <f>Tabela3[[#This Row],[mlp_train_acc]]</f>
        <v>1</v>
      </c>
    </row>
    <row r="17" spans="1:36" x14ac:dyDescent="0.25">
      <c r="A17" t="s">
        <v>57</v>
      </c>
      <c r="B17">
        <v>8</v>
      </c>
      <c r="C17">
        <v>3</v>
      </c>
      <c r="D17">
        <v>2</v>
      </c>
      <c r="E17">
        <v>0</v>
      </c>
      <c r="F17" t="s">
        <v>73</v>
      </c>
      <c r="G17">
        <v>9207</v>
      </c>
      <c r="H17">
        <v>30943349</v>
      </c>
      <c r="I17">
        <v>185</v>
      </c>
      <c r="J17">
        <v>1</v>
      </c>
      <c r="K17">
        <v>0.94074074029922483</v>
      </c>
      <c r="L17">
        <v>0.97333333492279051</v>
      </c>
      <c r="M17">
        <v>0.94222222222222229</v>
      </c>
      <c r="N17">
        <v>0.90370370370370368</v>
      </c>
      <c r="O17">
        <v>1</v>
      </c>
      <c r="P17">
        <v>20644.2</v>
      </c>
      <c r="Q17">
        <v>253378485</v>
      </c>
      <c r="R17">
        <v>9138</v>
      </c>
      <c r="S17">
        <v>2</v>
      </c>
      <c r="T17">
        <v>63</v>
      </c>
      <c r="U17">
        <v>0.95111111111111113</v>
      </c>
      <c r="V17">
        <v>0.91111111111111109</v>
      </c>
      <c r="W17">
        <v>1</v>
      </c>
      <c r="X17">
        <v>19971.400000000001</v>
      </c>
      <c r="Y17">
        <v>215002420.19999999</v>
      </c>
      <c r="Z17">
        <v>9411</v>
      </c>
      <c r="AA17">
        <v>2</v>
      </c>
      <c r="AB17">
        <v>64</v>
      </c>
      <c r="AD17">
        <f>Tabela3[[#This Row],[kan_params]]</f>
        <v>9207</v>
      </c>
      <c r="AE17">
        <f>Tabela3[[#This Row],[kan_train_acc]]</f>
        <v>1</v>
      </c>
      <c r="AF17">
        <f>Tabela3[[#This Row],[kan_val_acc]]</f>
        <v>0.94074074029922483</v>
      </c>
      <c r="AG17">
        <f>Tabela3[[#This Row],[kan_test_acc]]</f>
        <v>0.97333333492279051</v>
      </c>
      <c r="AH17">
        <f>Tabela3[[#This Row],[mlp_test_acc]]</f>
        <v>0.94222222222222229</v>
      </c>
      <c r="AI17">
        <f>Tabela3[[#This Row],[mlp_val_acc]]</f>
        <v>0.90370370370370368</v>
      </c>
      <c r="AJ17">
        <f>Tabela3[[#This Row],[mlp_train_acc]]</f>
        <v>1</v>
      </c>
    </row>
    <row r="18" spans="1:36" x14ac:dyDescent="0.25">
      <c r="A18" t="s">
        <v>57</v>
      </c>
      <c r="B18">
        <v>8</v>
      </c>
      <c r="C18">
        <v>3</v>
      </c>
      <c r="D18">
        <v>2</v>
      </c>
      <c r="E18">
        <v>0</v>
      </c>
      <c r="F18" t="s">
        <v>74</v>
      </c>
      <c r="G18">
        <v>10772</v>
      </c>
      <c r="H18">
        <v>51027607.399999999</v>
      </c>
      <c r="I18">
        <v>290.2</v>
      </c>
      <c r="J18">
        <v>1</v>
      </c>
      <c r="K18">
        <v>0.94814815521240237</v>
      </c>
      <c r="L18">
        <v>0.95111111402511606</v>
      </c>
      <c r="M18">
        <v>0.95111111111111113</v>
      </c>
      <c r="N18">
        <v>0.93333333333333335</v>
      </c>
      <c r="O18">
        <v>1</v>
      </c>
      <c r="P18">
        <v>19220.599999999999</v>
      </c>
      <c r="Q18">
        <v>233034864</v>
      </c>
      <c r="R18">
        <v>10543</v>
      </c>
      <c r="S18">
        <v>2</v>
      </c>
      <c r="T18">
        <v>68</v>
      </c>
      <c r="U18">
        <v>0.94666666666666666</v>
      </c>
      <c r="V18">
        <v>0.91851851851851851</v>
      </c>
      <c r="W18">
        <v>1</v>
      </c>
      <c r="X18">
        <v>18539.599999999999</v>
      </c>
      <c r="Y18">
        <v>220761445.59999999</v>
      </c>
      <c r="Z18">
        <v>10836</v>
      </c>
      <c r="AA18">
        <v>2</v>
      </c>
      <c r="AB18">
        <v>69</v>
      </c>
      <c r="AD18">
        <f>Tabela3[[#This Row],[kan_params]]</f>
        <v>10772</v>
      </c>
      <c r="AE18">
        <f>Tabela3[[#This Row],[kan_train_acc]]</f>
        <v>1</v>
      </c>
      <c r="AF18">
        <f>Tabela3[[#This Row],[kan_val_acc]]</f>
        <v>0.94814815521240237</v>
      </c>
      <c r="AG18">
        <f>Tabela3[[#This Row],[kan_test_acc]]</f>
        <v>0.95111111402511606</v>
      </c>
      <c r="AH18">
        <f>Tabela3[[#This Row],[mlp_test_acc]]</f>
        <v>0.95111111111111113</v>
      </c>
      <c r="AI18">
        <f>Tabela3[[#This Row],[mlp_val_acc]]</f>
        <v>0.93333333333333335</v>
      </c>
      <c r="AJ18">
        <f>Tabela3[[#This Row],[mlp_train_acc]]</f>
        <v>1</v>
      </c>
    </row>
    <row r="19" spans="1:36" x14ac:dyDescent="0.25">
      <c r="A19" t="s">
        <v>57</v>
      </c>
      <c r="B19">
        <v>8</v>
      </c>
      <c r="C19">
        <v>3</v>
      </c>
      <c r="D19">
        <v>2</v>
      </c>
      <c r="E19">
        <v>0</v>
      </c>
      <c r="F19" t="s">
        <v>75</v>
      </c>
      <c r="G19">
        <v>5019</v>
      </c>
      <c r="H19">
        <v>22663091.600000001</v>
      </c>
      <c r="I19">
        <v>243.2</v>
      </c>
      <c r="J19">
        <v>1</v>
      </c>
      <c r="K19">
        <v>0.96296298503875732</v>
      </c>
      <c r="L19">
        <v>0.93333333730697632</v>
      </c>
      <c r="M19">
        <v>0.94222222222222218</v>
      </c>
      <c r="N19">
        <v>0.90370370370370368</v>
      </c>
      <c r="O19">
        <v>1</v>
      </c>
      <c r="P19">
        <v>20343</v>
      </c>
      <c r="Q19">
        <v>187328892.19999999</v>
      </c>
      <c r="R19">
        <v>4908</v>
      </c>
      <c r="S19">
        <v>2</v>
      </c>
      <c r="T19">
        <v>45</v>
      </c>
      <c r="U19">
        <v>0.94666666666666666</v>
      </c>
      <c r="V19">
        <v>0.87407407407407411</v>
      </c>
      <c r="W19">
        <v>1</v>
      </c>
      <c r="X19">
        <v>18471.8</v>
      </c>
      <c r="Y19">
        <v>161021216.80000001</v>
      </c>
      <c r="Z19">
        <v>5109</v>
      </c>
      <c r="AA19">
        <v>2</v>
      </c>
      <c r="AB19">
        <v>46</v>
      </c>
      <c r="AD19">
        <f>Tabela3[[#This Row],[kan_params]]</f>
        <v>5019</v>
      </c>
      <c r="AE19">
        <f>Tabela3[[#This Row],[kan_train_acc]]</f>
        <v>1</v>
      </c>
      <c r="AF19">
        <f>Tabela3[[#This Row],[kan_val_acc]]</f>
        <v>0.96296298503875732</v>
      </c>
      <c r="AG19">
        <f>Tabela3[[#This Row],[kan_test_acc]]</f>
        <v>0.93333333730697632</v>
      </c>
      <c r="AH19">
        <f>Tabela3[[#This Row],[mlp_test_acc]]</f>
        <v>0.94222222222222218</v>
      </c>
      <c r="AI19">
        <f>Tabela3[[#This Row],[mlp_val_acc]]</f>
        <v>0.90370370370370368</v>
      </c>
      <c r="AJ19">
        <f>Tabela3[[#This Row],[mlp_train_acc]]</f>
        <v>1</v>
      </c>
    </row>
    <row r="20" spans="1:36" x14ac:dyDescent="0.25">
      <c r="A20" t="s">
        <v>57</v>
      </c>
      <c r="B20">
        <v>8</v>
      </c>
      <c r="C20">
        <v>3</v>
      </c>
      <c r="D20">
        <v>2</v>
      </c>
      <c r="E20">
        <v>0</v>
      </c>
      <c r="F20" t="s">
        <v>76</v>
      </c>
      <c r="G20">
        <v>1884</v>
      </c>
      <c r="H20">
        <v>9893968.1428571437</v>
      </c>
      <c r="I20">
        <v>285819.57142857142</v>
      </c>
      <c r="J20">
        <v>0.9892183286803109</v>
      </c>
      <c r="K20">
        <v>0.9523809552192688</v>
      </c>
      <c r="L20">
        <v>0.89841270446777344</v>
      </c>
      <c r="M20">
        <v>0.92380952380952386</v>
      </c>
      <c r="N20">
        <v>0.91005291005291</v>
      </c>
      <c r="O20">
        <v>1</v>
      </c>
      <c r="P20">
        <v>302629.85714285716</v>
      </c>
      <c r="Q20">
        <v>2599585987.7142859</v>
      </c>
      <c r="R20">
        <v>1849</v>
      </c>
      <c r="S20">
        <v>2</v>
      </c>
      <c r="T20">
        <v>26</v>
      </c>
      <c r="U20">
        <v>0.91746031746031742</v>
      </c>
      <c r="V20">
        <v>0.91005291005291</v>
      </c>
      <c r="W20">
        <v>1</v>
      </c>
      <c r="X20">
        <v>160585.28571428571</v>
      </c>
      <c r="Y20">
        <v>1393312577.2857144</v>
      </c>
      <c r="Z20">
        <v>1974</v>
      </c>
      <c r="AA20">
        <v>2</v>
      </c>
      <c r="AB20">
        <v>27</v>
      </c>
      <c r="AD20">
        <f>Tabela3[[#This Row],[kan_params]]</f>
        <v>1884</v>
      </c>
      <c r="AE20">
        <f>Tabela3[[#This Row],[kan_train_acc]]</f>
        <v>0.9892183286803109</v>
      </c>
      <c r="AF20">
        <f>Tabela3[[#This Row],[kan_val_acc]]</f>
        <v>0.9523809552192688</v>
      </c>
      <c r="AG20">
        <f>Tabela3[[#This Row],[kan_test_acc]]</f>
        <v>0.89841270446777344</v>
      </c>
      <c r="AH20">
        <f>Tabela3[[#This Row],[mlp_test_acc]]</f>
        <v>0.92380952380952386</v>
      </c>
      <c r="AI20">
        <f>Tabela3[[#This Row],[mlp_val_acc]]</f>
        <v>0.91005291005291</v>
      </c>
      <c r="AJ20">
        <f>Tabela3[[#This Row],[mlp_train_acc]]</f>
        <v>1</v>
      </c>
    </row>
    <row r="21" spans="1:36" x14ac:dyDescent="0.25">
      <c r="A21" t="s">
        <v>57</v>
      </c>
      <c r="B21">
        <v>10</v>
      </c>
      <c r="C21">
        <v>3</v>
      </c>
      <c r="D21">
        <v>3</v>
      </c>
      <c r="E21">
        <v>0</v>
      </c>
      <c r="F21" t="s">
        <v>58</v>
      </c>
      <c r="G21">
        <v>6061</v>
      </c>
      <c r="H21">
        <v>2262243085.1999998</v>
      </c>
      <c r="I21">
        <v>22396.2</v>
      </c>
      <c r="J21">
        <v>0.9433962225914001</v>
      </c>
      <c r="K21">
        <v>0.95555557012557979</v>
      </c>
      <c r="L21">
        <v>0.91111111640930176</v>
      </c>
      <c r="M21">
        <v>0.93777777777777782</v>
      </c>
      <c r="N21">
        <v>0.97777777777777775</v>
      </c>
      <c r="O21">
        <v>1</v>
      </c>
      <c r="P21">
        <v>50362.8</v>
      </c>
      <c r="Q21">
        <v>475228571.80000001</v>
      </c>
      <c r="R21">
        <v>5953</v>
      </c>
      <c r="S21">
        <v>2</v>
      </c>
      <c r="T21">
        <v>50</v>
      </c>
      <c r="U21">
        <v>0.93333333333333335</v>
      </c>
      <c r="V21">
        <v>0.97037037037037033</v>
      </c>
      <c r="W21">
        <v>1</v>
      </c>
      <c r="X21">
        <v>74590.399999999994</v>
      </c>
      <c r="Y21">
        <v>741024936.39999998</v>
      </c>
      <c r="Z21">
        <v>6174</v>
      </c>
      <c r="AA21">
        <v>2</v>
      </c>
      <c r="AB21">
        <v>51</v>
      </c>
      <c r="AD21">
        <f>Tabela3[[#This Row],[kan_params]]</f>
        <v>6061</v>
      </c>
      <c r="AE21">
        <f>Tabela3[[#This Row],[kan_train_acc]]</f>
        <v>0.9433962225914001</v>
      </c>
      <c r="AF21">
        <f>Tabela3[[#This Row],[kan_val_acc]]</f>
        <v>0.95555557012557979</v>
      </c>
      <c r="AG21">
        <f>Tabela3[[#This Row],[kan_test_acc]]</f>
        <v>0.91111111640930176</v>
      </c>
      <c r="AH21">
        <f>Tabela3[[#This Row],[mlp_test_acc]]</f>
        <v>0.93777777777777782</v>
      </c>
      <c r="AI21">
        <f>Tabela3[[#This Row],[mlp_val_acc]]</f>
        <v>0.97777777777777775</v>
      </c>
      <c r="AJ21">
        <f>Tabela3[[#This Row],[mlp_train_acc]]</f>
        <v>1</v>
      </c>
    </row>
    <row r="22" spans="1:36" x14ac:dyDescent="0.25">
      <c r="A22" t="s">
        <v>57</v>
      </c>
      <c r="B22">
        <v>10</v>
      </c>
      <c r="C22">
        <v>3</v>
      </c>
      <c r="D22">
        <v>3</v>
      </c>
      <c r="E22">
        <v>0</v>
      </c>
      <c r="F22" t="s">
        <v>59</v>
      </c>
      <c r="G22">
        <v>7346</v>
      </c>
      <c r="H22">
        <v>360986119.80000001</v>
      </c>
      <c r="I22">
        <v>3198.6</v>
      </c>
      <c r="J22">
        <v>0.89811320304870601</v>
      </c>
      <c r="K22">
        <v>0.97777779102325435</v>
      </c>
      <c r="L22">
        <v>0.88444445133209226</v>
      </c>
      <c r="M22">
        <v>0.93333333333333335</v>
      </c>
      <c r="N22">
        <v>0.96296296296296291</v>
      </c>
      <c r="O22">
        <v>1</v>
      </c>
      <c r="P22">
        <v>51436.800000000003</v>
      </c>
      <c r="Q22">
        <v>460949465.39999998</v>
      </c>
      <c r="R22">
        <v>7339</v>
      </c>
      <c r="S22">
        <v>2</v>
      </c>
      <c r="T22">
        <v>56</v>
      </c>
      <c r="U22">
        <v>0.93333333333333335</v>
      </c>
      <c r="V22">
        <v>0.96296296296296291</v>
      </c>
      <c r="W22">
        <v>1</v>
      </c>
      <c r="X22">
        <v>54601.2</v>
      </c>
      <c r="Y22">
        <v>491348975</v>
      </c>
      <c r="Z22">
        <v>7584</v>
      </c>
      <c r="AA22">
        <v>2</v>
      </c>
      <c r="AB22">
        <v>57</v>
      </c>
      <c r="AD22">
        <f>Tabela3[[#This Row],[kan_params]]</f>
        <v>7346</v>
      </c>
      <c r="AE22">
        <f>Tabela3[[#This Row],[kan_train_acc]]</f>
        <v>0.89811320304870601</v>
      </c>
      <c r="AF22">
        <f>Tabela3[[#This Row],[kan_val_acc]]</f>
        <v>0.97777779102325435</v>
      </c>
      <c r="AG22">
        <f>Tabela3[[#This Row],[kan_test_acc]]</f>
        <v>0.88444445133209226</v>
      </c>
      <c r="AH22">
        <f>Tabela3[[#This Row],[mlp_test_acc]]</f>
        <v>0.93333333333333335</v>
      </c>
      <c r="AI22">
        <f>Tabela3[[#This Row],[mlp_val_acc]]</f>
        <v>0.96296296296296291</v>
      </c>
      <c r="AJ22">
        <f>Tabela3[[#This Row],[mlp_train_acc]]</f>
        <v>1</v>
      </c>
    </row>
    <row r="23" spans="1:36" x14ac:dyDescent="0.25">
      <c r="A23" t="s">
        <v>57</v>
      </c>
      <c r="B23">
        <v>10</v>
      </c>
      <c r="C23">
        <v>3</v>
      </c>
      <c r="D23">
        <v>3</v>
      </c>
      <c r="E23">
        <v>0</v>
      </c>
      <c r="F23" t="s">
        <v>60</v>
      </c>
      <c r="G23">
        <v>8631</v>
      </c>
      <c r="H23">
        <v>68650853.400000006</v>
      </c>
      <c r="I23">
        <v>481</v>
      </c>
      <c r="J23">
        <v>0.96226416826248173</v>
      </c>
      <c r="K23">
        <v>0.99259259700775149</v>
      </c>
      <c r="L23">
        <v>0.95111111402511606</v>
      </c>
      <c r="M23">
        <v>0.97777777777777775</v>
      </c>
      <c r="N23">
        <v>1</v>
      </c>
      <c r="O23">
        <v>0.99056603773584906</v>
      </c>
      <c r="P23">
        <v>2725.4</v>
      </c>
      <c r="Q23">
        <v>28259434.399999999</v>
      </c>
      <c r="R23">
        <v>8604</v>
      </c>
      <c r="S23">
        <v>2</v>
      </c>
      <c r="T23">
        <v>61</v>
      </c>
      <c r="U23">
        <v>0.97777777777777775</v>
      </c>
      <c r="V23">
        <v>1</v>
      </c>
      <c r="W23">
        <v>0.99056603773584906</v>
      </c>
      <c r="X23">
        <v>2748</v>
      </c>
      <c r="Y23">
        <v>27513765</v>
      </c>
      <c r="Z23">
        <v>8869</v>
      </c>
      <c r="AA23">
        <v>2</v>
      </c>
      <c r="AB23">
        <v>62</v>
      </c>
      <c r="AD23">
        <f>Tabela3[[#This Row],[kan_params]]</f>
        <v>8631</v>
      </c>
      <c r="AE23">
        <f>Tabela3[[#This Row],[kan_train_acc]]</f>
        <v>0.96226416826248173</v>
      </c>
      <c r="AF23">
        <f>Tabela3[[#This Row],[kan_val_acc]]</f>
        <v>0.99259259700775149</v>
      </c>
      <c r="AG23">
        <f>Tabela3[[#This Row],[kan_test_acc]]</f>
        <v>0.95111111402511606</v>
      </c>
      <c r="AH23">
        <f>Tabela3[[#This Row],[mlp_test_acc]]</f>
        <v>0.97777777777777775</v>
      </c>
      <c r="AI23">
        <f>Tabela3[[#This Row],[mlp_val_acc]]</f>
        <v>1</v>
      </c>
      <c r="AJ23">
        <f>Tabela3[[#This Row],[mlp_train_acc]]</f>
        <v>0.99056603773584906</v>
      </c>
    </row>
    <row r="24" spans="1:36" x14ac:dyDescent="0.25">
      <c r="A24" t="s">
        <v>57</v>
      </c>
      <c r="B24">
        <v>10</v>
      </c>
      <c r="C24">
        <v>3</v>
      </c>
      <c r="D24">
        <v>3</v>
      </c>
      <c r="E24">
        <v>0</v>
      </c>
      <c r="F24" t="s">
        <v>61</v>
      </c>
      <c r="G24">
        <v>3601</v>
      </c>
      <c r="H24">
        <v>1214855424</v>
      </c>
      <c r="I24">
        <v>20120.599999999999</v>
      </c>
      <c r="J24">
        <v>0.9679245233535767</v>
      </c>
      <c r="K24">
        <v>0.96296297311782841</v>
      </c>
      <c r="L24">
        <v>0.93777778148651125</v>
      </c>
      <c r="M24">
        <v>0.92888888888888888</v>
      </c>
      <c r="N24">
        <v>0.96296296296296291</v>
      </c>
      <c r="O24">
        <v>1</v>
      </c>
      <c r="P24">
        <v>50386.2</v>
      </c>
      <c r="Q24">
        <v>337680131.39999998</v>
      </c>
      <c r="R24">
        <v>3444</v>
      </c>
      <c r="S24">
        <v>2</v>
      </c>
      <c r="T24">
        <v>37</v>
      </c>
      <c r="U24">
        <v>0.94222222222222229</v>
      </c>
      <c r="V24">
        <v>0.95555555555555549</v>
      </c>
      <c r="W24">
        <v>0.99811320754716981</v>
      </c>
      <c r="X24">
        <v>51731.199999999997</v>
      </c>
      <c r="Y24">
        <v>378251395</v>
      </c>
      <c r="Z24">
        <v>3613</v>
      </c>
      <c r="AA24">
        <v>2</v>
      </c>
      <c r="AB24">
        <v>38</v>
      </c>
      <c r="AD24">
        <f>Tabela3[[#This Row],[kan_params]]</f>
        <v>3601</v>
      </c>
      <c r="AE24">
        <f>Tabela3[[#This Row],[kan_train_acc]]</f>
        <v>0.9679245233535767</v>
      </c>
      <c r="AF24">
        <f>Tabela3[[#This Row],[kan_val_acc]]</f>
        <v>0.96296297311782841</v>
      </c>
      <c r="AG24">
        <f>Tabela3[[#This Row],[kan_test_acc]]</f>
        <v>0.93777778148651125</v>
      </c>
      <c r="AH24">
        <f>Tabela3[[#This Row],[mlp_test_acc]]</f>
        <v>0.92888888888888888</v>
      </c>
      <c r="AI24">
        <f>Tabela3[[#This Row],[mlp_val_acc]]</f>
        <v>0.96296296296296291</v>
      </c>
      <c r="AJ24">
        <f>Tabela3[[#This Row],[mlp_train_acc]]</f>
        <v>1</v>
      </c>
    </row>
    <row r="25" spans="1:36" x14ac:dyDescent="0.25">
      <c r="A25" t="s">
        <v>57</v>
      </c>
      <c r="B25">
        <v>10</v>
      </c>
      <c r="C25">
        <v>3</v>
      </c>
      <c r="D25">
        <v>3</v>
      </c>
      <c r="E25">
        <v>0</v>
      </c>
      <c r="F25" t="s">
        <v>62</v>
      </c>
      <c r="G25">
        <v>6895</v>
      </c>
      <c r="H25">
        <v>56105364.799999997</v>
      </c>
      <c r="I25">
        <v>403.4</v>
      </c>
      <c r="J25">
        <v>0.94905661344528203</v>
      </c>
      <c r="K25">
        <v>0.98518519401550297</v>
      </c>
      <c r="L25">
        <v>0.90222222805023189</v>
      </c>
      <c r="M25">
        <v>0.97333333333333338</v>
      </c>
      <c r="N25">
        <v>1</v>
      </c>
      <c r="O25">
        <v>0.99056603773584906</v>
      </c>
      <c r="P25">
        <v>2861.2</v>
      </c>
      <c r="Q25">
        <v>32098513.800000001</v>
      </c>
      <c r="R25">
        <v>6861</v>
      </c>
      <c r="S25">
        <v>2</v>
      </c>
      <c r="T25">
        <v>54</v>
      </c>
      <c r="U25">
        <v>0.99111111111111105</v>
      </c>
      <c r="V25">
        <v>1</v>
      </c>
      <c r="W25">
        <v>0.99056603773584906</v>
      </c>
      <c r="X25">
        <v>2941.2</v>
      </c>
      <c r="Y25">
        <v>31969928.399999999</v>
      </c>
      <c r="Z25">
        <v>7098</v>
      </c>
      <c r="AA25">
        <v>2</v>
      </c>
      <c r="AB25">
        <v>55</v>
      </c>
      <c r="AD25">
        <f>Tabela3[[#This Row],[kan_params]]</f>
        <v>6895</v>
      </c>
      <c r="AE25">
        <f>Tabela3[[#This Row],[kan_train_acc]]</f>
        <v>0.94905661344528203</v>
      </c>
      <c r="AF25">
        <f>Tabela3[[#This Row],[kan_val_acc]]</f>
        <v>0.98518519401550297</v>
      </c>
      <c r="AG25">
        <f>Tabela3[[#This Row],[kan_test_acc]]</f>
        <v>0.90222222805023189</v>
      </c>
      <c r="AH25">
        <f>Tabela3[[#This Row],[mlp_test_acc]]</f>
        <v>0.97333333333333338</v>
      </c>
      <c r="AI25">
        <f>Tabela3[[#This Row],[mlp_val_acc]]</f>
        <v>1</v>
      </c>
      <c r="AJ25">
        <f>Tabela3[[#This Row],[mlp_train_acc]]</f>
        <v>0.99056603773584906</v>
      </c>
    </row>
    <row r="26" spans="1:36" x14ac:dyDescent="0.25">
      <c r="A26" t="s">
        <v>57</v>
      </c>
      <c r="B26">
        <v>10</v>
      </c>
      <c r="C26">
        <v>3</v>
      </c>
      <c r="D26">
        <v>3</v>
      </c>
      <c r="E26">
        <v>0</v>
      </c>
      <c r="F26" t="s">
        <v>63</v>
      </c>
      <c r="G26">
        <v>8340</v>
      </c>
      <c r="H26">
        <v>349817826.19999999</v>
      </c>
      <c r="I26">
        <v>2361.4</v>
      </c>
      <c r="J26">
        <v>0.91886793375015263</v>
      </c>
      <c r="K26">
        <v>0.98518519401550297</v>
      </c>
      <c r="L26">
        <v>0.84444444775581362</v>
      </c>
      <c r="M26">
        <v>0.98222222222222222</v>
      </c>
      <c r="N26">
        <v>1</v>
      </c>
      <c r="O26">
        <v>0.99056603773584906</v>
      </c>
      <c r="P26">
        <v>2742.8</v>
      </c>
      <c r="Q26">
        <v>32243410.800000001</v>
      </c>
      <c r="R26">
        <v>8086</v>
      </c>
      <c r="S26">
        <v>2</v>
      </c>
      <c r="T26">
        <v>59</v>
      </c>
      <c r="U26">
        <v>0.98666666666666669</v>
      </c>
      <c r="V26">
        <v>1</v>
      </c>
      <c r="W26">
        <v>0.99056603773584906</v>
      </c>
      <c r="X26">
        <v>2842</v>
      </c>
      <c r="Y26">
        <v>32988293.600000001</v>
      </c>
      <c r="Z26">
        <v>8343</v>
      </c>
      <c r="AA26">
        <v>2</v>
      </c>
      <c r="AB26">
        <v>60</v>
      </c>
      <c r="AD26">
        <f>Tabela3[[#This Row],[kan_params]]</f>
        <v>8340</v>
      </c>
      <c r="AE26">
        <f>Tabela3[[#This Row],[kan_train_acc]]</f>
        <v>0.91886793375015263</v>
      </c>
      <c r="AF26">
        <f>Tabela3[[#This Row],[kan_val_acc]]</f>
        <v>0.98518519401550297</v>
      </c>
      <c r="AG26">
        <f>Tabela3[[#This Row],[kan_test_acc]]</f>
        <v>0.84444444775581362</v>
      </c>
      <c r="AH26">
        <f>Tabela3[[#This Row],[mlp_test_acc]]</f>
        <v>0.98222222222222222</v>
      </c>
      <c r="AI26">
        <f>Tabela3[[#This Row],[mlp_val_acc]]</f>
        <v>1</v>
      </c>
      <c r="AJ26">
        <f>Tabela3[[#This Row],[mlp_train_acc]]</f>
        <v>0.99056603773584906</v>
      </c>
    </row>
    <row r="27" spans="1:36" x14ac:dyDescent="0.25">
      <c r="A27" t="s">
        <v>57</v>
      </c>
      <c r="B27">
        <v>10</v>
      </c>
      <c r="C27">
        <v>3</v>
      </c>
      <c r="D27">
        <v>3</v>
      </c>
      <c r="E27">
        <v>0</v>
      </c>
      <c r="F27" t="s">
        <v>64</v>
      </c>
      <c r="G27">
        <v>9785</v>
      </c>
      <c r="H27">
        <v>2670066378.5999999</v>
      </c>
      <c r="I27">
        <v>17276</v>
      </c>
      <c r="J27">
        <v>0.9943396210670471</v>
      </c>
      <c r="K27">
        <v>0.97037038803100584</v>
      </c>
      <c r="L27">
        <v>0.94222222566604619</v>
      </c>
      <c r="M27">
        <v>0.98222222222222222</v>
      </c>
      <c r="N27">
        <v>1</v>
      </c>
      <c r="O27">
        <v>0.99056603773584906</v>
      </c>
      <c r="P27">
        <v>2611.6</v>
      </c>
      <c r="Q27">
        <v>30930327.399999999</v>
      </c>
      <c r="R27">
        <v>9688</v>
      </c>
      <c r="S27">
        <v>2</v>
      </c>
      <c r="T27">
        <v>65</v>
      </c>
      <c r="U27">
        <v>0.97333333333333327</v>
      </c>
      <c r="V27">
        <v>1</v>
      </c>
      <c r="W27">
        <v>0.99056603773584906</v>
      </c>
      <c r="X27">
        <v>2684</v>
      </c>
      <c r="Y27">
        <v>31714397.399999999</v>
      </c>
      <c r="Z27">
        <v>9969</v>
      </c>
      <c r="AA27">
        <v>2</v>
      </c>
      <c r="AB27">
        <v>66</v>
      </c>
      <c r="AD27">
        <f>Tabela3[[#This Row],[kan_params]]</f>
        <v>9785</v>
      </c>
      <c r="AE27">
        <f>Tabela3[[#This Row],[kan_train_acc]]</f>
        <v>0.9943396210670471</v>
      </c>
      <c r="AF27">
        <f>Tabela3[[#This Row],[kan_val_acc]]</f>
        <v>0.97037038803100584</v>
      </c>
      <c r="AG27">
        <f>Tabela3[[#This Row],[kan_test_acc]]</f>
        <v>0.94222222566604619</v>
      </c>
      <c r="AH27">
        <f>Tabela3[[#This Row],[mlp_test_acc]]</f>
        <v>0.98222222222222222</v>
      </c>
      <c r="AI27">
        <f>Tabela3[[#This Row],[mlp_val_acc]]</f>
        <v>1</v>
      </c>
      <c r="AJ27">
        <f>Tabela3[[#This Row],[mlp_train_acc]]</f>
        <v>0.99056603773584906</v>
      </c>
    </row>
    <row r="28" spans="1:36" x14ac:dyDescent="0.25">
      <c r="A28" t="s">
        <v>57</v>
      </c>
      <c r="B28">
        <v>10</v>
      </c>
      <c r="C28">
        <v>3</v>
      </c>
      <c r="D28">
        <v>3</v>
      </c>
      <c r="E28">
        <v>0</v>
      </c>
      <c r="F28" t="s">
        <v>65</v>
      </c>
      <c r="G28">
        <v>7729</v>
      </c>
      <c r="H28">
        <v>702671368</v>
      </c>
      <c r="I28">
        <v>4994.3999999999996</v>
      </c>
      <c r="J28">
        <v>0.84716981649398804</v>
      </c>
      <c r="K28">
        <v>0.97037037611007693</v>
      </c>
      <c r="L28">
        <v>0.83111112117767338</v>
      </c>
      <c r="M28">
        <v>0.98666666666666669</v>
      </c>
      <c r="N28">
        <v>1</v>
      </c>
      <c r="O28">
        <v>0.99056603773584906</v>
      </c>
      <c r="P28">
        <v>2861.8</v>
      </c>
      <c r="Q28">
        <v>33322607.199999999</v>
      </c>
      <c r="R28">
        <v>7584</v>
      </c>
      <c r="S28">
        <v>2</v>
      </c>
      <c r="T28">
        <v>57</v>
      </c>
      <c r="U28">
        <v>0.97333333333333338</v>
      </c>
      <c r="V28">
        <v>1</v>
      </c>
      <c r="W28">
        <v>0.99056603773584906</v>
      </c>
      <c r="X28">
        <v>2888</v>
      </c>
      <c r="Y28">
        <v>33346633.199999999</v>
      </c>
      <c r="Z28">
        <v>7833</v>
      </c>
      <c r="AA28">
        <v>2</v>
      </c>
      <c r="AB28">
        <v>58</v>
      </c>
      <c r="AD28">
        <f>Tabela3[[#This Row],[kan_params]]</f>
        <v>7729</v>
      </c>
      <c r="AE28">
        <f>Tabela3[[#This Row],[kan_train_acc]]</f>
        <v>0.84716981649398804</v>
      </c>
      <c r="AF28">
        <f>Tabela3[[#This Row],[kan_val_acc]]</f>
        <v>0.97037037611007693</v>
      </c>
      <c r="AG28">
        <f>Tabela3[[#This Row],[kan_test_acc]]</f>
        <v>0.83111112117767338</v>
      </c>
      <c r="AH28">
        <f>Tabela3[[#This Row],[mlp_test_acc]]</f>
        <v>0.98666666666666669</v>
      </c>
      <c r="AI28">
        <f>Tabela3[[#This Row],[mlp_val_acc]]</f>
        <v>1</v>
      </c>
      <c r="AJ28">
        <f>Tabela3[[#This Row],[mlp_train_acc]]</f>
        <v>0.99056603773584906</v>
      </c>
    </row>
    <row r="29" spans="1:36" x14ac:dyDescent="0.25">
      <c r="A29" t="s">
        <v>57</v>
      </c>
      <c r="B29">
        <v>10</v>
      </c>
      <c r="C29">
        <v>3</v>
      </c>
      <c r="D29">
        <v>3</v>
      </c>
      <c r="E29">
        <v>0</v>
      </c>
      <c r="F29" t="s">
        <v>66</v>
      </c>
      <c r="G29">
        <v>9334</v>
      </c>
      <c r="H29">
        <v>1387909154.4000001</v>
      </c>
      <c r="I29">
        <v>9410</v>
      </c>
      <c r="J29">
        <v>0.68301886320114136</v>
      </c>
      <c r="K29">
        <v>0.97037038803100584</v>
      </c>
      <c r="L29">
        <v>0.63555556535720825</v>
      </c>
      <c r="M29">
        <v>0.99111111111111105</v>
      </c>
      <c r="N29">
        <v>1</v>
      </c>
      <c r="O29">
        <v>0.99056603773584906</v>
      </c>
      <c r="P29">
        <v>2687.4</v>
      </c>
      <c r="Q29">
        <v>30822283.199999999</v>
      </c>
      <c r="R29">
        <v>9138</v>
      </c>
      <c r="S29">
        <v>2</v>
      </c>
      <c r="T29">
        <v>63</v>
      </c>
      <c r="U29">
        <v>0.98666666666666669</v>
      </c>
      <c r="V29">
        <v>1</v>
      </c>
      <c r="W29">
        <v>0.99056603773584906</v>
      </c>
      <c r="X29">
        <v>2764</v>
      </c>
      <c r="Y29">
        <v>31432442.399999999</v>
      </c>
      <c r="Z29">
        <v>9411</v>
      </c>
      <c r="AA29">
        <v>2</v>
      </c>
      <c r="AB29">
        <v>64</v>
      </c>
      <c r="AD29">
        <f>Tabela3[[#This Row],[kan_params]]</f>
        <v>9334</v>
      </c>
      <c r="AE29">
        <f>Tabela3[[#This Row],[kan_train_acc]]</f>
        <v>0.68301886320114136</v>
      </c>
      <c r="AF29">
        <f>Tabela3[[#This Row],[kan_val_acc]]</f>
        <v>0.97037038803100584</v>
      </c>
      <c r="AG29">
        <f>Tabela3[[#This Row],[kan_test_acc]]</f>
        <v>0.63555556535720825</v>
      </c>
      <c r="AH29">
        <f>Tabela3[[#This Row],[mlp_test_acc]]</f>
        <v>0.99111111111111105</v>
      </c>
      <c r="AI29">
        <f>Tabela3[[#This Row],[mlp_val_acc]]</f>
        <v>1</v>
      </c>
      <c r="AJ29">
        <f>Tabela3[[#This Row],[mlp_train_acc]]</f>
        <v>0.99056603773584906</v>
      </c>
    </row>
    <row r="30" spans="1:36" x14ac:dyDescent="0.25">
      <c r="A30" t="s">
        <v>57</v>
      </c>
      <c r="B30">
        <v>10</v>
      </c>
      <c r="C30">
        <v>3</v>
      </c>
      <c r="D30">
        <v>3</v>
      </c>
      <c r="E30">
        <v>0</v>
      </c>
      <c r="F30" t="s">
        <v>67</v>
      </c>
      <c r="G30">
        <v>10939</v>
      </c>
      <c r="H30">
        <v>56955432.399999999</v>
      </c>
      <c r="I30">
        <v>404.2</v>
      </c>
      <c r="J30">
        <v>0.91509433984756472</v>
      </c>
      <c r="K30">
        <v>1</v>
      </c>
      <c r="L30">
        <v>0.90666667222976682</v>
      </c>
      <c r="M30">
        <v>0.95111111111111113</v>
      </c>
      <c r="N30">
        <v>0.97777777777777775</v>
      </c>
      <c r="O30">
        <v>0.99622641509433962</v>
      </c>
      <c r="P30">
        <v>9155.6</v>
      </c>
      <c r="Q30">
        <v>79584433.200000003</v>
      </c>
      <c r="R30">
        <v>10836</v>
      </c>
      <c r="S30">
        <v>2</v>
      </c>
      <c r="T30">
        <v>69</v>
      </c>
      <c r="U30">
        <v>0.96444444444444444</v>
      </c>
      <c r="V30">
        <v>0.99259259259259258</v>
      </c>
      <c r="W30">
        <v>0.96226415094339623</v>
      </c>
      <c r="X30">
        <v>21169.200000000001</v>
      </c>
      <c r="Y30">
        <v>279560860.80000001</v>
      </c>
      <c r="Z30">
        <v>11133</v>
      </c>
      <c r="AA30">
        <v>2</v>
      </c>
      <c r="AB30">
        <v>70</v>
      </c>
      <c r="AD30">
        <f>Tabela3[[#This Row],[kan_params]]</f>
        <v>10939</v>
      </c>
      <c r="AE30">
        <f>Tabela3[[#This Row],[kan_train_acc]]</f>
        <v>0.91509433984756472</v>
      </c>
      <c r="AF30">
        <f>Tabela3[[#This Row],[kan_val_acc]]</f>
        <v>1</v>
      </c>
      <c r="AG30">
        <f>Tabela3[[#This Row],[kan_test_acc]]</f>
        <v>0.90666667222976682</v>
      </c>
      <c r="AH30">
        <f>Tabela3[[#This Row],[mlp_test_acc]]</f>
        <v>0.95111111111111113</v>
      </c>
      <c r="AI30">
        <f>Tabela3[[#This Row],[mlp_val_acc]]</f>
        <v>0.97777777777777775</v>
      </c>
      <c r="AJ30">
        <f>Tabela3[[#This Row],[mlp_train_acc]]</f>
        <v>0.99622641509433962</v>
      </c>
    </row>
    <row r="31" spans="1:36" x14ac:dyDescent="0.25">
      <c r="A31" t="s">
        <v>57</v>
      </c>
      <c r="B31">
        <v>10</v>
      </c>
      <c r="C31">
        <v>3</v>
      </c>
      <c r="D31">
        <v>3</v>
      </c>
      <c r="E31">
        <v>0</v>
      </c>
      <c r="F31" t="s">
        <v>68</v>
      </c>
      <c r="G31">
        <v>8563</v>
      </c>
      <c r="H31">
        <v>16606374</v>
      </c>
      <c r="I31">
        <v>133.6</v>
      </c>
      <c r="J31">
        <v>0.88867923021316531</v>
      </c>
      <c r="K31">
        <v>1</v>
      </c>
      <c r="L31">
        <v>0.92000000476837163</v>
      </c>
      <c r="M31">
        <v>0.95111111111111113</v>
      </c>
      <c r="N31">
        <v>0.97777777777777775</v>
      </c>
      <c r="O31">
        <v>0.96415094339622642</v>
      </c>
      <c r="P31">
        <v>25549.200000000001</v>
      </c>
      <c r="Q31">
        <v>285846709.80000001</v>
      </c>
      <c r="R31">
        <v>8343</v>
      </c>
      <c r="S31">
        <v>2</v>
      </c>
      <c r="T31">
        <v>60</v>
      </c>
      <c r="U31">
        <v>0.94666666666666666</v>
      </c>
      <c r="V31">
        <v>0.98518518518518516</v>
      </c>
      <c r="W31">
        <v>0.94905660377358492</v>
      </c>
      <c r="X31">
        <v>5610.4</v>
      </c>
      <c r="Y31">
        <v>45451796.200000003</v>
      </c>
      <c r="Z31">
        <v>8604</v>
      </c>
      <c r="AA31">
        <v>2</v>
      </c>
      <c r="AB31">
        <v>61</v>
      </c>
      <c r="AD31">
        <f>Tabela3[[#This Row],[kan_params]]</f>
        <v>8563</v>
      </c>
      <c r="AE31">
        <f>Tabela3[[#This Row],[kan_train_acc]]</f>
        <v>0.88867923021316531</v>
      </c>
      <c r="AF31">
        <f>Tabela3[[#This Row],[kan_val_acc]]</f>
        <v>1</v>
      </c>
      <c r="AG31">
        <f>Tabela3[[#This Row],[kan_test_acc]]</f>
        <v>0.92000000476837163</v>
      </c>
      <c r="AH31">
        <f>Tabela3[[#This Row],[mlp_test_acc]]</f>
        <v>0.95111111111111113</v>
      </c>
      <c r="AI31">
        <f>Tabela3[[#This Row],[mlp_val_acc]]</f>
        <v>0.97777777777777775</v>
      </c>
      <c r="AJ31">
        <f>Tabela3[[#This Row],[mlp_train_acc]]</f>
        <v>0.96415094339622642</v>
      </c>
    </row>
    <row r="32" spans="1:36" x14ac:dyDescent="0.25">
      <c r="A32" t="s">
        <v>57</v>
      </c>
      <c r="B32">
        <v>10</v>
      </c>
      <c r="C32">
        <v>3</v>
      </c>
      <c r="D32">
        <v>3</v>
      </c>
      <c r="E32">
        <v>0</v>
      </c>
      <c r="F32" t="s">
        <v>69</v>
      </c>
      <c r="G32">
        <v>10328</v>
      </c>
      <c r="H32">
        <v>25934936.399999999</v>
      </c>
      <c r="I32">
        <v>191.4</v>
      </c>
      <c r="J32">
        <v>0.86981132030487063</v>
      </c>
      <c r="K32">
        <v>1</v>
      </c>
      <c r="L32">
        <v>0.91111111640930176</v>
      </c>
      <c r="M32">
        <v>0.9555555555555556</v>
      </c>
      <c r="N32">
        <v>0.98518518518518516</v>
      </c>
      <c r="O32">
        <v>0.94905660377358492</v>
      </c>
      <c r="P32">
        <v>22945</v>
      </c>
      <c r="Q32">
        <v>294248903</v>
      </c>
      <c r="R32">
        <v>10254</v>
      </c>
      <c r="S32">
        <v>2</v>
      </c>
      <c r="T32">
        <v>67</v>
      </c>
      <c r="U32">
        <v>0.93777777777777782</v>
      </c>
      <c r="V32">
        <v>0.97037037037037033</v>
      </c>
      <c r="W32">
        <v>0.98301886792452831</v>
      </c>
      <c r="X32">
        <v>10730.8</v>
      </c>
      <c r="Y32">
        <v>87308873.599999994</v>
      </c>
      <c r="Z32">
        <v>10543</v>
      </c>
      <c r="AA32">
        <v>2</v>
      </c>
      <c r="AB32">
        <v>68</v>
      </c>
      <c r="AD32">
        <f>Tabela3[[#This Row],[kan_params]]</f>
        <v>10328</v>
      </c>
      <c r="AE32">
        <f>Tabela3[[#This Row],[kan_train_acc]]</f>
        <v>0.86981132030487063</v>
      </c>
      <c r="AF32">
        <f>Tabela3[[#This Row],[kan_val_acc]]</f>
        <v>1</v>
      </c>
      <c r="AG32">
        <f>Tabela3[[#This Row],[kan_test_acc]]</f>
        <v>0.91111111640930176</v>
      </c>
      <c r="AH32">
        <f>Tabela3[[#This Row],[mlp_test_acc]]</f>
        <v>0.9555555555555556</v>
      </c>
      <c r="AI32">
        <f>Tabela3[[#This Row],[mlp_val_acc]]</f>
        <v>0.98518518518518516</v>
      </c>
      <c r="AJ32">
        <f>Tabela3[[#This Row],[mlp_train_acc]]</f>
        <v>0.94905660377358492</v>
      </c>
    </row>
    <row r="33" spans="1:36" x14ac:dyDescent="0.25">
      <c r="A33" t="s">
        <v>57</v>
      </c>
      <c r="B33">
        <v>10</v>
      </c>
      <c r="C33">
        <v>3</v>
      </c>
      <c r="D33">
        <v>3</v>
      </c>
      <c r="E33">
        <v>0</v>
      </c>
      <c r="F33" t="s">
        <v>70</v>
      </c>
      <c r="G33">
        <v>12093</v>
      </c>
      <c r="H33">
        <v>16539871.800000001</v>
      </c>
      <c r="I33">
        <v>111.4</v>
      </c>
      <c r="J33">
        <v>0.84528303146362305</v>
      </c>
      <c r="K33">
        <v>1</v>
      </c>
      <c r="L33">
        <v>0.91555556058883669</v>
      </c>
      <c r="M33">
        <v>0.94222222222222229</v>
      </c>
      <c r="N33">
        <v>0.97777777777777775</v>
      </c>
      <c r="O33">
        <v>0.9679245283018868</v>
      </c>
      <c r="P33">
        <v>25402.2</v>
      </c>
      <c r="Q33">
        <v>414429898.60000002</v>
      </c>
      <c r="R33">
        <v>12048</v>
      </c>
      <c r="S33">
        <v>2</v>
      </c>
      <c r="T33">
        <v>73</v>
      </c>
      <c r="U33">
        <v>0.94666666666666666</v>
      </c>
      <c r="V33">
        <v>0.97777777777777775</v>
      </c>
      <c r="W33">
        <v>0.96226415094339623</v>
      </c>
      <c r="X33">
        <v>25424.6</v>
      </c>
      <c r="Y33">
        <v>396668882.60000002</v>
      </c>
      <c r="Z33">
        <v>12361</v>
      </c>
      <c r="AA33">
        <v>2</v>
      </c>
      <c r="AB33">
        <v>74</v>
      </c>
      <c r="AD33">
        <f>Tabela3[[#This Row],[kan_params]]</f>
        <v>12093</v>
      </c>
      <c r="AE33">
        <f>Tabela3[[#This Row],[kan_train_acc]]</f>
        <v>0.84528303146362305</v>
      </c>
      <c r="AF33">
        <f>Tabela3[[#This Row],[kan_val_acc]]</f>
        <v>1</v>
      </c>
      <c r="AG33">
        <f>Tabela3[[#This Row],[kan_test_acc]]</f>
        <v>0.91555556058883669</v>
      </c>
      <c r="AH33">
        <f>Tabela3[[#This Row],[mlp_test_acc]]</f>
        <v>0.94222222222222229</v>
      </c>
      <c r="AI33">
        <f>Tabela3[[#This Row],[mlp_val_acc]]</f>
        <v>0.97777777777777775</v>
      </c>
      <c r="AJ33">
        <f>Tabela3[[#This Row],[mlp_train_acc]]</f>
        <v>0.9679245283018868</v>
      </c>
    </row>
    <row r="34" spans="1:36" x14ac:dyDescent="0.25">
      <c r="A34" t="s">
        <v>57</v>
      </c>
      <c r="B34">
        <v>10</v>
      </c>
      <c r="C34">
        <v>3</v>
      </c>
      <c r="D34">
        <v>3</v>
      </c>
      <c r="E34">
        <v>0</v>
      </c>
      <c r="F34" t="s">
        <v>71</v>
      </c>
      <c r="G34">
        <v>4886</v>
      </c>
      <c r="H34">
        <v>21711551.800000001</v>
      </c>
      <c r="I34">
        <v>313.8</v>
      </c>
      <c r="J34">
        <v>1</v>
      </c>
      <c r="K34">
        <v>0.96296298503875732</v>
      </c>
      <c r="L34">
        <v>0.95555555820465088</v>
      </c>
      <c r="M34">
        <v>0.93333333333333335</v>
      </c>
      <c r="N34">
        <v>0.96296296296296291</v>
      </c>
      <c r="O34">
        <v>1</v>
      </c>
      <c r="P34">
        <v>62962.6</v>
      </c>
      <c r="Q34">
        <v>520745411.60000002</v>
      </c>
      <c r="R34">
        <v>4711</v>
      </c>
      <c r="S34">
        <v>2</v>
      </c>
      <c r="T34">
        <v>44</v>
      </c>
      <c r="U34">
        <v>0.93333333333333335</v>
      </c>
      <c r="V34">
        <v>0.97037037037037033</v>
      </c>
      <c r="W34">
        <v>1</v>
      </c>
      <c r="X34">
        <v>57656.6</v>
      </c>
      <c r="Y34">
        <v>482775531.80000001</v>
      </c>
      <c r="Z34">
        <v>4908</v>
      </c>
      <c r="AA34">
        <v>2</v>
      </c>
      <c r="AB34">
        <v>45</v>
      </c>
      <c r="AD34">
        <f>Tabela3[[#This Row],[kan_params]]</f>
        <v>4886</v>
      </c>
      <c r="AE34">
        <f>Tabela3[[#This Row],[kan_train_acc]]</f>
        <v>1</v>
      </c>
      <c r="AF34">
        <f>Tabela3[[#This Row],[kan_val_acc]]</f>
        <v>0.96296298503875732</v>
      </c>
      <c r="AG34">
        <f>Tabela3[[#This Row],[kan_test_acc]]</f>
        <v>0.95555555820465088</v>
      </c>
      <c r="AH34">
        <f>Tabela3[[#This Row],[mlp_test_acc]]</f>
        <v>0.93333333333333335</v>
      </c>
      <c r="AI34">
        <f>Tabela3[[#This Row],[mlp_val_acc]]</f>
        <v>0.96296296296296291</v>
      </c>
      <c r="AJ34">
        <f>Tabela3[[#This Row],[mlp_train_acc]]</f>
        <v>1</v>
      </c>
    </row>
    <row r="35" spans="1:36" x14ac:dyDescent="0.25">
      <c r="A35" t="s">
        <v>57</v>
      </c>
      <c r="B35">
        <v>10</v>
      </c>
      <c r="C35">
        <v>3</v>
      </c>
      <c r="D35">
        <v>3</v>
      </c>
      <c r="E35">
        <v>0</v>
      </c>
      <c r="F35" t="s">
        <v>72</v>
      </c>
      <c r="G35">
        <v>9397</v>
      </c>
      <c r="H35">
        <v>21712865.399999999</v>
      </c>
      <c r="I35">
        <v>154.6</v>
      </c>
      <c r="J35">
        <v>0.85660376548767092</v>
      </c>
      <c r="K35">
        <v>1</v>
      </c>
      <c r="L35">
        <v>0.91111111640930176</v>
      </c>
      <c r="M35">
        <v>0.94222222222222229</v>
      </c>
      <c r="N35">
        <v>0.97777777777777775</v>
      </c>
      <c r="O35">
        <v>0.96037735849056605</v>
      </c>
      <c r="P35">
        <v>9115.2000000000007</v>
      </c>
      <c r="Q35">
        <v>92105607.599999994</v>
      </c>
      <c r="R35">
        <v>9138</v>
      </c>
      <c r="S35">
        <v>2</v>
      </c>
      <c r="T35">
        <v>63</v>
      </c>
      <c r="U35">
        <v>0.94222222222222229</v>
      </c>
      <c r="V35">
        <v>0.97777777777777775</v>
      </c>
      <c r="W35">
        <v>0.9679245283018868</v>
      </c>
      <c r="X35">
        <v>8132.8</v>
      </c>
      <c r="Y35">
        <v>77873776.400000006</v>
      </c>
      <c r="Z35">
        <v>9411</v>
      </c>
      <c r="AA35">
        <v>2</v>
      </c>
      <c r="AB35">
        <v>64</v>
      </c>
      <c r="AD35">
        <f>Tabela3[[#This Row],[kan_params]]</f>
        <v>9397</v>
      </c>
      <c r="AE35">
        <f>Tabela3[[#This Row],[kan_train_acc]]</f>
        <v>0.85660376548767092</v>
      </c>
      <c r="AF35">
        <f>Tabela3[[#This Row],[kan_val_acc]]</f>
        <v>1</v>
      </c>
      <c r="AG35">
        <f>Tabela3[[#This Row],[kan_test_acc]]</f>
        <v>0.91111111640930176</v>
      </c>
      <c r="AH35">
        <f>Tabela3[[#This Row],[mlp_test_acc]]</f>
        <v>0.94222222222222229</v>
      </c>
      <c r="AI35">
        <f>Tabela3[[#This Row],[mlp_val_acc]]</f>
        <v>0.97777777777777775</v>
      </c>
      <c r="AJ35">
        <f>Tabela3[[#This Row],[mlp_train_acc]]</f>
        <v>0.96037735849056605</v>
      </c>
    </row>
    <row r="36" spans="1:36" x14ac:dyDescent="0.25">
      <c r="A36" t="s">
        <v>57</v>
      </c>
      <c r="B36">
        <v>10</v>
      </c>
      <c r="C36">
        <v>3</v>
      </c>
      <c r="D36">
        <v>3</v>
      </c>
      <c r="E36">
        <v>0</v>
      </c>
      <c r="F36" t="s">
        <v>73</v>
      </c>
      <c r="G36">
        <v>11322</v>
      </c>
      <c r="H36">
        <v>35467251.399999999</v>
      </c>
      <c r="I36">
        <v>242.4</v>
      </c>
      <c r="J36">
        <v>0.90377359390258794</v>
      </c>
      <c r="K36">
        <v>1</v>
      </c>
      <c r="L36">
        <v>0.93333333730697632</v>
      </c>
      <c r="M36">
        <v>0.93333333333333335</v>
      </c>
      <c r="N36">
        <v>0.96296296296296291</v>
      </c>
      <c r="O36">
        <v>1</v>
      </c>
      <c r="P36">
        <v>22079.599999999999</v>
      </c>
      <c r="Q36">
        <v>269785200</v>
      </c>
      <c r="R36">
        <v>11133</v>
      </c>
      <c r="S36">
        <v>2</v>
      </c>
      <c r="T36">
        <v>70</v>
      </c>
      <c r="U36">
        <v>0.95111111111111113</v>
      </c>
      <c r="V36">
        <v>0.98518518518518516</v>
      </c>
      <c r="W36">
        <v>0.94905660377358492</v>
      </c>
      <c r="X36">
        <v>13702.2</v>
      </c>
      <c r="Y36">
        <v>214518355.19999999</v>
      </c>
      <c r="Z36">
        <v>11434</v>
      </c>
      <c r="AA36">
        <v>2</v>
      </c>
      <c r="AB36">
        <v>71</v>
      </c>
      <c r="AD36">
        <f>Tabela3[[#This Row],[kan_params]]</f>
        <v>11322</v>
      </c>
      <c r="AE36">
        <f>Tabela3[[#This Row],[kan_train_acc]]</f>
        <v>0.90377359390258794</v>
      </c>
      <c r="AF36">
        <f>Tabela3[[#This Row],[kan_val_acc]]</f>
        <v>1</v>
      </c>
      <c r="AG36">
        <f>Tabela3[[#This Row],[kan_test_acc]]</f>
        <v>0.93333333730697632</v>
      </c>
      <c r="AH36">
        <f>Tabela3[[#This Row],[mlp_test_acc]]</f>
        <v>0.93333333333333335</v>
      </c>
      <c r="AI36">
        <f>Tabela3[[#This Row],[mlp_val_acc]]</f>
        <v>0.96296296296296291</v>
      </c>
      <c r="AJ36">
        <f>Tabela3[[#This Row],[mlp_train_acc]]</f>
        <v>1</v>
      </c>
    </row>
    <row r="37" spans="1:36" x14ac:dyDescent="0.25">
      <c r="A37" t="s">
        <v>57</v>
      </c>
      <c r="B37">
        <v>10</v>
      </c>
      <c r="C37">
        <v>3</v>
      </c>
      <c r="D37">
        <v>3</v>
      </c>
      <c r="E37">
        <v>0</v>
      </c>
      <c r="F37" t="s">
        <v>74</v>
      </c>
      <c r="G37">
        <v>13247</v>
      </c>
      <c r="H37">
        <v>27310985.800000001</v>
      </c>
      <c r="I37">
        <v>172.8</v>
      </c>
      <c r="J37">
        <v>0.88679245710372923</v>
      </c>
      <c r="K37">
        <v>1</v>
      </c>
      <c r="L37">
        <v>0.93333333730697632</v>
      </c>
      <c r="M37">
        <v>0.93777777777777782</v>
      </c>
      <c r="N37">
        <v>0.97037037037037033</v>
      </c>
      <c r="O37">
        <v>0.98490566037735849</v>
      </c>
      <c r="P37">
        <v>11541</v>
      </c>
      <c r="Q37">
        <v>175740467.59999999</v>
      </c>
      <c r="R37">
        <v>12999</v>
      </c>
      <c r="S37">
        <v>2</v>
      </c>
      <c r="T37">
        <v>76</v>
      </c>
      <c r="U37">
        <v>0.94222222222222229</v>
      </c>
      <c r="V37">
        <v>0.97777777777777775</v>
      </c>
      <c r="W37">
        <v>0.96981132075471699</v>
      </c>
      <c r="X37">
        <v>7980.6</v>
      </c>
      <c r="Y37">
        <v>99461334</v>
      </c>
      <c r="Z37">
        <v>13324</v>
      </c>
      <c r="AA37">
        <v>2</v>
      </c>
      <c r="AB37">
        <v>77</v>
      </c>
      <c r="AD37">
        <f>Tabela3[[#This Row],[kan_params]]</f>
        <v>13247</v>
      </c>
      <c r="AE37">
        <f>Tabela3[[#This Row],[kan_train_acc]]</f>
        <v>0.88679245710372923</v>
      </c>
      <c r="AF37">
        <f>Tabela3[[#This Row],[kan_val_acc]]</f>
        <v>1</v>
      </c>
      <c r="AG37">
        <f>Tabela3[[#This Row],[kan_test_acc]]</f>
        <v>0.93333333730697632</v>
      </c>
      <c r="AH37">
        <f>Tabela3[[#This Row],[mlp_test_acc]]</f>
        <v>0.93777777777777782</v>
      </c>
      <c r="AI37">
        <f>Tabela3[[#This Row],[mlp_val_acc]]</f>
        <v>0.97037037037037033</v>
      </c>
      <c r="AJ37">
        <f>Tabela3[[#This Row],[mlp_train_acc]]</f>
        <v>0.98490566037735849</v>
      </c>
    </row>
    <row r="38" spans="1:36" x14ac:dyDescent="0.25">
      <c r="A38" t="s">
        <v>57</v>
      </c>
      <c r="B38">
        <v>10</v>
      </c>
      <c r="C38">
        <v>3</v>
      </c>
      <c r="D38">
        <v>3</v>
      </c>
      <c r="E38">
        <v>0</v>
      </c>
      <c r="F38" t="s">
        <v>75</v>
      </c>
      <c r="G38">
        <v>6171</v>
      </c>
      <c r="H38">
        <v>17771548.399999999</v>
      </c>
      <c r="I38">
        <v>227</v>
      </c>
      <c r="J38">
        <v>0.99056603908538821</v>
      </c>
      <c r="K38">
        <v>0.97037037611007693</v>
      </c>
      <c r="L38">
        <v>0.95555555820465088</v>
      </c>
      <c r="M38">
        <v>0.93333333333333335</v>
      </c>
      <c r="N38">
        <v>0.96296296296296291</v>
      </c>
      <c r="O38">
        <v>1</v>
      </c>
      <c r="P38">
        <v>65830.399999999994</v>
      </c>
      <c r="Q38">
        <v>561005006.79999995</v>
      </c>
      <c r="R38">
        <v>5953</v>
      </c>
      <c r="S38">
        <v>2</v>
      </c>
      <c r="T38">
        <v>50</v>
      </c>
      <c r="U38">
        <v>0.93333333333333335</v>
      </c>
      <c r="V38">
        <v>0.96296296296296291</v>
      </c>
      <c r="W38">
        <v>1</v>
      </c>
      <c r="X38">
        <v>40466</v>
      </c>
      <c r="Y38">
        <v>350651457</v>
      </c>
      <c r="Z38">
        <v>6174</v>
      </c>
      <c r="AA38">
        <v>2</v>
      </c>
      <c r="AB38">
        <v>51</v>
      </c>
      <c r="AD38">
        <f>Tabela3[[#This Row],[kan_params]]</f>
        <v>6171</v>
      </c>
      <c r="AE38">
        <f>Tabela3[[#This Row],[kan_train_acc]]</f>
        <v>0.99056603908538821</v>
      </c>
      <c r="AF38">
        <f>Tabela3[[#This Row],[kan_val_acc]]</f>
        <v>0.97037037611007693</v>
      </c>
      <c r="AG38">
        <f>Tabela3[[#This Row],[kan_test_acc]]</f>
        <v>0.95555555820465088</v>
      </c>
      <c r="AH38">
        <f>Tabela3[[#This Row],[mlp_test_acc]]</f>
        <v>0.93333333333333335</v>
      </c>
      <c r="AI38">
        <f>Tabela3[[#This Row],[mlp_val_acc]]</f>
        <v>0.96296296296296291</v>
      </c>
      <c r="AJ38">
        <f>Tabela3[[#This Row],[mlp_train_acc]]</f>
        <v>1</v>
      </c>
    </row>
    <row r="39" spans="1:36" x14ac:dyDescent="0.25">
      <c r="A39" t="s">
        <v>57</v>
      </c>
      <c r="B39">
        <v>10</v>
      </c>
      <c r="C39">
        <v>3</v>
      </c>
      <c r="D39">
        <v>3</v>
      </c>
      <c r="E39">
        <v>0</v>
      </c>
      <c r="F39" t="s">
        <v>76</v>
      </c>
      <c r="G39">
        <v>2316</v>
      </c>
      <c r="H39">
        <v>15191100.800000001</v>
      </c>
      <c r="I39">
        <v>163.6</v>
      </c>
      <c r="J39">
        <v>1</v>
      </c>
      <c r="K39">
        <v>0.96296298503875732</v>
      </c>
      <c r="L39">
        <v>0.96000000238418581</v>
      </c>
      <c r="M39">
        <v>0.94222222222222229</v>
      </c>
      <c r="N39">
        <v>0.88148148148148142</v>
      </c>
      <c r="O39">
        <v>1</v>
      </c>
      <c r="P39">
        <v>20722.8</v>
      </c>
      <c r="Q39">
        <v>210173778</v>
      </c>
      <c r="R39">
        <v>2236</v>
      </c>
      <c r="S39">
        <v>2</v>
      </c>
      <c r="T39">
        <v>29</v>
      </c>
      <c r="U39">
        <v>0.9555555555555556</v>
      </c>
      <c r="V39">
        <v>0.88148148148148142</v>
      </c>
      <c r="W39">
        <v>1</v>
      </c>
      <c r="X39">
        <v>21001.4</v>
      </c>
      <c r="Y39">
        <v>207805218.19999999</v>
      </c>
      <c r="Z39">
        <v>2373</v>
      </c>
      <c r="AA39">
        <v>2</v>
      </c>
      <c r="AB39">
        <v>30</v>
      </c>
      <c r="AD39">
        <f>Tabela3[[#This Row],[kan_params]]</f>
        <v>2316</v>
      </c>
      <c r="AE39">
        <f>Tabela3[[#This Row],[kan_train_acc]]</f>
        <v>1</v>
      </c>
      <c r="AF39">
        <f>Tabela3[[#This Row],[kan_val_acc]]</f>
        <v>0.96296298503875732</v>
      </c>
      <c r="AG39">
        <f>Tabela3[[#This Row],[kan_test_acc]]</f>
        <v>0.96000000238418581</v>
      </c>
      <c r="AH39">
        <f>Tabela3[[#This Row],[mlp_test_acc]]</f>
        <v>0.94222222222222229</v>
      </c>
      <c r="AI39">
        <f>Tabela3[[#This Row],[mlp_val_acc]]</f>
        <v>0.88148148148148142</v>
      </c>
      <c r="AJ39">
        <f>Tabela3[[#This Row],[mlp_train_acc]]</f>
        <v>1</v>
      </c>
    </row>
    <row r="40" spans="1:36" x14ac:dyDescent="0.25">
      <c r="A40" t="s">
        <v>57</v>
      </c>
      <c r="B40">
        <v>12</v>
      </c>
      <c r="C40">
        <v>3</v>
      </c>
      <c r="D40">
        <v>4</v>
      </c>
      <c r="E40">
        <v>0</v>
      </c>
      <c r="F40" t="s">
        <v>58</v>
      </c>
      <c r="G40">
        <v>7192</v>
      </c>
      <c r="H40">
        <v>1407654685.8</v>
      </c>
      <c r="I40">
        <v>10333.200000000001</v>
      </c>
      <c r="J40">
        <v>0.34528302252292631</v>
      </c>
      <c r="K40">
        <v>0.75555555820465092</v>
      </c>
      <c r="L40">
        <v>0.35555557012557981</v>
      </c>
      <c r="M40">
        <v>0.9555555555555556</v>
      </c>
      <c r="N40">
        <v>0.99259259259259258</v>
      </c>
      <c r="O40">
        <v>0.93962264150943398</v>
      </c>
      <c r="P40">
        <v>3284</v>
      </c>
      <c r="Q40">
        <v>35436954.799999997</v>
      </c>
      <c r="R40">
        <v>7098</v>
      </c>
      <c r="S40">
        <v>2</v>
      </c>
      <c r="T40">
        <v>55</v>
      </c>
      <c r="U40">
        <v>0.94666666666666666</v>
      </c>
      <c r="V40">
        <v>0.98518518518518516</v>
      </c>
      <c r="W40">
        <v>0.95094339622641511</v>
      </c>
      <c r="X40">
        <v>9447</v>
      </c>
      <c r="Y40">
        <v>118229225.8</v>
      </c>
      <c r="Z40">
        <v>7339</v>
      </c>
      <c r="AA40">
        <v>2</v>
      </c>
      <c r="AB40">
        <v>56</v>
      </c>
      <c r="AD40">
        <f>Tabela3[[#This Row],[kan_params]]</f>
        <v>7192</v>
      </c>
      <c r="AE40">
        <f>Tabela3[[#This Row],[kan_train_acc]]</f>
        <v>0.34528302252292631</v>
      </c>
      <c r="AF40">
        <f>Tabela3[[#This Row],[kan_val_acc]]</f>
        <v>0.75555555820465092</v>
      </c>
      <c r="AG40">
        <f>Tabela3[[#This Row],[kan_test_acc]]</f>
        <v>0.35555557012557981</v>
      </c>
      <c r="AH40">
        <f>Tabela3[[#This Row],[mlp_test_acc]]</f>
        <v>0.9555555555555556</v>
      </c>
      <c r="AI40">
        <f>Tabela3[[#This Row],[mlp_val_acc]]</f>
        <v>0.99259259259259258</v>
      </c>
      <c r="AJ40">
        <f>Tabela3[[#This Row],[mlp_train_acc]]</f>
        <v>0.93962264150943398</v>
      </c>
    </row>
    <row r="41" spans="1:36" x14ac:dyDescent="0.25">
      <c r="A41" t="s">
        <v>57</v>
      </c>
      <c r="B41">
        <v>12</v>
      </c>
      <c r="C41">
        <v>3</v>
      </c>
      <c r="D41">
        <v>4</v>
      </c>
      <c r="E41">
        <v>0</v>
      </c>
      <c r="F41" t="s">
        <v>59</v>
      </c>
      <c r="G41">
        <v>8717</v>
      </c>
      <c r="H41">
        <v>1519215085</v>
      </c>
      <c r="I41">
        <v>10466.4</v>
      </c>
      <c r="J41">
        <v>0.37735849022865298</v>
      </c>
      <c r="K41">
        <v>0.73333333730697636</v>
      </c>
      <c r="L41">
        <v>0.36888889372348788</v>
      </c>
      <c r="M41">
        <v>0.93333333333333335</v>
      </c>
      <c r="N41">
        <v>0.95555555555555549</v>
      </c>
      <c r="O41">
        <v>1</v>
      </c>
      <c r="P41">
        <v>14928.8</v>
      </c>
      <c r="Q41">
        <v>169390176.40000001</v>
      </c>
      <c r="R41">
        <v>8604</v>
      </c>
      <c r="S41">
        <v>2</v>
      </c>
      <c r="T41">
        <v>61</v>
      </c>
      <c r="U41">
        <v>0.94222222222222229</v>
      </c>
      <c r="V41">
        <v>0.96296296296296291</v>
      </c>
      <c r="W41">
        <v>0.98490566037735849</v>
      </c>
      <c r="X41">
        <v>11876</v>
      </c>
      <c r="Y41">
        <v>133897781</v>
      </c>
      <c r="Z41">
        <v>8869</v>
      </c>
      <c r="AA41">
        <v>2</v>
      </c>
      <c r="AB41">
        <v>62</v>
      </c>
      <c r="AD41">
        <f>Tabela3[[#This Row],[kan_params]]</f>
        <v>8717</v>
      </c>
      <c r="AE41">
        <f>Tabela3[[#This Row],[kan_train_acc]]</f>
        <v>0.37735849022865298</v>
      </c>
      <c r="AF41">
        <f>Tabela3[[#This Row],[kan_val_acc]]</f>
        <v>0.73333333730697636</v>
      </c>
      <c r="AG41">
        <f>Tabela3[[#This Row],[kan_test_acc]]</f>
        <v>0.36888889372348788</v>
      </c>
      <c r="AH41">
        <f>Tabela3[[#This Row],[mlp_test_acc]]</f>
        <v>0.93333333333333335</v>
      </c>
      <c r="AI41">
        <f>Tabela3[[#This Row],[mlp_val_acc]]</f>
        <v>0.95555555555555549</v>
      </c>
      <c r="AJ41">
        <f>Tabela3[[#This Row],[mlp_train_acc]]</f>
        <v>1</v>
      </c>
    </row>
    <row r="42" spans="1:36" x14ac:dyDescent="0.25">
      <c r="A42" t="s">
        <v>57</v>
      </c>
      <c r="B42">
        <v>12</v>
      </c>
      <c r="C42">
        <v>3</v>
      </c>
      <c r="D42">
        <v>4</v>
      </c>
      <c r="E42">
        <v>0</v>
      </c>
      <c r="F42" t="s">
        <v>60</v>
      </c>
      <c r="G42">
        <v>10242</v>
      </c>
      <c r="H42">
        <v>1172561591.2</v>
      </c>
      <c r="I42">
        <v>8046.2</v>
      </c>
      <c r="J42">
        <v>0.44150943160057066</v>
      </c>
      <c r="K42">
        <v>0.72592593431472774</v>
      </c>
      <c r="L42">
        <v>0.44888890385627744</v>
      </c>
      <c r="M42">
        <v>0.93333333333333335</v>
      </c>
      <c r="N42">
        <v>0.92592592592592593</v>
      </c>
      <c r="O42">
        <v>1</v>
      </c>
      <c r="P42">
        <v>12390.6</v>
      </c>
      <c r="Q42">
        <v>116684708</v>
      </c>
      <c r="R42">
        <v>9969</v>
      </c>
      <c r="S42">
        <v>2</v>
      </c>
      <c r="T42">
        <v>66</v>
      </c>
      <c r="U42">
        <v>0.93333333333333335</v>
      </c>
      <c r="V42">
        <v>0.92592592592592593</v>
      </c>
      <c r="W42">
        <v>1</v>
      </c>
      <c r="X42">
        <v>14184.4</v>
      </c>
      <c r="Y42">
        <v>142053410.19999999</v>
      </c>
      <c r="Z42">
        <v>10254</v>
      </c>
      <c r="AA42">
        <v>2</v>
      </c>
      <c r="AB42">
        <v>67</v>
      </c>
      <c r="AD42">
        <f>Tabela3[[#This Row],[kan_params]]</f>
        <v>10242</v>
      </c>
      <c r="AE42">
        <f>Tabela3[[#This Row],[kan_train_acc]]</f>
        <v>0.44150943160057066</v>
      </c>
      <c r="AF42">
        <f>Tabela3[[#This Row],[kan_val_acc]]</f>
        <v>0.72592593431472774</v>
      </c>
      <c r="AG42">
        <f>Tabela3[[#This Row],[kan_test_acc]]</f>
        <v>0.44888890385627744</v>
      </c>
      <c r="AH42">
        <f>Tabela3[[#This Row],[mlp_test_acc]]</f>
        <v>0.93333333333333335</v>
      </c>
      <c r="AI42">
        <f>Tabela3[[#This Row],[mlp_val_acc]]</f>
        <v>0.92592592592592593</v>
      </c>
      <c r="AJ42">
        <f>Tabela3[[#This Row],[mlp_train_acc]]</f>
        <v>1</v>
      </c>
    </row>
    <row r="43" spans="1:36" x14ac:dyDescent="0.25">
      <c r="A43" t="s">
        <v>57</v>
      </c>
      <c r="B43">
        <v>12</v>
      </c>
      <c r="C43">
        <v>3</v>
      </c>
      <c r="D43">
        <v>4</v>
      </c>
      <c r="E43">
        <v>0</v>
      </c>
      <c r="F43" t="s">
        <v>61</v>
      </c>
      <c r="G43">
        <v>4273</v>
      </c>
      <c r="H43">
        <v>207121970.40000001</v>
      </c>
      <c r="I43">
        <v>2504.8000000000002</v>
      </c>
      <c r="J43">
        <v>0.84905661344528194</v>
      </c>
      <c r="K43">
        <v>0.99259259700775149</v>
      </c>
      <c r="L43">
        <v>0.87111111879348757</v>
      </c>
      <c r="M43">
        <v>0.9555555555555556</v>
      </c>
      <c r="N43">
        <v>0.97037037037037033</v>
      </c>
      <c r="O43">
        <v>0.98490566037735849</v>
      </c>
      <c r="P43">
        <v>46675.8</v>
      </c>
      <c r="Q43">
        <v>591676540.60000002</v>
      </c>
      <c r="R43">
        <v>4144</v>
      </c>
      <c r="S43">
        <v>2</v>
      </c>
      <c r="T43">
        <v>41</v>
      </c>
      <c r="U43">
        <v>0.9555555555555556</v>
      </c>
      <c r="V43">
        <v>0.99259259259259258</v>
      </c>
      <c r="W43">
        <v>0.93773584905660379</v>
      </c>
      <c r="X43">
        <v>5158.8</v>
      </c>
      <c r="Y43">
        <v>59799032.399999999</v>
      </c>
      <c r="Z43">
        <v>4329</v>
      </c>
      <c r="AA43">
        <v>2</v>
      </c>
      <c r="AB43">
        <v>42</v>
      </c>
      <c r="AD43">
        <f>Tabela3[[#This Row],[kan_params]]</f>
        <v>4273</v>
      </c>
      <c r="AE43">
        <f>Tabela3[[#This Row],[kan_train_acc]]</f>
        <v>0.84905661344528194</v>
      </c>
      <c r="AF43">
        <f>Tabela3[[#This Row],[kan_val_acc]]</f>
        <v>0.99259259700775149</v>
      </c>
      <c r="AG43">
        <f>Tabela3[[#This Row],[kan_test_acc]]</f>
        <v>0.87111111879348757</v>
      </c>
      <c r="AH43">
        <f>Tabela3[[#This Row],[mlp_test_acc]]</f>
        <v>0.9555555555555556</v>
      </c>
      <c r="AI43">
        <f>Tabela3[[#This Row],[mlp_val_acc]]</f>
        <v>0.97037037037037033</v>
      </c>
      <c r="AJ43">
        <f>Tabela3[[#This Row],[mlp_train_acc]]</f>
        <v>0.98490566037735849</v>
      </c>
    </row>
    <row r="44" spans="1:36" x14ac:dyDescent="0.25">
      <c r="A44" t="s">
        <v>57</v>
      </c>
      <c r="B44">
        <v>12</v>
      </c>
      <c r="C44">
        <v>3</v>
      </c>
      <c r="D44">
        <v>4</v>
      </c>
      <c r="E44">
        <v>0</v>
      </c>
      <c r="F44" t="s">
        <v>62</v>
      </c>
      <c r="G44">
        <v>8182</v>
      </c>
      <c r="H44">
        <v>738893901.79999995</v>
      </c>
      <c r="I44">
        <v>5535.6</v>
      </c>
      <c r="J44">
        <v>0.46037736535072327</v>
      </c>
      <c r="K44">
        <v>0.75555557012557983</v>
      </c>
      <c r="L44">
        <v>0.49777779579162595</v>
      </c>
      <c r="M44">
        <v>0.93777777777777782</v>
      </c>
      <c r="N44">
        <v>0.91851851851851851</v>
      </c>
      <c r="O44">
        <v>1</v>
      </c>
      <c r="P44">
        <v>13589.2</v>
      </c>
      <c r="Q44">
        <v>128543993</v>
      </c>
      <c r="R44">
        <v>8086</v>
      </c>
      <c r="S44">
        <v>2</v>
      </c>
      <c r="T44">
        <v>59</v>
      </c>
      <c r="U44">
        <v>0.92</v>
      </c>
      <c r="V44">
        <v>0.91851851851851851</v>
      </c>
      <c r="W44">
        <v>1</v>
      </c>
      <c r="X44">
        <v>11926.2</v>
      </c>
      <c r="Y44">
        <v>110382197</v>
      </c>
      <c r="Z44">
        <v>8343</v>
      </c>
      <c r="AA44">
        <v>2</v>
      </c>
      <c r="AB44">
        <v>60</v>
      </c>
      <c r="AD44">
        <f>Tabela3[[#This Row],[kan_params]]</f>
        <v>8182</v>
      </c>
      <c r="AE44">
        <f>Tabela3[[#This Row],[kan_train_acc]]</f>
        <v>0.46037736535072327</v>
      </c>
      <c r="AF44">
        <f>Tabela3[[#This Row],[kan_val_acc]]</f>
        <v>0.75555557012557983</v>
      </c>
      <c r="AG44">
        <f>Tabela3[[#This Row],[kan_test_acc]]</f>
        <v>0.49777779579162595</v>
      </c>
      <c r="AH44">
        <f>Tabela3[[#This Row],[mlp_test_acc]]</f>
        <v>0.93777777777777782</v>
      </c>
      <c r="AI44">
        <f>Tabela3[[#This Row],[mlp_val_acc]]</f>
        <v>0.91851851851851851</v>
      </c>
      <c r="AJ44">
        <f>Tabela3[[#This Row],[mlp_train_acc]]</f>
        <v>1</v>
      </c>
    </row>
    <row r="45" spans="1:36" x14ac:dyDescent="0.25">
      <c r="A45" t="s">
        <v>57</v>
      </c>
      <c r="B45">
        <v>12</v>
      </c>
      <c r="C45">
        <v>3</v>
      </c>
      <c r="D45">
        <v>4</v>
      </c>
      <c r="E45">
        <v>0</v>
      </c>
      <c r="F45" t="s">
        <v>63</v>
      </c>
      <c r="G45">
        <v>9897</v>
      </c>
      <c r="H45">
        <v>785913899.20000005</v>
      </c>
      <c r="I45">
        <v>5531.6</v>
      </c>
      <c r="J45">
        <v>0.37735849618911743</v>
      </c>
      <c r="K45">
        <v>0.70370370149612427</v>
      </c>
      <c r="L45">
        <v>0.32444444894790647</v>
      </c>
      <c r="M45">
        <v>0.92</v>
      </c>
      <c r="N45">
        <v>0.91851851851851851</v>
      </c>
      <c r="O45">
        <v>1</v>
      </c>
      <c r="P45">
        <v>13208.8</v>
      </c>
      <c r="Q45">
        <v>128587212.8</v>
      </c>
      <c r="R45">
        <v>9688</v>
      </c>
      <c r="S45">
        <v>2</v>
      </c>
      <c r="T45">
        <v>65</v>
      </c>
      <c r="U45">
        <v>0.91555555555555557</v>
      </c>
      <c r="V45">
        <v>0.91851851851851851</v>
      </c>
      <c r="W45">
        <v>0.98490566037735849</v>
      </c>
      <c r="X45">
        <v>13977.4</v>
      </c>
      <c r="Y45">
        <v>140807083.40000001</v>
      </c>
      <c r="Z45">
        <v>9969</v>
      </c>
      <c r="AA45">
        <v>2</v>
      </c>
      <c r="AB45">
        <v>66</v>
      </c>
      <c r="AD45">
        <f>Tabela3[[#This Row],[kan_params]]</f>
        <v>9897</v>
      </c>
      <c r="AE45">
        <f>Tabela3[[#This Row],[kan_train_acc]]</f>
        <v>0.37735849618911743</v>
      </c>
      <c r="AF45">
        <f>Tabela3[[#This Row],[kan_val_acc]]</f>
        <v>0.70370370149612427</v>
      </c>
      <c r="AG45">
        <f>Tabela3[[#This Row],[kan_test_acc]]</f>
        <v>0.32444444894790647</v>
      </c>
      <c r="AH45">
        <f>Tabela3[[#This Row],[mlp_test_acc]]</f>
        <v>0.92</v>
      </c>
      <c r="AI45">
        <f>Tabela3[[#This Row],[mlp_val_acc]]</f>
        <v>0.91851851851851851</v>
      </c>
      <c r="AJ45">
        <f>Tabela3[[#This Row],[mlp_train_acc]]</f>
        <v>1</v>
      </c>
    </row>
    <row r="46" spans="1:36" x14ac:dyDescent="0.25">
      <c r="A46" t="s">
        <v>57</v>
      </c>
      <c r="B46">
        <v>12</v>
      </c>
      <c r="C46">
        <v>3</v>
      </c>
      <c r="D46">
        <v>4</v>
      </c>
      <c r="E46">
        <v>0</v>
      </c>
      <c r="F46" t="s">
        <v>64</v>
      </c>
      <c r="G46">
        <v>11612</v>
      </c>
      <c r="H46">
        <v>877215229</v>
      </c>
      <c r="I46">
        <v>5554.6</v>
      </c>
      <c r="J46">
        <v>0.40566037297248841</v>
      </c>
      <c r="K46">
        <v>0.74814814329147339</v>
      </c>
      <c r="L46">
        <v>0.39555556774139405</v>
      </c>
      <c r="M46">
        <v>0.92888888888888888</v>
      </c>
      <c r="N46">
        <v>0.90370370370370368</v>
      </c>
      <c r="O46">
        <v>1</v>
      </c>
      <c r="P46">
        <v>15720.2</v>
      </c>
      <c r="Q46">
        <v>808871258.79999995</v>
      </c>
      <c r="R46">
        <v>11434</v>
      </c>
      <c r="S46">
        <v>2</v>
      </c>
      <c r="T46">
        <v>71</v>
      </c>
      <c r="U46">
        <v>0.93777777777777782</v>
      </c>
      <c r="V46">
        <v>0.91851851851851851</v>
      </c>
      <c r="W46">
        <v>1</v>
      </c>
      <c r="X46">
        <v>12975.2</v>
      </c>
      <c r="Y46">
        <v>627823830.60000002</v>
      </c>
      <c r="Z46">
        <v>11739</v>
      </c>
      <c r="AA46">
        <v>2</v>
      </c>
      <c r="AB46">
        <v>72</v>
      </c>
      <c r="AD46">
        <f>Tabela3[[#This Row],[kan_params]]</f>
        <v>11612</v>
      </c>
      <c r="AE46">
        <f>Tabela3[[#This Row],[kan_train_acc]]</f>
        <v>0.40566037297248841</v>
      </c>
      <c r="AF46">
        <f>Tabela3[[#This Row],[kan_val_acc]]</f>
        <v>0.74814814329147339</v>
      </c>
      <c r="AG46">
        <f>Tabela3[[#This Row],[kan_test_acc]]</f>
        <v>0.39555556774139405</v>
      </c>
      <c r="AH46">
        <f>Tabela3[[#This Row],[mlp_test_acc]]</f>
        <v>0.92888888888888888</v>
      </c>
      <c r="AI46">
        <f>Tabela3[[#This Row],[mlp_val_acc]]</f>
        <v>0.90370370370370368</v>
      </c>
      <c r="AJ46">
        <f>Tabela3[[#This Row],[mlp_train_acc]]</f>
        <v>1</v>
      </c>
    </row>
    <row r="47" spans="1:36" x14ac:dyDescent="0.25">
      <c r="A47" t="s">
        <v>57</v>
      </c>
      <c r="B47">
        <v>12</v>
      </c>
      <c r="C47">
        <v>3</v>
      </c>
      <c r="D47">
        <v>4</v>
      </c>
      <c r="E47">
        <v>0</v>
      </c>
      <c r="F47" t="s">
        <v>65</v>
      </c>
      <c r="G47">
        <v>9172</v>
      </c>
      <c r="H47">
        <v>794549415.20000005</v>
      </c>
      <c r="I47">
        <v>5484.2</v>
      </c>
      <c r="J47">
        <v>0.43207547068595886</v>
      </c>
      <c r="K47">
        <v>0.7111111164093018</v>
      </c>
      <c r="L47">
        <v>0.4400000125169754</v>
      </c>
      <c r="M47">
        <v>0.94222222222222229</v>
      </c>
      <c r="N47">
        <v>0.94074074074074077</v>
      </c>
      <c r="O47">
        <v>1</v>
      </c>
      <c r="P47">
        <v>14851.2</v>
      </c>
      <c r="Q47">
        <v>159864953.40000001</v>
      </c>
      <c r="R47">
        <v>9138</v>
      </c>
      <c r="S47">
        <v>2</v>
      </c>
      <c r="T47">
        <v>63</v>
      </c>
      <c r="U47">
        <v>0.93333333333333335</v>
      </c>
      <c r="V47">
        <v>0.91851851851851851</v>
      </c>
      <c r="W47">
        <v>0.99622641509433962</v>
      </c>
      <c r="X47">
        <v>12205.4</v>
      </c>
      <c r="Y47">
        <v>123793950.8</v>
      </c>
      <c r="Z47">
        <v>9411</v>
      </c>
      <c r="AA47">
        <v>2</v>
      </c>
      <c r="AB47">
        <v>64</v>
      </c>
      <c r="AD47">
        <f>Tabela3[[#This Row],[kan_params]]</f>
        <v>9172</v>
      </c>
      <c r="AE47">
        <f>Tabela3[[#This Row],[kan_train_acc]]</f>
        <v>0.43207547068595886</v>
      </c>
      <c r="AF47">
        <f>Tabela3[[#This Row],[kan_val_acc]]</f>
        <v>0.7111111164093018</v>
      </c>
      <c r="AG47">
        <f>Tabela3[[#This Row],[kan_test_acc]]</f>
        <v>0.4400000125169754</v>
      </c>
      <c r="AH47">
        <f>Tabela3[[#This Row],[mlp_test_acc]]</f>
        <v>0.94222222222222229</v>
      </c>
      <c r="AI47">
        <f>Tabela3[[#This Row],[mlp_val_acc]]</f>
        <v>0.94074074074074077</v>
      </c>
      <c r="AJ47">
        <f>Tabela3[[#This Row],[mlp_train_acc]]</f>
        <v>1</v>
      </c>
    </row>
    <row r="48" spans="1:36" x14ac:dyDescent="0.25">
      <c r="A48" t="s">
        <v>57</v>
      </c>
      <c r="B48">
        <v>12</v>
      </c>
      <c r="C48">
        <v>3</v>
      </c>
      <c r="D48">
        <v>4</v>
      </c>
      <c r="E48">
        <v>0</v>
      </c>
      <c r="F48" t="s">
        <v>66</v>
      </c>
      <c r="G48">
        <v>11077</v>
      </c>
      <c r="H48">
        <v>1249025230.8</v>
      </c>
      <c r="I48">
        <v>7927</v>
      </c>
      <c r="J48">
        <v>0.51320754885673525</v>
      </c>
      <c r="K48">
        <v>0.785185182094574</v>
      </c>
      <c r="L48">
        <v>0.49333334565162656</v>
      </c>
      <c r="M48">
        <v>0.93333333333333335</v>
      </c>
      <c r="N48">
        <v>0.93333333333333335</v>
      </c>
      <c r="O48">
        <v>1</v>
      </c>
      <c r="P48">
        <v>12236.8</v>
      </c>
      <c r="Q48">
        <v>137299351.19999999</v>
      </c>
      <c r="R48">
        <v>10836</v>
      </c>
      <c r="S48">
        <v>2</v>
      </c>
      <c r="T48">
        <v>69</v>
      </c>
      <c r="U48">
        <v>0.93333333333333335</v>
      </c>
      <c r="V48">
        <v>0.94814814814814807</v>
      </c>
      <c r="W48">
        <v>1</v>
      </c>
      <c r="X48">
        <v>11909</v>
      </c>
      <c r="Y48">
        <v>131765243</v>
      </c>
      <c r="Z48">
        <v>11133</v>
      </c>
      <c r="AA48">
        <v>2</v>
      </c>
      <c r="AB48">
        <v>70</v>
      </c>
      <c r="AD48">
        <f>Tabela3[[#This Row],[kan_params]]</f>
        <v>11077</v>
      </c>
      <c r="AE48">
        <f>Tabela3[[#This Row],[kan_train_acc]]</f>
        <v>0.51320754885673525</v>
      </c>
      <c r="AF48">
        <f>Tabela3[[#This Row],[kan_val_acc]]</f>
        <v>0.785185182094574</v>
      </c>
      <c r="AG48">
        <f>Tabela3[[#This Row],[kan_test_acc]]</f>
        <v>0.49333334565162656</v>
      </c>
      <c r="AH48">
        <f>Tabela3[[#This Row],[mlp_test_acc]]</f>
        <v>0.93333333333333335</v>
      </c>
      <c r="AI48">
        <f>Tabela3[[#This Row],[mlp_val_acc]]</f>
        <v>0.93333333333333335</v>
      </c>
      <c r="AJ48">
        <f>Tabela3[[#This Row],[mlp_train_acc]]</f>
        <v>1</v>
      </c>
    </row>
    <row r="49" spans="1:36" x14ac:dyDescent="0.25">
      <c r="A49" t="s">
        <v>57</v>
      </c>
      <c r="B49">
        <v>12</v>
      </c>
      <c r="C49">
        <v>3</v>
      </c>
      <c r="D49">
        <v>4</v>
      </c>
      <c r="E49">
        <v>0</v>
      </c>
      <c r="F49" t="s">
        <v>67</v>
      </c>
      <c r="G49">
        <v>12982</v>
      </c>
      <c r="H49">
        <v>965150315.60000002</v>
      </c>
      <c r="I49">
        <v>5365.6</v>
      </c>
      <c r="J49">
        <v>0.41886792778968812</v>
      </c>
      <c r="K49">
        <v>0.72592593431472774</v>
      </c>
      <c r="L49">
        <v>0.34666666984558103</v>
      </c>
      <c r="M49">
        <v>0.91555555555555557</v>
      </c>
      <c r="N49">
        <v>0.96296296296296291</v>
      </c>
      <c r="O49">
        <v>1</v>
      </c>
      <c r="P49">
        <v>5754</v>
      </c>
      <c r="Q49">
        <v>289972058</v>
      </c>
      <c r="R49">
        <v>12678</v>
      </c>
      <c r="S49">
        <v>2</v>
      </c>
      <c r="T49">
        <v>75</v>
      </c>
      <c r="U49">
        <v>0.92</v>
      </c>
      <c r="V49">
        <v>0.96296296296296291</v>
      </c>
      <c r="W49">
        <v>1</v>
      </c>
      <c r="X49">
        <v>5695.8</v>
      </c>
      <c r="Y49">
        <v>285007558</v>
      </c>
      <c r="Z49">
        <v>12999</v>
      </c>
      <c r="AA49">
        <v>2</v>
      </c>
      <c r="AB49">
        <v>76</v>
      </c>
      <c r="AD49">
        <f>Tabela3[[#This Row],[kan_params]]</f>
        <v>12982</v>
      </c>
      <c r="AE49">
        <f>Tabela3[[#This Row],[kan_train_acc]]</f>
        <v>0.41886792778968812</v>
      </c>
      <c r="AF49">
        <f>Tabela3[[#This Row],[kan_val_acc]]</f>
        <v>0.72592593431472774</v>
      </c>
      <c r="AG49">
        <f>Tabela3[[#This Row],[kan_test_acc]]</f>
        <v>0.34666666984558103</v>
      </c>
      <c r="AH49">
        <f>Tabela3[[#This Row],[mlp_test_acc]]</f>
        <v>0.91555555555555557</v>
      </c>
      <c r="AI49">
        <f>Tabela3[[#This Row],[mlp_val_acc]]</f>
        <v>0.96296296296296291</v>
      </c>
      <c r="AJ49">
        <f>Tabela3[[#This Row],[mlp_train_acc]]</f>
        <v>1</v>
      </c>
    </row>
    <row r="50" spans="1:36" x14ac:dyDescent="0.25">
      <c r="A50" t="s">
        <v>57</v>
      </c>
      <c r="B50">
        <v>12</v>
      </c>
      <c r="C50">
        <v>3</v>
      </c>
      <c r="D50">
        <v>4</v>
      </c>
      <c r="E50">
        <v>0</v>
      </c>
      <c r="F50" t="s">
        <v>68</v>
      </c>
      <c r="G50">
        <v>10162</v>
      </c>
      <c r="H50">
        <v>906518048.39999998</v>
      </c>
      <c r="I50">
        <v>6152.4</v>
      </c>
      <c r="J50">
        <v>0.40754716992378237</v>
      </c>
      <c r="K50">
        <v>0.74074075222015379</v>
      </c>
      <c r="L50">
        <v>0.3688888967037201</v>
      </c>
      <c r="M50">
        <v>0.91555555555555557</v>
      </c>
      <c r="N50">
        <v>0.96296296296296291</v>
      </c>
      <c r="O50">
        <v>1</v>
      </c>
      <c r="P50">
        <v>5787.2</v>
      </c>
      <c r="Q50">
        <v>62291710</v>
      </c>
      <c r="R50">
        <v>9969</v>
      </c>
      <c r="S50">
        <v>2</v>
      </c>
      <c r="T50">
        <v>66</v>
      </c>
      <c r="U50">
        <v>0.92</v>
      </c>
      <c r="V50">
        <v>0.95555555555555549</v>
      </c>
      <c r="W50">
        <v>1</v>
      </c>
      <c r="X50">
        <v>6009.8</v>
      </c>
      <c r="Y50">
        <v>66958815</v>
      </c>
      <c r="Z50">
        <v>10254</v>
      </c>
      <c r="AA50">
        <v>2</v>
      </c>
      <c r="AB50">
        <v>67</v>
      </c>
      <c r="AD50">
        <f>Tabela3[[#This Row],[kan_params]]</f>
        <v>10162</v>
      </c>
      <c r="AE50">
        <f>Tabela3[[#This Row],[kan_train_acc]]</f>
        <v>0.40754716992378237</v>
      </c>
      <c r="AF50">
        <f>Tabela3[[#This Row],[kan_val_acc]]</f>
        <v>0.74074075222015379</v>
      </c>
      <c r="AG50">
        <f>Tabela3[[#This Row],[kan_test_acc]]</f>
        <v>0.3688888967037201</v>
      </c>
      <c r="AH50">
        <f>Tabela3[[#This Row],[mlp_test_acc]]</f>
        <v>0.91555555555555557</v>
      </c>
      <c r="AI50">
        <f>Tabela3[[#This Row],[mlp_val_acc]]</f>
        <v>0.96296296296296291</v>
      </c>
      <c r="AJ50">
        <f>Tabela3[[#This Row],[mlp_train_acc]]</f>
        <v>1</v>
      </c>
    </row>
    <row r="51" spans="1:36" x14ac:dyDescent="0.25">
      <c r="A51" t="s">
        <v>57</v>
      </c>
      <c r="B51">
        <v>12</v>
      </c>
      <c r="C51">
        <v>3</v>
      </c>
      <c r="D51">
        <v>4</v>
      </c>
      <c r="E51">
        <v>0</v>
      </c>
      <c r="F51" t="s">
        <v>69</v>
      </c>
      <c r="G51">
        <v>12257</v>
      </c>
      <c r="H51">
        <v>884053626.39999998</v>
      </c>
      <c r="I51">
        <v>5265.6</v>
      </c>
      <c r="J51">
        <v>0.41698113083839417</v>
      </c>
      <c r="K51">
        <v>0.68148148059844971</v>
      </c>
      <c r="L51">
        <v>0.35111111700534819</v>
      </c>
      <c r="M51">
        <v>0.93333333333333335</v>
      </c>
      <c r="N51">
        <v>0.96296296296296291</v>
      </c>
      <c r="O51">
        <v>1</v>
      </c>
      <c r="P51">
        <v>5761</v>
      </c>
      <c r="Q51">
        <v>292177748</v>
      </c>
      <c r="R51">
        <v>12048</v>
      </c>
      <c r="S51">
        <v>2</v>
      </c>
      <c r="T51">
        <v>73</v>
      </c>
      <c r="U51">
        <v>0.91555555555555557</v>
      </c>
      <c r="V51">
        <v>0.95555555555555549</v>
      </c>
      <c r="W51">
        <v>1</v>
      </c>
      <c r="X51">
        <v>5955.6</v>
      </c>
      <c r="Y51">
        <v>308495562.39999998</v>
      </c>
      <c r="Z51">
        <v>12361</v>
      </c>
      <c r="AA51">
        <v>2</v>
      </c>
      <c r="AB51">
        <v>74</v>
      </c>
      <c r="AD51">
        <f>Tabela3[[#This Row],[kan_params]]</f>
        <v>12257</v>
      </c>
      <c r="AE51">
        <f>Tabela3[[#This Row],[kan_train_acc]]</f>
        <v>0.41698113083839417</v>
      </c>
      <c r="AF51">
        <f>Tabela3[[#This Row],[kan_val_acc]]</f>
        <v>0.68148148059844971</v>
      </c>
      <c r="AG51">
        <f>Tabela3[[#This Row],[kan_test_acc]]</f>
        <v>0.35111111700534819</v>
      </c>
      <c r="AH51">
        <f>Tabela3[[#This Row],[mlp_test_acc]]</f>
        <v>0.93333333333333335</v>
      </c>
      <c r="AI51">
        <f>Tabela3[[#This Row],[mlp_val_acc]]</f>
        <v>0.96296296296296291</v>
      </c>
      <c r="AJ51">
        <f>Tabela3[[#This Row],[mlp_train_acc]]</f>
        <v>1</v>
      </c>
    </row>
    <row r="52" spans="1:36" x14ac:dyDescent="0.25">
      <c r="A52" t="s">
        <v>57</v>
      </c>
      <c r="B52">
        <v>12</v>
      </c>
      <c r="C52">
        <v>3</v>
      </c>
      <c r="D52">
        <v>4</v>
      </c>
      <c r="E52">
        <v>0</v>
      </c>
      <c r="F52" t="s">
        <v>70</v>
      </c>
      <c r="G52">
        <v>14352</v>
      </c>
      <c r="H52">
        <v>1010938634</v>
      </c>
      <c r="I52">
        <v>5676.8</v>
      </c>
      <c r="J52">
        <v>0.45849056839942931</v>
      </c>
      <c r="K52">
        <v>0.70370368957519536</v>
      </c>
      <c r="L52">
        <v>0.51555556654930113</v>
      </c>
      <c r="M52">
        <v>0.9244444444444444</v>
      </c>
      <c r="N52">
        <v>0.96296296296296291</v>
      </c>
      <c r="O52">
        <v>1</v>
      </c>
      <c r="P52">
        <v>5675</v>
      </c>
      <c r="Q52">
        <v>287150452.80000001</v>
      </c>
      <c r="R52">
        <v>14323</v>
      </c>
      <c r="S52">
        <v>2</v>
      </c>
      <c r="T52">
        <v>80</v>
      </c>
      <c r="U52">
        <v>0.9244444444444444</v>
      </c>
      <c r="V52">
        <v>0.96296296296296291</v>
      </c>
      <c r="W52">
        <v>1</v>
      </c>
      <c r="X52">
        <v>5656.8</v>
      </c>
      <c r="Y52">
        <v>288521651.60000002</v>
      </c>
      <c r="Z52">
        <v>14664</v>
      </c>
      <c r="AA52">
        <v>2</v>
      </c>
      <c r="AB52">
        <v>81</v>
      </c>
      <c r="AD52">
        <f>Tabela3[[#This Row],[kan_params]]</f>
        <v>14352</v>
      </c>
      <c r="AE52">
        <f>Tabela3[[#This Row],[kan_train_acc]]</f>
        <v>0.45849056839942931</v>
      </c>
      <c r="AF52">
        <f>Tabela3[[#This Row],[kan_val_acc]]</f>
        <v>0.70370368957519536</v>
      </c>
      <c r="AG52">
        <f>Tabela3[[#This Row],[kan_test_acc]]</f>
        <v>0.51555556654930113</v>
      </c>
      <c r="AH52">
        <f>Tabela3[[#This Row],[mlp_test_acc]]</f>
        <v>0.9244444444444444</v>
      </c>
      <c r="AI52">
        <f>Tabela3[[#This Row],[mlp_val_acc]]</f>
        <v>0.96296296296296291</v>
      </c>
      <c r="AJ52">
        <f>Tabela3[[#This Row],[mlp_train_acc]]</f>
        <v>1</v>
      </c>
    </row>
    <row r="53" spans="1:36" x14ac:dyDescent="0.25">
      <c r="A53" t="s">
        <v>57</v>
      </c>
      <c r="B53">
        <v>12</v>
      </c>
      <c r="C53">
        <v>3</v>
      </c>
      <c r="D53">
        <v>4</v>
      </c>
      <c r="E53">
        <v>0</v>
      </c>
      <c r="F53" t="s">
        <v>71</v>
      </c>
      <c r="G53">
        <v>5798</v>
      </c>
      <c r="H53">
        <v>34780509.799999997</v>
      </c>
      <c r="I53">
        <v>378.2</v>
      </c>
      <c r="J53">
        <v>0.89622641801834102</v>
      </c>
      <c r="K53">
        <v>1</v>
      </c>
      <c r="L53">
        <v>0.91555556058883669</v>
      </c>
      <c r="M53">
        <v>0.94666666666666666</v>
      </c>
      <c r="N53">
        <v>0.97037037037037033</v>
      </c>
      <c r="O53">
        <v>0.97547169811320755</v>
      </c>
      <c r="P53">
        <v>10982.6</v>
      </c>
      <c r="Q53">
        <v>117441162.59999999</v>
      </c>
      <c r="R53">
        <v>5736</v>
      </c>
      <c r="S53">
        <v>2</v>
      </c>
      <c r="T53">
        <v>49</v>
      </c>
      <c r="U53">
        <v>0.95111111111111113</v>
      </c>
      <c r="V53">
        <v>0.97777777777777775</v>
      </c>
      <c r="W53">
        <v>0.9679245283018868</v>
      </c>
      <c r="X53">
        <v>8046.4</v>
      </c>
      <c r="Y53">
        <v>85892849.599999994</v>
      </c>
      <c r="Z53">
        <v>5953</v>
      </c>
      <c r="AA53">
        <v>2</v>
      </c>
      <c r="AB53">
        <v>50</v>
      </c>
      <c r="AD53">
        <f>Tabela3[[#This Row],[kan_params]]</f>
        <v>5798</v>
      </c>
      <c r="AE53">
        <f>Tabela3[[#This Row],[kan_train_acc]]</f>
        <v>0.89622641801834102</v>
      </c>
      <c r="AF53">
        <f>Tabela3[[#This Row],[kan_val_acc]]</f>
        <v>1</v>
      </c>
      <c r="AG53">
        <f>Tabela3[[#This Row],[kan_test_acc]]</f>
        <v>0.91555556058883669</v>
      </c>
      <c r="AH53">
        <f>Tabela3[[#This Row],[mlp_test_acc]]</f>
        <v>0.94666666666666666</v>
      </c>
      <c r="AI53">
        <f>Tabela3[[#This Row],[mlp_val_acc]]</f>
        <v>0.97037037037037033</v>
      </c>
      <c r="AJ53">
        <f>Tabela3[[#This Row],[mlp_train_acc]]</f>
        <v>0.97547169811320755</v>
      </c>
    </row>
    <row r="54" spans="1:36" x14ac:dyDescent="0.25">
      <c r="A54" t="s">
        <v>57</v>
      </c>
      <c r="B54">
        <v>12</v>
      </c>
      <c r="C54">
        <v>3</v>
      </c>
      <c r="D54">
        <v>4</v>
      </c>
      <c r="E54">
        <v>0</v>
      </c>
      <c r="F54" t="s">
        <v>72</v>
      </c>
      <c r="G54">
        <v>11152</v>
      </c>
      <c r="H54">
        <v>1182521219.4000001</v>
      </c>
      <c r="I54">
        <v>7167.8</v>
      </c>
      <c r="J54">
        <v>0.50566038489341736</v>
      </c>
      <c r="K54">
        <v>0.76296294927597041</v>
      </c>
      <c r="L54">
        <v>0.45777778923511503</v>
      </c>
      <c r="M54">
        <v>0.9244444444444444</v>
      </c>
      <c r="N54">
        <v>0.96296296296296291</v>
      </c>
      <c r="O54">
        <v>1</v>
      </c>
      <c r="P54">
        <v>5733</v>
      </c>
      <c r="Q54">
        <v>71899345.799999997</v>
      </c>
      <c r="R54">
        <v>11133</v>
      </c>
      <c r="S54">
        <v>2</v>
      </c>
      <c r="T54">
        <v>70</v>
      </c>
      <c r="U54">
        <v>0.9244444444444444</v>
      </c>
      <c r="V54">
        <v>0.96296296296296291</v>
      </c>
      <c r="W54">
        <v>1</v>
      </c>
      <c r="X54">
        <v>5719.8</v>
      </c>
      <c r="Y54">
        <v>306782621.60000002</v>
      </c>
      <c r="Z54">
        <v>11434</v>
      </c>
      <c r="AA54">
        <v>2</v>
      </c>
      <c r="AB54">
        <v>71</v>
      </c>
      <c r="AD54">
        <f>Tabela3[[#This Row],[kan_params]]</f>
        <v>11152</v>
      </c>
      <c r="AE54">
        <f>Tabela3[[#This Row],[kan_train_acc]]</f>
        <v>0.50566038489341736</v>
      </c>
      <c r="AF54">
        <f>Tabela3[[#This Row],[kan_val_acc]]</f>
        <v>0.76296294927597041</v>
      </c>
      <c r="AG54">
        <f>Tabela3[[#This Row],[kan_test_acc]]</f>
        <v>0.45777778923511503</v>
      </c>
      <c r="AH54">
        <f>Tabela3[[#This Row],[mlp_test_acc]]</f>
        <v>0.9244444444444444</v>
      </c>
      <c r="AI54">
        <f>Tabela3[[#This Row],[mlp_val_acc]]</f>
        <v>0.96296296296296291</v>
      </c>
      <c r="AJ54">
        <f>Tabela3[[#This Row],[mlp_train_acc]]</f>
        <v>1</v>
      </c>
    </row>
    <row r="55" spans="1:36" x14ac:dyDescent="0.25">
      <c r="A55" t="s">
        <v>57</v>
      </c>
      <c r="B55">
        <v>12</v>
      </c>
      <c r="C55">
        <v>3</v>
      </c>
      <c r="D55">
        <v>4</v>
      </c>
      <c r="E55">
        <v>0</v>
      </c>
      <c r="F55" t="s">
        <v>73</v>
      </c>
      <c r="G55">
        <v>13437</v>
      </c>
      <c r="H55">
        <v>924701569.60000002</v>
      </c>
      <c r="I55">
        <v>5403.8</v>
      </c>
      <c r="J55">
        <v>0.46226416230201722</v>
      </c>
      <c r="K55">
        <v>0.70370370149612427</v>
      </c>
      <c r="L55">
        <v>0.471111124753952</v>
      </c>
      <c r="M55">
        <v>0.93333333333333335</v>
      </c>
      <c r="N55">
        <v>0.99259259259259258</v>
      </c>
      <c r="O55">
        <v>1</v>
      </c>
      <c r="P55">
        <v>7631.2</v>
      </c>
      <c r="Q55">
        <v>375769784.60000002</v>
      </c>
      <c r="R55">
        <v>13324</v>
      </c>
      <c r="S55">
        <v>2</v>
      </c>
      <c r="T55">
        <v>77</v>
      </c>
      <c r="U55">
        <v>0.94666666666666666</v>
      </c>
      <c r="V55">
        <v>0.98518518518518516</v>
      </c>
      <c r="W55">
        <v>1</v>
      </c>
      <c r="X55">
        <v>7820.8</v>
      </c>
      <c r="Y55">
        <v>366175464.60000002</v>
      </c>
      <c r="Z55">
        <v>13653</v>
      </c>
      <c r="AA55">
        <v>2</v>
      </c>
      <c r="AB55">
        <v>78</v>
      </c>
      <c r="AD55">
        <f>Tabela3[[#This Row],[kan_params]]</f>
        <v>13437</v>
      </c>
      <c r="AE55">
        <f>Tabela3[[#This Row],[kan_train_acc]]</f>
        <v>0.46226416230201722</v>
      </c>
      <c r="AF55">
        <f>Tabela3[[#This Row],[kan_val_acc]]</f>
        <v>0.70370370149612427</v>
      </c>
      <c r="AG55">
        <f>Tabela3[[#This Row],[kan_test_acc]]</f>
        <v>0.471111124753952</v>
      </c>
      <c r="AH55">
        <f>Tabela3[[#This Row],[mlp_test_acc]]</f>
        <v>0.93333333333333335</v>
      </c>
      <c r="AI55">
        <f>Tabela3[[#This Row],[mlp_val_acc]]</f>
        <v>0.99259259259259258</v>
      </c>
      <c r="AJ55">
        <f>Tabela3[[#This Row],[mlp_train_acc]]</f>
        <v>1</v>
      </c>
    </row>
    <row r="56" spans="1:36" x14ac:dyDescent="0.25">
      <c r="A56" t="s">
        <v>57</v>
      </c>
      <c r="B56">
        <v>12</v>
      </c>
      <c r="C56">
        <v>3</v>
      </c>
      <c r="D56">
        <v>4</v>
      </c>
      <c r="E56">
        <v>0</v>
      </c>
      <c r="F56" t="s">
        <v>74</v>
      </c>
      <c r="G56">
        <v>15722</v>
      </c>
      <c r="H56">
        <v>1261397216.8</v>
      </c>
      <c r="I56">
        <v>6922.4</v>
      </c>
      <c r="J56">
        <v>0.51509434580802915</v>
      </c>
      <c r="K56">
        <v>0.77037036418914795</v>
      </c>
      <c r="L56">
        <v>0.49777779579162595</v>
      </c>
      <c r="M56">
        <v>0.94222222222222229</v>
      </c>
      <c r="N56">
        <v>1</v>
      </c>
      <c r="O56">
        <v>0.99811320754716981</v>
      </c>
      <c r="P56">
        <v>7427</v>
      </c>
      <c r="Q56">
        <v>379097018</v>
      </c>
      <c r="R56">
        <v>15711</v>
      </c>
      <c r="S56">
        <v>2</v>
      </c>
      <c r="T56">
        <v>84</v>
      </c>
      <c r="U56">
        <v>0.9555555555555556</v>
      </c>
      <c r="V56">
        <v>1</v>
      </c>
      <c r="W56">
        <v>1</v>
      </c>
      <c r="X56">
        <v>5629.4</v>
      </c>
      <c r="Y56">
        <v>285297293</v>
      </c>
      <c r="Z56">
        <v>16068</v>
      </c>
      <c r="AA56">
        <v>2</v>
      </c>
      <c r="AB56">
        <v>85</v>
      </c>
      <c r="AD56">
        <f>Tabela3[[#This Row],[kan_params]]</f>
        <v>15722</v>
      </c>
      <c r="AE56">
        <f>Tabela3[[#This Row],[kan_train_acc]]</f>
        <v>0.51509434580802915</v>
      </c>
      <c r="AF56">
        <f>Tabela3[[#This Row],[kan_val_acc]]</f>
        <v>0.77037036418914795</v>
      </c>
      <c r="AG56">
        <f>Tabela3[[#This Row],[kan_test_acc]]</f>
        <v>0.49777779579162595</v>
      </c>
      <c r="AH56">
        <f>Tabela3[[#This Row],[mlp_test_acc]]</f>
        <v>0.94222222222222229</v>
      </c>
      <c r="AI56">
        <f>Tabela3[[#This Row],[mlp_val_acc]]</f>
        <v>1</v>
      </c>
      <c r="AJ56">
        <f>Tabela3[[#This Row],[mlp_train_acc]]</f>
        <v>0.99811320754716981</v>
      </c>
    </row>
    <row r="57" spans="1:36" x14ac:dyDescent="0.25">
      <c r="A57" t="s">
        <v>57</v>
      </c>
      <c r="B57">
        <v>12</v>
      </c>
      <c r="C57">
        <v>3</v>
      </c>
      <c r="D57">
        <v>4</v>
      </c>
      <c r="E57">
        <v>0</v>
      </c>
      <c r="F57" t="s">
        <v>75</v>
      </c>
      <c r="G57">
        <v>7323</v>
      </c>
      <c r="H57">
        <v>37148914.799999997</v>
      </c>
      <c r="I57">
        <v>379</v>
      </c>
      <c r="J57">
        <v>0.90754716396331792</v>
      </c>
      <c r="K57">
        <v>1</v>
      </c>
      <c r="L57">
        <v>0.91555556058883669</v>
      </c>
      <c r="M57">
        <v>0.94666666666666666</v>
      </c>
      <c r="N57">
        <v>0.98518518518518516</v>
      </c>
      <c r="O57">
        <v>0.95471698113207548</v>
      </c>
      <c r="P57">
        <v>5799.4</v>
      </c>
      <c r="Q57">
        <v>62173198.799999997</v>
      </c>
      <c r="R57">
        <v>7098</v>
      </c>
      <c r="S57">
        <v>2</v>
      </c>
      <c r="T57">
        <v>55</v>
      </c>
      <c r="U57">
        <v>0.94666666666666666</v>
      </c>
      <c r="V57">
        <v>0.98518518518518516</v>
      </c>
      <c r="W57">
        <v>0.94905660377358492</v>
      </c>
      <c r="X57">
        <v>23161.4</v>
      </c>
      <c r="Y57">
        <v>326833308</v>
      </c>
      <c r="Z57">
        <v>7339</v>
      </c>
      <c r="AA57">
        <v>2</v>
      </c>
      <c r="AB57">
        <v>56</v>
      </c>
      <c r="AD57">
        <f>Tabela3[[#This Row],[kan_params]]</f>
        <v>7323</v>
      </c>
      <c r="AE57">
        <f>Tabela3[[#This Row],[kan_train_acc]]</f>
        <v>0.90754716396331792</v>
      </c>
      <c r="AF57">
        <f>Tabela3[[#This Row],[kan_val_acc]]</f>
        <v>1</v>
      </c>
      <c r="AG57">
        <f>Tabela3[[#This Row],[kan_test_acc]]</f>
        <v>0.91555556058883669</v>
      </c>
      <c r="AH57">
        <f>Tabela3[[#This Row],[mlp_test_acc]]</f>
        <v>0.94666666666666666</v>
      </c>
      <c r="AI57">
        <f>Tabela3[[#This Row],[mlp_val_acc]]</f>
        <v>0.98518518518518516</v>
      </c>
      <c r="AJ57">
        <f>Tabela3[[#This Row],[mlp_train_acc]]</f>
        <v>0.95471698113207548</v>
      </c>
    </row>
    <row r="58" spans="1:36" x14ac:dyDescent="0.25">
      <c r="A58" t="s">
        <v>57</v>
      </c>
      <c r="B58">
        <v>12</v>
      </c>
      <c r="C58">
        <v>3</v>
      </c>
      <c r="D58">
        <v>4</v>
      </c>
      <c r="E58">
        <v>0</v>
      </c>
      <c r="F58" t="s">
        <v>76</v>
      </c>
      <c r="G58">
        <v>2748</v>
      </c>
      <c r="H58">
        <v>544216268.39999998</v>
      </c>
      <c r="I58">
        <v>7252</v>
      </c>
      <c r="J58">
        <v>0.86981132030487063</v>
      </c>
      <c r="K58">
        <v>0.98518519401550297</v>
      </c>
      <c r="L58">
        <v>0.86666667461395264</v>
      </c>
      <c r="M58">
        <v>0.95111111111111113</v>
      </c>
      <c r="N58">
        <v>0.97037037037037033</v>
      </c>
      <c r="O58">
        <v>0.97735849056603774</v>
      </c>
      <c r="P58">
        <v>15306.8</v>
      </c>
      <c r="Q58">
        <v>162954931.80000001</v>
      </c>
      <c r="R58">
        <v>2659</v>
      </c>
      <c r="S58">
        <v>2</v>
      </c>
      <c r="T58">
        <v>32</v>
      </c>
      <c r="U58">
        <v>0.95111111111111113</v>
      </c>
      <c r="V58">
        <v>0.97777777777777775</v>
      </c>
      <c r="W58">
        <v>0.96603773584905661</v>
      </c>
      <c r="X58">
        <v>25779.8</v>
      </c>
      <c r="Y58">
        <v>307231019.19999999</v>
      </c>
      <c r="Z58">
        <v>2808</v>
      </c>
      <c r="AA58">
        <v>2</v>
      </c>
      <c r="AB58">
        <v>33</v>
      </c>
      <c r="AD58">
        <f>Tabela3[[#This Row],[kan_params]]</f>
        <v>2748</v>
      </c>
      <c r="AE58">
        <f>Tabela3[[#This Row],[kan_train_acc]]</f>
        <v>0.86981132030487063</v>
      </c>
      <c r="AF58">
        <f>Tabela3[[#This Row],[kan_val_acc]]</f>
        <v>0.98518519401550297</v>
      </c>
      <c r="AG58">
        <f>Tabela3[[#This Row],[kan_test_acc]]</f>
        <v>0.86666667461395264</v>
      </c>
      <c r="AH58">
        <f>Tabela3[[#This Row],[mlp_test_acc]]</f>
        <v>0.95111111111111113</v>
      </c>
      <c r="AI58">
        <f>Tabela3[[#This Row],[mlp_val_acc]]</f>
        <v>0.97037037037037033</v>
      </c>
      <c r="AJ58">
        <f>Tabela3[[#This Row],[mlp_train_acc]]</f>
        <v>0.97735849056603774</v>
      </c>
    </row>
    <row r="59" spans="1:36" x14ac:dyDescent="0.25">
      <c r="A59" t="s">
        <v>57</v>
      </c>
      <c r="B59">
        <v>14</v>
      </c>
      <c r="C59">
        <v>3</v>
      </c>
      <c r="D59">
        <v>5</v>
      </c>
      <c r="E59">
        <v>0</v>
      </c>
      <c r="F59" t="s">
        <v>58</v>
      </c>
      <c r="G59">
        <v>8323</v>
      </c>
      <c r="H59">
        <v>846562047</v>
      </c>
      <c r="I59">
        <v>5111.8</v>
      </c>
      <c r="J59">
        <v>0.45849057137966154</v>
      </c>
      <c r="K59">
        <v>0.74074074029922488</v>
      </c>
      <c r="L59">
        <v>0.40444445312023164</v>
      </c>
      <c r="M59">
        <v>0.94666666666666666</v>
      </c>
      <c r="N59">
        <v>1</v>
      </c>
      <c r="O59">
        <v>1</v>
      </c>
      <c r="P59">
        <v>6999.6</v>
      </c>
      <c r="Q59">
        <v>78127980.200000003</v>
      </c>
      <c r="R59">
        <v>8086</v>
      </c>
      <c r="S59">
        <v>2</v>
      </c>
      <c r="T59">
        <v>59</v>
      </c>
      <c r="U59">
        <v>0.93777777777777782</v>
      </c>
      <c r="V59">
        <v>1</v>
      </c>
      <c r="W59">
        <v>1</v>
      </c>
      <c r="X59">
        <v>7565.4</v>
      </c>
      <c r="Y59">
        <v>84464099.799999997</v>
      </c>
      <c r="Z59">
        <v>8343</v>
      </c>
      <c r="AA59">
        <v>2</v>
      </c>
      <c r="AB59">
        <v>60</v>
      </c>
      <c r="AD59">
        <f>Tabela3[[#This Row],[kan_params]]</f>
        <v>8323</v>
      </c>
      <c r="AE59">
        <f>Tabela3[[#This Row],[kan_train_acc]]</f>
        <v>0.45849057137966154</v>
      </c>
      <c r="AF59">
        <f>Tabela3[[#This Row],[kan_val_acc]]</f>
        <v>0.74074074029922488</v>
      </c>
      <c r="AG59">
        <f>Tabela3[[#This Row],[kan_test_acc]]</f>
        <v>0.40444445312023164</v>
      </c>
      <c r="AH59">
        <f>Tabela3[[#This Row],[mlp_test_acc]]</f>
        <v>0.94666666666666666</v>
      </c>
      <c r="AI59">
        <f>Tabela3[[#This Row],[mlp_val_acc]]</f>
        <v>1</v>
      </c>
      <c r="AJ59">
        <f>Tabela3[[#This Row],[mlp_train_acc]]</f>
        <v>1</v>
      </c>
    </row>
    <row r="60" spans="1:36" x14ac:dyDescent="0.25">
      <c r="A60" t="s">
        <v>57</v>
      </c>
      <c r="B60">
        <v>14</v>
      </c>
      <c r="C60">
        <v>3</v>
      </c>
      <c r="D60">
        <v>5</v>
      </c>
      <c r="E60">
        <v>0</v>
      </c>
      <c r="F60" t="s">
        <v>59</v>
      </c>
      <c r="G60">
        <v>10088</v>
      </c>
      <c r="H60">
        <v>1076573534</v>
      </c>
      <c r="I60">
        <v>6324.2</v>
      </c>
      <c r="J60">
        <v>0.40754717588424683</v>
      </c>
      <c r="K60">
        <v>0.69629631042480467</v>
      </c>
      <c r="L60">
        <v>0.32888889610767363</v>
      </c>
      <c r="M60">
        <v>0.93333333333333335</v>
      </c>
      <c r="N60">
        <v>0.98518518518518516</v>
      </c>
      <c r="O60">
        <v>0.99245283018867925</v>
      </c>
      <c r="P60">
        <v>8784.2000000000007</v>
      </c>
      <c r="Q60">
        <v>98983164.200000003</v>
      </c>
      <c r="R60">
        <v>9969</v>
      </c>
      <c r="S60">
        <v>2</v>
      </c>
      <c r="T60">
        <v>66</v>
      </c>
      <c r="U60">
        <v>0.93777777777777782</v>
      </c>
      <c r="V60">
        <v>0.97777777777777775</v>
      </c>
      <c r="W60">
        <v>1</v>
      </c>
      <c r="X60">
        <v>8488.7999999999993</v>
      </c>
      <c r="Y60">
        <v>96232738.599999994</v>
      </c>
      <c r="Z60">
        <v>10254</v>
      </c>
      <c r="AA60">
        <v>2</v>
      </c>
      <c r="AB60">
        <v>67</v>
      </c>
      <c r="AD60">
        <f>Tabela3[[#This Row],[kan_params]]</f>
        <v>10088</v>
      </c>
      <c r="AE60">
        <f>Tabela3[[#This Row],[kan_train_acc]]</f>
        <v>0.40754717588424683</v>
      </c>
      <c r="AF60">
        <f>Tabela3[[#This Row],[kan_val_acc]]</f>
        <v>0.69629631042480467</v>
      </c>
      <c r="AG60">
        <f>Tabela3[[#This Row],[kan_test_acc]]</f>
        <v>0.32888889610767363</v>
      </c>
      <c r="AH60">
        <f>Tabela3[[#This Row],[mlp_test_acc]]</f>
        <v>0.93333333333333335</v>
      </c>
      <c r="AI60">
        <f>Tabela3[[#This Row],[mlp_val_acc]]</f>
        <v>0.98518518518518516</v>
      </c>
      <c r="AJ60">
        <f>Tabela3[[#This Row],[mlp_train_acc]]</f>
        <v>0.99245283018867925</v>
      </c>
    </row>
    <row r="61" spans="1:36" x14ac:dyDescent="0.25">
      <c r="A61" t="s">
        <v>57</v>
      </c>
      <c r="B61">
        <v>14</v>
      </c>
      <c r="C61">
        <v>3</v>
      </c>
      <c r="D61">
        <v>5</v>
      </c>
      <c r="E61">
        <v>0</v>
      </c>
      <c r="F61" t="s">
        <v>60</v>
      </c>
      <c r="G61">
        <v>11853</v>
      </c>
      <c r="H61">
        <v>939693507.20000005</v>
      </c>
      <c r="I61">
        <v>5486.6</v>
      </c>
      <c r="J61">
        <v>0.37924527525901797</v>
      </c>
      <c r="K61">
        <v>0.78518519401550291</v>
      </c>
      <c r="L61">
        <v>0.34222223162651061</v>
      </c>
      <c r="M61">
        <v>0.93333333333333335</v>
      </c>
      <c r="N61">
        <v>0.93333333333333335</v>
      </c>
      <c r="O61">
        <v>1</v>
      </c>
      <c r="P61">
        <v>12594.6</v>
      </c>
      <c r="Q61">
        <v>615436082.20000005</v>
      </c>
      <c r="R61">
        <v>11739</v>
      </c>
      <c r="S61">
        <v>2</v>
      </c>
      <c r="T61">
        <v>72</v>
      </c>
      <c r="U61">
        <v>0.92888888888888888</v>
      </c>
      <c r="V61">
        <v>0.92592592592592593</v>
      </c>
      <c r="W61">
        <v>1</v>
      </c>
      <c r="X61">
        <v>10394.200000000001</v>
      </c>
      <c r="Y61">
        <v>506108015</v>
      </c>
      <c r="Z61">
        <v>12048</v>
      </c>
      <c r="AA61">
        <v>2</v>
      </c>
      <c r="AB61">
        <v>73</v>
      </c>
      <c r="AD61">
        <f>Tabela3[[#This Row],[kan_params]]</f>
        <v>11853</v>
      </c>
      <c r="AE61">
        <f>Tabela3[[#This Row],[kan_train_acc]]</f>
        <v>0.37924527525901797</v>
      </c>
      <c r="AF61">
        <f>Tabela3[[#This Row],[kan_val_acc]]</f>
        <v>0.78518519401550291</v>
      </c>
      <c r="AG61">
        <f>Tabela3[[#This Row],[kan_test_acc]]</f>
        <v>0.34222223162651061</v>
      </c>
      <c r="AH61">
        <f>Tabela3[[#This Row],[mlp_test_acc]]</f>
        <v>0.93333333333333335</v>
      </c>
      <c r="AI61">
        <f>Tabela3[[#This Row],[mlp_val_acc]]</f>
        <v>0.93333333333333335</v>
      </c>
      <c r="AJ61">
        <f>Tabela3[[#This Row],[mlp_train_acc]]</f>
        <v>1</v>
      </c>
    </row>
    <row r="62" spans="1:36" x14ac:dyDescent="0.25">
      <c r="A62" t="s">
        <v>57</v>
      </c>
      <c r="B62">
        <v>14</v>
      </c>
      <c r="C62">
        <v>3</v>
      </c>
      <c r="D62">
        <v>5</v>
      </c>
      <c r="E62">
        <v>0</v>
      </c>
      <c r="F62" t="s">
        <v>61</v>
      </c>
      <c r="G62">
        <v>4945</v>
      </c>
      <c r="H62">
        <v>560731094.79999995</v>
      </c>
      <c r="I62">
        <v>5830.4</v>
      </c>
      <c r="J62">
        <v>0.63018868565559383</v>
      </c>
      <c r="K62">
        <v>0.87407407760620115</v>
      </c>
      <c r="L62">
        <v>0.64444446563720703</v>
      </c>
      <c r="M62">
        <v>0.95111111111111113</v>
      </c>
      <c r="N62">
        <v>0.98518518518518516</v>
      </c>
      <c r="O62">
        <v>1</v>
      </c>
      <c r="P62">
        <v>8851.6</v>
      </c>
      <c r="Q62">
        <v>94272690.400000006</v>
      </c>
      <c r="R62">
        <v>4908</v>
      </c>
      <c r="S62">
        <v>2</v>
      </c>
      <c r="T62">
        <v>45</v>
      </c>
      <c r="U62">
        <v>0.9555555555555556</v>
      </c>
      <c r="V62">
        <v>1</v>
      </c>
      <c r="W62">
        <v>1</v>
      </c>
      <c r="X62">
        <v>6592.4</v>
      </c>
      <c r="Y62">
        <v>70180996.200000003</v>
      </c>
      <c r="Z62">
        <v>5109</v>
      </c>
      <c r="AA62">
        <v>2</v>
      </c>
      <c r="AB62">
        <v>46</v>
      </c>
      <c r="AD62">
        <f>Tabela3[[#This Row],[kan_params]]</f>
        <v>4945</v>
      </c>
      <c r="AE62">
        <f>Tabela3[[#This Row],[kan_train_acc]]</f>
        <v>0.63018868565559383</v>
      </c>
      <c r="AF62">
        <f>Tabela3[[#This Row],[kan_val_acc]]</f>
        <v>0.87407407760620115</v>
      </c>
      <c r="AG62">
        <f>Tabela3[[#This Row],[kan_test_acc]]</f>
        <v>0.64444446563720703</v>
      </c>
      <c r="AH62">
        <f>Tabela3[[#This Row],[mlp_test_acc]]</f>
        <v>0.95111111111111113</v>
      </c>
      <c r="AI62">
        <f>Tabela3[[#This Row],[mlp_val_acc]]</f>
        <v>0.98518518518518516</v>
      </c>
      <c r="AJ62">
        <f>Tabela3[[#This Row],[mlp_train_acc]]</f>
        <v>1</v>
      </c>
    </row>
    <row r="63" spans="1:36" x14ac:dyDescent="0.25">
      <c r="A63" t="s">
        <v>57</v>
      </c>
      <c r="B63">
        <v>14</v>
      </c>
      <c r="C63">
        <v>3</v>
      </c>
      <c r="D63">
        <v>5</v>
      </c>
      <c r="E63">
        <v>0</v>
      </c>
      <c r="F63" t="s">
        <v>62</v>
      </c>
      <c r="G63">
        <v>9469</v>
      </c>
      <c r="H63">
        <v>815612087.60000002</v>
      </c>
      <c r="I63">
        <v>5179.8</v>
      </c>
      <c r="J63">
        <v>0.36792452335357667</v>
      </c>
      <c r="K63">
        <v>0.68888888359069822</v>
      </c>
      <c r="L63">
        <v>0.30666667222976685</v>
      </c>
      <c r="M63">
        <v>0.93333333333333335</v>
      </c>
      <c r="N63">
        <v>0.94074074074074077</v>
      </c>
      <c r="O63">
        <v>1</v>
      </c>
      <c r="P63">
        <v>14217.2</v>
      </c>
      <c r="Q63">
        <v>168066294.59999999</v>
      </c>
      <c r="R63">
        <v>9411</v>
      </c>
      <c r="S63">
        <v>2</v>
      </c>
      <c r="T63">
        <v>64</v>
      </c>
      <c r="U63">
        <v>0.93333333333333335</v>
      </c>
      <c r="V63">
        <v>0.92592592592592593</v>
      </c>
      <c r="W63">
        <v>1</v>
      </c>
      <c r="X63">
        <v>10918</v>
      </c>
      <c r="Y63">
        <v>120174772.59999999</v>
      </c>
      <c r="Z63">
        <v>9688</v>
      </c>
      <c r="AA63">
        <v>2</v>
      </c>
      <c r="AB63">
        <v>65</v>
      </c>
      <c r="AD63">
        <f>Tabela3[[#This Row],[kan_params]]</f>
        <v>9469</v>
      </c>
      <c r="AE63">
        <f>Tabela3[[#This Row],[kan_train_acc]]</f>
        <v>0.36792452335357667</v>
      </c>
      <c r="AF63">
        <f>Tabela3[[#This Row],[kan_val_acc]]</f>
        <v>0.68888888359069822</v>
      </c>
      <c r="AG63">
        <f>Tabela3[[#This Row],[kan_test_acc]]</f>
        <v>0.30666667222976685</v>
      </c>
      <c r="AH63">
        <f>Tabela3[[#This Row],[mlp_test_acc]]</f>
        <v>0.93333333333333335</v>
      </c>
      <c r="AI63">
        <f>Tabela3[[#This Row],[mlp_val_acc]]</f>
        <v>0.94074074074074077</v>
      </c>
      <c r="AJ63">
        <f>Tabela3[[#This Row],[mlp_train_acc]]</f>
        <v>1</v>
      </c>
    </row>
    <row r="64" spans="1:36" x14ac:dyDescent="0.25">
      <c r="A64" t="s">
        <v>57</v>
      </c>
      <c r="B64">
        <v>14</v>
      </c>
      <c r="C64">
        <v>3</v>
      </c>
      <c r="D64">
        <v>5</v>
      </c>
      <c r="E64">
        <v>0</v>
      </c>
      <c r="F64" t="s">
        <v>63</v>
      </c>
      <c r="G64">
        <v>11454</v>
      </c>
      <c r="H64">
        <v>1050603222</v>
      </c>
      <c r="I64">
        <v>6441.4</v>
      </c>
      <c r="J64">
        <v>0.42641510367393493</v>
      </c>
      <c r="K64">
        <v>0.58518518209457393</v>
      </c>
      <c r="L64">
        <v>0.40444445013999941</v>
      </c>
      <c r="M64">
        <v>0.92888888888888888</v>
      </c>
      <c r="N64">
        <v>0.91851851851851851</v>
      </c>
      <c r="O64">
        <v>1</v>
      </c>
      <c r="P64">
        <v>10829</v>
      </c>
      <c r="Q64">
        <v>525815448.80000001</v>
      </c>
      <c r="R64">
        <v>11434</v>
      </c>
      <c r="S64">
        <v>2</v>
      </c>
      <c r="T64">
        <v>71</v>
      </c>
      <c r="U64">
        <v>0.9244444444444444</v>
      </c>
      <c r="V64">
        <v>0.92592592592592593</v>
      </c>
      <c r="W64">
        <v>1</v>
      </c>
      <c r="X64">
        <v>11213.8</v>
      </c>
      <c r="Y64">
        <v>517996167</v>
      </c>
      <c r="Z64">
        <v>11739</v>
      </c>
      <c r="AA64">
        <v>2</v>
      </c>
      <c r="AB64">
        <v>72</v>
      </c>
      <c r="AD64">
        <f>Tabela3[[#This Row],[kan_params]]</f>
        <v>11454</v>
      </c>
      <c r="AE64">
        <f>Tabela3[[#This Row],[kan_train_acc]]</f>
        <v>0.42641510367393493</v>
      </c>
      <c r="AF64">
        <f>Tabela3[[#This Row],[kan_val_acc]]</f>
        <v>0.58518518209457393</v>
      </c>
      <c r="AG64">
        <f>Tabela3[[#This Row],[kan_test_acc]]</f>
        <v>0.40444445013999941</v>
      </c>
      <c r="AH64">
        <f>Tabela3[[#This Row],[mlp_test_acc]]</f>
        <v>0.92888888888888888</v>
      </c>
      <c r="AI64">
        <f>Tabela3[[#This Row],[mlp_val_acc]]</f>
        <v>0.91851851851851851</v>
      </c>
      <c r="AJ64">
        <f>Tabela3[[#This Row],[mlp_train_acc]]</f>
        <v>1</v>
      </c>
    </row>
    <row r="65" spans="1:36" x14ac:dyDescent="0.25">
      <c r="A65" t="s">
        <v>57</v>
      </c>
      <c r="B65">
        <v>14</v>
      </c>
      <c r="C65">
        <v>3</v>
      </c>
      <c r="D65">
        <v>5</v>
      </c>
      <c r="E65">
        <v>0</v>
      </c>
      <c r="F65" t="s">
        <v>64</v>
      </c>
      <c r="G65">
        <v>13439</v>
      </c>
      <c r="H65">
        <v>974155371.39999998</v>
      </c>
      <c r="I65">
        <v>5529</v>
      </c>
      <c r="J65">
        <v>0.45471698641777036</v>
      </c>
      <c r="K65">
        <v>0.78518519401550291</v>
      </c>
      <c r="L65">
        <v>0.45777778923511503</v>
      </c>
      <c r="M65">
        <v>0.9244444444444444</v>
      </c>
      <c r="N65">
        <v>0.93333333333333335</v>
      </c>
      <c r="O65">
        <v>1</v>
      </c>
      <c r="P65">
        <v>10656</v>
      </c>
      <c r="Q65">
        <v>516265872.39999998</v>
      </c>
      <c r="R65">
        <v>13324</v>
      </c>
      <c r="S65">
        <v>2</v>
      </c>
      <c r="T65">
        <v>77</v>
      </c>
      <c r="U65">
        <v>0.93333333333333335</v>
      </c>
      <c r="V65">
        <v>0.92592592592592593</v>
      </c>
      <c r="W65">
        <v>1</v>
      </c>
      <c r="X65">
        <v>10494.8</v>
      </c>
      <c r="Y65">
        <v>517164064.39999998</v>
      </c>
      <c r="Z65">
        <v>13653</v>
      </c>
      <c r="AA65">
        <v>2</v>
      </c>
      <c r="AB65">
        <v>78</v>
      </c>
      <c r="AD65">
        <f>Tabela3[[#This Row],[kan_params]]</f>
        <v>13439</v>
      </c>
      <c r="AE65">
        <f>Tabela3[[#This Row],[kan_train_acc]]</f>
        <v>0.45471698641777036</v>
      </c>
      <c r="AF65">
        <f>Tabela3[[#This Row],[kan_val_acc]]</f>
        <v>0.78518519401550291</v>
      </c>
      <c r="AG65">
        <f>Tabela3[[#This Row],[kan_test_acc]]</f>
        <v>0.45777778923511503</v>
      </c>
      <c r="AH65">
        <f>Tabela3[[#This Row],[mlp_test_acc]]</f>
        <v>0.9244444444444444</v>
      </c>
      <c r="AI65">
        <f>Tabela3[[#This Row],[mlp_val_acc]]</f>
        <v>0.93333333333333335</v>
      </c>
      <c r="AJ65">
        <f>Tabela3[[#This Row],[mlp_train_acc]]</f>
        <v>1</v>
      </c>
    </row>
    <row r="66" spans="1:36" x14ac:dyDescent="0.25">
      <c r="A66" t="s">
        <v>57</v>
      </c>
      <c r="B66">
        <v>14</v>
      </c>
      <c r="C66">
        <v>3</v>
      </c>
      <c r="D66">
        <v>5</v>
      </c>
      <c r="E66">
        <v>0</v>
      </c>
      <c r="F66" t="s">
        <v>65</v>
      </c>
      <c r="G66">
        <v>10615</v>
      </c>
      <c r="H66">
        <v>988110393</v>
      </c>
      <c r="I66">
        <v>6083.5</v>
      </c>
      <c r="J66">
        <v>0.37264151871204376</v>
      </c>
      <c r="K66">
        <v>0.77777779102325439</v>
      </c>
      <c r="L66">
        <v>0.34444445371627808</v>
      </c>
      <c r="M66">
        <v>0.93333333333333335</v>
      </c>
      <c r="N66">
        <v>0.92592592592592593</v>
      </c>
      <c r="O66">
        <v>1</v>
      </c>
      <c r="P66">
        <v>9645.5</v>
      </c>
      <c r="Q66">
        <v>114690778.5</v>
      </c>
      <c r="R66">
        <v>10543</v>
      </c>
      <c r="S66">
        <v>2</v>
      </c>
      <c r="T66">
        <v>68</v>
      </c>
      <c r="U66">
        <v>0.93333333333333335</v>
      </c>
      <c r="V66">
        <v>0.92592592592592593</v>
      </c>
      <c r="W66">
        <v>1</v>
      </c>
      <c r="X66">
        <v>12423</v>
      </c>
      <c r="Y66">
        <v>145991636</v>
      </c>
      <c r="Z66">
        <v>10836</v>
      </c>
      <c r="AA66">
        <v>2</v>
      </c>
      <c r="AB66">
        <v>69</v>
      </c>
      <c r="AD66">
        <f>Tabela3[[#This Row],[kan_params]]</f>
        <v>10615</v>
      </c>
      <c r="AE66">
        <f>Tabela3[[#This Row],[kan_train_acc]]</f>
        <v>0.37264151871204376</v>
      </c>
      <c r="AF66">
        <f>Tabela3[[#This Row],[kan_val_acc]]</f>
        <v>0.77777779102325439</v>
      </c>
      <c r="AG66">
        <f>Tabela3[[#This Row],[kan_test_acc]]</f>
        <v>0.34444445371627808</v>
      </c>
      <c r="AH66">
        <f>Tabela3[[#This Row],[mlp_test_acc]]</f>
        <v>0.93333333333333335</v>
      </c>
      <c r="AI66">
        <f>Tabela3[[#This Row],[mlp_val_acc]]</f>
        <v>0.92592592592592593</v>
      </c>
      <c r="AJ66">
        <f>Tabela3[[#This Row],[mlp_train_acc]]</f>
        <v>1</v>
      </c>
    </row>
    <row r="67" spans="1:36" x14ac:dyDescent="0.25">
      <c r="A67" t="s">
        <v>57</v>
      </c>
      <c r="B67">
        <v>14</v>
      </c>
      <c r="C67">
        <v>3</v>
      </c>
      <c r="D67">
        <v>5</v>
      </c>
      <c r="E67">
        <v>0</v>
      </c>
      <c r="F67" t="s">
        <v>71</v>
      </c>
      <c r="G67">
        <v>6710</v>
      </c>
      <c r="H67">
        <v>585377584.39999998</v>
      </c>
      <c r="I67">
        <v>5519.4</v>
      </c>
      <c r="J67">
        <v>0.66226415634155278</v>
      </c>
      <c r="K67">
        <v>0.92592592239379878</v>
      </c>
      <c r="L67">
        <v>0.62222223877906802</v>
      </c>
      <c r="M67">
        <v>0.9555555555555556</v>
      </c>
      <c r="N67">
        <v>1</v>
      </c>
      <c r="O67">
        <v>1</v>
      </c>
      <c r="P67">
        <v>6759.8</v>
      </c>
      <c r="Q67">
        <v>74148485.599999994</v>
      </c>
      <c r="R67">
        <v>6628</v>
      </c>
      <c r="S67">
        <v>2</v>
      </c>
      <c r="T67">
        <v>53</v>
      </c>
      <c r="U67">
        <v>0.93777777777777782</v>
      </c>
      <c r="V67">
        <v>1</v>
      </c>
      <c r="W67">
        <v>1</v>
      </c>
      <c r="X67">
        <v>8116.8</v>
      </c>
      <c r="Y67">
        <v>88951972</v>
      </c>
      <c r="Z67">
        <v>6861</v>
      </c>
      <c r="AA67">
        <v>2</v>
      </c>
      <c r="AB67">
        <v>54</v>
      </c>
      <c r="AD67">
        <f>Tabela3[[#This Row],[kan_params]]</f>
        <v>6710</v>
      </c>
      <c r="AE67">
        <f>Tabela3[[#This Row],[kan_train_acc]]</f>
        <v>0.66226415634155278</v>
      </c>
      <c r="AF67">
        <f>Tabela3[[#This Row],[kan_val_acc]]</f>
        <v>0.92592592239379878</v>
      </c>
      <c r="AG67">
        <f>Tabela3[[#This Row],[kan_test_acc]]</f>
        <v>0.62222223877906802</v>
      </c>
      <c r="AH67">
        <f>Tabela3[[#This Row],[mlp_test_acc]]</f>
        <v>0.9555555555555556</v>
      </c>
      <c r="AI67">
        <f>Tabela3[[#This Row],[mlp_val_acc]]</f>
        <v>1</v>
      </c>
      <c r="AJ67">
        <f>Tabela3[[#This Row],[mlp_train_acc]]</f>
        <v>1</v>
      </c>
    </row>
    <row r="68" spans="1:36" x14ac:dyDescent="0.25">
      <c r="A68" t="s">
        <v>57</v>
      </c>
      <c r="B68">
        <v>14</v>
      </c>
      <c r="C68">
        <v>3</v>
      </c>
      <c r="D68">
        <v>5</v>
      </c>
      <c r="E68">
        <v>0</v>
      </c>
      <c r="F68" t="s">
        <v>75</v>
      </c>
      <c r="G68">
        <v>8475</v>
      </c>
      <c r="H68">
        <v>683178448.60000002</v>
      </c>
      <c r="I68">
        <v>5981.8</v>
      </c>
      <c r="J68">
        <v>0.53773584365844729</v>
      </c>
      <c r="K68">
        <v>0.85925927162170412</v>
      </c>
      <c r="L68">
        <v>0.58222223520278926</v>
      </c>
      <c r="M68">
        <v>0.95111111111111113</v>
      </c>
      <c r="N68">
        <v>1</v>
      </c>
      <c r="O68">
        <v>1</v>
      </c>
      <c r="P68">
        <v>6640.6</v>
      </c>
      <c r="Q68">
        <v>73310911</v>
      </c>
      <c r="R68">
        <v>8343</v>
      </c>
      <c r="S68">
        <v>2</v>
      </c>
      <c r="T68">
        <v>60</v>
      </c>
      <c r="U68">
        <v>0.94222222222222229</v>
      </c>
      <c r="V68">
        <v>1</v>
      </c>
      <c r="W68">
        <v>1</v>
      </c>
      <c r="X68">
        <v>10360.4</v>
      </c>
      <c r="Y68">
        <v>123349565.2</v>
      </c>
      <c r="Z68">
        <v>8604</v>
      </c>
      <c r="AA68">
        <v>2</v>
      </c>
      <c r="AB68">
        <v>61</v>
      </c>
      <c r="AD68">
        <f>Tabela3[[#This Row],[kan_params]]</f>
        <v>8475</v>
      </c>
      <c r="AE68">
        <f>Tabela3[[#This Row],[kan_train_acc]]</f>
        <v>0.53773584365844729</v>
      </c>
      <c r="AF68">
        <f>Tabela3[[#This Row],[kan_val_acc]]</f>
        <v>0.85925927162170412</v>
      </c>
      <c r="AG68">
        <f>Tabela3[[#This Row],[kan_test_acc]]</f>
        <v>0.58222223520278926</v>
      </c>
      <c r="AH68">
        <f>Tabela3[[#This Row],[mlp_test_acc]]</f>
        <v>0.95111111111111113</v>
      </c>
      <c r="AI68">
        <f>Tabela3[[#This Row],[mlp_val_acc]]</f>
        <v>1</v>
      </c>
      <c r="AJ68">
        <f>Tabela3[[#This Row],[mlp_train_acc]]</f>
        <v>1</v>
      </c>
    </row>
    <row r="69" spans="1:36" x14ac:dyDescent="0.25">
      <c r="A69" t="s">
        <v>57</v>
      </c>
      <c r="B69">
        <v>14</v>
      </c>
      <c r="C69">
        <v>3</v>
      </c>
      <c r="D69">
        <v>5</v>
      </c>
      <c r="E69">
        <v>0</v>
      </c>
      <c r="F69" t="s">
        <v>76</v>
      </c>
      <c r="G69">
        <v>3180</v>
      </c>
      <c r="H69">
        <v>447869115</v>
      </c>
      <c r="I69">
        <v>5065.3999999999996</v>
      </c>
      <c r="J69">
        <v>0.70377358794212341</v>
      </c>
      <c r="K69">
        <v>0.89629631042480473</v>
      </c>
      <c r="L69">
        <v>0.70666668415069578</v>
      </c>
      <c r="M69">
        <v>0.94222222222222229</v>
      </c>
      <c r="N69">
        <v>0.98518518518518516</v>
      </c>
      <c r="O69">
        <v>0.98867924528301887</v>
      </c>
      <c r="P69">
        <v>10241.799999999999</v>
      </c>
      <c r="Q69">
        <v>109171497.40000001</v>
      </c>
      <c r="R69">
        <v>3118</v>
      </c>
      <c r="S69">
        <v>2</v>
      </c>
      <c r="T69">
        <v>35</v>
      </c>
      <c r="U69">
        <v>0.93777777777777782</v>
      </c>
      <c r="V69">
        <v>0.98518518518518516</v>
      </c>
      <c r="W69">
        <v>1</v>
      </c>
      <c r="X69">
        <v>14328.8</v>
      </c>
      <c r="Y69">
        <v>157947299.80000001</v>
      </c>
      <c r="Z69">
        <v>3279</v>
      </c>
      <c r="AA69">
        <v>2</v>
      </c>
      <c r="AB69">
        <v>36</v>
      </c>
      <c r="AD69">
        <f>Tabela3[[#This Row],[kan_params]]</f>
        <v>3180</v>
      </c>
      <c r="AE69">
        <f>Tabela3[[#This Row],[kan_train_acc]]</f>
        <v>0.70377358794212341</v>
      </c>
      <c r="AF69">
        <f>Tabela3[[#This Row],[kan_val_acc]]</f>
        <v>0.89629631042480473</v>
      </c>
      <c r="AG69">
        <f>Tabela3[[#This Row],[kan_test_acc]]</f>
        <v>0.70666668415069578</v>
      </c>
      <c r="AH69">
        <f>Tabela3[[#This Row],[mlp_test_acc]]</f>
        <v>0.94222222222222229</v>
      </c>
      <c r="AI69">
        <f>Tabela3[[#This Row],[mlp_val_acc]]</f>
        <v>0.98518518518518516</v>
      </c>
      <c r="AJ69">
        <f>Tabela3[[#This Row],[mlp_train_acc]]</f>
        <v>0.98867924528301887</v>
      </c>
    </row>
    <row r="70" spans="1:36" hidden="1" x14ac:dyDescent="0.25">
      <c r="A70" t="s">
        <v>57</v>
      </c>
      <c r="B70">
        <v>18</v>
      </c>
      <c r="C70">
        <v>9</v>
      </c>
      <c r="D70">
        <v>4</v>
      </c>
      <c r="E70">
        <v>0</v>
      </c>
      <c r="F70" t="s">
        <v>65</v>
      </c>
      <c r="G70">
        <v>12058</v>
      </c>
      <c r="H70">
        <v>2473544311.8000002</v>
      </c>
      <c r="I70">
        <v>10250.200000000001</v>
      </c>
      <c r="J70">
        <v>0.31509433984756469</v>
      </c>
      <c r="K70">
        <v>0.69629628658294673</v>
      </c>
      <c r="L70">
        <v>0.32666667252779008</v>
      </c>
      <c r="M70">
        <v>0.91333333333333333</v>
      </c>
      <c r="N70">
        <v>0.96666666666666656</v>
      </c>
      <c r="O70">
        <v>0.9915094339622641</v>
      </c>
      <c r="P70">
        <v>27780.5</v>
      </c>
      <c r="Q70">
        <v>1663973970.7</v>
      </c>
      <c r="R70">
        <v>12048</v>
      </c>
      <c r="S70">
        <v>2</v>
      </c>
      <c r="T70">
        <v>73</v>
      </c>
      <c r="U70">
        <v>0.90888888888888886</v>
      </c>
      <c r="V70">
        <v>0.97407407407407409</v>
      </c>
      <c r="W70">
        <v>0.97924528301886793</v>
      </c>
      <c r="X70">
        <v>25803.200000000001</v>
      </c>
      <c r="Y70">
        <v>1511214626.4000001</v>
      </c>
      <c r="Z70">
        <v>12361</v>
      </c>
      <c r="AA70">
        <v>2</v>
      </c>
      <c r="AB70">
        <v>74</v>
      </c>
      <c r="AD70">
        <f>Tabela3[[#This Row],[kan_params]]</f>
        <v>12058</v>
      </c>
      <c r="AE70">
        <f>Tabela3[[#This Row],[kan_train_acc]]</f>
        <v>0.31509433984756469</v>
      </c>
      <c r="AF70">
        <f>Tabela3[[#This Row],[kan_val_acc]]</f>
        <v>0.69629628658294673</v>
      </c>
      <c r="AG70">
        <f>Tabela3[[#This Row],[kan_test_acc]]</f>
        <v>0.32666667252779008</v>
      </c>
      <c r="AH70">
        <f>Tabela3[[#This Row],[mlp_test_acc]]</f>
        <v>0.91333333333333333</v>
      </c>
      <c r="AI70">
        <f>Tabela3[[#This Row],[mlp_val_acc]]</f>
        <v>0.96666666666666656</v>
      </c>
      <c r="AJ70">
        <f>Tabela3[[#This Row],[mlp_train_acc]]</f>
        <v>0.9915094339622641</v>
      </c>
    </row>
    <row r="71" spans="1:36" hidden="1" x14ac:dyDescent="0.25">
      <c r="A71" t="s">
        <v>57</v>
      </c>
      <c r="B71">
        <v>18</v>
      </c>
      <c r="C71">
        <v>9</v>
      </c>
      <c r="D71">
        <v>4</v>
      </c>
      <c r="E71">
        <v>0</v>
      </c>
      <c r="F71" t="s">
        <v>66</v>
      </c>
      <c r="G71">
        <v>14563</v>
      </c>
      <c r="H71">
        <v>2415697325.4000001</v>
      </c>
      <c r="I71">
        <v>10670.6</v>
      </c>
      <c r="J71">
        <v>0.30943395793437956</v>
      </c>
      <c r="K71">
        <v>0.68148149251937862</v>
      </c>
      <c r="L71">
        <v>0.32444445490837098</v>
      </c>
      <c r="M71">
        <v>0.92888888888888888</v>
      </c>
      <c r="N71">
        <v>0.96296296296296291</v>
      </c>
      <c r="O71">
        <v>1</v>
      </c>
      <c r="P71">
        <v>58882.2</v>
      </c>
      <c r="Q71">
        <v>3291317806.1999998</v>
      </c>
      <c r="R71">
        <v>14323</v>
      </c>
      <c r="S71">
        <v>2</v>
      </c>
      <c r="T71">
        <v>80</v>
      </c>
      <c r="U71">
        <v>0.91555555555555557</v>
      </c>
      <c r="V71">
        <v>0.96296296296296291</v>
      </c>
      <c r="W71">
        <v>1</v>
      </c>
      <c r="X71">
        <v>74668.600000000006</v>
      </c>
      <c r="Y71">
        <v>3780424192</v>
      </c>
      <c r="Z71">
        <v>14664</v>
      </c>
      <c r="AA71">
        <v>2</v>
      </c>
      <c r="AB71">
        <v>81</v>
      </c>
      <c r="AD71">
        <f>Tabela3[[#This Row],[kan_params]]</f>
        <v>14563</v>
      </c>
      <c r="AE71">
        <f>Tabela3[[#This Row],[kan_train_acc]]</f>
        <v>0.30943395793437956</v>
      </c>
      <c r="AF71">
        <f>Tabela3[[#This Row],[kan_val_acc]]</f>
        <v>0.68148149251937862</v>
      </c>
      <c r="AG71">
        <f>Tabela3[[#This Row],[kan_test_acc]]</f>
        <v>0.32444445490837098</v>
      </c>
      <c r="AH71">
        <f>Tabela3[[#This Row],[mlp_test_acc]]</f>
        <v>0.92888888888888888</v>
      </c>
      <c r="AI71">
        <f>Tabela3[[#This Row],[mlp_val_acc]]</f>
        <v>0.96296296296296291</v>
      </c>
      <c r="AJ71">
        <f>Tabela3[[#This Row],[mlp_train_acc]]</f>
        <v>1</v>
      </c>
    </row>
    <row r="72" spans="1:36" hidden="1" x14ac:dyDescent="0.25">
      <c r="A72" t="s">
        <v>57</v>
      </c>
      <c r="B72">
        <v>18</v>
      </c>
      <c r="C72">
        <v>9</v>
      </c>
      <c r="D72">
        <v>4</v>
      </c>
      <c r="E72">
        <v>0</v>
      </c>
      <c r="F72" t="s">
        <v>67</v>
      </c>
      <c r="G72">
        <v>17068</v>
      </c>
      <c r="H72">
        <v>2332545295.5999999</v>
      </c>
      <c r="I72">
        <v>10092.799999999999</v>
      </c>
      <c r="J72">
        <v>0.31132076084613802</v>
      </c>
      <c r="K72">
        <v>0.67407407760620119</v>
      </c>
      <c r="L72">
        <v>0.31111111640930178</v>
      </c>
      <c r="M72">
        <v>0.93777777777777782</v>
      </c>
      <c r="N72">
        <v>1</v>
      </c>
      <c r="O72">
        <v>0.91698113207547172</v>
      </c>
      <c r="P72">
        <v>52.8</v>
      </c>
      <c r="Q72">
        <v>13867426.6</v>
      </c>
      <c r="R72">
        <v>16794</v>
      </c>
      <c r="S72">
        <v>2</v>
      </c>
      <c r="T72">
        <v>87</v>
      </c>
      <c r="U72">
        <v>0.94222222222222229</v>
      </c>
      <c r="V72">
        <v>1</v>
      </c>
      <c r="W72">
        <v>0.9</v>
      </c>
      <c r="X72">
        <v>50.4</v>
      </c>
      <c r="Y72">
        <v>12737633</v>
      </c>
      <c r="Z72">
        <v>17163</v>
      </c>
      <c r="AA72">
        <v>2</v>
      </c>
      <c r="AB72">
        <v>88</v>
      </c>
      <c r="AD72">
        <f>Tabela3[[#This Row],[kan_params]]</f>
        <v>17068</v>
      </c>
      <c r="AE72">
        <f>Tabela3[[#This Row],[kan_train_acc]]</f>
        <v>0.31132076084613802</v>
      </c>
      <c r="AF72">
        <f>Tabela3[[#This Row],[kan_val_acc]]</f>
        <v>0.67407407760620119</v>
      </c>
      <c r="AG72">
        <f>Tabela3[[#This Row],[kan_test_acc]]</f>
        <v>0.31111111640930178</v>
      </c>
      <c r="AH72">
        <f>Tabela3[[#This Row],[mlp_test_acc]]</f>
        <v>0.93777777777777782</v>
      </c>
      <c r="AI72">
        <f>Tabela3[[#This Row],[mlp_val_acc]]</f>
        <v>1</v>
      </c>
      <c r="AJ72">
        <f>Tabela3[[#This Row],[mlp_train_acc]]</f>
        <v>0.91698113207547172</v>
      </c>
    </row>
    <row r="73" spans="1:36" hidden="1" x14ac:dyDescent="0.25">
      <c r="A73" t="s">
        <v>57</v>
      </c>
      <c r="B73">
        <v>18</v>
      </c>
      <c r="C73">
        <v>9</v>
      </c>
      <c r="D73">
        <v>4</v>
      </c>
      <c r="E73">
        <v>0</v>
      </c>
      <c r="F73" t="s">
        <v>68</v>
      </c>
      <c r="G73">
        <v>13360</v>
      </c>
      <c r="H73">
        <v>2311580176.8000002</v>
      </c>
      <c r="I73">
        <v>10551.2</v>
      </c>
      <c r="J73">
        <v>0.2584905683994293</v>
      </c>
      <c r="K73">
        <v>0.72592593431472774</v>
      </c>
      <c r="L73">
        <v>0.26666667461395266</v>
      </c>
      <c r="M73">
        <v>0.93777777777777782</v>
      </c>
      <c r="N73">
        <v>1</v>
      </c>
      <c r="O73">
        <v>0.92452830188679247</v>
      </c>
      <c r="P73">
        <v>58.8</v>
      </c>
      <c r="Q73">
        <v>13664664.6</v>
      </c>
      <c r="R73">
        <v>13324</v>
      </c>
      <c r="S73">
        <v>2</v>
      </c>
      <c r="T73">
        <v>77</v>
      </c>
      <c r="U73">
        <v>0.94666666666666666</v>
      </c>
      <c r="V73">
        <v>1</v>
      </c>
      <c r="W73">
        <v>0.90566037735849059</v>
      </c>
      <c r="X73">
        <v>52.6</v>
      </c>
      <c r="Y73">
        <v>13259699</v>
      </c>
      <c r="Z73">
        <v>13653</v>
      </c>
      <c r="AA73">
        <v>2</v>
      </c>
      <c r="AB73">
        <v>78</v>
      </c>
      <c r="AD73">
        <f>Tabela3[[#This Row],[kan_params]]</f>
        <v>13360</v>
      </c>
      <c r="AE73">
        <f>Tabela3[[#This Row],[kan_train_acc]]</f>
        <v>0.2584905683994293</v>
      </c>
      <c r="AF73">
        <f>Tabela3[[#This Row],[kan_val_acc]]</f>
        <v>0.72592593431472774</v>
      </c>
      <c r="AG73">
        <f>Tabela3[[#This Row],[kan_test_acc]]</f>
        <v>0.26666667461395266</v>
      </c>
      <c r="AH73">
        <f>Tabela3[[#This Row],[mlp_test_acc]]</f>
        <v>0.93777777777777782</v>
      </c>
      <c r="AI73">
        <f>Tabela3[[#This Row],[mlp_val_acc]]</f>
        <v>1</v>
      </c>
      <c r="AJ73">
        <f>Tabela3[[#This Row],[mlp_train_acc]]</f>
        <v>0.92452830188679247</v>
      </c>
    </row>
    <row r="74" spans="1:36" hidden="1" x14ac:dyDescent="0.25">
      <c r="A74" t="s">
        <v>57</v>
      </c>
      <c r="B74">
        <v>18</v>
      </c>
      <c r="C74">
        <v>9</v>
      </c>
      <c r="D74">
        <v>4</v>
      </c>
      <c r="E74">
        <v>0</v>
      </c>
      <c r="F74" t="s">
        <v>69</v>
      </c>
      <c r="G74">
        <v>16115</v>
      </c>
      <c r="H74">
        <v>3043104039.1999998</v>
      </c>
      <c r="I74">
        <v>12740.4</v>
      </c>
      <c r="J74">
        <v>0.35094339847564698</v>
      </c>
      <c r="K74">
        <v>0.7111111164093018</v>
      </c>
      <c r="L74">
        <v>0.35555556416511536</v>
      </c>
      <c r="M74">
        <v>0.93777777777777782</v>
      </c>
      <c r="N74">
        <v>1</v>
      </c>
      <c r="O74">
        <v>0.90754716981132078</v>
      </c>
      <c r="P74">
        <v>54.8</v>
      </c>
      <c r="Q74">
        <v>14620756.4</v>
      </c>
      <c r="R74">
        <v>16068</v>
      </c>
      <c r="S74">
        <v>2</v>
      </c>
      <c r="T74">
        <v>85</v>
      </c>
      <c r="U74">
        <v>0.93333333333333335</v>
      </c>
      <c r="V74">
        <v>1</v>
      </c>
      <c r="W74">
        <v>0.91698113207547172</v>
      </c>
      <c r="X74">
        <v>53.2</v>
      </c>
      <c r="Y74">
        <v>13575731</v>
      </c>
      <c r="Z74">
        <v>16429</v>
      </c>
      <c r="AA74">
        <v>2</v>
      </c>
      <c r="AB74">
        <v>86</v>
      </c>
      <c r="AD74">
        <f>Tabela3[[#This Row],[kan_params]]</f>
        <v>16115</v>
      </c>
      <c r="AE74">
        <f>Tabela3[[#This Row],[kan_train_acc]]</f>
        <v>0.35094339847564698</v>
      </c>
      <c r="AF74">
        <f>Tabela3[[#This Row],[kan_val_acc]]</f>
        <v>0.7111111164093018</v>
      </c>
      <c r="AG74">
        <f>Tabela3[[#This Row],[kan_test_acc]]</f>
        <v>0.35555556416511536</v>
      </c>
      <c r="AH74">
        <f>Tabela3[[#This Row],[mlp_test_acc]]</f>
        <v>0.93777777777777782</v>
      </c>
      <c r="AI74">
        <f>Tabela3[[#This Row],[mlp_val_acc]]</f>
        <v>1</v>
      </c>
      <c r="AJ74">
        <f>Tabela3[[#This Row],[mlp_train_acc]]</f>
        <v>0.90754716981132078</v>
      </c>
    </row>
    <row r="75" spans="1:36" hidden="1" x14ac:dyDescent="0.25">
      <c r="A75" t="s">
        <v>57</v>
      </c>
      <c r="B75">
        <v>18</v>
      </c>
      <c r="C75">
        <v>9</v>
      </c>
      <c r="D75">
        <v>4</v>
      </c>
      <c r="E75">
        <v>0</v>
      </c>
      <c r="F75" t="s">
        <v>70</v>
      </c>
      <c r="G75">
        <v>18870</v>
      </c>
      <c r="H75">
        <v>2285534108</v>
      </c>
      <c r="I75">
        <v>10221</v>
      </c>
      <c r="J75">
        <v>0.33584905862808229</v>
      </c>
      <c r="K75">
        <v>0.65925925970077515</v>
      </c>
      <c r="L75">
        <v>0.40000000596046448</v>
      </c>
      <c r="M75">
        <v>0.96444444444444444</v>
      </c>
      <c r="N75">
        <v>1</v>
      </c>
      <c r="O75">
        <v>0.8547169811320755</v>
      </c>
      <c r="P75">
        <v>45.2</v>
      </c>
      <c r="Q75">
        <v>15401749.4</v>
      </c>
      <c r="R75">
        <v>18679</v>
      </c>
      <c r="S75">
        <v>2</v>
      </c>
      <c r="T75">
        <v>92</v>
      </c>
      <c r="U75">
        <v>0.95111111111111113</v>
      </c>
      <c r="V75">
        <v>1</v>
      </c>
      <c r="W75">
        <v>0.84716981132075475</v>
      </c>
      <c r="X75">
        <v>42.4</v>
      </c>
      <c r="Y75">
        <v>12461908.4</v>
      </c>
      <c r="Z75">
        <v>19068</v>
      </c>
      <c r="AA75">
        <v>2</v>
      </c>
      <c r="AB75">
        <v>93</v>
      </c>
      <c r="AD75">
        <f>Tabela3[[#This Row],[kan_params]]</f>
        <v>18870</v>
      </c>
      <c r="AE75">
        <f>Tabela3[[#This Row],[kan_train_acc]]</f>
        <v>0.33584905862808229</v>
      </c>
      <c r="AF75">
        <f>Tabela3[[#This Row],[kan_val_acc]]</f>
        <v>0.65925925970077515</v>
      </c>
      <c r="AG75">
        <f>Tabela3[[#This Row],[kan_test_acc]]</f>
        <v>0.40000000596046448</v>
      </c>
      <c r="AH75">
        <f>Tabela3[[#This Row],[mlp_test_acc]]</f>
        <v>0.96444444444444444</v>
      </c>
      <c r="AI75">
        <f>Tabela3[[#This Row],[mlp_val_acc]]</f>
        <v>1</v>
      </c>
      <c r="AJ75">
        <f>Tabela3[[#This Row],[mlp_train_acc]]</f>
        <v>0.8547169811320755</v>
      </c>
    </row>
    <row r="76" spans="1:36" hidden="1" x14ac:dyDescent="0.25">
      <c r="A76" t="s">
        <v>57</v>
      </c>
      <c r="B76">
        <v>18</v>
      </c>
      <c r="C76">
        <v>9</v>
      </c>
      <c r="D76">
        <v>4</v>
      </c>
      <c r="E76">
        <v>0</v>
      </c>
      <c r="F76" t="s">
        <v>72</v>
      </c>
      <c r="G76">
        <v>14662</v>
      </c>
      <c r="H76">
        <v>2141396594.2</v>
      </c>
      <c r="I76">
        <v>10982.2</v>
      </c>
      <c r="J76">
        <v>0.33207547664642334</v>
      </c>
      <c r="K76">
        <v>0.71851850748062129</v>
      </c>
      <c r="L76">
        <v>0.36444445252418517</v>
      </c>
      <c r="M76">
        <v>0.96444444444444444</v>
      </c>
      <c r="N76">
        <v>1</v>
      </c>
      <c r="O76">
        <v>0.83396226415094343</v>
      </c>
      <c r="P76">
        <v>44</v>
      </c>
      <c r="Q76">
        <v>13011132.800000001</v>
      </c>
      <c r="R76">
        <v>14323</v>
      </c>
      <c r="S76">
        <v>2</v>
      </c>
      <c r="T76">
        <v>80</v>
      </c>
      <c r="U76">
        <v>0.96888888888888891</v>
      </c>
      <c r="V76">
        <v>1</v>
      </c>
      <c r="W76">
        <v>0.84528301886792456</v>
      </c>
      <c r="X76">
        <v>44.8</v>
      </c>
      <c r="Y76">
        <v>14886108.199999999</v>
      </c>
      <c r="Z76">
        <v>14664</v>
      </c>
      <c r="AA76">
        <v>2</v>
      </c>
      <c r="AB76">
        <v>81</v>
      </c>
      <c r="AD76">
        <f>Tabela3[[#This Row],[kan_params]]</f>
        <v>14662</v>
      </c>
      <c r="AE76">
        <f>Tabela3[[#This Row],[kan_train_acc]]</f>
        <v>0.33207547664642334</v>
      </c>
      <c r="AF76">
        <f>Tabela3[[#This Row],[kan_val_acc]]</f>
        <v>0.71851850748062129</v>
      </c>
      <c r="AG76">
        <f>Tabela3[[#This Row],[kan_test_acc]]</f>
        <v>0.36444445252418517</v>
      </c>
      <c r="AH76">
        <f>Tabela3[[#This Row],[mlp_test_acc]]</f>
        <v>0.96444444444444444</v>
      </c>
      <c r="AI76">
        <f>Tabela3[[#This Row],[mlp_val_acc]]</f>
        <v>1</v>
      </c>
      <c r="AJ76">
        <f>Tabela3[[#This Row],[mlp_train_acc]]</f>
        <v>0.83396226415094343</v>
      </c>
    </row>
    <row r="77" spans="1:36" hidden="1" x14ac:dyDescent="0.25">
      <c r="A77" t="s">
        <v>57</v>
      </c>
      <c r="B77">
        <v>18</v>
      </c>
      <c r="C77">
        <v>9</v>
      </c>
      <c r="D77">
        <v>4</v>
      </c>
      <c r="E77">
        <v>0</v>
      </c>
      <c r="F77" t="s">
        <v>73</v>
      </c>
      <c r="G77">
        <v>17667</v>
      </c>
      <c r="H77">
        <v>2181967700.5999999</v>
      </c>
      <c r="I77">
        <v>10388.6</v>
      </c>
      <c r="J77">
        <v>0.33962264060974123</v>
      </c>
      <c r="K77">
        <v>0.71851851940155032</v>
      </c>
      <c r="L77">
        <v>0.30666667520999907</v>
      </c>
      <c r="M77">
        <v>0.97777777777777775</v>
      </c>
      <c r="N77">
        <v>1</v>
      </c>
      <c r="O77">
        <v>0.84339622641509437</v>
      </c>
      <c r="P77">
        <v>38</v>
      </c>
      <c r="Q77">
        <v>8506257.1999999993</v>
      </c>
      <c r="R77">
        <v>17536</v>
      </c>
      <c r="S77">
        <v>2</v>
      </c>
      <c r="T77">
        <v>89</v>
      </c>
      <c r="U77">
        <v>0.97777777777777775</v>
      </c>
      <c r="V77">
        <v>1</v>
      </c>
      <c r="W77">
        <v>0.84150943396226419</v>
      </c>
      <c r="X77">
        <v>41.8</v>
      </c>
      <c r="Y77">
        <v>12451142.6</v>
      </c>
      <c r="Z77">
        <v>17913</v>
      </c>
      <c r="AA77">
        <v>2</v>
      </c>
      <c r="AB77">
        <v>90</v>
      </c>
      <c r="AD77">
        <f>Tabela3[[#This Row],[kan_params]]</f>
        <v>17667</v>
      </c>
      <c r="AE77">
        <f>Tabela3[[#This Row],[kan_train_acc]]</f>
        <v>0.33962264060974123</v>
      </c>
      <c r="AF77">
        <f>Tabela3[[#This Row],[kan_val_acc]]</f>
        <v>0.71851851940155032</v>
      </c>
      <c r="AG77">
        <f>Tabela3[[#This Row],[kan_test_acc]]</f>
        <v>0.30666667520999907</v>
      </c>
      <c r="AH77">
        <f>Tabela3[[#This Row],[mlp_test_acc]]</f>
        <v>0.97777777777777775</v>
      </c>
      <c r="AI77">
        <f>Tabela3[[#This Row],[mlp_val_acc]]</f>
        <v>1</v>
      </c>
      <c r="AJ77">
        <f>Tabela3[[#This Row],[mlp_train_acc]]</f>
        <v>0.84339622641509437</v>
      </c>
    </row>
    <row r="78" spans="1:36" hidden="1" x14ac:dyDescent="0.25">
      <c r="A78" t="s">
        <v>57</v>
      </c>
      <c r="B78">
        <v>18</v>
      </c>
      <c r="C78">
        <v>9</v>
      </c>
      <c r="D78">
        <v>4</v>
      </c>
      <c r="E78">
        <v>0</v>
      </c>
      <c r="F78" t="s">
        <v>74</v>
      </c>
      <c r="G78">
        <v>20672</v>
      </c>
      <c r="H78">
        <v>2283969612.8000002</v>
      </c>
      <c r="I78">
        <v>10003.6</v>
      </c>
      <c r="J78">
        <v>0.34905660748481748</v>
      </c>
      <c r="K78">
        <v>0.72592593431472774</v>
      </c>
      <c r="L78">
        <v>0.34222223162651061</v>
      </c>
      <c r="M78">
        <v>0.92</v>
      </c>
      <c r="N78">
        <v>1</v>
      </c>
      <c r="O78">
        <v>0.82830188679245287</v>
      </c>
      <c r="P78">
        <v>37.4</v>
      </c>
      <c r="Q78">
        <v>13760362.199999999</v>
      </c>
      <c r="R78">
        <v>20664</v>
      </c>
      <c r="S78">
        <v>2</v>
      </c>
      <c r="T78">
        <v>97</v>
      </c>
      <c r="U78">
        <v>0.96</v>
      </c>
      <c r="V78">
        <v>1</v>
      </c>
      <c r="W78">
        <v>0.83584905660377362</v>
      </c>
      <c r="X78">
        <v>36.4</v>
      </c>
      <c r="Y78">
        <v>10902379.199999999</v>
      </c>
      <c r="Z78">
        <v>21073</v>
      </c>
      <c r="AA78">
        <v>2</v>
      </c>
      <c r="AB78">
        <v>98</v>
      </c>
      <c r="AD78">
        <f>Tabela3[[#This Row],[kan_params]]</f>
        <v>20672</v>
      </c>
      <c r="AE78">
        <f>Tabela3[[#This Row],[kan_train_acc]]</f>
        <v>0.34905660748481748</v>
      </c>
      <c r="AF78">
        <f>Tabela3[[#This Row],[kan_val_acc]]</f>
        <v>0.72592593431472774</v>
      </c>
      <c r="AG78">
        <f>Tabela3[[#This Row],[kan_test_acc]]</f>
        <v>0.34222223162651061</v>
      </c>
      <c r="AH78">
        <f>Tabela3[[#This Row],[mlp_test_acc]]</f>
        <v>0.92</v>
      </c>
      <c r="AI78">
        <f>Tabela3[[#This Row],[mlp_val_acc]]</f>
        <v>1</v>
      </c>
      <c r="AJ78">
        <f>Tabela3[[#This Row],[mlp_train_acc]]</f>
        <v>0.82830188679245287</v>
      </c>
    </row>
    <row r="79" spans="1:36" hidden="1" x14ac:dyDescent="0.25">
      <c r="A79" t="s">
        <v>57</v>
      </c>
      <c r="B79">
        <v>20</v>
      </c>
      <c r="C79">
        <v>9</v>
      </c>
      <c r="D79">
        <v>5</v>
      </c>
      <c r="E79">
        <v>0</v>
      </c>
      <c r="F79" t="s">
        <v>58</v>
      </c>
      <c r="G79">
        <v>10585</v>
      </c>
      <c r="H79">
        <v>797425897.79999995</v>
      </c>
      <c r="I79">
        <v>5070.3999999999996</v>
      </c>
      <c r="J79">
        <v>0.32830188870429994</v>
      </c>
      <c r="K79">
        <v>0.62962963581085207</v>
      </c>
      <c r="L79">
        <v>0.33333334028720857</v>
      </c>
      <c r="M79">
        <v>0.89333333333333331</v>
      </c>
      <c r="N79">
        <v>1</v>
      </c>
      <c r="O79">
        <v>0.99245283018867925</v>
      </c>
      <c r="P79">
        <v>1800.6</v>
      </c>
      <c r="Q79">
        <v>115691118.40000001</v>
      </c>
      <c r="R79">
        <v>10543</v>
      </c>
      <c r="S79">
        <v>2</v>
      </c>
      <c r="T79">
        <v>68</v>
      </c>
      <c r="U79">
        <v>0.88444444444444437</v>
      </c>
      <c r="V79">
        <v>1</v>
      </c>
      <c r="W79">
        <v>0.99433962264150944</v>
      </c>
      <c r="X79">
        <v>1614</v>
      </c>
      <c r="Y79">
        <v>93180700.599999994</v>
      </c>
      <c r="Z79">
        <v>10836</v>
      </c>
      <c r="AA79">
        <v>2</v>
      </c>
      <c r="AB79">
        <v>69</v>
      </c>
      <c r="AD79">
        <f>Tabela3[[#This Row],[kan_params]]</f>
        <v>10585</v>
      </c>
      <c r="AE79">
        <f>Tabela3[[#This Row],[kan_train_acc]]</f>
        <v>0.32830188870429994</v>
      </c>
      <c r="AF79">
        <f>Tabela3[[#This Row],[kan_val_acc]]</f>
        <v>0.62962963581085207</v>
      </c>
      <c r="AG79">
        <f>Tabela3[[#This Row],[kan_test_acc]]</f>
        <v>0.33333334028720857</v>
      </c>
      <c r="AH79">
        <f>Tabela3[[#This Row],[mlp_test_acc]]</f>
        <v>0.89333333333333331</v>
      </c>
      <c r="AI79">
        <f>Tabela3[[#This Row],[mlp_val_acc]]</f>
        <v>1</v>
      </c>
      <c r="AJ79">
        <f>Tabela3[[#This Row],[mlp_train_acc]]</f>
        <v>0.99245283018867925</v>
      </c>
    </row>
    <row r="80" spans="1:36" hidden="1" x14ac:dyDescent="0.25">
      <c r="A80" t="s">
        <v>57</v>
      </c>
      <c r="B80">
        <v>20</v>
      </c>
      <c r="C80">
        <v>9</v>
      </c>
      <c r="D80">
        <v>5</v>
      </c>
      <c r="E80">
        <v>0</v>
      </c>
      <c r="F80" t="s">
        <v>59</v>
      </c>
      <c r="G80">
        <v>12830</v>
      </c>
      <c r="H80">
        <v>852241062.20000005</v>
      </c>
      <c r="I80">
        <v>5120</v>
      </c>
      <c r="J80">
        <v>0.35283018946647643</v>
      </c>
      <c r="K80">
        <v>0.69629628658294673</v>
      </c>
      <c r="L80">
        <v>0.33777778446674345</v>
      </c>
      <c r="M80">
        <v>0.89777777777777779</v>
      </c>
      <c r="N80">
        <v>1</v>
      </c>
      <c r="O80">
        <v>0.99811320754716981</v>
      </c>
      <c r="P80">
        <v>1298.2</v>
      </c>
      <c r="Q80">
        <v>350241080.19999999</v>
      </c>
      <c r="R80">
        <v>12678</v>
      </c>
      <c r="S80">
        <v>2</v>
      </c>
      <c r="T80">
        <v>75</v>
      </c>
      <c r="U80">
        <v>0.88444444444444448</v>
      </c>
      <c r="V80">
        <v>1</v>
      </c>
      <c r="W80">
        <v>0.98490566037735849</v>
      </c>
      <c r="X80">
        <v>2749.6</v>
      </c>
      <c r="Y80">
        <v>921884881.39999998</v>
      </c>
      <c r="Z80">
        <v>12999</v>
      </c>
      <c r="AA80">
        <v>2</v>
      </c>
      <c r="AB80">
        <v>76</v>
      </c>
      <c r="AD80">
        <f>Tabela3[[#This Row],[kan_params]]</f>
        <v>12830</v>
      </c>
      <c r="AE80">
        <f>Tabela3[[#This Row],[kan_train_acc]]</f>
        <v>0.35283018946647643</v>
      </c>
      <c r="AF80">
        <f>Tabela3[[#This Row],[kan_val_acc]]</f>
        <v>0.69629628658294673</v>
      </c>
      <c r="AG80">
        <f>Tabela3[[#This Row],[kan_test_acc]]</f>
        <v>0.33777778446674345</v>
      </c>
      <c r="AH80">
        <f>Tabela3[[#This Row],[mlp_test_acc]]</f>
        <v>0.89777777777777779</v>
      </c>
      <c r="AI80">
        <f>Tabela3[[#This Row],[mlp_val_acc]]</f>
        <v>1</v>
      </c>
      <c r="AJ80">
        <f>Tabela3[[#This Row],[mlp_train_acc]]</f>
        <v>0.99811320754716981</v>
      </c>
    </row>
    <row r="81" spans="1:36" hidden="1" x14ac:dyDescent="0.25">
      <c r="A81" t="s">
        <v>57</v>
      </c>
      <c r="B81">
        <v>20</v>
      </c>
      <c r="C81">
        <v>9</v>
      </c>
      <c r="D81">
        <v>5</v>
      </c>
      <c r="E81">
        <v>0</v>
      </c>
      <c r="F81" t="s">
        <v>60</v>
      </c>
      <c r="G81">
        <v>15075</v>
      </c>
      <c r="H81">
        <v>894876757.60000002</v>
      </c>
      <c r="I81">
        <v>5069.3999999999996</v>
      </c>
      <c r="J81">
        <v>0.3150943458080292</v>
      </c>
      <c r="K81">
        <v>0.63703703880310059</v>
      </c>
      <c r="L81">
        <v>0.34222223162651061</v>
      </c>
      <c r="M81">
        <v>0.88</v>
      </c>
      <c r="N81">
        <v>1</v>
      </c>
      <c r="O81">
        <v>0.98301886792452831</v>
      </c>
      <c r="P81">
        <v>1084.5999999999999</v>
      </c>
      <c r="Q81">
        <v>271628285.19999999</v>
      </c>
      <c r="R81">
        <v>15009</v>
      </c>
      <c r="S81">
        <v>2</v>
      </c>
      <c r="T81">
        <v>82</v>
      </c>
      <c r="U81">
        <v>0.87555555555555553</v>
      </c>
      <c r="V81">
        <v>1</v>
      </c>
      <c r="W81">
        <v>0.98490566037735849</v>
      </c>
      <c r="X81">
        <v>801.8</v>
      </c>
      <c r="Y81">
        <v>183234754.40000001</v>
      </c>
      <c r="Z81">
        <v>15358</v>
      </c>
      <c r="AA81">
        <v>2</v>
      </c>
      <c r="AB81">
        <v>83</v>
      </c>
      <c r="AD81">
        <f>Tabela3[[#This Row],[kan_params]]</f>
        <v>15075</v>
      </c>
      <c r="AE81">
        <f>Tabela3[[#This Row],[kan_train_acc]]</f>
        <v>0.3150943458080292</v>
      </c>
      <c r="AF81">
        <f>Tabela3[[#This Row],[kan_val_acc]]</f>
        <v>0.63703703880310059</v>
      </c>
      <c r="AG81">
        <f>Tabela3[[#This Row],[kan_test_acc]]</f>
        <v>0.34222223162651061</v>
      </c>
      <c r="AH81">
        <f>Tabela3[[#This Row],[mlp_test_acc]]</f>
        <v>0.88</v>
      </c>
      <c r="AI81">
        <f>Tabela3[[#This Row],[mlp_val_acc]]</f>
        <v>1</v>
      </c>
      <c r="AJ81">
        <f>Tabela3[[#This Row],[mlp_train_acc]]</f>
        <v>0.98301886792452831</v>
      </c>
    </row>
    <row r="82" spans="1:36" hidden="1" x14ac:dyDescent="0.25">
      <c r="A82" t="s">
        <v>57</v>
      </c>
      <c r="B82">
        <v>20</v>
      </c>
      <c r="C82">
        <v>9</v>
      </c>
      <c r="D82">
        <v>5</v>
      </c>
      <c r="E82">
        <v>0</v>
      </c>
      <c r="F82" t="s">
        <v>61</v>
      </c>
      <c r="G82">
        <v>6289</v>
      </c>
      <c r="H82">
        <v>1088679239.4000001</v>
      </c>
      <c r="I82">
        <v>11699</v>
      </c>
      <c r="J82">
        <v>0.40754716992378237</v>
      </c>
      <c r="K82">
        <v>0.82962963581085203</v>
      </c>
      <c r="L82">
        <v>0.44888890981674195</v>
      </c>
      <c r="M82">
        <v>0.90222222222222215</v>
      </c>
      <c r="N82">
        <v>0.92592592592592593</v>
      </c>
      <c r="O82">
        <v>1</v>
      </c>
      <c r="P82">
        <v>21680</v>
      </c>
      <c r="Q82">
        <v>1637594239.2</v>
      </c>
      <c r="R82">
        <v>6174</v>
      </c>
      <c r="S82">
        <v>2</v>
      </c>
      <c r="T82">
        <v>51</v>
      </c>
      <c r="U82">
        <v>0.89777777777777779</v>
      </c>
      <c r="V82">
        <v>0.91851851851851851</v>
      </c>
      <c r="W82">
        <v>1</v>
      </c>
      <c r="X82">
        <v>21978</v>
      </c>
      <c r="Y82">
        <v>1543633925.5999999</v>
      </c>
      <c r="Z82">
        <v>6399</v>
      </c>
      <c r="AA82">
        <v>2</v>
      </c>
      <c r="AB82">
        <v>52</v>
      </c>
      <c r="AD82">
        <f>Tabela3[[#This Row],[kan_params]]</f>
        <v>6289</v>
      </c>
      <c r="AE82">
        <f>Tabela3[[#This Row],[kan_train_acc]]</f>
        <v>0.40754716992378237</v>
      </c>
      <c r="AF82">
        <f>Tabela3[[#This Row],[kan_val_acc]]</f>
        <v>0.82962963581085203</v>
      </c>
      <c r="AG82">
        <f>Tabela3[[#This Row],[kan_test_acc]]</f>
        <v>0.44888890981674195</v>
      </c>
      <c r="AH82">
        <f>Tabela3[[#This Row],[mlp_test_acc]]</f>
        <v>0.90222222222222215</v>
      </c>
      <c r="AI82">
        <f>Tabela3[[#This Row],[mlp_val_acc]]</f>
        <v>0.92592592592592593</v>
      </c>
      <c r="AJ82">
        <f>Tabela3[[#This Row],[mlp_train_acc]]</f>
        <v>1</v>
      </c>
    </row>
    <row r="83" spans="1:36" hidden="1" x14ac:dyDescent="0.25">
      <c r="A83" t="s">
        <v>57</v>
      </c>
      <c r="B83">
        <v>20</v>
      </c>
      <c r="C83">
        <v>9</v>
      </c>
      <c r="D83">
        <v>5</v>
      </c>
      <c r="E83">
        <v>0</v>
      </c>
      <c r="F83" t="s">
        <v>62</v>
      </c>
      <c r="G83">
        <v>12043</v>
      </c>
      <c r="H83">
        <v>797893077.39999998</v>
      </c>
      <c r="I83">
        <v>5004.8</v>
      </c>
      <c r="J83">
        <v>0.30754716992378234</v>
      </c>
      <c r="K83">
        <v>0.72592592239379883</v>
      </c>
      <c r="L83">
        <v>0.35111111998558042</v>
      </c>
      <c r="M83">
        <v>0.88444444444444437</v>
      </c>
      <c r="N83">
        <v>1</v>
      </c>
      <c r="O83">
        <v>0.97358490566037736</v>
      </c>
      <c r="P83">
        <v>1366.2</v>
      </c>
      <c r="Q83">
        <v>337082596.60000002</v>
      </c>
      <c r="R83">
        <v>11739</v>
      </c>
      <c r="S83">
        <v>2</v>
      </c>
      <c r="T83">
        <v>72</v>
      </c>
      <c r="U83">
        <v>0.88444444444444437</v>
      </c>
      <c r="V83">
        <v>1</v>
      </c>
      <c r="W83">
        <v>1</v>
      </c>
      <c r="X83">
        <v>2142.4</v>
      </c>
      <c r="Y83">
        <v>631676803.79999995</v>
      </c>
      <c r="Z83">
        <v>12048</v>
      </c>
      <c r="AA83">
        <v>2</v>
      </c>
      <c r="AB83">
        <v>73</v>
      </c>
      <c r="AD83">
        <f>Tabela3[[#This Row],[kan_params]]</f>
        <v>12043</v>
      </c>
      <c r="AE83">
        <f>Tabela3[[#This Row],[kan_train_acc]]</f>
        <v>0.30754716992378234</v>
      </c>
      <c r="AF83">
        <f>Tabela3[[#This Row],[kan_val_acc]]</f>
        <v>0.72592592239379883</v>
      </c>
      <c r="AG83">
        <f>Tabela3[[#This Row],[kan_test_acc]]</f>
        <v>0.35111111998558042</v>
      </c>
      <c r="AH83">
        <f>Tabela3[[#This Row],[mlp_test_acc]]</f>
        <v>0.88444444444444437</v>
      </c>
      <c r="AI83">
        <f>Tabela3[[#This Row],[mlp_val_acc]]</f>
        <v>1</v>
      </c>
      <c r="AJ83">
        <f>Tabela3[[#This Row],[mlp_train_acc]]</f>
        <v>0.97358490566037736</v>
      </c>
    </row>
    <row r="84" spans="1:36" hidden="1" x14ac:dyDescent="0.25">
      <c r="A84" t="s">
        <v>57</v>
      </c>
      <c r="B84">
        <v>20</v>
      </c>
      <c r="C84">
        <v>9</v>
      </c>
      <c r="D84">
        <v>5</v>
      </c>
      <c r="E84">
        <v>0</v>
      </c>
      <c r="F84" t="s">
        <v>63</v>
      </c>
      <c r="G84">
        <v>14568</v>
      </c>
      <c r="H84">
        <v>977521826.20000005</v>
      </c>
      <c r="I84">
        <v>5188.2</v>
      </c>
      <c r="J84">
        <v>0.31509433984756469</v>
      </c>
      <c r="K84">
        <v>0.68148148059844971</v>
      </c>
      <c r="L84">
        <v>0.36000000834465029</v>
      </c>
      <c r="M84">
        <v>0.87555555555555553</v>
      </c>
      <c r="N84">
        <v>1</v>
      </c>
      <c r="O84">
        <v>0.94339622641509435</v>
      </c>
      <c r="P84">
        <v>936.6</v>
      </c>
      <c r="Q84">
        <v>300017005.39999998</v>
      </c>
      <c r="R84">
        <v>14323</v>
      </c>
      <c r="S84">
        <v>2</v>
      </c>
      <c r="T84">
        <v>80</v>
      </c>
      <c r="U84">
        <v>0.87111111111111106</v>
      </c>
      <c r="V84">
        <v>1</v>
      </c>
      <c r="W84">
        <v>0.93962264150943398</v>
      </c>
      <c r="X84">
        <v>638</v>
      </c>
      <c r="Y84">
        <v>188635862</v>
      </c>
      <c r="Z84">
        <v>14664</v>
      </c>
      <c r="AA84">
        <v>2</v>
      </c>
      <c r="AB84">
        <v>81</v>
      </c>
      <c r="AD84">
        <f>Tabela3[[#This Row],[kan_params]]</f>
        <v>14568</v>
      </c>
      <c r="AE84">
        <f>Tabela3[[#This Row],[kan_train_acc]]</f>
        <v>0.31509433984756469</v>
      </c>
      <c r="AF84">
        <f>Tabela3[[#This Row],[kan_val_acc]]</f>
        <v>0.68148148059844971</v>
      </c>
      <c r="AG84">
        <f>Tabela3[[#This Row],[kan_test_acc]]</f>
        <v>0.36000000834465029</v>
      </c>
      <c r="AH84">
        <f>Tabela3[[#This Row],[mlp_test_acc]]</f>
        <v>0.87555555555555553</v>
      </c>
      <c r="AI84">
        <f>Tabela3[[#This Row],[mlp_val_acc]]</f>
        <v>1</v>
      </c>
      <c r="AJ84">
        <f>Tabela3[[#This Row],[mlp_train_acc]]</f>
        <v>0.94339622641509435</v>
      </c>
    </row>
    <row r="85" spans="1:36" hidden="1" x14ac:dyDescent="0.25">
      <c r="A85" t="s">
        <v>57</v>
      </c>
      <c r="B85">
        <v>20</v>
      </c>
      <c r="C85">
        <v>9</v>
      </c>
      <c r="D85">
        <v>5</v>
      </c>
      <c r="E85">
        <v>0</v>
      </c>
      <c r="F85" t="s">
        <v>64</v>
      </c>
      <c r="G85">
        <v>17093</v>
      </c>
      <c r="H85">
        <v>1365479555.4000001</v>
      </c>
      <c r="I85">
        <v>6042.4</v>
      </c>
      <c r="J85">
        <v>0.30188679695129395</v>
      </c>
      <c r="K85">
        <v>0.66666667461395268</v>
      </c>
      <c r="L85">
        <v>0.28888889849185945</v>
      </c>
      <c r="M85">
        <v>0.8666666666666667</v>
      </c>
      <c r="N85">
        <v>1</v>
      </c>
      <c r="O85">
        <v>0.90188679245283021</v>
      </c>
      <c r="P85">
        <v>44.4</v>
      </c>
      <c r="Q85">
        <v>14113095.199999999</v>
      </c>
      <c r="R85">
        <v>16794</v>
      </c>
      <c r="S85">
        <v>2</v>
      </c>
      <c r="T85">
        <v>87</v>
      </c>
      <c r="U85">
        <v>0.87111111111111117</v>
      </c>
      <c r="V85">
        <v>1</v>
      </c>
      <c r="W85">
        <v>0.9037735849056604</v>
      </c>
      <c r="X85">
        <v>47.8</v>
      </c>
      <c r="Y85">
        <v>13020704.4</v>
      </c>
      <c r="Z85">
        <v>17163</v>
      </c>
      <c r="AA85">
        <v>2</v>
      </c>
      <c r="AB85">
        <v>88</v>
      </c>
      <c r="AD85">
        <f>Tabela3[[#This Row],[kan_params]]</f>
        <v>17093</v>
      </c>
      <c r="AE85">
        <f>Tabela3[[#This Row],[kan_train_acc]]</f>
        <v>0.30188679695129395</v>
      </c>
      <c r="AF85">
        <f>Tabela3[[#This Row],[kan_val_acc]]</f>
        <v>0.66666667461395268</v>
      </c>
      <c r="AG85">
        <f>Tabela3[[#This Row],[kan_test_acc]]</f>
        <v>0.28888889849185945</v>
      </c>
      <c r="AH85">
        <f>Tabela3[[#This Row],[mlp_test_acc]]</f>
        <v>0.8666666666666667</v>
      </c>
      <c r="AI85">
        <f>Tabela3[[#This Row],[mlp_val_acc]]</f>
        <v>1</v>
      </c>
      <c r="AJ85">
        <f>Tabela3[[#This Row],[mlp_train_acc]]</f>
        <v>0.90188679245283021</v>
      </c>
    </row>
    <row r="86" spans="1:36" hidden="1" x14ac:dyDescent="0.25">
      <c r="A86" t="s">
        <v>57</v>
      </c>
      <c r="B86">
        <v>20</v>
      </c>
      <c r="C86">
        <v>9</v>
      </c>
      <c r="D86">
        <v>5</v>
      </c>
      <c r="E86">
        <v>0</v>
      </c>
      <c r="F86" t="s">
        <v>65</v>
      </c>
      <c r="G86">
        <v>13501</v>
      </c>
      <c r="H86">
        <v>1040206676.8</v>
      </c>
      <c r="I86">
        <v>5144.3999999999996</v>
      </c>
      <c r="J86">
        <v>0.35471698641777039</v>
      </c>
      <c r="K86">
        <v>0.70370370149612427</v>
      </c>
      <c r="L86">
        <v>0.36444444954395294</v>
      </c>
      <c r="M86">
        <v>0.88</v>
      </c>
      <c r="N86">
        <v>1</v>
      </c>
      <c r="O86">
        <v>0.91509433962264153</v>
      </c>
      <c r="P86">
        <v>60.6</v>
      </c>
      <c r="Q86">
        <v>23048561.199999999</v>
      </c>
      <c r="R86">
        <v>13324</v>
      </c>
      <c r="S86">
        <v>2</v>
      </c>
      <c r="T86">
        <v>77</v>
      </c>
      <c r="U86">
        <v>0.86222222222222222</v>
      </c>
      <c r="V86">
        <v>1</v>
      </c>
      <c r="W86">
        <v>0.89245283018867927</v>
      </c>
      <c r="X86">
        <v>57.8</v>
      </c>
      <c r="Y86">
        <v>14086167</v>
      </c>
      <c r="Z86">
        <v>13653</v>
      </c>
      <c r="AA86">
        <v>2</v>
      </c>
      <c r="AB86">
        <v>78</v>
      </c>
      <c r="AD86">
        <f>Tabela3[[#This Row],[kan_params]]</f>
        <v>13501</v>
      </c>
      <c r="AE86">
        <f>Tabela3[[#This Row],[kan_train_acc]]</f>
        <v>0.35471698641777039</v>
      </c>
      <c r="AF86">
        <f>Tabela3[[#This Row],[kan_val_acc]]</f>
        <v>0.70370370149612427</v>
      </c>
      <c r="AG86">
        <f>Tabela3[[#This Row],[kan_test_acc]]</f>
        <v>0.36444444954395294</v>
      </c>
      <c r="AH86">
        <f>Tabela3[[#This Row],[mlp_test_acc]]</f>
        <v>0.88</v>
      </c>
      <c r="AI86">
        <f>Tabela3[[#This Row],[mlp_val_acc]]</f>
        <v>1</v>
      </c>
      <c r="AJ86">
        <f>Tabela3[[#This Row],[mlp_train_acc]]</f>
        <v>0.91509433962264153</v>
      </c>
    </row>
    <row r="87" spans="1:36" hidden="1" x14ac:dyDescent="0.25">
      <c r="A87" t="s">
        <v>57</v>
      </c>
      <c r="B87">
        <v>20</v>
      </c>
      <c r="C87">
        <v>9</v>
      </c>
      <c r="D87">
        <v>5</v>
      </c>
      <c r="E87">
        <v>0</v>
      </c>
      <c r="F87" t="s">
        <v>66</v>
      </c>
      <c r="G87">
        <v>16306</v>
      </c>
      <c r="H87">
        <v>1096086150.8</v>
      </c>
      <c r="I87">
        <v>5053</v>
      </c>
      <c r="J87">
        <v>0.32830188870429994</v>
      </c>
      <c r="K87">
        <v>0.65185185670852663</v>
      </c>
      <c r="L87">
        <v>0.37777778506278992</v>
      </c>
      <c r="M87">
        <v>0.87555555555555553</v>
      </c>
      <c r="N87">
        <v>1</v>
      </c>
      <c r="O87">
        <v>0.90566037735849059</v>
      </c>
      <c r="P87">
        <v>55.6</v>
      </c>
      <c r="Q87">
        <v>13618844.6</v>
      </c>
      <c r="R87">
        <v>16068</v>
      </c>
      <c r="S87">
        <v>2</v>
      </c>
      <c r="T87">
        <v>85</v>
      </c>
      <c r="U87">
        <v>0.87111111111111117</v>
      </c>
      <c r="V87">
        <v>1</v>
      </c>
      <c r="W87">
        <v>0.90188679245283021</v>
      </c>
      <c r="X87">
        <v>50</v>
      </c>
      <c r="Y87">
        <v>16293307.199999999</v>
      </c>
      <c r="Z87">
        <v>16429</v>
      </c>
      <c r="AA87">
        <v>2</v>
      </c>
      <c r="AB87">
        <v>86</v>
      </c>
      <c r="AD87">
        <f>Tabela3[[#This Row],[kan_params]]</f>
        <v>16306</v>
      </c>
      <c r="AE87">
        <f>Tabela3[[#This Row],[kan_train_acc]]</f>
        <v>0.32830188870429994</v>
      </c>
      <c r="AF87">
        <f>Tabela3[[#This Row],[kan_val_acc]]</f>
        <v>0.65185185670852663</v>
      </c>
      <c r="AG87">
        <f>Tabela3[[#This Row],[kan_test_acc]]</f>
        <v>0.37777778506278992</v>
      </c>
      <c r="AH87">
        <f>Tabela3[[#This Row],[mlp_test_acc]]</f>
        <v>0.87555555555555553</v>
      </c>
      <c r="AI87">
        <f>Tabela3[[#This Row],[mlp_val_acc]]</f>
        <v>1</v>
      </c>
      <c r="AJ87">
        <f>Tabela3[[#This Row],[mlp_train_acc]]</f>
        <v>0.90566037735849059</v>
      </c>
    </row>
    <row r="88" spans="1:36" hidden="1" x14ac:dyDescent="0.25">
      <c r="A88" t="s">
        <v>57</v>
      </c>
      <c r="B88">
        <v>20</v>
      </c>
      <c r="C88">
        <v>9</v>
      </c>
      <c r="D88">
        <v>5</v>
      </c>
      <c r="E88">
        <v>0</v>
      </c>
      <c r="F88" t="s">
        <v>67</v>
      </c>
      <c r="G88">
        <v>19111</v>
      </c>
      <c r="H88">
        <v>1379497935.5999999</v>
      </c>
      <c r="I88">
        <v>5918.2</v>
      </c>
      <c r="J88">
        <v>0.31698113679885864</v>
      </c>
      <c r="K88">
        <v>0.65185184478759761</v>
      </c>
      <c r="L88">
        <v>0.32888889312744141</v>
      </c>
      <c r="M88">
        <v>0.87111111111111117</v>
      </c>
      <c r="N88">
        <v>1</v>
      </c>
      <c r="O88">
        <v>0.90566037735849059</v>
      </c>
      <c r="P88">
        <v>48.4</v>
      </c>
      <c r="Q88">
        <v>11438844</v>
      </c>
      <c r="R88">
        <v>19068</v>
      </c>
      <c r="S88">
        <v>2</v>
      </c>
      <c r="T88">
        <v>93</v>
      </c>
      <c r="U88">
        <v>0.8666666666666667</v>
      </c>
      <c r="V88">
        <v>1</v>
      </c>
      <c r="W88">
        <v>0.9</v>
      </c>
      <c r="X88">
        <v>49.4</v>
      </c>
      <c r="Y88">
        <v>19817582.800000001</v>
      </c>
      <c r="Z88">
        <v>19461</v>
      </c>
      <c r="AA88">
        <v>2</v>
      </c>
      <c r="AB88">
        <v>94</v>
      </c>
      <c r="AD88">
        <f>Tabela3[[#This Row],[kan_params]]</f>
        <v>19111</v>
      </c>
      <c r="AE88">
        <f>Tabela3[[#This Row],[kan_train_acc]]</f>
        <v>0.31698113679885864</v>
      </c>
      <c r="AF88">
        <f>Tabela3[[#This Row],[kan_val_acc]]</f>
        <v>0.65185184478759761</v>
      </c>
      <c r="AG88">
        <f>Tabela3[[#This Row],[kan_test_acc]]</f>
        <v>0.32888889312744141</v>
      </c>
      <c r="AH88">
        <f>Tabela3[[#This Row],[mlp_test_acc]]</f>
        <v>0.87111111111111117</v>
      </c>
      <c r="AI88">
        <f>Tabela3[[#This Row],[mlp_val_acc]]</f>
        <v>1</v>
      </c>
      <c r="AJ88">
        <f>Tabela3[[#This Row],[mlp_train_acc]]</f>
        <v>0.90566037735849059</v>
      </c>
    </row>
    <row r="89" spans="1:36" hidden="1" x14ac:dyDescent="0.25">
      <c r="A89" t="s">
        <v>57</v>
      </c>
      <c r="B89">
        <v>20</v>
      </c>
      <c r="C89">
        <v>9</v>
      </c>
      <c r="D89">
        <v>5</v>
      </c>
      <c r="E89">
        <v>0</v>
      </c>
      <c r="F89" t="s">
        <v>68</v>
      </c>
      <c r="G89">
        <v>14959</v>
      </c>
      <c r="H89">
        <v>1067144270.2</v>
      </c>
      <c r="I89">
        <v>5020</v>
      </c>
      <c r="J89">
        <v>0.32264151573181155</v>
      </c>
      <c r="K89">
        <v>0.70370368957519536</v>
      </c>
      <c r="L89">
        <v>0.40444445013999941</v>
      </c>
      <c r="M89">
        <v>0.87111111111111117</v>
      </c>
      <c r="N89">
        <v>1</v>
      </c>
      <c r="O89">
        <v>0.90566037735849059</v>
      </c>
      <c r="P89">
        <v>47.8</v>
      </c>
      <c r="Q89">
        <v>15868686.4</v>
      </c>
      <c r="R89">
        <v>14664</v>
      </c>
      <c r="S89">
        <v>2</v>
      </c>
      <c r="T89">
        <v>81</v>
      </c>
      <c r="U89">
        <v>0.8666666666666667</v>
      </c>
      <c r="V89">
        <v>1</v>
      </c>
      <c r="W89">
        <v>0.89811320754716983</v>
      </c>
      <c r="X89">
        <v>49.8</v>
      </c>
      <c r="Y89">
        <v>15348324.6</v>
      </c>
      <c r="Z89">
        <v>15009</v>
      </c>
      <c r="AA89">
        <v>2</v>
      </c>
      <c r="AB89">
        <v>82</v>
      </c>
      <c r="AD89">
        <f>Tabela3[[#This Row],[kan_params]]</f>
        <v>14959</v>
      </c>
      <c r="AE89">
        <f>Tabela3[[#This Row],[kan_train_acc]]</f>
        <v>0.32264151573181155</v>
      </c>
      <c r="AF89">
        <f>Tabela3[[#This Row],[kan_val_acc]]</f>
        <v>0.70370368957519536</v>
      </c>
      <c r="AG89">
        <f>Tabela3[[#This Row],[kan_test_acc]]</f>
        <v>0.40444445013999941</v>
      </c>
      <c r="AH89">
        <f>Tabela3[[#This Row],[mlp_test_acc]]</f>
        <v>0.87111111111111117</v>
      </c>
      <c r="AI89">
        <f>Tabela3[[#This Row],[mlp_val_acc]]</f>
        <v>1</v>
      </c>
      <c r="AJ89">
        <f>Tabela3[[#This Row],[mlp_train_acc]]</f>
        <v>0.90566037735849059</v>
      </c>
    </row>
    <row r="90" spans="1:36" hidden="1" x14ac:dyDescent="0.25">
      <c r="A90" t="s">
        <v>57</v>
      </c>
      <c r="B90">
        <v>20</v>
      </c>
      <c r="C90">
        <v>9</v>
      </c>
      <c r="D90">
        <v>5</v>
      </c>
      <c r="E90">
        <v>0</v>
      </c>
      <c r="F90" t="s">
        <v>69</v>
      </c>
      <c r="G90">
        <v>18044</v>
      </c>
      <c r="H90">
        <v>1215731446.5999999</v>
      </c>
      <c r="I90">
        <v>5871.4</v>
      </c>
      <c r="J90">
        <v>0.30943396985530852</v>
      </c>
      <c r="K90">
        <v>0.6444444417953491</v>
      </c>
      <c r="L90">
        <v>0.38666667640209196</v>
      </c>
      <c r="M90">
        <v>0.90222222222222226</v>
      </c>
      <c r="N90">
        <v>0.97037037037037033</v>
      </c>
      <c r="O90">
        <v>0.94528301886792454</v>
      </c>
      <c r="P90">
        <v>4849.8</v>
      </c>
      <c r="Q90">
        <v>897812854.20000005</v>
      </c>
      <c r="R90">
        <v>17913</v>
      </c>
      <c r="S90">
        <v>2</v>
      </c>
      <c r="T90">
        <v>90</v>
      </c>
      <c r="U90">
        <v>0.88888888888888895</v>
      </c>
      <c r="V90">
        <v>0.97037037037037033</v>
      </c>
      <c r="W90">
        <v>0.94150943396226416</v>
      </c>
      <c r="X90">
        <v>7139</v>
      </c>
      <c r="Y90">
        <v>990561865</v>
      </c>
      <c r="Z90">
        <v>18294</v>
      </c>
      <c r="AA90">
        <v>2</v>
      </c>
      <c r="AB90">
        <v>91</v>
      </c>
      <c r="AD90">
        <f>Tabela3[[#This Row],[kan_params]]</f>
        <v>18044</v>
      </c>
      <c r="AE90">
        <f>Tabela3[[#This Row],[kan_train_acc]]</f>
        <v>0.30943396985530852</v>
      </c>
      <c r="AF90">
        <f>Tabela3[[#This Row],[kan_val_acc]]</f>
        <v>0.6444444417953491</v>
      </c>
      <c r="AG90">
        <f>Tabela3[[#This Row],[kan_test_acc]]</f>
        <v>0.38666667640209196</v>
      </c>
      <c r="AH90">
        <f>Tabela3[[#This Row],[mlp_test_acc]]</f>
        <v>0.90222222222222226</v>
      </c>
      <c r="AI90">
        <f>Tabela3[[#This Row],[mlp_val_acc]]</f>
        <v>0.97037037037037033</v>
      </c>
      <c r="AJ90">
        <f>Tabela3[[#This Row],[mlp_train_acc]]</f>
        <v>0.94528301886792454</v>
      </c>
    </row>
    <row r="91" spans="1:36" hidden="1" x14ac:dyDescent="0.25">
      <c r="A91" t="s">
        <v>57</v>
      </c>
      <c r="B91">
        <v>20</v>
      </c>
      <c r="C91">
        <v>9</v>
      </c>
      <c r="D91">
        <v>5</v>
      </c>
      <c r="E91">
        <v>0</v>
      </c>
      <c r="F91" t="s">
        <v>70</v>
      </c>
      <c r="G91">
        <v>21129</v>
      </c>
      <c r="H91">
        <v>968338739.60000002</v>
      </c>
      <c r="I91">
        <v>5087.3999999999996</v>
      </c>
      <c r="J91">
        <v>0.31886793076992037</v>
      </c>
      <c r="K91">
        <v>0.69629629850387575</v>
      </c>
      <c r="L91">
        <v>0.31555556356906889</v>
      </c>
      <c r="M91">
        <v>0.88888888888888884</v>
      </c>
      <c r="N91">
        <v>0.9555555555555556</v>
      </c>
      <c r="O91">
        <v>0.97547169811320755</v>
      </c>
      <c r="P91">
        <v>10184</v>
      </c>
      <c r="Q91">
        <v>2206359721</v>
      </c>
      <c r="R91">
        <v>21073</v>
      </c>
      <c r="S91">
        <v>2</v>
      </c>
      <c r="T91">
        <v>98</v>
      </c>
      <c r="U91">
        <v>0.93333333333333335</v>
      </c>
      <c r="V91">
        <v>0.94814814814814807</v>
      </c>
      <c r="W91">
        <v>1</v>
      </c>
      <c r="X91">
        <v>11542.6</v>
      </c>
      <c r="Y91">
        <v>1765880649.8</v>
      </c>
      <c r="Z91">
        <v>21486</v>
      </c>
      <c r="AA91">
        <v>2</v>
      </c>
      <c r="AB91">
        <v>99</v>
      </c>
      <c r="AD91">
        <f>Tabela3[[#This Row],[kan_params]]</f>
        <v>21129</v>
      </c>
      <c r="AE91">
        <f>Tabela3[[#This Row],[kan_train_acc]]</f>
        <v>0.31886793076992037</v>
      </c>
      <c r="AF91">
        <f>Tabela3[[#This Row],[kan_val_acc]]</f>
        <v>0.69629629850387575</v>
      </c>
      <c r="AG91">
        <f>Tabela3[[#This Row],[kan_test_acc]]</f>
        <v>0.31555556356906889</v>
      </c>
      <c r="AH91">
        <f>Tabela3[[#This Row],[mlp_test_acc]]</f>
        <v>0.88888888888888884</v>
      </c>
      <c r="AI91">
        <f>Tabela3[[#This Row],[mlp_val_acc]]</f>
        <v>0.9555555555555556</v>
      </c>
      <c r="AJ91">
        <f>Tabela3[[#This Row],[mlp_train_acc]]</f>
        <v>0.97547169811320755</v>
      </c>
    </row>
    <row r="92" spans="1:36" hidden="1" x14ac:dyDescent="0.25">
      <c r="A92" t="s">
        <v>57</v>
      </c>
      <c r="B92">
        <v>20</v>
      </c>
      <c r="C92">
        <v>9</v>
      </c>
      <c r="D92">
        <v>5</v>
      </c>
      <c r="E92">
        <v>0</v>
      </c>
      <c r="F92" t="s">
        <v>71</v>
      </c>
      <c r="G92">
        <v>8534</v>
      </c>
      <c r="H92">
        <v>720340050.39999998</v>
      </c>
      <c r="I92">
        <v>6851</v>
      </c>
      <c r="J92">
        <v>0.40566037297248841</v>
      </c>
      <c r="K92">
        <v>0.85185184478759768</v>
      </c>
      <c r="L92">
        <v>0.45333334207534792</v>
      </c>
      <c r="M92">
        <v>0.88</v>
      </c>
      <c r="N92">
        <v>0.98518518518518516</v>
      </c>
      <c r="O92">
        <v>1</v>
      </c>
      <c r="P92">
        <v>3678.2</v>
      </c>
      <c r="Q92">
        <v>254956875.59999999</v>
      </c>
      <c r="R92">
        <v>8343</v>
      </c>
      <c r="S92">
        <v>2</v>
      </c>
      <c r="T92">
        <v>60</v>
      </c>
      <c r="U92">
        <v>0.89777777777777779</v>
      </c>
      <c r="V92">
        <v>0.98518518518518516</v>
      </c>
      <c r="W92">
        <v>0.99811320754716981</v>
      </c>
      <c r="X92">
        <v>4936</v>
      </c>
      <c r="Y92">
        <v>400276549</v>
      </c>
      <c r="Z92">
        <v>8604</v>
      </c>
      <c r="AA92">
        <v>2</v>
      </c>
      <c r="AB92">
        <v>61</v>
      </c>
      <c r="AD92">
        <f>Tabela3[[#This Row],[kan_params]]</f>
        <v>8534</v>
      </c>
      <c r="AE92">
        <f>Tabela3[[#This Row],[kan_train_acc]]</f>
        <v>0.40566037297248841</v>
      </c>
      <c r="AF92">
        <f>Tabela3[[#This Row],[kan_val_acc]]</f>
        <v>0.85185184478759768</v>
      </c>
      <c r="AG92">
        <f>Tabela3[[#This Row],[kan_test_acc]]</f>
        <v>0.45333334207534792</v>
      </c>
      <c r="AH92">
        <f>Tabela3[[#This Row],[mlp_test_acc]]</f>
        <v>0.88</v>
      </c>
      <c r="AI92">
        <f>Tabela3[[#This Row],[mlp_val_acc]]</f>
        <v>0.98518518518518516</v>
      </c>
      <c r="AJ92">
        <f>Tabela3[[#This Row],[mlp_train_acc]]</f>
        <v>1</v>
      </c>
    </row>
    <row r="93" spans="1:36" hidden="1" x14ac:dyDescent="0.25">
      <c r="A93" t="s">
        <v>57</v>
      </c>
      <c r="B93">
        <v>20</v>
      </c>
      <c r="C93">
        <v>9</v>
      </c>
      <c r="D93">
        <v>5</v>
      </c>
      <c r="E93">
        <v>0</v>
      </c>
      <c r="F93" t="s">
        <v>72</v>
      </c>
      <c r="G93">
        <v>16417</v>
      </c>
      <c r="H93">
        <v>499054324.80000001</v>
      </c>
      <c r="I93">
        <v>4312.3999999999996</v>
      </c>
      <c r="J93">
        <v>0.26603774130344393</v>
      </c>
      <c r="K93">
        <v>0.70370370149612427</v>
      </c>
      <c r="L93">
        <v>0.37333334088325498</v>
      </c>
      <c r="M93">
        <v>0.91555555555555557</v>
      </c>
      <c r="N93">
        <v>0.97037037037037033</v>
      </c>
      <c r="O93">
        <v>0.98490566037735849</v>
      </c>
      <c r="P93">
        <v>3280.4</v>
      </c>
      <c r="Q93">
        <v>788255522.60000002</v>
      </c>
      <c r="R93">
        <v>16068</v>
      </c>
      <c r="S93">
        <v>2</v>
      </c>
      <c r="T93">
        <v>85</v>
      </c>
      <c r="U93">
        <v>0.80888888888888888</v>
      </c>
      <c r="V93">
        <v>1</v>
      </c>
      <c r="W93">
        <v>0.93018867924528303</v>
      </c>
      <c r="X93">
        <v>49.4</v>
      </c>
      <c r="Y93">
        <v>7377548.5999999996</v>
      </c>
      <c r="Z93">
        <v>16429</v>
      </c>
      <c r="AA93">
        <v>2</v>
      </c>
      <c r="AB93">
        <v>86</v>
      </c>
      <c r="AD93">
        <f>Tabela3[[#This Row],[kan_params]]</f>
        <v>16417</v>
      </c>
      <c r="AE93">
        <f>Tabela3[[#This Row],[kan_train_acc]]</f>
        <v>0.26603774130344393</v>
      </c>
      <c r="AF93">
        <f>Tabela3[[#This Row],[kan_val_acc]]</f>
        <v>0.70370370149612427</v>
      </c>
      <c r="AG93">
        <f>Tabela3[[#This Row],[kan_test_acc]]</f>
        <v>0.37333334088325498</v>
      </c>
      <c r="AH93">
        <f>Tabela3[[#This Row],[mlp_test_acc]]</f>
        <v>0.91555555555555557</v>
      </c>
      <c r="AI93">
        <f>Tabela3[[#This Row],[mlp_val_acc]]</f>
        <v>0.97037037037037033</v>
      </c>
      <c r="AJ93">
        <f>Tabela3[[#This Row],[mlp_train_acc]]</f>
        <v>0.98490566037735849</v>
      </c>
    </row>
    <row r="94" spans="1:36" hidden="1" x14ac:dyDescent="0.25">
      <c r="A94" t="s">
        <v>57</v>
      </c>
      <c r="B94">
        <v>20</v>
      </c>
      <c r="C94">
        <v>9</v>
      </c>
      <c r="D94">
        <v>5</v>
      </c>
      <c r="E94">
        <v>0</v>
      </c>
      <c r="F94" t="s">
        <v>73</v>
      </c>
      <c r="G94">
        <v>19782</v>
      </c>
      <c r="H94">
        <v>498135213.33333331</v>
      </c>
      <c r="I94">
        <v>4055</v>
      </c>
      <c r="J94">
        <v>0.29559748371442157</v>
      </c>
      <c r="K94">
        <v>0.67901235818862915</v>
      </c>
      <c r="L94">
        <v>0.42222222685813904</v>
      </c>
      <c r="M94">
        <v>0.85925925925925928</v>
      </c>
      <c r="N94">
        <v>0.98765432098765427</v>
      </c>
      <c r="O94">
        <v>0.95597484276729561</v>
      </c>
      <c r="P94">
        <v>1396.3333333333333</v>
      </c>
      <c r="Q94">
        <v>471730797</v>
      </c>
      <c r="R94">
        <v>19461</v>
      </c>
      <c r="S94">
        <v>2</v>
      </c>
      <c r="T94">
        <v>94</v>
      </c>
      <c r="U94">
        <v>0.80740740740740746</v>
      </c>
      <c r="V94">
        <v>1</v>
      </c>
      <c r="W94">
        <v>0.93396226415094341</v>
      </c>
      <c r="X94">
        <v>46</v>
      </c>
      <c r="Y94">
        <v>10404630.666666666</v>
      </c>
      <c r="Z94">
        <v>19858</v>
      </c>
      <c r="AA94">
        <v>2</v>
      </c>
      <c r="AB94">
        <v>95</v>
      </c>
      <c r="AD94">
        <f>Tabela3[[#This Row],[kan_params]]</f>
        <v>19782</v>
      </c>
      <c r="AE94">
        <f>Tabela3[[#This Row],[kan_train_acc]]</f>
        <v>0.29559748371442157</v>
      </c>
      <c r="AF94">
        <f>Tabela3[[#This Row],[kan_val_acc]]</f>
        <v>0.67901235818862915</v>
      </c>
      <c r="AG94">
        <f>Tabela3[[#This Row],[kan_test_acc]]</f>
        <v>0.42222222685813904</v>
      </c>
      <c r="AH94">
        <f>Tabela3[[#This Row],[mlp_test_acc]]</f>
        <v>0.85925925925925928</v>
      </c>
      <c r="AI94">
        <f>Tabela3[[#This Row],[mlp_val_acc]]</f>
        <v>0.98765432098765427</v>
      </c>
      <c r="AJ94">
        <f>Tabela3[[#This Row],[mlp_train_acc]]</f>
        <v>0.95597484276729561</v>
      </c>
    </row>
    <row r="95" spans="1:36" hidden="1" x14ac:dyDescent="0.25">
      <c r="A95" t="s">
        <v>57</v>
      </c>
      <c r="B95">
        <v>20</v>
      </c>
      <c r="C95">
        <v>9</v>
      </c>
      <c r="D95">
        <v>5</v>
      </c>
      <c r="E95">
        <v>0</v>
      </c>
      <c r="F95" t="s">
        <v>75</v>
      </c>
      <c r="G95">
        <v>10779</v>
      </c>
      <c r="H95">
        <v>588422787.60000002</v>
      </c>
      <c r="I95">
        <v>5078</v>
      </c>
      <c r="J95">
        <v>0.34150944054126742</v>
      </c>
      <c r="K95">
        <v>0.8222222208976746</v>
      </c>
      <c r="L95">
        <v>0.42222223281860349</v>
      </c>
      <c r="M95">
        <v>0.87555555555555553</v>
      </c>
      <c r="N95">
        <v>1</v>
      </c>
      <c r="O95">
        <v>0.98867924528301887</v>
      </c>
      <c r="P95">
        <v>1759.4</v>
      </c>
      <c r="Q95">
        <v>98619124.799999997</v>
      </c>
      <c r="R95">
        <v>10543</v>
      </c>
      <c r="S95">
        <v>2</v>
      </c>
      <c r="T95">
        <v>68</v>
      </c>
      <c r="U95">
        <v>0.88888888888888884</v>
      </c>
      <c r="V95">
        <v>1</v>
      </c>
      <c r="W95">
        <v>0.97547169811320755</v>
      </c>
      <c r="X95">
        <v>1206</v>
      </c>
      <c r="Y95">
        <v>58806819.799999997</v>
      </c>
      <c r="Z95">
        <v>10836</v>
      </c>
      <c r="AA95">
        <v>2</v>
      </c>
      <c r="AB95">
        <v>69</v>
      </c>
      <c r="AD95">
        <f>Tabela3[[#This Row],[kan_params]]</f>
        <v>10779</v>
      </c>
      <c r="AE95">
        <f>Tabela3[[#This Row],[kan_train_acc]]</f>
        <v>0.34150944054126742</v>
      </c>
      <c r="AF95">
        <f>Tabela3[[#This Row],[kan_val_acc]]</f>
        <v>0.8222222208976746</v>
      </c>
      <c r="AG95">
        <f>Tabela3[[#This Row],[kan_test_acc]]</f>
        <v>0.42222223281860349</v>
      </c>
      <c r="AH95">
        <f>Tabela3[[#This Row],[mlp_test_acc]]</f>
        <v>0.87555555555555553</v>
      </c>
      <c r="AI95">
        <f>Tabela3[[#This Row],[mlp_val_acc]]</f>
        <v>1</v>
      </c>
      <c r="AJ95">
        <f>Tabela3[[#This Row],[mlp_train_acc]]</f>
        <v>0.98867924528301887</v>
      </c>
    </row>
    <row r="96" spans="1:36" hidden="1" x14ac:dyDescent="0.25">
      <c r="A96" t="s">
        <v>57</v>
      </c>
      <c r="B96">
        <v>20</v>
      </c>
      <c r="C96">
        <v>9</v>
      </c>
      <c r="D96">
        <v>5</v>
      </c>
      <c r="E96">
        <v>0</v>
      </c>
      <c r="F96" t="s">
        <v>76</v>
      </c>
      <c r="G96">
        <v>4044</v>
      </c>
      <c r="H96">
        <v>865699057.39999998</v>
      </c>
      <c r="I96">
        <v>10657.2</v>
      </c>
      <c r="J96">
        <v>0.42641510367393493</v>
      </c>
      <c r="K96">
        <v>0.82222223281860352</v>
      </c>
      <c r="L96">
        <v>0.46666668057441713</v>
      </c>
      <c r="M96">
        <v>0.89333333333333331</v>
      </c>
      <c r="N96">
        <v>0.91851851851851851</v>
      </c>
      <c r="O96">
        <v>1</v>
      </c>
      <c r="P96">
        <v>18753</v>
      </c>
      <c r="Q96">
        <v>1082800733.8</v>
      </c>
      <c r="R96">
        <v>3963</v>
      </c>
      <c r="S96">
        <v>2</v>
      </c>
      <c r="T96">
        <v>40</v>
      </c>
      <c r="U96">
        <v>0.89777777777777779</v>
      </c>
      <c r="V96">
        <v>0.91111111111111109</v>
      </c>
      <c r="W96">
        <v>1</v>
      </c>
      <c r="X96">
        <v>26430.799999999999</v>
      </c>
      <c r="Y96">
        <v>1410150861.4000001</v>
      </c>
      <c r="Z96">
        <v>4144</v>
      </c>
      <c r="AA96">
        <v>2</v>
      </c>
      <c r="AB96">
        <v>41</v>
      </c>
      <c r="AD96">
        <f>Tabela3[[#This Row],[kan_params]]</f>
        <v>4044</v>
      </c>
      <c r="AE96">
        <f>Tabela3[[#This Row],[kan_train_acc]]</f>
        <v>0.42641510367393493</v>
      </c>
      <c r="AF96">
        <f>Tabela3[[#This Row],[kan_val_acc]]</f>
        <v>0.82222223281860352</v>
      </c>
      <c r="AG96">
        <f>Tabela3[[#This Row],[kan_test_acc]]</f>
        <v>0.46666668057441713</v>
      </c>
      <c r="AH96">
        <f>Tabela3[[#This Row],[mlp_test_acc]]</f>
        <v>0.89333333333333331</v>
      </c>
      <c r="AI96">
        <f>Tabela3[[#This Row],[mlp_val_acc]]</f>
        <v>0.91851851851851851</v>
      </c>
      <c r="AJ96">
        <f>Tabela3[[#This Row],[mlp_train_acc]]</f>
        <v>1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A84149-E33C-4682-87D7-111BA13188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Cancer</vt:lpstr>
      <vt:lpstr>27_text_logs_full_output</vt:lpstr>
      <vt:lpstr>Iris</vt:lpstr>
      <vt:lpstr>Wine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 Chadała</dc:creator>
  <cp:lastModifiedBy>Marta Chadała</cp:lastModifiedBy>
  <dcterms:created xsi:type="dcterms:W3CDTF">2025-07-17T05:06:53Z</dcterms:created>
  <dcterms:modified xsi:type="dcterms:W3CDTF">2025-07-17T06:45:06Z</dcterms:modified>
</cp:coreProperties>
</file>